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xampp\htdocs\Veterinaria\Sql\"/>
    </mc:Choice>
  </mc:AlternateContent>
  <xr:revisionPtr revIDLastSave="0" documentId="13_ncr:1_{210BD85A-D6F6-4930-9384-6DF9B9B7831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in flitrar" sheetId="1" r:id="rId1"/>
    <sheet name="filtradas" sheetId="2" r:id="rId2"/>
    <sheet name="pendientes" sheetId="3" r:id="rId3"/>
  </sheets>
  <definedNames>
    <definedName name="_xlnm._FilterDatabase" localSheetId="1" hidden="1">filtradas!$A$1:$I$1527</definedName>
    <definedName name="_xlnm._FilterDatabase" localSheetId="0" hidden="1">'sin flitrar'!$A$1:$F$1851</definedName>
  </definedNames>
  <calcPr calcId="191029"/>
</workbook>
</file>

<file path=xl/calcChain.xml><?xml version="1.0" encoding="utf-8"?>
<calcChain xmlns="http://schemas.openxmlformats.org/spreadsheetml/2006/main">
  <c r="F46" i="1" l="1"/>
  <c r="E46" i="1"/>
  <c r="F45" i="1"/>
  <c r="E45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  <c r="F32" i="1"/>
  <c r="E32" i="1"/>
  <c r="F542" i="1" l="1"/>
  <c r="E542" i="1"/>
  <c r="F541" i="1"/>
  <c r="E541" i="1"/>
  <c r="F540" i="1"/>
  <c r="E540" i="1"/>
  <c r="F456" i="1"/>
  <c r="E456" i="1"/>
  <c r="F426" i="1"/>
  <c r="E426" i="1"/>
  <c r="F425" i="1"/>
  <c r="E425" i="1"/>
  <c r="F447" i="1"/>
  <c r="E447" i="1"/>
  <c r="F446" i="1"/>
  <c r="E446" i="1"/>
  <c r="F466" i="1"/>
  <c r="E466" i="1"/>
  <c r="F465" i="1"/>
  <c r="E465" i="1"/>
  <c r="F1487" i="1"/>
  <c r="E1487" i="1"/>
  <c r="F1488" i="1"/>
  <c r="E1488" i="1"/>
  <c r="F1475" i="1"/>
  <c r="E1475" i="1"/>
  <c r="F1474" i="1"/>
  <c r="E1474" i="1"/>
  <c r="F1531" i="1"/>
  <c r="E1531" i="1"/>
  <c r="F1545" i="1"/>
  <c r="E1545" i="1"/>
  <c r="F1544" i="1"/>
  <c r="E1544" i="1"/>
  <c r="F1543" i="1"/>
  <c r="E1543" i="1"/>
  <c r="F1542" i="1"/>
  <c r="E1542" i="1"/>
  <c r="F1541" i="1"/>
  <c r="E1541" i="1"/>
  <c r="F1540" i="1"/>
  <c r="E1540" i="1"/>
  <c r="F1539" i="1"/>
  <c r="E1539" i="1"/>
  <c r="F1538" i="1"/>
  <c r="E1538" i="1"/>
  <c r="F1537" i="1"/>
  <c r="E1537" i="1"/>
  <c r="F1536" i="1"/>
  <c r="E1536" i="1"/>
  <c r="F1535" i="1"/>
  <c r="E1535" i="1"/>
  <c r="F1534" i="1"/>
  <c r="E1534" i="1"/>
  <c r="F1533" i="1"/>
  <c r="E1533" i="1"/>
  <c r="F1532" i="1"/>
  <c r="E1532" i="1"/>
  <c r="F1447" i="1"/>
  <c r="E1447" i="1"/>
  <c r="F766" i="1" l="1"/>
  <c r="E766" i="1"/>
  <c r="F1742" i="1" l="1"/>
  <c r="F1741" i="1"/>
  <c r="F1740" i="1"/>
  <c r="F1739" i="1"/>
  <c r="F1778" i="1" l="1"/>
  <c r="E1778" i="1"/>
  <c r="E1753" i="1"/>
  <c r="F1753" i="1"/>
  <c r="E1798" i="1"/>
  <c r="F1798" i="1"/>
  <c r="E1799" i="1"/>
  <c r="F1799" i="1"/>
  <c r="E1800" i="1"/>
  <c r="F1800" i="1"/>
  <c r="F1797" i="1"/>
  <c r="E1797" i="1"/>
  <c r="F1796" i="1"/>
  <c r="E1796" i="1"/>
  <c r="F1795" i="1"/>
  <c r="E1795" i="1"/>
  <c r="F1794" i="1"/>
  <c r="E1794" i="1"/>
  <c r="F1793" i="1"/>
  <c r="E1793" i="1"/>
  <c r="F1792" i="1"/>
  <c r="E1792" i="1"/>
  <c r="F1791" i="1"/>
  <c r="E1791" i="1"/>
  <c r="F1790" i="1"/>
  <c r="E1790" i="1"/>
  <c r="F1789" i="1"/>
  <c r="E1789" i="1"/>
  <c r="F1788" i="1"/>
  <c r="E1788" i="1"/>
  <c r="F1787" i="1"/>
  <c r="E1787" i="1"/>
  <c r="F1786" i="1"/>
  <c r="E1786" i="1"/>
  <c r="F1785" i="1"/>
  <c r="E1785" i="1"/>
  <c r="F1784" i="1"/>
  <c r="E1784" i="1"/>
  <c r="F1783" i="1"/>
  <c r="E1783" i="1"/>
  <c r="F1782" i="1"/>
  <c r="E1782" i="1"/>
  <c r="F1781" i="1"/>
  <c r="E1781" i="1"/>
  <c r="F1780" i="1"/>
  <c r="E1780" i="1"/>
  <c r="F1779" i="1"/>
  <c r="E1779" i="1"/>
  <c r="F1777" i="1"/>
  <c r="E1777" i="1"/>
  <c r="F1776" i="1"/>
  <c r="E1776" i="1"/>
  <c r="F1775" i="1"/>
  <c r="E1775" i="1"/>
  <c r="F1774" i="1"/>
  <c r="E1774" i="1"/>
  <c r="F1773" i="1"/>
  <c r="E1773" i="1"/>
  <c r="F1772" i="1"/>
  <c r="E1772" i="1"/>
  <c r="F1771" i="1"/>
  <c r="E1771" i="1"/>
  <c r="F1770" i="1"/>
  <c r="E1770" i="1"/>
  <c r="F1769" i="1"/>
  <c r="E1769" i="1"/>
  <c r="F1768" i="1"/>
  <c r="E1768" i="1"/>
  <c r="F1767" i="1"/>
  <c r="E1767" i="1"/>
  <c r="F1766" i="1"/>
  <c r="E1766" i="1"/>
  <c r="F1765" i="1"/>
  <c r="E1765" i="1"/>
  <c r="F1764" i="1"/>
  <c r="E1764" i="1"/>
  <c r="F1763" i="1"/>
  <c r="E1763" i="1"/>
  <c r="F1762" i="1"/>
  <c r="E1762" i="1"/>
  <c r="F1761" i="1"/>
  <c r="E1761" i="1"/>
  <c r="F1760" i="1"/>
  <c r="E1760" i="1"/>
  <c r="F1759" i="1"/>
  <c r="E1759" i="1"/>
  <c r="F1758" i="1"/>
  <c r="E1758" i="1"/>
  <c r="F1757" i="1"/>
  <c r="E1757" i="1"/>
  <c r="F1756" i="1"/>
  <c r="E1756" i="1"/>
  <c r="E1754" i="1"/>
  <c r="F1754" i="1"/>
  <c r="E1755" i="1"/>
  <c r="F1755" i="1"/>
  <c r="F1752" i="1"/>
  <c r="E1752" i="1"/>
  <c r="E1723" i="1"/>
  <c r="F1723" i="1"/>
  <c r="E1722" i="1"/>
  <c r="F1722" i="1"/>
  <c r="E1721" i="1"/>
  <c r="F1721" i="1"/>
  <c r="E1720" i="1"/>
  <c r="F1720" i="1"/>
  <c r="E1719" i="1"/>
  <c r="F1719" i="1"/>
  <c r="E1703" i="1"/>
  <c r="F1703" i="1"/>
  <c r="F1702" i="1"/>
  <c r="E1702" i="1"/>
  <c r="E1742" i="1"/>
  <c r="E1741" i="1"/>
  <c r="E1740" i="1"/>
  <c r="F1697" i="1"/>
  <c r="E1697" i="1"/>
  <c r="F1698" i="1"/>
  <c r="E1698" i="1"/>
  <c r="F1699" i="1"/>
  <c r="E1699" i="1"/>
  <c r="F1700" i="1"/>
  <c r="E1700" i="1"/>
  <c r="F1701" i="1"/>
  <c r="E1701" i="1"/>
  <c r="F1706" i="1"/>
  <c r="E1706" i="1"/>
  <c r="F1707" i="1"/>
  <c r="E1707" i="1"/>
  <c r="F1708" i="1"/>
  <c r="E1708" i="1"/>
  <c r="F1709" i="1"/>
  <c r="E1709" i="1"/>
  <c r="F1710" i="1"/>
  <c r="E1710" i="1"/>
  <c r="F1712" i="1"/>
  <c r="E1712" i="1"/>
  <c r="F1713" i="1"/>
  <c r="E1713" i="1"/>
  <c r="F1714" i="1"/>
  <c r="E1714" i="1"/>
  <c r="F1715" i="1"/>
  <c r="E1715" i="1"/>
  <c r="F1716" i="1"/>
  <c r="E1716" i="1"/>
  <c r="F1717" i="1"/>
  <c r="E1717" i="1"/>
  <c r="F1737" i="1"/>
  <c r="E1737" i="1"/>
  <c r="F1727" i="1"/>
  <c r="E1727" i="1"/>
  <c r="F1726" i="1"/>
  <c r="E1726" i="1"/>
  <c r="F1749" i="1"/>
  <c r="E1749" i="1"/>
  <c r="F1718" i="1"/>
  <c r="E1718" i="1"/>
  <c r="F1811" i="1" l="1"/>
  <c r="E1811" i="1"/>
  <c r="F348" i="1"/>
  <c r="E348" i="1"/>
  <c r="F347" i="1"/>
  <c r="E347" i="1"/>
  <c r="F346" i="1"/>
  <c r="E346" i="1"/>
  <c r="F397" i="1"/>
  <c r="F396" i="1"/>
  <c r="F389" i="1"/>
  <c r="E389" i="1"/>
  <c r="F353" i="1"/>
  <c r="E353" i="1"/>
  <c r="F395" i="1"/>
  <c r="F394" i="1"/>
  <c r="F393" i="1"/>
  <c r="E397" i="1"/>
  <c r="E396" i="1"/>
  <c r="E395" i="1"/>
  <c r="E394" i="1"/>
  <c r="E393" i="1"/>
  <c r="F1037" i="1" l="1"/>
  <c r="E1037" i="1"/>
  <c r="F1053" i="1"/>
  <c r="E1053" i="1"/>
  <c r="F1104" i="1"/>
  <c r="E1104" i="1"/>
  <c r="F1076" i="1"/>
  <c r="E1076" i="1"/>
  <c r="F1130" i="1"/>
  <c r="E1130" i="1"/>
  <c r="F1117" i="1"/>
  <c r="E1117" i="1"/>
  <c r="F1112" i="1"/>
  <c r="E1112" i="1"/>
  <c r="F1086" i="1"/>
  <c r="E1086" i="1"/>
  <c r="F1069" i="1"/>
  <c r="E1069" i="1"/>
  <c r="F1062" i="1"/>
  <c r="E1062" i="1"/>
  <c r="F1030" i="1"/>
  <c r="E1030" i="1"/>
  <c r="F249" i="1"/>
  <c r="E249" i="1"/>
  <c r="F315" i="1"/>
  <c r="E315" i="1"/>
  <c r="F301" i="1"/>
  <c r="E301" i="1"/>
  <c r="F294" i="1"/>
  <c r="E294" i="1"/>
  <c r="F293" i="1"/>
  <c r="E293" i="1"/>
  <c r="E295" i="1"/>
  <c r="F295" i="1"/>
  <c r="F290" i="1"/>
  <c r="E290" i="1"/>
  <c r="F289" i="1"/>
  <c r="E289" i="1"/>
  <c r="F260" i="1"/>
  <c r="E260" i="1"/>
  <c r="F259" i="1"/>
  <c r="E259" i="1"/>
  <c r="F282" i="1"/>
  <c r="E282" i="1"/>
  <c r="F281" i="1"/>
  <c r="E281" i="1"/>
  <c r="F255" i="1"/>
  <c r="E255" i="1"/>
  <c r="F248" i="1"/>
  <c r="E248" i="1"/>
  <c r="F277" i="1" l="1"/>
  <c r="E277" i="1"/>
  <c r="F322" i="1"/>
  <c r="E322" i="1"/>
  <c r="E313" i="1"/>
  <c r="F313" i="1"/>
  <c r="E314" i="1"/>
  <c r="F314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F312" i="1"/>
  <c r="E312" i="1"/>
  <c r="F311" i="1"/>
  <c r="E311" i="1"/>
  <c r="F310" i="1"/>
  <c r="E310" i="1"/>
  <c r="F309" i="1"/>
  <c r="E309" i="1"/>
  <c r="F308" i="1"/>
  <c r="E308" i="1"/>
  <c r="F307" i="1"/>
  <c r="E307" i="1"/>
  <c r="F306" i="1"/>
  <c r="E306" i="1"/>
  <c r="F305" i="1"/>
  <c r="E305" i="1"/>
  <c r="F304" i="1"/>
  <c r="E304" i="1"/>
  <c r="F303" i="1"/>
  <c r="E303" i="1"/>
  <c r="F302" i="1"/>
  <c r="E302" i="1"/>
  <c r="F300" i="1"/>
  <c r="E300" i="1"/>
  <c r="F299" i="1"/>
  <c r="E299" i="1"/>
  <c r="F298" i="1"/>
  <c r="E298" i="1"/>
  <c r="F297" i="1"/>
  <c r="E297" i="1"/>
  <c r="F296" i="1"/>
  <c r="E296" i="1"/>
  <c r="F292" i="1"/>
  <c r="E292" i="1"/>
  <c r="F291" i="1"/>
  <c r="E291" i="1"/>
  <c r="F288" i="1"/>
  <c r="E288" i="1"/>
  <c r="F287" i="1"/>
  <c r="E287" i="1"/>
  <c r="F286" i="1"/>
  <c r="E286" i="1"/>
  <c r="F285" i="1"/>
  <c r="E285" i="1"/>
  <c r="F284" i="1"/>
  <c r="E284" i="1"/>
  <c r="F283" i="1"/>
  <c r="E283" i="1"/>
  <c r="F280" i="1"/>
  <c r="E280" i="1"/>
  <c r="F279" i="1"/>
  <c r="E279" i="1"/>
  <c r="F278" i="1"/>
  <c r="E278" i="1"/>
  <c r="F276" i="1"/>
  <c r="E276" i="1"/>
  <c r="F275" i="1"/>
  <c r="E275" i="1"/>
  <c r="F274" i="1"/>
  <c r="E274" i="1"/>
  <c r="F273" i="1"/>
  <c r="E273" i="1"/>
  <c r="F272" i="1"/>
  <c r="E272" i="1"/>
  <c r="F271" i="1"/>
  <c r="E271" i="1"/>
  <c r="F270" i="1"/>
  <c r="E270" i="1"/>
  <c r="F269" i="1"/>
  <c r="E269" i="1"/>
  <c r="F268" i="1"/>
  <c r="E268" i="1"/>
  <c r="F267" i="1"/>
  <c r="E267" i="1"/>
  <c r="F266" i="1"/>
  <c r="E266" i="1"/>
  <c r="F265" i="1"/>
  <c r="E265" i="1"/>
  <c r="F264" i="1"/>
  <c r="E264" i="1"/>
  <c r="F263" i="1"/>
  <c r="E263" i="1"/>
  <c r="F262" i="1"/>
  <c r="E262" i="1"/>
  <c r="F261" i="1"/>
  <c r="E261" i="1"/>
  <c r="F258" i="1"/>
  <c r="E258" i="1"/>
  <c r="F257" i="1"/>
  <c r="E257" i="1"/>
  <c r="F256" i="1"/>
  <c r="E256" i="1"/>
  <c r="F253" i="1"/>
  <c r="E253" i="1"/>
  <c r="F252" i="1"/>
  <c r="E252" i="1"/>
  <c r="F250" i="1"/>
  <c r="E250" i="1"/>
  <c r="F247" i="1"/>
  <c r="E247" i="1"/>
  <c r="F245" i="1"/>
  <c r="E245" i="1"/>
  <c r="F244" i="1"/>
  <c r="E244" i="1"/>
  <c r="F243" i="1"/>
  <c r="E243" i="1"/>
  <c r="F254" i="1"/>
  <c r="E254" i="1"/>
  <c r="F251" i="1"/>
  <c r="E251" i="1"/>
  <c r="F241" i="1"/>
  <c r="E241" i="1"/>
  <c r="F893" i="1" l="1"/>
  <c r="E893" i="1"/>
  <c r="F885" i="1"/>
  <c r="E885" i="1"/>
  <c r="F919" i="1" l="1"/>
  <c r="E919" i="1"/>
  <c r="E913" i="1"/>
  <c r="F913" i="1"/>
  <c r="E914" i="1"/>
  <c r="F914" i="1"/>
  <c r="E915" i="1"/>
  <c r="F915" i="1"/>
  <c r="E916" i="1"/>
  <c r="F916" i="1"/>
  <c r="E917" i="1"/>
  <c r="F917" i="1"/>
  <c r="E918" i="1"/>
  <c r="F918" i="1"/>
  <c r="F912" i="1"/>
  <c r="E912" i="1"/>
  <c r="F911" i="1"/>
  <c r="E911" i="1"/>
  <c r="F910" i="1"/>
  <c r="E910" i="1"/>
  <c r="F909" i="1"/>
  <c r="E909" i="1"/>
  <c r="F908" i="1"/>
  <c r="E908" i="1"/>
  <c r="F907" i="1"/>
  <c r="E907" i="1"/>
  <c r="F906" i="1"/>
  <c r="E906" i="1"/>
  <c r="F905" i="1"/>
  <c r="E905" i="1"/>
  <c r="F904" i="1"/>
  <c r="E904" i="1"/>
  <c r="F903" i="1"/>
  <c r="E903" i="1"/>
  <c r="F902" i="1"/>
  <c r="E902" i="1"/>
  <c r="F901" i="1"/>
  <c r="E901" i="1"/>
  <c r="F900" i="1"/>
  <c r="E900" i="1"/>
  <c r="F899" i="1"/>
  <c r="E899" i="1"/>
  <c r="F898" i="1"/>
  <c r="E898" i="1"/>
  <c r="F897" i="1"/>
  <c r="E897" i="1"/>
  <c r="F896" i="1"/>
  <c r="E896" i="1"/>
  <c r="F895" i="1"/>
  <c r="E895" i="1"/>
  <c r="F894" i="1"/>
  <c r="E894" i="1"/>
  <c r="F892" i="1"/>
  <c r="E892" i="1"/>
  <c r="F891" i="1"/>
  <c r="E891" i="1"/>
  <c r="F890" i="1"/>
  <c r="E890" i="1"/>
  <c r="F889" i="1"/>
  <c r="E889" i="1"/>
  <c r="F888" i="1"/>
  <c r="E888" i="1"/>
  <c r="F887" i="1"/>
  <c r="E887" i="1"/>
  <c r="F886" i="1"/>
  <c r="E886" i="1"/>
  <c r="F884" i="1"/>
  <c r="E884" i="1"/>
  <c r="F870" i="1"/>
  <c r="E870" i="1"/>
  <c r="E773" i="1"/>
  <c r="F773" i="1"/>
  <c r="E772" i="1"/>
  <c r="F772" i="1"/>
  <c r="E768" i="1"/>
  <c r="F768" i="1"/>
  <c r="E767" i="1"/>
  <c r="F767" i="1"/>
  <c r="E765" i="1"/>
  <c r="F765" i="1"/>
  <c r="E764" i="1"/>
  <c r="F764" i="1"/>
  <c r="E754" i="1"/>
  <c r="F754" i="1"/>
  <c r="E753" i="1"/>
  <c r="F753" i="1"/>
  <c r="E752" i="1"/>
  <c r="F752" i="1"/>
  <c r="E734" i="1"/>
  <c r="F734" i="1"/>
  <c r="E418" i="1"/>
  <c r="F418" i="1"/>
  <c r="E417" i="1"/>
  <c r="F417" i="1"/>
  <c r="F751" i="1"/>
  <c r="E751" i="1"/>
  <c r="F420" i="1"/>
  <c r="E420" i="1"/>
  <c r="E736" i="1"/>
  <c r="F758" i="1"/>
  <c r="E758" i="1"/>
  <c r="F750" i="1"/>
  <c r="E750" i="1"/>
  <c r="F749" i="1"/>
  <c r="E749" i="1"/>
  <c r="F748" i="1"/>
  <c r="E748" i="1"/>
  <c r="F747" i="1"/>
  <c r="E747" i="1"/>
  <c r="F746" i="1"/>
  <c r="E746" i="1"/>
  <c r="F745" i="1"/>
  <c r="E745" i="1"/>
  <c r="F737" i="1"/>
  <c r="E737" i="1"/>
  <c r="F736" i="1"/>
  <c r="F506" i="1"/>
  <c r="E506" i="1"/>
  <c r="F868" i="1"/>
  <c r="E868" i="1"/>
  <c r="F867" i="1"/>
  <c r="E867" i="1"/>
  <c r="F866" i="1"/>
  <c r="E866" i="1"/>
  <c r="F864" i="1"/>
  <c r="E864" i="1"/>
  <c r="F863" i="1"/>
  <c r="E863" i="1"/>
  <c r="F862" i="1"/>
  <c r="E862" i="1"/>
  <c r="F947" i="1"/>
  <c r="E947" i="1"/>
  <c r="F946" i="1"/>
  <c r="E946" i="1"/>
  <c r="F945" i="1"/>
  <c r="E945" i="1"/>
  <c r="F944" i="1"/>
  <c r="E944" i="1"/>
  <c r="F943" i="1"/>
  <c r="E943" i="1"/>
  <c r="F942" i="1"/>
  <c r="E942" i="1"/>
  <c r="F949" i="1"/>
  <c r="E949" i="1"/>
  <c r="F688" i="1"/>
  <c r="E688" i="1"/>
  <c r="F687" i="1"/>
  <c r="E687" i="1"/>
  <c r="F686" i="1"/>
  <c r="E686" i="1"/>
  <c r="F685" i="1"/>
  <c r="E685" i="1"/>
  <c r="F684" i="1"/>
  <c r="E684" i="1"/>
  <c r="F683" i="1"/>
  <c r="E683" i="1"/>
  <c r="F682" i="1"/>
  <c r="E682" i="1"/>
  <c r="F681" i="1"/>
  <c r="E681" i="1"/>
  <c r="F680" i="1"/>
  <c r="E680" i="1"/>
  <c r="F679" i="1"/>
  <c r="E679" i="1"/>
  <c r="F678" i="1"/>
  <c r="E678" i="1"/>
  <c r="F677" i="1"/>
  <c r="E677" i="1"/>
  <c r="F676" i="1"/>
  <c r="E676" i="1"/>
  <c r="F699" i="1"/>
  <c r="E699" i="1"/>
  <c r="F713" i="1"/>
  <c r="E713" i="1"/>
  <c r="F698" i="1"/>
  <c r="E698" i="1"/>
  <c r="F538" i="1" l="1"/>
  <c r="E538" i="1"/>
  <c r="F537" i="1"/>
  <c r="E537" i="1"/>
  <c r="F536" i="1"/>
  <c r="E536" i="1"/>
  <c r="F510" i="1"/>
  <c r="E510" i="1"/>
  <c r="F509" i="1"/>
  <c r="E509" i="1"/>
  <c r="F508" i="1"/>
  <c r="E508" i="1"/>
  <c r="F507" i="1"/>
  <c r="E507" i="1"/>
  <c r="F526" i="1"/>
  <c r="E526" i="1"/>
  <c r="F1618" i="1"/>
  <c r="E1618" i="1"/>
  <c r="F1605" i="1"/>
  <c r="E1605" i="1"/>
  <c r="F1639" i="1"/>
  <c r="E1639" i="1"/>
  <c r="F1630" i="1"/>
  <c r="E1630" i="1"/>
  <c r="F1512" i="1" l="1"/>
  <c r="E1512" i="1"/>
  <c r="F1529" i="1" l="1"/>
  <c r="E1529" i="1"/>
  <c r="F1527" i="1"/>
  <c r="E1527" i="1"/>
  <c r="F1521" i="1"/>
  <c r="E1521" i="1"/>
  <c r="F1523" i="1" l="1"/>
  <c r="E1523" i="1"/>
  <c r="F1518" i="1"/>
  <c r="E1518" i="1"/>
  <c r="F1530" i="1"/>
  <c r="E1530" i="1"/>
  <c r="F1528" i="1"/>
  <c r="E1528" i="1"/>
  <c r="F1516" i="1"/>
  <c r="E1516" i="1"/>
  <c r="F1524" i="1"/>
  <c r="E1524" i="1"/>
  <c r="F1525" i="1"/>
  <c r="E1525" i="1"/>
  <c r="F1507" i="1"/>
  <c r="E1507" i="1"/>
  <c r="F1519" i="1"/>
  <c r="E1519" i="1"/>
  <c r="F1509" i="1"/>
  <c r="E1509" i="1"/>
  <c r="F1508" i="1"/>
  <c r="E1508" i="1"/>
  <c r="F881" i="1" l="1"/>
  <c r="E881" i="1"/>
  <c r="F880" i="1"/>
  <c r="E880" i="1"/>
  <c r="F879" i="1"/>
  <c r="E879" i="1"/>
  <c r="F1015" i="1" l="1"/>
  <c r="E1015" i="1"/>
  <c r="F1005" i="1"/>
  <c r="E1005" i="1"/>
  <c r="F1004" i="1"/>
  <c r="E1004" i="1"/>
  <c r="F1006" i="1"/>
  <c r="E1006" i="1"/>
  <c r="F883" i="1" l="1"/>
  <c r="E883" i="1"/>
  <c r="F882" i="1"/>
  <c r="E882" i="1"/>
  <c r="F878" i="1"/>
  <c r="E878" i="1"/>
  <c r="F877" i="1"/>
  <c r="E877" i="1"/>
  <c r="F876" i="1"/>
  <c r="E876" i="1"/>
  <c r="F875" i="1"/>
  <c r="E875" i="1"/>
  <c r="F874" i="1"/>
  <c r="E874" i="1"/>
  <c r="F873" i="1"/>
  <c r="E873" i="1"/>
  <c r="F872" i="1"/>
  <c r="E872" i="1"/>
  <c r="F1682" i="1"/>
  <c r="E1682" i="1"/>
  <c r="F217" i="1" l="1"/>
  <c r="E217" i="1"/>
  <c r="F215" i="1"/>
  <c r="E215" i="1"/>
  <c r="F216" i="1"/>
  <c r="E216" i="1"/>
  <c r="E214" i="1"/>
  <c r="F218" i="1"/>
  <c r="F219" i="1"/>
  <c r="F220" i="1"/>
  <c r="F221" i="1"/>
  <c r="F222" i="1"/>
  <c r="F223" i="1"/>
  <c r="F224" i="1"/>
  <c r="F225" i="1"/>
  <c r="F226" i="1"/>
  <c r="F214" i="1"/>
  <c r="F213" i="1"/>
  <c r="F212" i="1"/>
  <c r="F210" i="1"/>
  <c r="F209" i="1"/>
  <c r="F208" i="1"/>
  <c r="F207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7" i="1"/>
  <c r="F186" i="1"/>
  <c r="F185" i="1"/>
  <c r="F184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E224" i="1"/>
  <c r="E177" i="1"/>
  <c r="E171" i="1"/>
  <c r="E170" i="1"/>
  <c r="E169" i="1"/>
  <c r="E168" i="1"/>
  <c r="E201" i="1"/>
  <c r="E191" i="1"/>
  <c r="E190" i="1"/>
  <c r="E141" i="1"/>
  <c r="E140" i="1"/>
  <c r="E207" i="1"/>
  <c r="E187" i="1"/>
  <c r="E186" i="1"/>
  <c r="E185" i="1"/>
  <c r="E184" i="1"/>
  <c r="E192" i="1"/>
  <c r="E193" i="1"/>
  <c r="E194" i="1"/>
  <c r="E155" i="1"/>
  <c r="E154" i="1"/>
  <c r="E137" i="1"/>
  <c r="F1216" i="1" l="1"/>
  <c r="E1216" i="1"/>
  <c r="F1215" i="1"/>
  <c r="E1215" i="1"/>
  <c r="F1204" i="1"/>
  <c r="E1204" i="1"/>
  <c r="F1202" i="1"/>
  <c r="E1202" i="1"/>
  <c r="F1218" i="1"/>
  <c r="E1218" i="1"/>
  <c r="F836" i="1"/>
  <c r="E836" i="1"/>
  <c r="F857" i="1"/>
  <c r="E857" i="1"/>
  <c r="F840" i="1"/>
  <c r="E840" i="1"/>
  <c r="F826" i="1"/>
  <c r="E826" i="1"/>
  <c r="F844" i="1"/>
  <c r="E844" i="1"/>
  <c r="F827" i="1"/>
  <c r="E827" i="1"/>
  <c r="F832" i="1"/>
  <c r="E832" i="1"/>
  <c r="F822" i="1"/>
  <c r="E822" i="1"/>
  <c r="F816" i="1"/>
  <c r="E816" i="1"/>
  <c r="F815" i="1"/>
  <c r="E815" i="1"/>
  <c r="E856" i="1"/>
  <c r="F856" i="1"/>
  <c r="E855" i="1"/>
  <c r="F855" i="1"/>
  <c r="F837" i="1"/>
  <c r="E837" i="1"/>
  <c r="F835" i="1"/>
  <c r="E835" i="1"/>
  <c r="F834" i="1"/>
  <c r="E834" i="1"/>
  <c r="F858" i="1"/>
  <c r="E858" i="1"/>
  <c r="F854" i="1"/>
  <c r="E854" i="1"/>
  <c r="F853" i="1"/>
  <c r="E853" i="1"/>
  <c r="F848" i="1"/>
  <c r="E848" i="1"/>
  <c r="F841" i="1"/>
  <c r="E841" i="1"/>
  <c r="F828" i="1"/>
  <c r="E828" i="1"/>
  <c r="F821" i="1"/>
  <c r="E821" i="1"/>
  <c r="E627" i="1"/>
  <c r="F627" i="1"/>
  <c r="E628" i="1"/>
  <c r="F628" i="1"/>
  <c r="E629" i="1"/>
  <c r="F629" i="1"/>
  <c r="F430" i="1"/>
  <c r="E430" i="1"/>
  <c r="F429" i="1"/>
  <c r="E429" i="1"/>
  <c r="F428" i="1"/>
  <c r="E428" i="1"/>
  <c r="F437" i="1"/>
  <c r="E437" i="1"/>
  <c r="F450" i="1"/>
  <c r="E450" i="1"/>
  <c r="F488" i="1"/>
  <c r="E488" i="1"/>
  <c r="F487" i="1"/>
  <c r="E487" i="1"/>
  <c r="F468" i="1" l="1"/>
  <c r="E468" i="1"/>
  <c r="F467" i="1"/>
  <c r="E467" i="1"/>
  <c r="F464" i="1"/>
  <c r="E464" i="1"/>
  <c r="F459" i="1"/>
  <c r="E459" i="1"/>
  <c r="F458" i="1"/>
  <c r="E458" i="1"/>
  <c r="F457" i="1"/>
  <c r="E457" i="1"/>
  <c r="F455" i="1"/>
  <c r="E455" i="1"/>
  <c r="F454" i="1"/>
  <c r="E454" i="1"/>
  <c r="F453" i="1"/>
  <c r="E453" i="1"/>
  <c r="F452" i="1"/>
  <c r="E452" i="1"/>
  <c r="F451" i="1"/>
  <c r="E451" i="1"/>
  <c r="F449" i="1"/>
  <c r="E449" i="1"/>
  <c r="F448" i="1"/>
  <c r="E448" i="1"/>
  <c r="F445" i="1"/>
  <c r="E445" i="1"/>
  <c r="F444" i="1"/>
  <c r="E444" i="1"/>
  <c r="F442" i="1"/>
  <c r="E442" i="1"/>
  <c r="F441" i="1"/>
  <c r="E441" i="1"/>
  <c r="F440" i="1"/>
  <c r="E440" i="1"/>
  <c r="F439" i="1"/>
  <c r="E439" i="1"/>
  <c r="F438" i="1"/>
  <c r="E438" i="1"/>
  <c r="F436" i="1"/>
  <c r="E436" i="1"/>
  <c r="F435" i="1"/>
  <c r="E435" i="1"/>
  <c r="F434" i="1"/>
  <c r="E434" i="1"/>
  <c r="F433" i="1"/>
  <c r="E433" i="1"/>
  <c r="F431" i="1"/>
  <c r="E431" i="1"/>
  <c r="F427" i="1"/>
  <c r="E427" i="1"/>
  <c r="F424" i="1"/>
  <c r="E424" i="1"/>
  <c r="F615" i="1"/>
  <c r="E615" i="1"/>
  <c r="E642" i="1"/>
  <c r="F642" i="1"/>
  <c r="E643" i="1"/>
  <c r="F643" i="1"/>
  <c r="E644" i="1"/>
  <c r="F644" i="1"/>
  <c r="E641" i="1"/>
  <c r="F641" i="1"/>
  <c r="F640" i="1"/>
  <c r="E640" i="1"/>
  <c r="F639" i="1"/>
  <c r="E639" i="1"/>
  <c r="F638" i="1"/>
  <c r="E638" i="1"/>
  <c r="F637" i="1"/>
  <c r="E637" i="1"/>
  <c r="F636" i="1"/>
  <c r="E636" i="1"/>
  <c r="F635" i="1"/>
  <c r="E635" i="1"/>
  <c r="F634" i="1"/>
  <c r="E634" i="1"/>
  <c r="F633" i="1"/>
  <c r="E633" i="1"/>
  <c r="F632" i="1"/>
  <c r="E632" i="1"/>
  <c r="F631" i="1"/>
  <c r="E631" i="1"/>
  <c r="F630" i="1"/>
  <c r="E630" i="1"/>
  <c r="F626" i="1"/>
  <c r="E626" i="1"/>
  <c r="F625" i="1"/>
  <c r="E625" i="1"/>
  <c r="F624" i="1"/>
  <c r="E624" i="1"/>
  <c r="F623" i="1"/>
  <c r="E623" i="1"/>
  <c r="F622" i="1"/>
  <c r="E622" i="1"/>
  <c r="F621" i="1"/>
  <c r="E621" i="1"/>
  <c r="F620" i="1"/>
  <c r="E620" i="1"/>
  <c r="F619" i="1"/>
  <c r="E619" i="1"/>
  <c r="F618" i="1"/>
  <c r="E618" i="1"/>
  <c r="F617" i="1"/>
  <c r="E617" i="1"/>
  <c r="F616" i="1"/>
  <c r="E616" i="1"/>
  <c r="F1681" i="1" l="1"/>
  <c r="E1681" i="1"/>
  <c r="F1242" i="1"/>
  <c r="E1242" i="1"/>
  <c r="F1232" i="1"/>
  <c r="E1232" i="1"/>
  <c r="F969" i="1"/>
  <c r="E969" i="1"/>
  <c r="F975" i="1"/>
  <c r="E975" i="1"/>
  <c r="F989" i="1"/>
  <c r="E989" i="1"/>
  <c r="F988" i="1"/>
  <c r="E988" i="1"/>
  <c r="F987" i="1"/>
  <c r="E987" i="1"/>
  <c r="F999" i="1"/>
  <c r="E999" i="1"/>
  <c r="F998" i="1"/>
  <c r="E998" i="1"/>
  <c r="F997" i="1"/>
  <c r="E997" i="1"/>
  <c r="F996" i="1"/>
  <c r="E996" i="1"/>
  <c r="F995" i="1"/>
  <c r="E995" i="1"/>
  <c r="F981" i="1"/>
  <c r="E981" i="1"/>
  <c r="F978" i="1"/>
  <c r="E978" i="1"/>
  <c r="F968" i="1"/>
  <c r="E968" i="1"/>
  <c r="F963" i="1"/>
  <c r="E963" i="1"/>
  <c r="F964" i="1"/>
  <c r="E964" i="1"/>
  <c r="F954" i="1"/>
  <c r="E954" i="1"/>
  <c r="F1264" i="1"/>
  <c r="E1264" i="1"/>
  <c r="F1276" i="1"/>
  <c r="E1276" i="1"/>
  <c r="F1258" i="1"/>
  <c r="E1258" i="1"/>
  <c r="F1295" i="1"/>
  <c r="E1295" i="1"/>
  <c r="F1275" i="1"/>
  <c r="E1275" i="1"/>
  <c r="F1274" i="1"/>
  <c r="E1274" i="1"/>
  <c r="F1273" i="1"/>
  <c r="E1273" i="1"/>
  <c r="F1272" i="1"/>
  <c r="E1272" i="1"/>
  <c r="F1324" i="1"/>
  <c r="E1324" i="1"/>
  <c r="F1322" i="1"/>
  <c r="E1322" i="1"/>
  <c r="F1320" i="1"/>
  <c r="E1320" i="1"/>
  <c r="F1318" i="1"/>
  <c r="E1318" i="1"/>
  <c r="F1286" i="1"/>
  <c r="E1286" i="1"/>
  <c r="F1281" i="1"/>
  <c r="E1281" i="1"/>
  <c r="F1263" i="1"/>
  <c r="E1263" i="1"/>
  <c r="F1138" i="1" l="1"/>
  <c r="E1138" i="1"/>
  <c r="E1139" i="1"/>
  <c r="F1139" i="1"/>
  <c r="F1067" i="1"/>
  <c r="E1067" i="1"/>
  <c r="F1060" i="1"/>
  <c r="E1060" i="1"/>
  <c r="F1119" i="1"/>
  <c r="E1119" i="1"/>
  <c r="F1078" i="1"/>
  <c r="E1078" i="1"/>
  <c r="F1083" i="1"/>
  <c r="E1083" i="1"/>
  <c r="F1115" i="1"/>
  <c r="E1115" i="1"/>
  <c r="E1116" i="1"/>
  <c r="F1116" i="1"/>
  <c r="F1092" i="1" l="1"/>
  <c r="E1092" i="1"/>
  <c r="F1597" i="1"/>
  <c r="E1597" i="1"/>
  <c r="F1569" i="1"/>
  <c r="E1569" i="1"/>
  <c r="F1568" i="1"/>
  <c r="E1568" i="1"/>
  <c r="F1629" i="1"/>
  <c r="E1629" i="1"/>
  <c r="F1546" i="1"/>
  <c r="E1546" i="1"/>
  <c r="F1559" i="1"/>
  <c r="E1559" i="1"/>
  <c r="F1592" i="1"/>
  <c r="E1592" i="1"/>
  <c r="F1591" i="1"/>
  <c r="E1591" i="1"/>
  <c r="F1638" i="1"/>
  <c r="E1638" i="1"/>
  <c r="F1637" i="1"/>
  <c r="E1637" i="1"/>
  <c r="F1641" i="1"/>
  <c r="E1641" i="1"/>
  <c r="F1628" i="1"/>
  <c r="E1628" i="1"/>
  <c r="F1627" i="1"/>
  <c r="E1627" i="1"/>
  <c r="E1631" i="1"/>
  <c r="F1631" i="1"/>
  <c r="F527" i="1"/>
  <c r="E527" i="1"/>
  <c r="E534" i="1" l="1"/>
  <c r="F534" i="1"/>
  <c r="E531" i="1"/>
  <c r="F531" i="1"/>
  <c r="F543" i="1"/>
  <c r="E543" i="1"/>
  <c r="F535" i="1"/>
  <c r="E535" i="1"/>
  <c r="F517" i="1"/>
  <c r="E517" i="1"/>
  <c r="F539" i="1"/>
  <c r="E539" i="1"/>
  <c r="F528" i="1"/>
  <c r="E528" i="1"/>
  <c r="F504" i="1" l="1"/>
  <c r="E504" i="1"/>
  <c r="F545" i="1"/>
  <c r="E545" i="1"/>
  <c r="F1636" i="1" l="1"/>
  <c r="E1636" i="1"/>
  <c r="F1022" i="1" l="1"/>
  <c r="E1022" i="1"/>
  <c r="F1461" i="1"/>
  <c r="E1461" i="1"/>
  <c r="F1460" i="1"/>
  <c r="E1460" i="1"/>
  <c r="F1457" i="1"/>
  <c r="E1457" i="1"/>
  <c r="F1456" i="1"/>
  <c r="E1456" i="1"/>
  <c r="F1450" i="1"/>
  <c r="E1450" i="1"/>
  <c r="F1448" i="1"/>
  <c r="E1448" i="1"/>
  <c r="F1072" i="1" l="1"/>
  <c r="E1072" i="1"/>
  <c r="E1071" i="1"/>
  <c r="F1142" i="1"/>
  <c r="E1142" i="1"/>
  <c r="F1058" i="1"/>
  <c r="E1058" i="1"/>
  <c r="F1061" i="1"/>
  <c r="E1061" i="1"/>
  <c r="F1029" i="1"/>
  <c r="E1029" i="1"/>
  <c r="F1081" i="1"/>
  <c r="E1081" i="1"/>
  <c r="F1080" i="1"/>
  <c r="E1080" i="1"/>
  <c r="E1085" i="1"/>
  <c r="F1085" i="1"/>
  <c r="E1082" i="1"/>
  <c r="F1082" i="1"/>
  <c r="F49" i="1" l="1"/>
  <c r="E49" i="1"/>
  <c r="F48" i="1"/>
  <c r="E48" i="1"/>
  <c r="F47" i="1"/>
  <c r="E47" i="1"/>
  <c r="F44" i="1"/>
  <c r="E44" i="1"/>
  <c r="F43" i="1"/>
  <c r="E43" i="1"/>
  <c r="F42" i="1"/>
  <c r="E42" i="1"/>
  <c r="F41" i="1"/>
  <c r="E41" i="1"/>
  <c r="F40" i="1"/>
  <c r="E40" i="1"/>
  <c r="F31" i="1"/>
  <c r="E31" i="1"/>
  <c r="F24" i="1"/>
  <c r="E24" i="1"/>
  <c r="F26" i="1"/>
  <c r="E26" i="1"/>
  <c r="F29" i="1"/>
  <c r="E29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E16" i="1"/>
  <c r="F15" i="1"/>
  <c r="E15" i="1"/>
  <c r="F14" i="1"/>
  <c r="E14" i="1"/>
  <c r="F1135" i="1" l="1"/>
  <c r="E1135" i="1"/>
  <c r="F1122" i="1"/>
  <c r="E1122" i="1"/>
  <c r="E741" i="1" l="1"/>
  <c r="F741" i="1"/>
  <c r="E742" i="1"/>
  <c r="F742" i="1"/>
  <c r="F740" i="1"/>
  <c r="E740" i="1"/>
  <c r="F739" i="1"/>
  <c r="E739" i="1"/>
  <c r="F738" i="1"/>
  <c r="E738" i="1"/>
  <c r="F744" i="1"/>
  <c r="E744" i="1"/>
  <c r="F743" i="1"/>
  <c r="E743" i="1"/>
  <c r="F763" i="1"/>
  <c r="E763" i="1"/>
  <c r="F762" i="1"/>
  <c r="E762" i="1"/>
  <c r="F761" i="1"/>
  <c r="E761" i="1"/>
  <c r="F760" i="1"/>
  <c r="E760" i="1"/>
  <c r="F759" i="1"/>
  <c r="E759" i="1"/>
  <c r="F1038" i="1" l="1"/>
  <c r="E1038" i="1"/>
  <c r="F1052" i="1"/>
  <c r="E1052" i="1"/>
  <c r="F1121" i="1"/>
  <c r="E1121" i="1"/>
  <c r="F1035" i="1"/>
  <c r="E1035" i="1"/>
  <c r="F1034" i="1"/>
  <c r="E1034" i="1"/>
  <c r="F1120" i="1"/>
  <c r="F1124" i="1"/>
  <c r="E1124" i="1"/>
  <c r="F1123" i="1"/>
  <c r="E1123" i="1"/>
  <c r="F1111" i="1"/>
  <c r="E1111" i="1"/>
  <c r="F1110" i="1"/>
  <c r="E1110" i="1"/>
  <c r="F1074" i="1"/>
  <c r="E1074" i="1"/>
  <c r="F1073" i="1"/>
  <c r="E1073" i="1"/>
  <c r="F1054" i="1"/>
  <c r="E1054" i="1"/>
  <c r="F1051" i="1"/>
  <c r="E1051" i="1"/>
  <c r="F1057" i="1"/>
  <c r="E1057" i="1"/>
  <c r="F1040" i="1"/>
  <c r="E1040" i="1"/>
  <c r="F1094" i="1"/>
  <c r="E1094" i="1"/>
  <c r="F1026" i="1"/>
  <c r="E1026" i="1"/>
  <c r="F1128" i="1"/>
  <c r="E1128" i="1"/>
  <c r="F1089" i="1" l="1"/>
  <c r="E1089" i="1"/>
  <c r="F1088" i="1"/>
  <c r="E1088" i="1"/>
  <c r="F1077" i="1"/>
  <c r="E1077" i="1"/>
  <c r="F1036" i="1"/>
  <c r="E1036" i="1"/>
  <c r="F1105" i="1"/>
  <c r="E1105" i="1"/>
  <c r="F1045" i="1"/>
  <c r="E1045" i="1"/>
  <c r="F1097" i="1"/>
  <c r="E1097" i="1"/>
  <c r="F1049" i="1" l="1"/>
  <c r="E1049" i="1"/>
  <c r="F1028" i="1"/>
  <c r="E1028" i="1"/>
  <c r="F1847" i="1" l="1"/>
  <c r="E1847" i="1"/>
  <c r="F1846" i="1"/>
  <c r="E1846" i="1"/>
  <c r="F1845" i="1"/>
  <c r="E1845" i="1"/>
  <c r="F1834" i="1"/>
  <c r="E1834" i="1"/>
  <c r="F1831" i="1"/>
  <c r="E1831" i="1"/>
  <c r="F1020" i="1" l="1"/>
  <c r="E1020" i="1"/>
  <c r="F1019" i="1"/>
  <c r="E1019" i="1"/>
  <c r="F1018" i="1"/>
  <c r="E1018" i="1"/>
  <c r="F1017" i="1"/>
  <c r="E1017" i="1"/>
  <c r="F1016" i="1"/>
  <c r="E1016" i="1"/>
  <c r="F1014" i="1"/>
  <c r="E1014" i="1"/>
  <c r="F1013" i="1"/>
  <c r="E1013" i="1"/>
  <c r="F1012" i="1"/>
  <c r="E1012" i="1"/>
  <c r="F1011" i="1"/>
  <c r="E1011" i="1"/>
  <c r="F1010" i="1"/>
  <c r="E1010" i="1"/>
  <c r="F1009" i="1"/>
  <c r="E1009" i="1"/>
  <c r="F1008" i="1"/>
  <c r="E1008" i="1"/>
  <c r="F1007" i="1"/>
  <c r="E1007" i="1"/>
  <c r="E1003" i="1"/>
  <c r="F1003" i="1"/>
  <c r="F352" i="1"/>
  <c r="E352" i="1"/>
  <c r="F350" i="1"/>
  <c r="E350" i="1"/>
  <c r="F349" i="1"/>
  <c r="E349" i="1"/>
  <c r="F339" i="1"/>
  <c r="E339" i="1"/>
  <c r="F351" i="1"/>
  <c r="E351" i="1"/>
  <c r="F362" i="1"/>
  <c r="E362" i="1"/>
  <c r="F336" i="1"/>
  <c r="E336" i="1"/>
  <c r="F367" i="1"/>
  <c r="E367" i="1"/>
  <c r="F366" i="1"/>
  <c r="E366" i="1"/>
  <c r="F386" i="1"/>
  <c r="E386" i="1"/>
  <c r="F384" i="1"/>
  <c r="E384" i="1"/>
  <c r="F385" i="1"/>
  <c r="E385" i="1"/>
  <c r="F1214" i="1"/>
  <c r="E1214" i="1"/>
  <c r="F1634" i="1"/>
  <c r="E1634" i="1"/>
  <c r="F1643" i="1"/>
  <c r="E1643" i="1"/>
  <c r="F1632" i="1"/>
  <c r="E1632" i="1"/>
  <c r="E1589" i="1"/>
  <c r="F1589" i="1"/>
  <c r="F1624" i="1" l="1"/>
  <c r="E1624" i="1"/>
  <c r="F1623" i="1"/>
  <c r="E1623" i="1"/>
  <c r="F1622" i="1"/>
  <c r="E1622" i="1"/>
  <c r="F1621" i="1"/>
  <c r="E1621" i="1"/>
  <c r="F1620" i="1"/>
  <c r="E1620" i="1"/>
  <c r="F1619" i="1"/>
  <c r="E1619" i="1"/>
  <c r="F1554" i="1"/>
  <c r="E1554" i="1"/>
  <c r="F1553" i="1"/>
  <c r="E1553" i="1"/>
  <c r="F1552" i="1"/>
  <c r="E1552" i="1"/>
  <c r="F1551" i="1"/>
  <c r="E1551" i="1"/>
  <c r="F1550" i="1"/>
  <c r="E1550" i="1"/>
  <c r="F1549" i="1"/>
  <c r="E1549" i="1"/>
  <c r="F1615" i="1"/>
  <c r="E1615" i="1"/>
  <c r="F1611" i="1"/>
  <c r="E1611" i="1"/>
  <c r="E1625" i="1"/>
  <c r="F1625" i="1"/>
  <c r="E1626" i="1"/>
  <c r="F1626" i="1"/>
  <c r="E1633" i="1"/>
  <c r="F1633" i="1"/>
  <c r="E1635" i="1"/>
  <c r="F1635" i="1"/>
  <c r="E1640" i="1"/>
  <c r="F1640" i="1"/>
  <c r="E1642" i="1"/>
  <c r="F1642" i="1"/>
  <c r="E1644" i="1"/>
  <c r="F1644" i="1"/>
  <c r="E1645" i="1"/>
  <c r="F1645" i="1"/>
  <c r="E1646" i="1"/>
  <c r="F1646" i="1"/>
  <c r="E1647" i="1"/>
  <c r="F1647" i="1"/>
  <c r="E1648" i="1"/>
  <c r="F1648" i="1"/>
  <c r="E1649" i="1"/>
  <c r="F1649" i="1"/>
  <c r="E1650" i="1"/>
  <c r="F1650" i="1"/>
  <c r="E1651" i="1"/>
  <c r="F1651" i="1"/>
  <c r="E1652" i="1"/>
  <c r="F1652" i="1"/>
  <c r="E1653" i="1"/>
  <c r="F1653" i="1"/>
  <c r="E1654" i="1"/>
  <c r="F1654" i="1"/>
  <c r="E1655" i="1"/>
  <c r="F1655" i="1"/>
  <c r="E1656" i="1"/>
  <c r="F1656" i="1"/>
  <c r="E1657" i="1"/>
  <c r="F1657" i="1"/>
  <c r="E1658" i="1"/>
  <c r="F1658" i="1"/>
  <c r="E1659" i="1"/>
  <c r="F1659" i="1"/>
  <c r="E1660" i="1"/>
  <c r="F1660" i="1"/>
  <c r="E1661" i="1"/>
  <c r="F1661" i="1"/>
  <c r="E1662" i="1"/>
  <c r="F1662" i="1"/>
  <c r="E1663" i="1"/>
  <c r="F1663" i="1"/>
  <c r="E1664" i="1"/>
  <c r="F1664" i="1"/>
  <c r="E1665" i="1"/>
  <c r="F1665" i="1"/>
  <c r="F1614" i="1"/>
  <c r="E1614" i="1"/>
  <c r="F1613" i="1"/>
  <c r="E1613" i="1"/>
  <c r="F1612" i="1"/>
  <c r="E1612" i="1"/>
  <c r="F1610" i="1"/>
  <c r="E1610" i="1"/>
  <c r="F1609" i="1"/>
  <c r="E1609" i="1"/>
  <c r="F1608" i="1"/>
  <c r="E1608" i="1"/>
  <c r="F1607" i="1"/>
  <c r="E1607" i="1"/>
  <c r="F1606" i="1"/>
  <c r="E1606" i="1"/>
  <c r="F1604" i="1"/>
  <c r="E1604" i="1"/>
  <c r="F1603" i="1"/>
  <c r="E1603" i="1"/>
  <c r="F1602" i="1"/>
  <c r="E1602" i="1"/>
  <c r="F1601" i="1"/>
  <c r="E1601" i="1"/>
  <c r="F1600" i="1"/>
  <c r="E1600" i="1"/>
  <c r="F1599" i="1"/>
  <c r="E1599" i="1"/>
  <c r="F1598" i="1"/>
  <c r="E1598" i="1"/>
  <c r="F1596" i="1"/>
  <c r="E1596" i="1"/>
  <c r="F1595" i="1"/>
  <c r="E1595" i="1"/>
  <c r="F1594" i="1"/>
  <c r="E1594" i="1"/>
  <c r="F1593" i="1"/>
  <c r="E1593" i="1"/>
  <c r="F1590" i="1"/>
  <c r="E1590" i="1"/>
  <c r="F1588" i="1"/>
  <c r="E1588" i="1"/>
  <c r="F1587" i="1"/>
  <c r="E1587" i="1"/>
  <c r="F1586" i="1"/>
  <c r="E1586" i="1"/>
  <c r="F1585" i="1"/>
  <c r="E1585" i="1"/>
  <c r="F1584" i="1"/>
  <c r="E1584" i="1"/>
  <c r="F1583" i="1"/>
  <c r="E1583" i="1"/>
  <c r="F1582" i="1"/>
  <c r="E1582" i="1"/>
  <c r="F1581" i="1"/>
  <c r="E1581" i="1"/>
  <c r="F1580" i="1"/>
  <c r="E1580" i="1"/>
  <c r="F1579" i="1"/>
  <c r="E1579" i="1"/>
  <c r="F1578" i="1"/>
  <c r="E1578" i="1"/>
  <c r="F1577" i="1"/>
  <c r="E1577" i="1"/>
  <c r="F1576" i="1"/>
  <c r="E1576" i="1"/>
  <c r="F1575" i="1"/>
  <c r="E1575" i="1"/>
  <c r="F1574" i="1"/>
  <c r="E1574" i="1"/>
  <c r="F1573" i="1"/>
  <c r="E1573" i="1"/>
  <c r="F1572" i="1"/>
  <c r="E1572" i="1"/>
  <c r="F1571" i="1"/>
  <c r="E1571" i="1"/>
  <c r="F1570" i="1"/>
  <c r="E1570" i="1"/>
  <c r="F1567" i="1"/>
  <c r="E1567" i="1"/>
  <c r="F1566" i="1"/>
  <c r="E1566" i="1"/>
  <c r="F1565" i="1"/>
  <c r="E1565" i="1"/>
  <c r="F1564" i="1"/>
  <c r="E1564" i="1"/>
  <c r="F1563" i="1"/>
  <c r="E1563" i="1"/>
  <c r="F1562" i="1"/>
  <c r="E1562" i="1"/>
  <c r="F1561" i="1"/>
  <c r="E1561" i="1"/>
  <c r="F1560" i="1"/>
  <c r="E1560" i="1"/>
  <c r="F1558" i="1"/>
  <c r="E1558" i="1"/>
  <c r="F1557" i="1"/>
  <c r="E1557" i="1"/>
  <c r="F1556" i="1"/>
  <c r="E1556" i="1"/>
  <c r="F1555" i="1"/>
  <c r="E1555" i="1"/>
  <c r="F1548" i="1"/>
  <c r="E1548" i="1"/>
  <c r="F1547" i="1"/>
  <c r="E1547" i="1"/>
  <c r="E1841" i="1" l="1"/>
  <c r="F1841" i="1"/>
  <c r="E1842" i="1"/>
  <c r="F1842" i="1"/>
  <c r="E1843" i="1"/>
  <c r="F1843" i="1"/>
  <c r="E1844" i="1"/>
  <c r="F1844" i="1"/>
  <c r="E1839" i="1"/>
  <c r="F1839" i="1"/>
  <c r="E1840" i="1"/>
  <c r="F1840" i="1"/>
  <c r="E1836" i="1"/>
  <c r="F1836" i="1"/>
  <c r="E1837" i="1"/>
  <c r="F1837" i="1"/>
  <c r="E1838" i="1"/>
  <c r="F1838" i="1"/>
  <c r="F1835" i="1"/>
  <c r="E1835" i="1"/>
  <c r="F1833" i="1"/>
  <c r="E1833" i="1"/>
  <c r="F1832" i="1"/>
  <c r="E1832" i="1"/>
  <c r="F714" i="1"/>
  <c r="E714" i="1"/>
  <c r="F704" i="1"/>
  <c r="E704" i="1"/>
  <c r="F711" i="1"/>
  <c r="E711" i="1"/>
  <c r="F712" i="1"/>
  <c r="E712" i="1"/>
  <c r="F58" i="1" l="1"/>
  <c r="E58" i="1"/>
  <c r="F57" i="1"/>
  <c r="E57" i="1"/>
  <c r="E68" i="1"/>
  <c r="F68" i="1"/>
  <c r="E65" i="1"/>
  <c r="F65" i="1"/>
  <c r="E63" i="1"/>
  <c r="F63" i="1"/>
  <c r="E60" i="1"/>
  <c r="F60" i="1"/>
  <c r="E59" i="1"/>
  <c r="F59" i="1"/>
  <c r="F69" i="1" l="1"/>
  <c r="E69" i="1"/>
  <c r="F66" i="1"/>
  <c r="E66" i="1"/>
  <c r="F61" i="1"/>
  <c r="E61" i="1"/>
  <c r="F1301" i="1" l="1"/>
  <c r="E1301" i="1"/>
  <c r="F1305" i="1"/>
  <c r="E1309" i="1"/>
  <c r="E1308" i="1"/>
  <c r="E1307" i="1"/>
  <c r="E1306" i="1"/>
  <c r="E1304" i="1"/>
  <c r="E1305" i="1"/>
  <c r="F1306" i="1"/>
  <c r="F1304" i="1"/>
  <c r="F1803" i="1" l="1"/>
  <c r="E1803" i="1"/>
  <c r="F1169" i="1"/>
  <c r="E1169" i="1"/>
  <c r="F1813" i="1"/>
  <c r="E1813" i="1"/>
  <c r="F1168" i="1"/>
  <c r="E1168" i="1"/>
  <c r="F1171" i="1"/>
  <c r="E1171" i="1"/>
  <c r="F1814" i="1"/>
  <c r="E1814" i="1"/>
  <c r="F1812" i="1"/>
  <c r="E1812" i="1"/>
  <c r="F1810" i="1"/>
  <c r="E1810" i="1"/>
  <c r="F1809" i="1"/>
  <c r="E1809" i="1"/>
  <c r="F1808" i="1"/>
  <c r="E1808" i="1"/>
  <c r="F1807" i="1"/>
  <c r="E1807" i="1"/>
  <c r="F1806" i="1"/>
  <c r="E1806" i="1"/>
  <c r="F1805" i="1"/>
  <c r="E1805" i="1"/>
  <c r="F1804" i="1"/>
  <c r="E1804" i="1"/>
  <c r="F1802" i="1"/>
  <c r="E1802" i="1"/>
  <c r="F1695" i="1"/>
  <c r="E1695" i="1"/>
  <c r="F1694" i="1"/>
  <c r="E1694" i="1"/>
  <c r="F1693" i="1"/>
  <c r="E1693" i="1"/>
  <c r="F1692" i="1"/>
  <c r="E1692" i="1"/>
  <c r="F1691" i="1"/>
  <c r="E1691" i="1"/>
  <c r="F1685" i="1"/>
  <c r="E1685" i="1"/>
  <c r="F1683" i="1"/>
  <c r="E1683" i="1"/>
  <c r="F1271" i="1" l="1"/>
  <c r="E1271" i="1"/>
  <c r="E204" i="1" l="1"/>
  <c r="E147" i="1"/>
  <c r="F229" i="1" l="1"/>
  <c r="E229" i="1"/>
  <c r="F228" i="1"/>
  <c r="E228" i="1"/>
  <c r="F227" i="1"/>
  <c r="E227" i="1"/>
  <c r="E226" i="1"/>
  <c r="E225" i="1"/>
  <c r="E223" i="1"/>
  <c r="E222" i="1"/>
  <c r="E220" i="1"/>
  <c r="E219" i="1"/>
  <c r="E218" i="1"/>
  <c r="F87" i="1" l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38" i="1" l="1"/>
  <c r="F859" i="1"/>
  <c r="E859" i="1"/>
  <c r="F852" i="1"/>
  <c r="E852" i="1"/>
  <c r="F850" i="1"/>
  <c r="E850" i="1"/>
  <c r="F849" i="1"/>
  <c r="E849" i="1"/>
  <c r="F847" i="1"/>
  <c r="E847" i="1"/>
  <c r="F846" i="1"/>
  <c r="E846" i="1"/>
  <c r="F845" i="1"/>
  <c r="E845" i="1"/>
  <c r="F843" i="1"/>
  <c r="E843" i="1"/>
  <c r="F839" i="1"/>
  <c r="E839" i="1"/>
  <c r="F838" i="1"/>
  <c r="F814" i="1"/>
  <c r="E814" i="1"/>
  <c r="F813" i="1"/>
  <c r="E813" i="1"/>
  <c r="E861" i="1"/>
  <c r="F861" i="1"/>
  <c r="E829" i="1"/>
  <c r="F829" i="1"/>
  <c r="E817" i="1"/>
  <c r="F817" i="1"/>
  <c r="F860" i="1"/>
  <c r="E860" i="1"/>
  <c r="F851" i="1"/>
  <c r="E851" i="1"/>
  <c r="F842" i="1"/>
  <c r="E842" i="1"/>
  <c r="F833" i="1"/>
  <c r="E833" i="1"/>
  <c r="F831" i="1"/>
  <c r="E831" i="1"/>
  <c r="F830" i="1"/>
  <c r="E830" i="1"/>
  <c r="F825" i="1"/>
  <c r="E825" i="1"/>
  <c r="F824" i="1"/>
  <c r="E824" i="1"/>
  <c r="F823" i="1"/>
  <c r="E823" i="1"/>
  <c r="F820" i="1"/>
  <c r="E820" i="1"/>
  <c r="F819" i="1"/>
  <c r="E819" i="1"/>
  <c r="F818" i="1"/>
  <c r="E818" i="1"/>
  <c r="F812" i="1"/>
  <c r="E812" i="1"/>
  <c r="F811" i="1"/>
  <c r="E811" i="1"/>
  <c r="F810" i="1"/>
  <c r="E810" i="1"/>
  <c r="F809" i="1"/>
  <c r="E809" i="1"/>
  <c r="F808" i="1"/>
  <c r="E808" i="1"/>
  <c r="E595" i="1" l="1"/>
  <c r="F595" i="1"/>
  <c r="E594" i="1"/>
  <c r="F594" i="1"/>
  <c r="E588" i="1"/>
  <c r="F588" i="1"/>
  <c r="E587" i="1"/>
  <c r="F587" i="1"/>
  <c r="E586" i="1"/>
  <c r="F586" i="1"/>
  <c r="E585" i="1"/>
  <c r="F585" i="1"/>
  <c r="E584" i="1"/>
  <c r="F584" i="1"/>
  <c r="E583" i="1"/>
  <c r="F583" i="1"/>
  <c r="E582" i="1"/>
  <c r="F582" i="1"/>
  <c r="E581" i="1"/>
  <c r="F581" i="1"/>
  <c r="E580" i="1"/>
  <c r="F580" i="1"/>
  <c r="F593" i="1" l="1"/>
  <c r="E593" i="1"/>
  <c r="F598" i="1"/>
  <c r="E598" i="1"/>
  <c r="F597" i="1"/>
  <c r="E597" i="1"/>
  <c r="F596" i="1"/>
  <c r="E596" i="1"/>
  <c r="F1217" i="1" l="1"/>
  <c r="E1217" i="1"/>
  <c r="E1207" i="1"/>
  <c r="F1201" i="1" l="1"/>
  <c r="E1201" i="1"/>
  <c r="F1200" i="1"/>
  <c r="E1200" i="1"/>
  <c r="F1190" i="1"/>
  <c r="E1190" i="1"/>
  <c r="F1830" i="1"/>
  <c r="E1830" i="1"/>
  <c r="F1829" i="1"/>
  <c r="E1829" i="1"/>
  <c r="F1828" i="1"/>
  <c r="E1828" i="1"/>
  <c r="F1827" i="1"/>
  <c r="E1827" i="1"/>
  <c r="F1826" i="1"/>
  <c r="E1826" i="1"/>
  <c r="F518" i="1"/>
  <c r="E518" i="1"/>
  <c r="F544" i="1"/>
  <c r="E544" i="1"/>
  <c r="F1825" i="1"/>
  <c r="E1825" i="1"/>
  <c r="F1824" i="1"/>
  <c r="E1824" i="1"/>
  <c r="F1823" i="1"/>
  <c r="E1823" i="1"/>
  <c r="F1822" i="1"/>
  <c r="E1822" i="1"/>
  <c r="F1821" i="1"/>
  <c r="E1821" i="1"/>
  <c r="F1820" i="1"/>
  <c r="E1820" i="1"/>
  <c r="E1819" i="1"/>
  <c r="F1818" i="1"/>
  <c r="E1818" i="1"/>
  <c r="F1817" i="1"/>
  <c r="E1817" i="1"/>
  <c r="F1816" i="1"/>
  <c r="E1816" i="1"/>
  <c r="F1071" i="1"/>
  <c r="F1103" i="1"/>
  <c r="E1103" i="1"/>
  <c r="F1101" i="1"/>
  <c r="E1101" i="1"/>
  <c r="F1100" i="1"/>
  <c r="E1100" i="1"/>
  <c r="F1096" i="1"/>
  <c r="E1096" i="1"/>
  <c r="F1064" i="1"/>
  <c r="E1064" i="1"/>
  <c r="F1033" i="1"/>
  <c r="E1033" i="1"/>
  <c r="F1032" i="1"/>
  <c r="E1032" i="1"/>
  <c r="F1330" i="1" l="1"/>
  <c r="F1261" i="1"/>
  <c r="F1751" i="1"/>
  <c r="E1751" i="1"/>
  <c r="F1750" i="1"/>
  <c r="E1750" i="1"/>
  <c r="E1144" i="1" l="1"/>
  <c r="F1144" i="1"/>
  <c r="E1143" i="1"/>
  <c r="F1143" i="1"/>
  <c r="E1141" i="1"/>
  <c r="F1141" i="1"/>
  <c r="E1140" i="1"/>
  <c r="F1140" i="1"/>
  <c r="F1063" i="1"/>
  <c r="F1317" i="1"/>
  <c r="F1815" i="1"/>
  <c r="E1815" i="1"/>
  <c r="F1284" i="1"/>
  <c r="E1284" i="1"/>
  <c r="F807" i="1"/>
  <c r="E807" i="1"/>
  <c r="F805" i="1"/>
  <c r="E805" i="1"/>
  <c r="F804" i="1"/>
  <c r="E804" i="1"/>
  <c r="F803" i="1"/>
  <c r="E803" i="1"/>
  <c r="F802" i="1"/>
  <c r="E802" i="1"/>
  <c r="F801" i="1"/>
  <c r="E801" i="1"/>
  <c r="F800" i="1"/>
  <c r="E800" i="1"/>
  <c r="F799" i="1"/>
  <c r="E799" i="1"/>
  <c r="F798" i="1"/>
  <c r="E798" i="1"/>
  <c r="F797" i="1"/>
  <c r="E797" i="1"/>
  <c r="F796" i="1"/>
  <c r="E796" i="1"/>
  <c r="F795" i="1"/>
  <c r="E795" i="1"/>
  <c r="F794" i="1"/>
  <c r="E794" i="1"/>
  <c r="F793" i="1"/>
  <c r="E793" i="1"/>
  <c r="F792" i="1"/>
  <c r="E792" i="1"/>
  <c r="F791" i="1"/>
  <c r="E791" i="1"/>
  <c r="F790" i="1"/>
  <c r="E790" i="1"/>
  <c r="F789" i="1"/>
  <c r="E789" i="1"/>
  <c r="F788" i="1"/>
  <c r="E788" i="1"/>
  <c r="F787" i="1"/>
  <c r="E787" i="1"/>
  <c r="F786" i="1"/>
  <c r="E786" i="1"/>
  <c r="F785" i="1"/>
  <c r="E785" i="1"/>
  <c r="F784" i="1"/>
  <c r="E784" i="1"/>
  <c r="F783" i="1"/>
  <c r="E783" i="1"/>
  <c r="F782" i="1"/>
  <c r="E782" i="1"/>
  <c r="F781" i="1"/>
  <c r="E781" i="1"/>
  <c r="F779" i="1"/>
  <c r="E779" i="1"/>
  <c r="F778" i="1"/>
  <c r="E778" i="1"/>
  <c r="F777" i="1"/>
  <c r="E777" i="1"/>
  <c r="F776" i="1"/>
  <c r="E776" i="1"/>
  <c r="F775" i="1"/>
  <c r="E775" i="1"/>
  <c r="F606" i="1"/>
  <c r="E606" i="1"/>
  <c r="F609" i="1"/>
  <c r="E609" i="1"/>
  <c r="F607" i="1"/>
  <c r="E607" i="1"/>
  <c r="E235" i="1"/>
  <c r="F356" i="1"/>
  <c r="E356" i="1"/>
  <c r="F334" i="1"/>
  <c r="E334" i="1"/>
  <c r="E221" i="1"/>
  <c r="E174" i="1"/>
  <c r="E592" i="1"/>
  <c r="F592" i="1"/>
  <c r="E591" i="1"/>
  <c r="F591" i="1"/>
  <c r="E590" i="1"/>
  <c r="F590" i="1"/>
  <c r="E589" i="1"/>
  <c r="F589" i="1"/>
  <c r="E579" i="1"/>
  <c r="F579" i="1"/>
  <c r="E578" i="1"/>
  <c r="F578" i="1"/>
  <c r="F731" i="1"/>
  <c r="E731" i="1"/>
  <c r="F729" i="1"/>
  <c r="E729" i="1"/>
  <c r="F728" i="1"/>
  <c r="E728" i="1"/>
  <c r="F727" i="1"/>
  <c r="E727" i="1"/>
  <c r="F726" i="1"/>
  <c r="E726" i="1"/>
  <c r="F725" i="1"/>
  <c r="E725" i="1"/>
  <c r="F724" i="1"/>
  <c r="E724" i="1"/>
  <c r="F723" i="1"/>
  <c r="E723" i="1"/>
  <c r="F722" i="1"/>
  <c r="E722" i="1"/>
  <c r="F721" i="1"/>
  <c r="E721" i="1"/>
  <c r="F720" i="1"/>
  <c r="E720" i="1"/>
  <c r="F719" i="1"/>
  <c r="E719" i="1"/>
  <c r="F498" i="1"/>
  <c r="F774" i="1"/>
  <c r="E774" i="1"/>
  <c r="E992" i="1"/>
  <c r="F992" i="1"/>
  <c r="E983" i="1"/>
  <c r="F983" i="1"/>
  <c r="F991" i="1"/>
  <c r="E991" i="1"/>
  <c r="F962" i="1"/>
  <c r="E962" i="1"/>
  <c r="F92" i="1"/>
  <c r="F88" i="1"/>
  <c r="F50" i="1"/>
  <c r="E50" i="1"/>
  <c r="E13" i="1"/>
  <c r="F13" i="1"/>
  <c r="E23" i="1"/>
  <c r="F23" i="1"/>
  <c r="E27" i="1"/>
  <c r="F27" i="1"/>
  <c r="E28" i="1"/>
  <c r="F28" i="1"/>
  <c r="E30" i="1"/>
  <c r="F30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E4" i="1"/>
  <c r="F4" i="1"/>
  <c r="E3" i="1"/>
  <c r="F3" i="1"/>
  <c r="F1186" i="1"/>
  <c r="E1186" i="1"/>
  <c r="F1185" i="1"/>
  <c r="E1185" i="1"/>
  <c r="F1184" i="1"/>
  <c r="E1184" i="1"/>
  <c r="E1136" i="1"/>
  <c r="F1136" i="1"/>
  <c r="E1137" i="1"/>
  <c r="F1137" i="1"/>
  <c r="E1150" i="1"/>
  <c r="F1150" i="1"/>
  <c r="F1134" i="1"/>
  <c r="E1134" i="1"/>
  <c r="F1133" i="1"/>
  <c r="E1133" i="1"/>
  <c r="E1149" i="1"/>
  <c r="F1149" i="1"/>
  <c r="E1162" i="1"/>
  <c r="F1162" i="1"/>
  <c r="F1132" i="1"/>
  <c r="E1132" i="1"/>
  <c r="F1131" i="1"/>
  <c r="E1131" i="1"/>
  <c r="F1129" i="1"/>
  <c r="E1129" i="1"/>
  <c r="F1127" i="1"/>
  <c r="E1127" i="1"/>
  <c r="F1126" i="1"/>
  <c r="E1126" i="1"/>
  <c r="F1125" i="1"/>
  <c r="E1125" i="1"/>
  <c r="E1120" i="1"/>
  <c r="F1118" i="1"/>
  <c r="E1118" i="1"/>
  <c r="F1114" i="1"/>
  <c r="E1114" i="1"/>
  <c r="F1113" i="1"/>
  <c r="E1113" i="1"/>
  <c r="F1107" i="1"/>
  <c r="E1107" i="1"/>
  <c r="F1106" i="1"/>
  <c r="E1106" i="1"/>
  <c r="F1102" i="1"/>
  <c r="E1102" i="1"/>
  <c r="F1099" i="1"/>
  <c r="E1099" i="1"/>
  <c r="F1098" i="1"/>
  <c r="E1098" i="1"/>
  <c r="F1095" i="1"/>
  <c r="E1095" i="1"/>
  <c r="F1093" i="1"/>
  <c r="E1093" i="1"/>
  <c r="F1091" i="1"/>
  <c r="E1091" i="1"/>
  <c r="F1090" i="1"/>
  <c r="E1090" i="1"/>
  <c r="F1087" i="1"/>
  <c r="E1087" i="1"/>
  <c r="F1084" i="1"/>
  <c r="E1084" i="1"/>
  <c r="F1079" i="1"/>
  <c r="E1079" i="1"/>
  <c r="F1070" i="1"/>
  <c r="E1070" i="1"/>
  <c r="F1068" i="1"/>
  <c r="E1068" i="1"/>
  <c r="F1066" i="1"/>
  <c r="E1066" i="1"/>
  <c r="F1065" i="1"/>
  <c r="E1065" i="1"/>
  <c r="E1063" i="1"/>
  <c r="F1059" i="1"/>
  <c r="E1059" i="1"/>
  <c r="F1055" i="1"/>
  <c r="E1055" i="1"/>
  <c r="F1050" i="1"/>
  <c r="E1050" i="1"/>
  <c r="F1048" i="1"/>
  <c r="E1048" i="1"/>
  <c r="F1047" i="1"/>
  <c r="E1047" i="1"/>
  <c r="F1046" i="1"/>
  <c r="E1046" i="1"/>
  <c r="F1044" i="1"/>
  <c r="E1044" i="1"/>
  <c r="F1043" i="1"/>
  <c r="E1043" i="1"/>
  <c r="F1042" i="1"/>
  <c r="E1042" i="1"/>
  <c r="F1039" i="1"/>
  <c r="E1039" i="1"/>
  <c r="F1031" i="1"/>
  <c r="E1031" i="1"/>
  <c r="F1027" i="1"/>
  <c r="E1027" i="1"/>
  <c r="F1024" i="1"/>
  <c r="E1024" i="1"/>
  <c r="F1023" i="1"/>
  <c r="E1023" i="1"/>
  <c r="F501" i="1"/>
  <c r="F497" i="1"/>
  <c r="E497" i="1"/>
  <c r="F496" i="1"/>
  <c r="E496" i="1"/>
  <c r="E562" i="1"/>
  <c r="F562" i="1"/>
  <c r="E563" i="1"/>
  <c r="F563" i="1"/>
  <c r="F561" i="1"/>
  <c r="E561" i="1"/>
  <c r="F560" i="1"/>
  <c r="E560" i="1"/>
  <c r="F559" i="1"/>
  <c r="E559" i="1"/>
  <c r="F558" i="1"/>
  <c r="E558" i="1"/>
  <c r="F557" i="1"/>
  <c r="E557" i="1"/>
  <c r="F1473" i="1"/>
  <c r="E1473" i="1"/>
  <c r="F1472" i="1"/>
  <c r="E1472" i="1"/>
  <c r="F1471" i="1"/>
  <c r="E1471" i="1"/>
  <c r="F1469" i="1"/>
  <c r="E1469" i="1"/>
  <c r="F1468" i="1"/>
  <c r="E1468" i="1"/>
  <c r="F1467" i="1"/>
  <c r="E1467" i="1"/>
  <c r="F1466" i="1"/>
  <c r="E1466" i="1"/>
  <c r="E1464" i="1"/>
  <c r="F1464" i="1"/>
  <c r="E1465" i="1"/>
  <c r="F1465" i="1"/>
  <c r="F1463" i="1"/>
  <c r="E1463" i="1"/>
  <c r="F1462" i="1"/>
  <c r="E1462" i="1"/>
  <c r="F1459" i="1"/>
  <c r="E1459" i="1"/>
  <c r="F1452" i="1"/>
  <c r="E1452" i="1"/>
  <c r="F1451" i="1"/>
  <c r="E1451" i="1"/>
  <c r="E1444" i="1"/>
  <c r="F1444" i="1"/>
  <c r="E1445" i="1"/>
  <c r="F1445" i="1"/>
  <c r="E1470" i="1"/>
  <c r="F1470" i="1"/>
  <c r="F1194" i="1"/>
  <c r="E1194" i="1"/>
  <c r="E1181" i="1"/>
  <c r="F1181" i="1"/>
  <c r="E1182" i="1"/>
  <c r="F1182" i="1"/>
  <c r="E1183" i="1"/>
  <c r="F1183" i="1"/>
  <c r="F1180" i="1"/>
  <c r="E1180" i="1"/>
  <c r="F1179" i="1"/>
  <c r="E1179" i="1"/>
  <c r="F1178" i="1"/>
  <c r="E1178" i="1"/>
  <c r="F1177" i="1"/>
  <c r="E1177" i="1"/>
  <c r="F1176" i="1"/>
  <c r="E1176" i="1"/>
  <c r="F1175" i="1"/>
  <c r="E1175" i="1"/>
  <c r="F1174" i="1"/>
  <c r="E1174" i="1"/>
  <c r="F1173" i="1"/>
  <c r="E1173" i="1"/>
  <c r="F921" i="1"/>
  <c r="E921" i="1"/>
  <c r="F920" i="1"/>
  <c r="E920" i="1"/>
  <c r="F922" i="1"/>
  <c r="E922" i="1"/>
  <c r="F869" i="1"/>
  <c r="E869" i="1"/>
  <c r="F669" i="1"/>
  <c r="E669" i="1"/>
  <c r="F668" i="1"/>
  <c r="E668" i="1"/>
  <c r="F667" i="1"/>
  <c r="E667" i="1"/>
  <c r="F666" i="1"/>
  <c r="E666" i="1"/>
  <c r="F665" i="1"/>
  <c r="E665" i="1"/>
  <c r="F664" i="1"/>
  <c r="E664" i="1"/>
  <c r="F663" i="1"/>
  <c r="E663" i="1"/>
  <c r="F662" i="1"/>
  <c r="E662" i="1"/>
  <c r="F661" i="1"/>
  <c r="E661" i="1"/>
  <c r="F660" i="1"/>
  <c r="E660" i="1"/>
  <c r="F659" i="1"/>
  <c r="E659" i="1"/>
  <c r="F658" i="1"/>
  <c r="E658" i="1"/>
  <c r="F657" i="1"/>
  <c r="E657" i="1"/>
  <c r="F653" i="1"/>
  <c r="E653" i="1"/>
  <c r="F652" i="1"/>
  <c r="E652" i="1"/>
  <c r="F649" i="1"/>
  <c r="E649" i="1"/>
  <c r="F648" i="1"/>
  <c r="F647" i="1"/>
  <c r="F646" i="1"/>
  <c r="F645" i="1"/>
  <c r="F650" i="1"/>
  <c r="E650" i="1"/>
  <c r="E605" i="1"/>
  <c r="F605" i="1"/>
  <c r="F422" i="1"/>
  <c r="E422" i="1"/>
  <c r="F421" i="1"/>
  <c r="E421" i="1"/>
  <c r="F413" i="1"/>
  <c r="E413" i="1"/>
  <c r="F412" i="1"/>
  <c r="E412" i="1"/>
  <c r="F411" i="1"/>
  <c r="E411" i="1"/>
  <c r="F392" i="1"/>
  <c r="E392" i="1"/>
  <c r="E382" i="1"/>
  <c r="F382" i="1"/>
  <c r="E383" i="1"/>
  <c r="F383" i="1"/>
  <c r="E387" i="1"/>
  <c r="F387" i="1"/>
  <c r="E388" i="1"/>
  <c r="F388" i="1"/>
  <c r="E390" i="1"/>
  <c r="F390" i="1"/>
  <c r="E391" i="1"/>
  <c r="F391" i="1"/>
  <c r="F381" i="1"/>
  <c r="E381" i="1"/>
  <c r="F380" i="1"/>
  <c r="E380" i="1"/>
  <c r="F379" i="1"/>
  <c r="E379" i="1"/>
  <c r="F378" i="1"/>
  <c r="E378" i="1"/>
  <c r="F408" i="1"/>
  <c r="E408" i="1"/>
  <c r="F407" i="1"/>
  <c r="E407" i="1"/>
  <c r="F406" i="1"/>
  <c r="E406" i="1"/>
  <c r="F405" i="1"/>
  <c r="E405" i="1"/>
  <c r="F404" i="1"/>
  <c r="E404" i="1"/>
  <c r="F403" i="1"/>
  <c r="E403" i="1"/>
  <c r="F402" i="1"/>
  <c r="E402" i="1"/>
  <c r="F401" i="1"/>
  <c r="E401" i="1"/>
  <c r="F400" i="1"/>
  <c r="E400" i="1"/>
  <c r="F399" i="1"/>
  <c r="E399" i="1"/>
  <c r="F398" i="1"/>
  <c r="E398" i="1"/>
  <c r="F377" i="1"/>
  <c r="E377" i="1"/>
  <c r="F376" i="1"/>
  <c r="E376" i="1"/>
  <c r="F375" i="1"/>
  <c r="E375" i="1"/>
  <c r="F374" i="1"/>
  <c r="E374" i="1"/>
  <c r="F373" i="1"/>
  <c r="E373" i="1"/>
  <c r="F372" i="1"/>
  <c r="E372" i="1"/>
  <c r="F371" i="1"/>
  <c r="E371" i="1"/>
  <c r="F370" i="1"/>
  <c r="E370" i="1"/>
  <c r="F369" i="1"/>
  <c r="E369" i="1"/>
  <c r="F368" i="1"/>
  <c r="E368" i="1"/>
  <c r="F365" i="1"/>
  <c r="E365" i="1"/>
  <c r="F364" i="1"/>
  <c r="E364" i="1"/>
  <c r="F363" i="1"/>
  <c r="E363" i="1"/>
  <c r="F361" i="1"/>
  <c r="E361" i="1"/>
  <c r="F360" i="1"/>
  <c r="E360" i="1"/>
  <c r="F359" i="1"/>
  <c r="E359" i="1"/>
  <c r="F358" i="1"/>
  <c r="E358" i="1"/>
  <c r="F357" i="1"/>
  <c r="E357" i="1"/>
  <c r="F355" i="1"/>
  <c r="E355" i="1"/>
  <c r="F354" i="1"/>
  <c r="E354" i="1"/>
  <c r="F345" i="1"/>
  <c r="E345" i="1"/>
  <c r="F344" i="1"/>
  <c r="E344" i="1"/>
  <c r="F335" i="1"/>
  <c r="E335" i="1"/>
  <c r="F343" i="1"/>
  <c r="E343" i="1"/>
  <c r="F342" i="1"/>
  <c r="E342" i="1"/>
  <c r="F341" i="1"/>
  <c r="E341" i="1"/>
  <c r="F340" i="1"/>
  <c r="E340" i="1"/>
  <c r="F338" i="1"/>
  <c r="E338" i="1"/>
  <c r="F337" i="1"/>
  <c r="E337" i="1"/>
  <c r="E331" i="1"/>
  <c r="F331" i="1"/>
  <c r="E332" i="1"/>
  <c r="F332" i="1"/>
  <c r="E333" i="1"/>
  <c r="F333" i="1"/>
  <c r="E330" i="1"/>
  <c r="F330" i="1"/>
  <c r="F329" i="1"/>
  <c r="E329" i="1"/>
  <c r="F328" i="1"/>
  <c r="E328" i="1"/>
  <c r="F327" i="1"/>
  <c r="E327" i="1"/>
  <c r="F326" i="1"/>
  <c r="E326" i="1"/>
  <c r="F325" i="1"/>
  <c r="E325" i="1"/>
  <c r="F324" i="1"/>
  <c r="E324" i="1"/>
  <c r="F323" i="1"/>
  <c r="E323" i="1"/>
  <c r="F231" i="1"/>
  <c r="E231" i="1"/>
  <c r="E119" i="1"/>
  <c r="E213" i="1"/>
  <c r="E212" i="1"/>
  <c r="E210" i="1"/>
  <c r="E209" i="1"/>
  <c r="E208" i="1"/>
  <c r="E205" i="1"/>
  <c r="E203" i="1"/>
  <c r="E202" i="1"/>
  <c r="E200" i="1"/>
  <c r="E199" i="1"/>
  <c r="E198" i="1"/>
  <c r="E232" i="1"/>
  <c r="E233" i="1"/>
  <c r="E234" i="1"/>
  <c r="E197" i="1"/>
  <c r="E196" i="1"/>
  <c r="E195" i="1"/>
  <c r="E182" i="1"/>
  <c r="E181" i="1"/>
  <c r="E180" i="1"/>
  <c r="E179" i="1"/>
  <c r="E178" i="1"/>
  <c r="E176" i="1"/>
  <c r="E175" i="1"/>
  <c r="E173" i="1"/>
  <c r="E172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3" i="1"/>
  <c r="E152" i="1"/>
  <c r="E151" i="1"/>
  <c r="E150" i="1"/>
  <c r="E149" i="1"/>
  <c r="E148" i="1"/>
  <c r="E146" i="1"/>
  <c r="E145" i="1"/>
  <c r="E144" i="1"/>
  <c r="E143" i="1"/>
  <c r="E142" i="1"/>
  <c r="E139" i="1"/>
  <c r="E138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8" i="1"/>
  <c r="E117" i="1"/>
  <c r="E116" i="1"/>
  <c r="F114" i="1"/>
  <c r="E114" i="1"/>
  <c r="F115" i="1"/>
  <c r="E115" i="1"/>
  <c r="F110" i="1"/>
  <c r="F72" i="1"/>
  <c r="E72" i="1"/>
  <c r="F74" i="1"/>
  <c r="E74" i="1"/>
  <c r="F469" i="1"/>
  <c r="E469" i="1"/>
  <c r="F482" i="1"/>
  <c r="E482" i="1"/>
  <c r="F474" i="1"/>
  <c r="E474" i="1"/>
  <c r="F473" i="1"/>
  <c r="E473" i="1"/>
  <c r="F472" i="1"/>
  <c r="E472" i="1"/>
  <c r="F471" i="1"/>
  <c r="E471" i="1"/>
  <c r="F470" i="1"/>
  <c r="E470" i="1"/>
  <c r="F443" i="1"/>
  <c r="E443" i="1"/>
  <c r="F480" i="1"/>
  <c r="E480" i="1"/>
  <c r="F710" i="1"/>
  <c r="E710" i="1"/>
  <c r="F709" i="1"/>
  <c r="E709" i="1"/>
  <c r="F708" i="1"/>
  <c r="E708" i="1"/>
  <c r="F707" i="1"/>
  <c r="E707" i="1"/>
  <c r="F706" i="1"/>
  <c r="E706" i="1"/>
  <c r="F705" i="1"/>
  <c r="E705" i="1"/>
  <c r="F703" i="1"/>
  <c r="E703" i="1"/>
  <c r="F702" i="1"/>
  <c r="E702" i="1"/>
  <c r="F701" i="1"/>
  <c r="E701" i="1"/>
  <c r="F700" i="1"/>
  <c r="E700" i="1"/>
  <c r="F697" i="1"/>
  <c r="E697" i="1"/>
  <c r="F696" i="1"/>
  <c r="E696" i="1"/>
  <c r="F695" i="1"/>
  <c r="E695" i="1"/>
  <c r="F694" i="1"/>
  <c r="E694" i="1"/>
  <c r="F693" i="1"/>
  <c r="E693" i="1"/>
  <c r="F692" i="1"/>
  <c r="E692" i="1"/>
  <c r="F691" i="1"/>
  <c r="E691" i="1"/>
  <c r="F690" i="1"/>
  <c r="E690" i="1"/>
  <c r="F689" i="1"/>
  <c r="E689" i="1"/>
  <c r="E546" i="1"/>
  <c r="F546" i="1"/>
  <c r="F112" i="1"/>
  <c r="F108" i="1"/>
  <c r="F98" i="1"/>
  <c r="F97" i="1"/>
  <c r="F554" i="1"/>
  <c r="E554" i="1"/>
  <c r="F553" i="1"/>
  <c r="E553" i="1"/>
  <c r="F1243" i="1"/>
  <c r="E1243" i="1"/>
  <c r="F1241" i="1"/>
  <c r="E1241" i="1"/>
  <c r="F1526" i="1"/>
  <c r="E1526" i="1"/>
  <c r="F1522" i="1"/>
  <c r="E1522" i="1"/>
  <c r="F1511" i="1"/>
  <c r="E1511" i="1"/>
  <c r="F1510" i="1"/>
  <c r="E1510" i="1"/>
  <c r="F1520" i="1"/>
  <c r="E1520" i="1"/>
  <c r="F1515" i="1"/>
  <c r="E1515" i="1"/>
  <c r="F1517" i="1"/>
  <c r="E1517" i="1"/>
  <c r="F1513" i="1"/>
  <c r="E1513" i="1"/>
  <c r="F1514" i="1"/>
  <c r="E1514" i="1"/>
  <c r="E1503" i="1"/>
  <c r="F1503" i="1"/>
  <c r="E1504" i="1"/>
  <c r="F1504" i="1"/>
  <c r="E1505" i="1"/>
  <c r="F1505" i="1"/>
  <c r="F1502" i="1"/>
  <c r="E1502" i="1"/>
  <c r="F1501" i="1"/>
  <c r="E1501" i="1"/>
  <c r="F1500" i="1"/>
  <c r="E1500" i="1"/>
  <c r="F1499" i="1"/>
  <c r="E1499" i="1"/>
  <c r="F1498" i="1"/>
  <c r="E1498" i="1"/>
  <c r="F1497" i="1"/>
  <c r="E1497" i="1"/>
  <c r="F1496" i="1"/>
  <c r="E1496" i="1"/>
  <c r="F1495" i="1"/>
  <c r="E1495" i="1"/>
  <c r="F1494" i="1"/>
  <c r="E1494" i="1"/>
  <c r="F1493" i="1"/>
  <c r="E1493" i="1"/>
  <c r="F1492" i="1"/>
  <c r="E1492" i="1"/>
  <c r="F1491" i="1"/>
  <c r="E1491" i="1"/>
  <c r="F1490" i="1"/>
  <c r="E1490" i="1"/>
  <c r="F1489" i="1"/>
  <c r="E1489" i="1"/>
  <c r="F1486" i="1"/>
  <c r="E1486" i="1"/>
  <c r="F1485" i="1"/>
  <c r="E1485" i="1"/>
  <c r="F1484" i="1"/>
  <c r="E1484" i="1"/>
  <c r="E1481" i="1"/>
  <c r="F1481" i="1"/>
  <c r="E1482" i="1"/>
  <c r="F1482" i="1"/>
  <c r="E1483" i="1"/>
  <c r="F1483" i="1"/>
  <c r="F1480" i="1"/>
  <c r="E1480" i="1"/>
  <c r="E1478" i="1"/>
  <c r="F1478" i="1"/>
  <c r="E1479" i="1"/>
  <c r="F1479" i="1"/>
  <c r="F976" i="1"/>
  <c r="E976" i="1"/>
  <c r="F966" i="1"/>
  <c r="E966" i="1"/>
  <c r="F1325" i="1"/>
  <c r="E1325" i="1"/>
  <c r="F1302" i="1"/>
  <c r="E1302" i="1"/>
  <c r="F1291" i="1"/>
  <c r="E1291" i="1"/>
  <c r="F1288" i="1"/>
  <c r="E1288" i="1"/>
  <c r="F1267" i="1"/>
  <c r="E1267" i="1"/>
  <c r="F1256" i="1"/>
  <c r="E1256" i="1"/>
  <c r="F556" i="1"/>
  <c r="E556" i="1"/>
  <c r="F551" i="1"/>
  <c r="E551" i="1"/>
  <c r="F604" i="1"/>
  <c r="E604" i="1"/>
  <c r="F603" i="1"/>
  <c r="E603" i="1"/>
  <c r="F602" i="1"/>
  <c r="E602" i="1"/>
  <c r="F952" i="1"/>
  <c r="E952" i="1"/>
  <c r="F492" i="1"/>
  <c r="E492" i="1"/>
  <c r="F732" i="1"/>
  <c r="E732" i="1"/>
  <c r="F730" i="1"/>
  <c r="E730" i="1"/>
  <c r="F718" i="1"/>
  <c r="E718" i="1"/>
  <c r="F733" i="1"/>
  <c r="E733" i="1"/>
  <c r="E1330" i="1"/>
  <c r="F1329" i="1"/>
  <c r="E1329" i="1"/>
  <c r="F1327" i="1"/>
  <c r="E1327" i="1"/>
  <c r="F1299" i="1"/>
  <c r="E1299" i="1"/>
  <c r="F1296" i="1"/>
  <c r="E1296" i="1"/>
  <c r="F1282" i="1"/>
  <c r="E1282" i="1"/>
  <c r="F1148" i="1"/>
  <c r="E1148" i="1"/>
  <c r="F1146" i="1"/>
  <c r="E1146" i="1"/>
  <c r="F1145" i="1"/>
  <c r="E1145" i="1"/>
  <c r="F940" i="1"/>
  <c r="E940" i="1"/>
  <c r="F939" i="1"/>
  <c r="E939" i="1"/>
  <c r="F938" i="1"/>
  <c r="E938" i="1"/>
  <c r="F956" i="1"/>
  <c r="E956" i="1"/>
  <c r="F955" i="1"/>
  <c r="E955" i="1"/>
  <c r="F548" i="1"/>
  <c r="E548" i="1"/>
  <c r="F111" i="1"/>
  <c r="F71" i="1"/>
  <c r="E71" i="1"/>
  <c r="F1446" i="1"/>
  <c r="E1446" i="1"/>
  <c r="F238" i="1"/>
  <c r="F965" i="1"/>
  <c r="F959" i="1"/>
  <c r="E959" i="1"/>
  <c r="F958" i="1"/>
  <c r="E958" i="1"/>
  <c r="F948" i="1"/>
  <c r="E948" i="1"/>
  <c r="E1000" i="1"/>
  <c r="F1000" i="1"/>
  <c r="F994" i="1"/>
  <c r="E994" i="1"/>
  <c r="F993" i="1"/>
  <c r="E993" i="1"/>
  <c r="F990" i="1"/>
  <c r="E990" i="1"/>
  <c r="F986" i="1"/>
  <c r="E986" i="1"/>
  <c r="F985" i="1"/>
  <c r="E985" i="1"/>
  <c r="F984" i="1"/>
  <c r="E984" i="1"/>
  <c r="F982" i="1"/>
  <c r="E982" i="1"/>
  <c r="F980" i="1"/>
  <c r="E980" i="1"/>
  <c r="F979" i="1"/>
  <c r="E979" i="1"/>
  <c r="F977" i="1"/>
  <c r="E977" i="1"/>
  <c r="F974" i="1"/>
  <c r="E974" i="1"/>
  <c r="F973" i="1"/>
  <c r="E973" i="1"/>
  <c r="F972" i="1"/>
  <c r="E972" i="1"/>
  <c r="F971" i="1"/>
  <c r="E971" i="1"/>
  <c r="F970" i="1"/>
  <c r="E970" i="1"/>
  <c r="F967" i="1"/>
  <c r="E967" i="1"/>
  <c r="E965" i="1"/>
  <c r="F961" i="1"/>
  <c r="E961" i="1"/>
  <c r="F960" i="1"/>
  <c r="E960" i="1"/>
  <c r="F957" i="1"/>
  <c r="E957" i="1"/>
  <c r="F953" i="1"/>
  <c r="E953" i="1"/>
  <c r="E238" i="1"/>
  <c r="F75" i="1"/>
  <c r="E75" i="1"/>
  <c r="F73" i="1"/>
  <c r="E73" i="1"/>
  <c r="F70" i="1"/>
  <c r="E70" i="1"/>
  <c r="F55" i="1"/>
  <c r="E55" i="1"/>
  <c r="F52" i="1"/>
  <c r="E52" i="1"/>
  <c r="F51" i="1"/>
  <c r="E51" i="1"/>
  <c r="F1688" i="1"/>
  <c r="E1688" i="1"/>
  <c r="F611" i="1"/>
  <c r="E611" i="1"/>
  <c r="F1680" i="1"/>
  <c r="E1680" i="1"/>
  <c r="F1686" i="1"/>
  <c r="E1686" i="1"/>
  <c r="F1676" i="1"/>
  <c r="E1676" i="1"/>
  <c r="F1666" i="1"/>
  <c r="E1666" i="1"/>
  <c r="F1667" i="1"/>
  <c r="E1667" i="1"/>
  <c r="F1206" i="1"/>
  <c r="E1206" i="1"/>
  <c r="F1205" i="1"/>
  <c r="E1205" i="1"/>
  <c r="F523" i="1"/>
  <c r="E523" i="1"/>
  <c r="F524" i="1"/>
  <c r="E524" i="1"/>
  <c r="E532" i="1"/>
  <c r="F532" i="1"/>
  <c r="F463" i="1"/>
  <c r="E463" i="1"/>
  <c r="E485" i="1"/>
  <c r="F485" i="1"/>
  <c r="E462" i="1"/>
  <c r="F462" i="1"/>
  <c r="F96" i="1"/>
  <c r="F103" i="1"/>
  <c r="F94" i="1"/>
  <c r="F419" i="1"/>
  <c r="E419" i="1"/>
  <c r="F415" i="1"/>
  <c r="E415" i="1"/>
  <c r="F416" i="1"/>
  <c r="E416" i="1"/>
  <c r="F1025" i="1"/>
  <c r="E1025" i="1"/>
  <c r="F1236" i="1"/>
  <c r="E1236" i="1"/>
  <c r="F1244" i="1"/>
  <c r="E1244" i="1"/>
  <c r="F1231" i="1"/>
  <c r="E1231" i="1"/>
  <c r="F1228" i="1"/>
  <c r="E1228" i="1"/>
  <c r="F1239" i="1"/>
  <c r="E1239" i="1"/>
  <c r="F1293" i="1"/>
  <c r="E1293" i="1"/>
  <c r="F1294" i="1"/>
  <c r="E1294" i="1"/>
  <c r="F1298" i="1"/>
  <c r="E1298" i="1"/>
  <c r="F1326" i="1"/>
  <c r="F1315" i="1"/>
  <c r="F1308" i="1"/>
  <c r="F1307" i="1"/>
  <c r="E1300" i="1"/>
  <c r="F1300" i="1"/>
  <c r="E1297" i="1"/>
  <c r="F1297" i="1"/>
  <c r="E1292" i="1"/>
  <c r="F1292" i="1"/>
  <c r="E1290" i="1"/>
  <c r="F1290" i="1"/>
  <c r="E1265" i="1"/>
  <c r="F1265" i="1"/>
  <c r="E1270" i="1"/>
  <c r="F1310" i="1"/>
  <c r="E1310" i="1"/>
  <c r="F1280" i="1"/>
  <c r="E1280" i="1"/>
  <c r="F1668" i="1"/>
  <c r="E1668" i="1"/>
  <c r="F1671" i="1"/>
  <c r="E1671" i="1"/>
  <c r="F493" i="1"/>
  <c r="E493" i="1"/>
  <c r="F495" i="1"/>
  <c r="E495" i="1"/>
  <c r="F494" i="1"/>
  <c r="E494" i="1"/>
  <c r="F1209" i="1"/>
  <c r="E1209" i="1"/>
  <c r="F1449" i="1"/>
  <c r="F1458" i="1"/>
  <c r="E1458" i="1"/>
  <c r="F1748" i="1"/>
  <c r="E1748" i="1"/>
  <c r="F610" i="1"/>
  <c r="E610" i="1"/>
  <c r="F1309" i="1"/>
  <c r="F1314" i="1"/>
  <c r="E1314" i="1"/>
  <c r="F1313" i="1"/>
  <c r="E1313" i="1"/>
  <c r="F1279" i="1"/>
  <c r="E1279" i="1"/>
  <c r="F865" i="1"/>
  <c r="E865" i="1"/>
  <c r="F1506" i="1"/>
  <c r="E1506" i="1"/>
  <c r="F601" i="1"/>
  <c r="E601" i="1"/>
  <c r="F925" i="1"/>
  <c r="E925" i="1"/>
  <c r="F928" i="1"/>
  <c r="E928" i="1"/>
  <c r="E54" i="1"/>
  <c r="F1454" i="1"/>
  <c r="E1454" i="1"/>
  <c r="F1455" i="1"/>
  <c r="E1455" i="1"/>
  <c r="F1453" i="1"/>
  <c r="E1453" i="1"/>
  <c r="F1476" i="1"/>
  <c r="E1476" i="1"/>
  <c r="F1443" i="1"/>
  <c r="E1443" i="1"/>
  <c r="E1449" i="1"/>
  <c r="F1225" i="1"/>
  <c r="E1225" i="1"/>
  <c r="F1711" i="1"/>
  <c r="E1711" i="1"/>
  <c r="F1227" i="1"/>
  <c r="E1227" i="1"/>
  <c r="F1226" i="1"/>
  <c r="E1226" i="1"/>
  <c r="F1230" i="1"/>
  <c r="E1230" i="1"/>
  <c r="F1229" i="1"/>
  <c r="E1229" i="1"/>
  <c r="F1235" i="1"/>
  <c r="E1235" i="1"/>
  <c r="F1234" i="1"/>
  <c r="E1234" i="1"/>
  <c r="F1233" i="1"/>
  <c r="E1233" i="1"/>
  <c r="F1238" i="1"/>
  <c r="E1238" i="1"/>
  <c r="F1237" i="1"/>
  <c r="E1237" i="1"/>
  <c r="F1240" i="1"/>
  <c r="E1240" i="1"/>
  <c r="F1223" i="1"/>
  <c r="E1223" i="1"/>
  <c r="F1224" i="1"/>
  <c r="E1224" i="1"/>
  <c r="F564" i="1"/>
  <c r="E564" i="1"/>
  <c r="F568" i="1"/>
  <c r="E568" i="1"/>
  <c r="F567" i="1"/>
  <c r="E567" i="1"/>
  <c r="F566" i="1"/>
  <c r="E566" i="1"/>
  <c r="F565" i="1"/>
  <c r="E565" i="1"/>
  <c r="F570" i="1"/>
  <c r="E570" i="1"/>
  <c r="F572" i="1"/>
  <c r="E572" i="1"/>
  <c r="F571" i="1"/>
  <c r="E571" i="1"/>
  <c r="F569" i="1"/>
  <c r="E569" i="1"/>
  <c r="F1172" i="1"/>
  <c r="E1172" i="1"/>
  <c r="F1170" i="1"/>
  <c r="E1170" i="1"/>
  <c r="F232" i="1"/>
  <c r="F1735" i="1"/>
  <c r="E1735" i="1"/>
  <c r="F1734" i="1"/>
  <c r="E1734" i="1"/>
  <c r="E1728" i="1"/>
  <c r="F1728" i="1"/>
  <c r="E1736" i="1"/>
  <c r="F1736" i="1"/>
  <c r="F233" i="1"/>
  <c r="F234" i="1"/>
  <c r="F771" i="1"/>
  <c r="E771" i="1"/>
  <c r="F770" i="1"/>
  <c r="E770" i="1"/>
  <c r="F769" i="1"/>
  <c r="E769" i="1"/>
  <c r="F612" i="1"/>
  <c r="E612" i="1"/>
  <c r="F1684" i="1"/>
  <c r="E1684" i="1"/>
  <c r="F1690" i="1"/>
  <c r="E1690" i="1"/>
  <c r="F1689" i="1"/>
  <c r="E1689" i="1"/>
  <c r="F1687" i="1"/>
  <c r="E1687" i="1"/>
  <c r="F1678" i="1"/>
  <c r="E1678" i="1"/>
  <c r="F1677" i="1"/>
  <c r="E1677" i="1"/>
  <c r="F1679" i="1"/>
  <c r="E1679" i="1"/>
  <c r="F490" i="1"/>
  <c r="E490" i="1"/>
  <c r="F491" i="1"/>
  <c r="E491" i="1"/>
  <c r="F489" i="1"/>
  <c r="E489" i="1"/>
  <c r="F486" i="1"/>
  <c r="E486" i="1"/>
  <c r="F484" i="1"/>
  <c r="E484" i="1"/>
  <c r="F483" i="1"/>
  <c r="E483" i="1"/>
  <c r="F481" i="1"/>
  <c r="E481" i="1"/>
  <c r="F479" i="1"/>
  <c r="E479" i="1"/>
  <c r="F478" i="1"/>
  <c r="E478" i="1"/>
  <c r="F477" i="1"/>
  <c r="E477" i="1"/>
  <c r="F476" i="1"/>
  <c r="E476" i="1"/>
  <c r="F475" i="1"/>
  <c r="E475" i="1"/>
  <c r="F461" i="1"/>
  <c r="E461" i="1"/>
  <c r="F460" i="1"/>
  <c r="E460" i="1"/>
  <c r="F432" i="1"/>
  <c r="E432" i="1"/>
  <c r="F608" i="1"/>
  <c r="E608" i="1"/>
  <c r="F757" i="1"/>
  <c r="E757" i="1"/>
  <c r="F755" i="1"/>
  <c r="E755" i="1"/>
  <c r="F756" i="1"/>
  <c r="E756" i="1"/>
  <c r="F671" i="1"/>
  <c r="E671" i="1"/>
  <c r="F670" i="1"/>
  <c r="E670" i="1"/>
  <c r="F672" i="1"/>
  <c r="E672" i="1"/>
  <c r="F673" i="1"/>
  <c r="E673" i="1"/>
  <c r="F674" i="1"/>
  <c r="E674" i="1"/>
  <c r="F675" i="1"/>
  <c r="E675" i="1"/>
  <c r="F239" i="1"/>
  <c r="E239" i="1"/>
  <c r="F246" i="1"/>
  <c r="E246" i="1"/>
  <c r="F240" i="1"/>
  <c r="E240" i="1"/>
  <c r="F242" i="1"/>
  <c r="E242" i="1"/>
  <c r="F113" i="1"/>
  <c r="F109" i="1"/>
  <c r="F107" i="1"/>
  <c r="F106" i="1"/>
  <c r="F105" i="1"/>
  <c r="F104" i="1"/>
  <c r="F102" i="1"/>
  <c r="F101" i="1"/>
  <c r="F100" i="1"/>
  <c r="F99" i="1"/>
  <c r="F95" i="1"/>
  <c r="F93" i="1"/>
  <c r="F91" i="1"/>
  <c r="F90" i="1"/>
  <c r="F89" i="1"/>
  <c r="F86" i="1"/>
  <c r="F1402" i="1"/>
  <c r="E1402" i="1"/>
  <c r="F1347" i="1"/>
  <c r="E1347" i="1"/>
  <c r="F1429" i="1"/>
  <c r="E1429" i="1"/>
  <c r="F1364" i="1"/>
  <c r="E1364" i="1"/>
  <c r="F575" i="1"/>
  <c r="E575" i="1"/>
  <c r="F576" i="1"/>
  <c r="E576" i="1"/>
  <c r="F577" i="1"/>
  <c r="E577" i="1"/>
  <c r="F574" i="1"/>
  <c r="E574" i="1"/>
  <c r="F1366" i="1"/>
  <c r="E1366" i="1"/>
  <c r="F1379" i="1"/>
  <c r="E1379" i="1"/>
  <c r="F236" i="1"/>
  <c r="E236" i="1"/>
  <c r="F950" i="1"/>
  <c r="E950" i="1"/>
  <c r="F1416" i="1"/>
  <c r="E1416" i="1"/>
  <c r="F235" i="1"/>
  <c r="F941" i="1"/>
  <c r="E941" i="1"/>
  <c r="F951" i="1"/>
  <c r="E951" i="1"/>
  <c r="F600" i="1"/>
  <c r="F1705" i="1"/>
  <c r="E1705" i="1"/>
  <c r="F1704" i="1"/>
  <c r="E1704" i="1"/>
  <c r="F1696" i="1"/>
  <c r="E1696" i="1"/>
  <c r="F1477" i="1"/>
  <c r="E1477" i="1"/>
  <c r="F1189" i="1"/>
  <c r="E1189" i="1"/>
  <c r="F930" i="1"/>
  <c r="E930" i="1"/>
  <c r="F926" i="1"/>
  <c r="E926" i="1"/>
  <c r="F927" i="1"/>
  <c r="E927" i="1"/>
  <c r="F924" i="1"/>
  <c r="E924" i="1"/>
  <c r="F923" i="1"/>
  <c r="E923" i="1"/>
  <c r="F423" i="1"/>
  <c r="E423" i="1"/>
  <c r="F414" i="1"/>
  <c r="E414" i="1"/>
  <c r="F409" i="1"/>
  <c r="E409" i="1"/>
  <c r="F410" i="1"/>
  <c r="E410" i="1"/>
  <c r="F1041" i="1"/>
  <c r="E1041" i="1"/>
  <c r="F1021" i="1"/>
  <c r="E1021" i="1"/>
  <c r="F550" i="1"/>
  <c r="E550" i="1"/>
  <c r="F549" i="1"/>
  <c r="E549" i="1"/>
  <c r="F519" i="1"/>
  <c r="E519" i="1"/>
  <c r="F520" i="1"/>
  <c r="E520" i="1"/>
  <c r="F521" i="1"/>
  <c r="E521" i="1"/>
  <c r="F522" i="1"/>
  <c r="E522" i="1"/>
  <c r="F547" i="1"/>
  <c r="E547" i="1"/>
  <c r="F513" i="1"/>
  <c r="E513" i="1"/>
  <c r="F512" i="1"/>
  <c r="E512" i="1"/>
  <c r="F514" i="1"/>
  <c r="E514" i="1"/>
  <c r="F511" i="1"/>
  <c r="E511" i="1"/>
  <c r="F515" i="1"/>
  <c r="E515" i="1"/>
  <c r="F516" i="1"/>
  <c r="E516" i="1"/>
  <c r="F525" i="1"/>
  <c r="E525" i="1"/>
  <c r="F505" i="1"/>
  <c r="E505" i="1"/>
  <c r="F530" i="1"/>
  <c r="E530" i="1"/>
  <c r="F529" i="1"/>
  <c r="E529" i="1"/>
  <c r="F502" i="1"/>
  <c r="E502" i="1"/>
  <c r="F503" i="1"/>
  <c r="E503" i="1"/>
  <c r="F1331" i="1"/>
  <c r="E1331" i="1"/>
  <c r="F1328" i="1"/>
  <c r="E1328" i="1"/>
  <c r="E1326" i="1"/>
  <c r="F1319" i="1"/>
  <c r="E1319" i="1"/>
  <c r="F1321" i="1"/>
  <c r="E1321" i="1"/>
  <c r="F1323" i="1"/>
  <c r="E1323" i="1"/>
  <c r="F1316" i="1"/>
  <c r="E1316" i="1"/>
  <c r="E1317" i="1"/>
  <c r="F1312" i="1"/>
  <c r="E1312" i="1"/>
  <c r="E1315" i="1"/>
  <c r="F1311" i="1"/>
  <c r="E1311" i="1"/>
  <c r="F1303" i="1"/>
  <c r="E1303" i="1"/>
  <c r="F1289" i="1"/>
  <c r="E1289" i="1"/>
  <c r="F1285" i="1"/>
  <c r="E1285" i="1"/>
  <c r="F1283" i="1"/>
  <c r="E1283" i="1"/>
  <c r="F1278" i="1"/>
  <c r="E1278" i="1"/>
  <c r="F1277" i="1"/>
  <c r="E1277" i="1"/>
  <c r="F1270" i="1"/>
  <c r="F1334" i="1"/>
  <c r="E1334" i="1"/>
  <c r="F1268" i="1"/>
  <c r="E1268" i="1"/>
  <c r="F1269" i="1"/>
  <c r="E1269" i="1"/>
  <c r="F1266" i="1"/>
  <c r="E1266" i="1"/>
  <c r="F1260" i="1"/>
  <c r="E1260" i="1"/>
  <c r="F1262" i="1"/>
  <c r="E1262" i="1"/>
  <c r="E1261" i="1"/>
  <c r="F1259" i="1"/>
  <c r="E1259" i="1"/>
  <c r="F1257" i="1"/>
  <c r="E1257" i="1"/>
  <c r="F1255" i="1"/>
  <c r="E1255" i="1"/>
  <c r="F1675" i="1"/>
  <c r="E1675" i="1"/>
  <c r="F1674" i="1"/>
  <c r="E1674" i="1"/>
  <c r="F1673" i="1"/>
  <c r="E1673" i="1"/>
  <c r="F1672" i="1"/>
  <c r="E1672" i="1"/>
  <c r="F1670" i="1"/>
  <c r="E1670" i="1"/>
  <c r="F1669" i="1"/>
  <c r="E1669" i="1"/>
  <c r="F1001" i="1"/>
  <c r="E1001" i="1"/>
  <c r="F1002" i="1"/>
  <c r="E1002" i="1"/>
  <c r="F62" i="1"/>
  <c r="E62" i="1"/>
  <c r="F1801" i="1"/>
  <c r="E1801" i="1"/>
  <c r="F67" i="1"/>
  <c r="E67" i="1"/>
  <c r="F64" i="1"/>
  <c r="E64" i="1"/>
  <c r="F1211" i="1"/>
  <c r="E1211" i="1"/>
  <c r="F1213" i="1"/>
  <c r="E1213" i="1"/>
  <c r="F1212" i="1"/>
  <c r="E1212" i="1"/>
  <c r="F1222" i="1"/>
  <c r="E1222" i="1"/>
  <c r="F1221" i="1"/>
  <c r="E1221" i="1"/>
  <c r="F1196" i="1"/>
  <c r="E1196" i="1"/>
  <c r="F1210" i="1"/>
  <c r="E1210" i="1"/>
  <c r="F1219" i="1"/>
  <c r="E1219" i="1"/>
  <c r="F1220" i="1"/>
  <c r="E1220" i="1"/>
  <c r="F1208" i="1"/>
  <c r="E1208" i="1"/>
  <c r="F1207" i="1"/>
  <c r="F1203" i="1"/>
  <c r="E1203" i="1"/>
  <c r="F1197" i="1"/>
  <c r="E1197" i="1"/>
  <c r="F1199" i="1"/>
  <c r="E1199" i="1"/>
  <c r="F1198" i="1"/>
  <c r="E1198" i="1"/>
  <c r="F1195" i="1"/>
  <c r="E1195" i="1"/>
  <c r="F1192" i="1"/>
  <c r="E1192" i="1"/>
  <c r="F1193" i="1"/>
  <c r="E1193" i="1"/>
  <c r="F1191" i="1"/>
  <c r="E1191" i="1"/>
  <c r="F56" i="1"/>
  <c r="E56" i="1"/>
  <c r="F54" i="1"/>
  <c r="F53" i="1"/>
  <c r="E53" i="1"/>
  <c r="F1167" i="1"/>
  <c r="E1167" i="1"/>
  <c r="F1746" i="1"/>
  <c r="E1746" i="1"/>
  <c r="F1745" i="1"/>
  <c r="E1745" i="1"/>
  <c r="F1747" i="1"/>
  <c r="E1747" i="1"/>
  <c r="F1744" i="1"/>
  <c r="E1744" i="1"/>
  <c r="F1743" i="1"/>
  <c r="E1743" i="1"/>
  <c r="F1725" i="1"/>
  <c r="E1725" i="1"/>
  <c r="F1724" i="1"/>
  <c r="E1724" i="1"/>
  <c r="F1730" i="1"/>
  <c r="E1730" i="1"/>
  <c r="F1729" i="1"/>
  <c r="E1729" i="1"/>
  <c r="F1732" i="1"/>
  <c r="E1732" i="1"/>
  <c r="F1733" i="1"/>
  <c r="E1733" i="1"/>
  <c r="F1731" i="1"/>
  <c r="E1731" i="1"/>
  <c r="E1739" i="1"/>
  <c r="F1738" i="1"/>
  <c r="E1738" i="1"/>
  <c r="F735" i="1"/>
  <c r="E73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Balbi</author>
  </authors>
  <commentList>
    <comment ref="F115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Balbi: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<sst xmlns="http://schemas.openxmlformats.org/spreadsheetml/2006/main" count="7319" uniqueCount="1896">
  <si>
    <t>adler</t>
  </si>
  <si>
    <t>advac triple aviar  20 ml</t>
  </si>
  <si>
    <t>advac triple aviar  50 ml</t>
  </si>
  <si>
    <t>advac triple aviar  100 ml</t>
  </si>
  <si>
    <t>advac triple aviar curativa 20 ml</t>
  </si>
  <si>
    <t>advac triple aviar curativa 50 ml</t>
  </si>
  <si>
    <t>advac triple aviar curativa 100 ml</t>
  </si>
  <si>
    <t>advac new castle 25 ds</t>
  </si>
  <si>
    <t>advac new castle 50 ds</t>
  </si>
  <si>
    <t>advac new castle 100 ds</t>
  </si>
  <si>
    <t>advac viruela 50 ds</t>
  </si>
  <si>
    <t>advac viruela 100 ds</t>
  </si>
  <si>
    <t>estrepto leer forte dex</t>
  </si>
  <si>
    <t>adeler 100 ml</t>
  </si>
  <si>
    <t>adeler 500 ml</t>
  </si>
  <si>
    <t>vitadunkel 250 ml</t>
  </si>
  <si>
    <t xml:space="preserve">agro vet </t>
  </si>
  <si>
    <t>ampiso vet</t>
  </si>
  <si>
    <t>azul c atomizador</t>
  </si>
  <si>
    <t>azul vet 100 ml</t>
  </si>
  <si>
    <t>hierro vet 100 ml</t>
  </si>
  <si>
    <t>oxitovet</t>
  </si>
  <si>
    <t>procamicin 100 ml</t>
  </si>
  <si>
    <t>agrovet</t>
  </si>
  <si>
    <t>dexa estrepto 50 mll</t>
  </si>
  <si>
    <t>dipironil 500 ml</t>
  </si>
  <si>
    <t>estrepto plus 50 mlls</t>
  </si>
  <si>
    <t>streptovet 50 mll</t>
  </si>
  <si>
    <t>vitanhegra 10 ml</t>
  </si>
  <si>
    <t>vitanhegra 20 ml</t>
  </si>
  <si>
    <t>vitanhegra 50 ml</t>
  </si>
  <si>
    <t>vitanhegra 100 ml</t>
  </si>
  <si>
    <t>vitanhegra 250 ml</t>
  </si>
  <si>
    <t>crema don Ricardo</t>
  </si>
  <si>
    <t>alimento</t>
  </si>
  <si>
    <t>alpiste</t>
  </si>
  <si>
    <t>bicarbonato de sodio verde</t>
  </si>
  <si>
    <t>campeon cachorros 209.25</t>
  </si>
  <si>
    <t>daimond v xp  por kilo</t>
  </si>
  <si>
    <t>daimond v xp  bulto</t>
  </si>
  <si>
    <t>hiboom bulto</t>
  </si>
  <si>
    <t>levadura</t>
  </si>
  <si>
    <t>numifoscal</t>
  </si>
  <si>
    <t>sal rumen</t>
  </si>
  <si>
    <t>sustituto hibloom 20 kgs</t>
  </si>
  <si>
    <t>andoci</t>
  </si>
  <si>
    <t>avefenicol 20 ml</t>
  </si>
  <si>
    <t>avefenicol 100 ml</t>
  </si>
  <si>
    <t>avefenicol tabletas</t>
  </si>
  <si>
    <t>closiver ade + b12 50 ml</t>
  </si>
  <si>
    <t>closiver ade + b12 250 ml</t>
  </si>
  <si>
    <t>espasmo sedal  50 ml</t>
  </si>
  <si>
    <t>fetol 10 ml</t>
  </si>
  <si>
    <t>fibrocine 100 ml</t>
  </si>
  <si>
    <t>fibrocine 50 ml</t>
  </si>
  <si>
    <t>hemoplex 100 ml</t>
  </si>
  <si>
    <t>hemoplex 250 ml</t>
  </si>
  <si>
    <t>hemoplex 50 ml</t>
  </si>
  <si>
    <t>koagusan 100 ml</t>
  </si>
  <si>
    <t>koagusan 25 ml</t>
  </si>
  <si>
    <t xml:space="preserve">locion antiverugas </t>
  </si>
  <si>
    <t>rin tin tin jabon</t>
  </si>
  <si>
    <t>timpakaps 100 ml</t>
  </si>
  <si>
    <t>timpakaps 250 ml</t>
  </si>
  <si>
    <t>timpakaps 460 ml</t>
  </si>
  <si>
    <t>ubricina  5 mlls</t>
  </si>
  <si>
    <t>ubricina plus</t>
  </si>
  <si>
    <t>ubricina pomada</t>
  </si>
  <si>
    <t>ubricina JERINGA 10 ml</t>
  </si>
  <si>
    <t>ubricina infusion 100 ml</t>
  </si>
  <si>
    <t xml:space="preserve">vermicell suspension </t>
  </si>
  <si>
    <t>vermicell pastilla</t>
  </si>
  <si>
    <t>anglo</t>
  </si>
  <si>
    <t>vermifugo del dr bixler tabletas</t>
  </si>
  <si>
    <t>vermifugo DEL DR BIXLER 10 TABS</t>
  </si>
  <si>
    <t>aranda</t>
  </si>
  <si>
    <t xml:space="preserve">absorvet </t>
  </si>
  <si>
    <t>ascorbol iny 10 ml</t>
  </si>
  <si>
    <t>ascorbol iny 50 ml</t>
  </si>
  <si>
    <t>ascorbol iny. B 12 5000  10 ml</t>
  </si>
  <si>
    <t>ascorbol plus 100 caps</t>
  </si>
  <si>
    <t>ascorbol plus 50</t>
  </si>
  <si>
    <t>ascorbol mr t</t>
  </si>
  <si>
    <t>balsamo blanco 60 gr</t>
  </si>
  <si>
    <t>balsamo blanco 100 gr</t>
  </si>
  <si>
    <t>balsamo blanco 240 gr</t>
  </si>
  <si>
    <t>bebida universal p tos</t>
  </si>
  <si>
    <t>beef se 10</t>
  </si>
  <si>
    <t>beef se 100 ml</t>
  </si>
  <si>
    <t>bolos uterinos</t>
  </si>
  <si>
    <t>caldex fm. 500 ml</t>
  </si>
  <si>
    <t>chevinal jarabe</t>
  </si>
  <si>
    <t>colmax 100 ml</t>
  </si>
  <si>
    <t>complejo b reforzado 10 ml</t>
  </si>
  <si>
    <t>complejo b reforzado 100 ml</t>
  </si>
  <si>
    <t>complejo b reforzado 50 ml</t>
  </si>
  <si>
    <t>dexametazona 20 ml</t>
  </si>
  <si>
    <t>enroxol 100 ml</t>
  </si>
  <si>
    <t>enroxol 250 ml</t>
  </si>
  <si>
    <t>euyacol forte 100 ml</t>
  </si>
  <si>
    <t>ferrajet 10 ml</t>
  </si>
  <si>
    <t>ferrajet 100 ml</t>
  </si>
  <si>
    <t>ferrajet 25 ml</t>
  </si>
  <si>
    <t>ferrajet 50 ml</t>
  </si>
  <si>
    <t>iverfull 10 ml</t>
  </si>
  <si>
    <t>iverfull 100 ml</t>
  </si>
  <si>
    <t>iverfull 250 ml</t>
  </si>
  <si>
    <t>iverfull 500 ml</t>
  </si>
  <si>
    <r>
      <t xml:space="preserve">iverfull </t>
    </r>
    <r>
      <rPr>
        <b/>
        <sz val="11"/>
        <color theme="1"/>
        <rFont val="Calibri"/>
        <family val="2"/>
        <scheme val="minor"/>
      </rPr>
      <t xml:space="preserve">F </t>
    </r>
    <r>
      <rPr>
        <sz val="11"/>
        <color theme="1"/>
        <rFont val="Calibri"/>
        <family val="2"/>
        <scheme val="minor"/>
      </rPr>
      <t>100 ML</t>
    </r>
  </si>
  <si>
    <t>iverfull f 500 ml</t>
  </si>
  <si>
    <t>iverfull ade macrovit 10 ml</t>
  </si>
  <si>
    <t>iverfull ade macrovit 100 ml</t>
  </si>
  <si>
    <t>iverfull ade macrovit 500 ml</t>
  </si>
  <si>
    <t>iverfull pasta</t>
  </si>
  <si>
    <t>iverfull pasta vitaminada</t>
  </si>
  <si>
    <t>iverfull polvo</t>
  </si>
  <si>
    <t>l vermizol 20 ml</t>
  </si>
  <si>
    <t>l vermizol 50ml</t>
  </si>
  <si>
    <t>l vermizol 100 m</t>
  </si>
  <si>
    <t>l vermizol 250 ml</t>
  </si>
  <si>
    <t>l vermizol 500 m</t>
  </si>
  <si>
    <t xml:space="preserve">lasarnol </t>
  </si>
  <si>
    <t>melodex 10 ml</t>
  </si>
  <si>
    <t>melodex 100 ml</t>
  </si>
  <si>
    <t>meprazolic 25 tabs</t>
  </si>
  <si>
    <t>micobac</t>
  </si>
  <si>
    <t>necain 10 ml</t>
  </si>
  <si>
    <t>neumoxol 20 ml</t>
  </si>
  <si>
    <t>neumoxol 100 ml</t>
  </si>
  <si>
    <t>neumoxol 250 ml</t>
  </si>
  <si>
    <t>ocusol polvo</t>
  </si>
  <si>
    <t>oxitocin 10 ml</t>
  </si>
  <si>
    <t>penicilina acuosa 100 ml</t>
  </si>
  <si>
    <t>penicilina acuosa 250 ml</t>
  </si>
  <si>
    <t>penicilina oleosa 100 ml</t>
  </si>
  <si>
    <t>pirodex 10 ml</t>
  </si>
  <si>
    <t>pirodex 100 ml</t>
  </si>
  <si>
    <t>pirodex 250 ml</t>
  </si>
  <si>
    <t xml:space="preserve">purgante rojo </t>
  </si>
  <si>
    <t>shampoo para perro</t>
  </si>
  <si>
    <t>super chevinal jarabe</t>
  </si>
  <si>
    <t>trifen plus 100 caps</t>
  </si>
  <si>
    <t>trifen plus 25 caps</t>
  </si>
  <si>
    <t>trifen plus 50 caps</t>
  </si>
  <si>
    <t>yodo desinfectante 120 ml</t>
  </si>
  <si>
    <t>yoduro de sodio 250 ml</t>
  </si>
  <si>
    <t>auricil 10 ml</t>
  </si>
  <si>
    <t>dermodex 30 ml</t>
  </si>
  <si>
    <t>fortex tabletas</t>
  </si>
  <si>
    <t xml:space="preserve">fortex recovery </t>
  </si>
  <si>
    <t>maxicef 24 tabs</t>
  </si>
  <si>
    <t>pet gard iny</t>
  </si>
  <si>
    <t>petrgard plus</t>
  </si>
  <si>
    <t>pet gard puppy</t>
  </si>
  <si>
    <t>pet gard reformulado</t>
  </si>
  <si>
    <t>zeefotax</t>
  </si>
  <si>
    <t>avilab</t>
  </si>
  <si>
    <t>iverjet f borrego 50 ml</t>
  </si>
  <si>
    <t>iverjet f borrego 100 ml</t>
  </si>
  <si>
    <t xml:space="preserve">laringotraqueitis </t>
  </si>
  <si>
    <t>newcastle bronquitis</t>
  </si>
  <si>
    <t>novacoc forte</t>
  </si>
  <si>
    <t>theranekron</t>
  </si>
  <si>
    <t>avimex</t>
  </si>
  <si>
    <t>viroton</t>
  </si>
  <si>
    <t>bayer</t>
  </si>
  <si>
    <t>fixat bulto</t>
  </si>
  <si>
    <t>artoflex</t>
  </si>
  <si>
    <t>asuntol jabon</t>
  </si>
  <si>
    <t>asuntol litro</t>
  </si>
  <si>
    <t>asuntol sobre</t>
  </si>
  <si>
    <t>bamitol   chica</t>
  </si>
  <si>
    <t>bamitol grande</t>
  </si>
  <si>
    <t>bayticol 3% 100 ml</t>
  </si>
  <si>
    <t>bayticol litro  P on plus</t>
  </si>
  <si>
    <t>baytril 10% 25 ml</t>
  </si>
  <si>
    <t>baytril 5 % 25 ml</t>
  </si>
  <si>
    <t>biothrine 100 ml</t>
  </si>
  <si>
    <t>bolfo (talco)</t>
  </si>
  <si>
    <t>bolfo shampoo</t>
  </si>
  <si>
    <t>bovigam clav</t>
  </si>
  <si>
    <t>bovigam mastitis</t>
  </si>
  <si>
    <t>calfon fuerte</t>
  </si>
  <si>
    <t xml:space="preserve">calform </t>
  </si>
  <si>
    <t>catosal 100ml</t>
  </si>
  <si>
    <t>catosal 250ml</t>
  </si>
  <si>
    <t>carbetocina la  50 ml</t>
  </si>
  <si>
    <t>drontal plus pastilla 10 kgs</t>
  </si>
  <si>
    <t>drontal plus pastilla 35 kgs</t>
  </si>
  <si>
    <t>equilibrium age's</t>
  </si>
  <si>
    <t>equilibrium calcio</t>
  </si>
  <si>
    <t>equilibrium vitaminas</t>
  </si>
  <si>
    <t>legend  apmpolleta</t>
  </si>
  <si>
    <t>vetriderm jabon</t>
  </si>
  <si>
    <t>glutellac 50 ml</t>
  </si>
  <si>
    <t>korteba</t>
  </si>
  <si>
    <t>lepto 5 10 dosis</t>
  </si>
  <si>
    <t>magnaphoscal 25 kg</t>
  </si>
  <si>
    <t>negasunt aereosol</t>
  </si>
  <si>
    <t>negasunt polvo 100gr</t>
  </si>
  <si>
    <t>neguvon</t>
  </si>
  <si>
    <t>rodhilon sobre</t>
  </si>
  <si>
    <t>super bolfo aereosol</t>
  </si>
  <si>
    <t>vigantol 100 ml</t>
  </si>
  <si>
    <t>vigantol 25 ml</t>
  </si>
  <si>
    <t>vigantol 500 ml</t>
  </si>
  <si>
    <t>yatren 100 ml</t>
  </si>
  <si>
    <t xml:space="preserve">bayofly 100 </t>
  </si>
  <si>
    <t>bayofly 250</t>
  </si>
  <si>
    <t>bayofly litro</t>
  </si>
  <si>
    <t xml:space="preserve">essec </t>
  </si>
  <si>
    <t>bimeda</t>
  </si>
  <si>
    <t>aminolean 500 ml</t>
  </si>
  <si>
    <t>cal mag k 500 ml</t>
  </si>
  <si>
    <t>bimectin pasta</t>
  </si>
  <si>
    <t>exodus pasta</t>
  </si>
  <si>
    <t>copperset</t>
  </si>
  <si>
    <t>pro pen g 100 ml</t>
  </si>
  <si>
    <t>pro pen g 250 ml</t>
  </si>
  <si>
    <t>pro pen g 500 ml</t>
  </si>
  <si>
    <t>dexium 100 ml</t>
  </si>
  <si>
    <t>flunazine 100 ml</t>
  </si>
  <si>
    <t>flunazine 250 ml</t>
  </si>
  <si>
    <t>biozoo</t>
  </si>
  <si>
    <t>3 sulfas biozoo</t>
  </si>
  <si>
    <t>aminotonic 500ml</t>
  </si>
  <si>
    <t>bioarsenol 100 ml</t>
  </si>
  <si>
    <t>bioarsenol 250 ml</t>
  </si>
  <si>
    <t>biodipirona 100 ml</t>
  </si>
  <si>
    <t>biodipirona 250 ml</t>
  </si>
  <si>
    <t xml:space="preserve">biocef </t>
  </si>
  <si>
    <t>biobac 11 vías 50 ml</t>
  </si>
  <si>
    <t>biobac 11 vías 100 ml</t>
  </si>
  <si>
    <t>biobac 11 vías 250 ml</t>
  </si>
  <si>
    <t>bioxil 7% 100 ml</t>
  </si>
  <si>
    <t>bioxil 7% 500 ml</t>
  </si>
  <si>
    <t>caltonic 500 ml</t>
  </si>
  <si>
    <t>estrepto 4 mll</t>
  </si>
  <si>
    <t>estrepto d 5 mll</t>
  </si>
  <si>
    <t>estrepto plus 5 mlls</t>
  </si>
  <si>
    <t>estrepto ref 5 mll</t>
  </si>
  <si>
    <t>ext. De hígado 10 ml</t>
  </si>
  <si>
    <t>ext. De hígado 100 ml</t>
  </si>
  <si>
    <t>ext. De hígado 250 ml</t>
  </si>
  <si>
    <t>flumetzoo</t>
  </si>
  <si>
    <t>gorbazoo 30 ml</t>
  </si>
  <si>
    <t>gorbazoo100 ml</t>
  </si>
  <si>
    <t>masticillin</t>
  </si>
  <si>
    <t>proteizoo 100 ml</t>
  </si>
  <si>
    <t>proteizoo 250 ml</t>
  </si>
  <si>
    <t>secam</t>
  </si>
  <si>
    <t>tigent 20 ml</t>
  </si>
  <si>
    <t>tigent 100 ml</t>
  </si>
  <si>
    <t>tigent 250 ml</t>
  </si>
  <si>
    <t>zoosarni</t>
  </si>
  <si>
    <t>amox C 30 tabs</t>
  </si>
  <si>
    <t>amox T 30 tabs</t>
  </si>
  <si>
    <t>cefamax 20 tabs</t>
  </si>
  <si>
    <t>clindamin 20 tabs</t>
  </si>
  <si>
    <t>enro T 20 tabs</t>
  </si>
  <si>
    <t>estrepto 1 mll</t>
  </si>
  <si>
    <t>meloximax 1</t>
  </si>
  <si>
    <t>meloximax 3</t>
  </si>
  <si>
    <t>prednimas 5</t>
  </si>
  <si>
    <t>prednimas 20</t>
  </si>
  <si>
    <t>one pastilla 30 pastillas</t>
  </si>
  <si>
    <t xml:space="preserve">biozoo </t>
  </si>
  <si>
    <t>new castle  100 ds</t>
  </si>
  <si>
    <t>new castle  25 ds</t>
  </si>
  <si>
    <t>new castle  50 ds</t>
  </si>
  <si>
    <t>triple avir 100  ml</t>
  </si>
  <si>
    <t>triple avir 20 ml</t>
  </si>
  <si>
    <t>triple avir 50 ml</t>
  </si>
  <si>
    <t>triple avir curativa 100 ml</t>
  </si>
  <si>
    <t>triple avir curativa 20 ml</t>
  </si>
  <si>
    <t>triple avir curativa 50 ml</t>
  </si>
  <si>
    <t>viruela  50 ds</t>
  </si>
  <si>
    <t>viruela 100 ds</t>
  </si>
  <si>
    <t>amino lite 34 x 250 ml</t>
  </si>
  <si>
    <t>amino lite 500 ml</t>
  </si>
  <si>
    <t>triple bacterina conc. Con ret. 50 ml</t>
  </si>
  <si>
    <t>triple bacterina conc. Con ret  100 ml</t>
  </si>
  <si>
    <t>triple bacterina conc. Con ret. 250ml</t>
  </si>
  <si>
    <t>bisolvon veterino 100 ml</t>
  </si>
  <si>
    <t>buscapina com. 100 ml</t>
  </si>
  <si>
    <t>mamyzin secado jer</t>
  </si>
  <si>
    <t>lysingin s. aureus 10 ds</t>
  </si>
  <si>
    <t>vetipulmin polvo 500 grs</t>
  </si>
  <si>
    <t>brovel</t>
  </si>
  <si>
    <t>agua oxigenada</t>
  </si>
  <si>
    <t>averdan 500 ml</t>
  </si>
  <si>
    <t>averdan 120  ml</t>
  </si>
  <si>
    <t>brosin</t>
  </si>
  <si>
    <t>bursol 50 ml</t>
  </si>
  <si>
    <t>danezona 100 ml</t>
  </si>
  <si>
    <t>deltamicin sobre</t>
  </si>
  <si>
    <t>fervinac kg</t>
  </si>
  <si>
    <t>guayaneumol 250 ml</t>
  </si>
  <si>
    <t>guayaneumol 50 ml</t>
  </si>
  <si>
    <t>hytryl</t>
  </si>
  <si>
    <t>kiki riki  60 tabls</t>
  </si>
  <si>
    <t>licor de forge 120  ml</t>
  </si>
  <si>
    <t>licor de forge litro</t>
  </si>
  <si>
    <t xml:space="preserve">linimento blanco </t>
  </si>
  <si>
    <t>metopramid 10 ml</t>
  </si>
  <si>
    <t>metopramid 50 ml</t>
  </si>
  <si>
    <t>ortolan 100 g</t>
  </si>
  <si>
    <t>ortolan 225 g</t>
  </si>
  <si>
    <t>pom. Af</t>
  </si>
  <si>
    <t>pom. Amarilla</t>
  </si>
  <si>
    <t>pom. Yodada 225.gr</t>
  </si>
  <si>
    <t>pom. Yodoformada 250 gr</t>
  </si>
  <si>
    <t>pom. Yodoformada 450 gr</t>
  </si>
  <si>
    <t>progesvit ae</t>
  </si>
  <si>
    <t>puppy boost</t>
  </si>
  <si>
    <t>super booster</t>
  </si>
  <si>
    <t>super 15</t>
  </si>
  <si>
    <t>testosterona 50" 10 ml</t>
  </si>
  <si>
    <t>ungüento para cascos 425 gr</t>
  </si>
  <si>
    <t>vitamina b1 20 ml</t>
  </si>
  <si>
    <t>vitamina c 100 ml</t>
  </si>
  <si>
    <t>vitamina k 100 ml</t>
  </si>
  <si>
    <t>vitamina k 30 ml</t>
  </si>
  <si>
    <t xml:space="preserve">brovel </t>
  </si>
  <si>
    <t>licor de forge galon</t>
  </si>
  <si>
    <t>calier</t>
  </si>
  <si>
    <t>decomoton 10 ml</t>
  </si>
  <si>
    <t>roborante calier 100 ml</t>
  </si>
  <si>
    <t>toco selenio 100 ml</t>
  </si>
  <si>
    <t>cheminova</t>
  </si>
  <si>
    <t>complejo enerjetico 100 ml</t>
  </si>
  <si>
    <t>vitaminas  +carnitina lts</t>
  </si>
  <si>
    <t>xylacina 10 % 50 ml</t>
  </si>
  <si>
    <t xml:space="preserve"> </t>
  </si>
  <si>
    <t>pata chueca gel 500 g</t>
  </si>
  <si>
    <t>pata chueca spray 240 ml</t>
  </si>
  <si>
    <t>gastro balance</t>
  </si>
  <si>
    <t>chinoin</t>
  </si>
  <si>
    <t>alin depot  50 ml</t>
  </si>
  <si>
    <t>alin depot 6 ml</t>
  </si>
  <si>
    <t>closantil  iny 100 ml</t>
  </si>
  <si>
    <t>closantil  iny 500 ml</t>
  </si>
  <si>
    <t>closantil  oral 5 % 100 ml</t>
  </si>
  <si>
    <t>closantil iny 250 ml</t>
  </si>
  <si>
    <t>closantil oral 5% 1000 ml</t>
  </si>
  <si>
    <t>closantil oral 5% 250 ml</t>
  </si>
  <si>
    <t>dyscural porcino 100 ml</t>
  </si>
  <si>
    <t>dyscural porcino 20 ml</t>
  </si>
  <si>
    <t>dyscural rumiante 100 ml</t>
  </si>
  <si>
    <t>dyscural rumiante 20ml</t>
  </si>
  <si>
    <t>exgon 8 100 ml</t>
  </si>
  <si>
    <t>exgon 8 250 ml</t>
  </si>
  <si>
    <t>exgon 8 50 ml</t>
  </si>
  <si>
    <t>kilais  100 ml</t>
  </si>
  <si>
    <t>kilais  250 ml</t>
  </si>
  <si>
    <t>koptisin 100 ml</t>
  </si>
  <si>
    <t>scabisin jabon</t>
  </si>
  <si>
    <t>scabisin suspensión 100 ml</t>
  </si>
  <si>
    <t xml:space="preserve">scabisin shampoo </t>
  </si>
  <si>
    <t>sural 20 ml</t>
  </si>
  <si>
    <t>sural 50 ml</t>
  </si>
  <si>
    <t>collins</t>
  </si>
  <si>
    <t>colvit sobre</t>
  </si>
  <si>
    <t>collipen L  A 250 ml</t>
  </si>
  <si>
    <t>flutyl 100 ml</t>
  </si>
  <si>
    <t>flutyl 250 ml</t>
  </si>
  <si>
    <t>dicollfen 100 ml</t>
  </si>
  <si>
    <t>dicollfen 250 ml</t>
  </si>
  <si>
    <t>collipen LA 250 ml</t>
  </si>
  <si>
    <t>flutyl ap 100 ml</t>
  </si>
  <si>
    <t>flutyl ap 250 ml</t>
  </si>
  <si>
    <t>flutyl s 1 lt</t>
  </si>
  <si>
    <t>dicollfen 50 100ml</t>
  </si>
  <si>
    <t>dicollfen 50 250ml</t>
  </si>
  <si>
    <t xml:space="preserve">colvit c sobres </t>
  </si>
  <si>
    <t>cpmax</t>
  </si>
  <si>
    <t>pet gard adulto 10 kg</t>
  </si>
  <si>
    <t>pet gard iny.</t>
  </si>
  <si>
    <t>pet gard pasta</t>
  </si>
  <si>
    <t>pet gard puppy 5kgs</t>
  </si>
  <si>
    <t>pets shampoo</t>
  </si>
  <si>
    <t>cuajo</t>
  </si>
  <si>
    <t>cuajo 125ml</t>
  </si>
  <si>
    <t>cuajo 1lit</t>
  </si>
  <si>
    <t>cuajo 250ml</t>
  </si>
  <si>
    <t>cuajo 500ml</t>
  </si>
  <si>
    <t>econovet</t>
  </si>
  <si>
    <t>antimastitis  250 ml</t>
  </si>
  <si>
    <t>antimastitis  500 ml</t>
  </si>
  <si>
    <t>ecofen plus 100 ml</t>
  </si>
  <si>
    <t>ecofen plus 250 ml</t>
  </si>
  <si>
    <t>vitamina b 12 6000 con b 15 10 ml</t>
  </si>
  <si>
    <t>vitamina b 12 6000 con b 15 100 ml</t>
  </si>
  <si>
    <t>vitamina b 12 6000 con b 15 30 ml</t>
  </si>
  <si>
    <t>tetragent aves 10 ml</t>
  </si>
  <si>
    <t>tetragent aves 50 ml</t>
  </si>
  <si>
    <t>tetragent aves 100 ml</t>
  </si>
  <si>
    <t>tetragent 100 ml</t>
  </si>
  <si>
    <t>tetragent 250 ml</t>
  </si>
  <si>
    <t>elanco</t>
  </si>
  <si>
    <t>lactotropina</t>
  </si>
  <si>
    <t>tyan 200 250 ml</t>
  </si>
  <si>
    <t>farmacon</t>
  </si>
  <si>
    <t>spectrum sobre</t>
  </si>
  <si>
    <t>farmatec</t>
  </si>
  <si>
    <t>ade forte 100 ml</t>
  </si>
  <si>
    <t>adeforte 250 mk</t>
  </si>
  <si>
    <t>lepecid</t>
  </si>
  <si>
    <t>fiori</t>
  </si>
  <si>
    <t>acuapen 250 ml</t>
  </si>
  <si>
    <t>acuapen 100 ml</t>
  </si>
  <si>
    <t>fiolax</t>
  </si>
  <si>
    <t>broxacina 20 ml</t>
  </si>
  <si>
    <t>fiori estreptoenzim 6 mll</t>
  </si>
  <si>
    <t>flor di bro 100 ml</t>
  </si>
  <si>
    <t>flormaxicol 20 ml</t>
  </si>
  <si>
    <t>gortie</t>
  </si>
  <si>
    <t>albendagort litro 10% litro</t>
  </si>
  <si>
    <t>albendagort litro 2.5 % litro</t>
  </si>
  <si>
    <t>albendagort litro 2.5 %  250 ml</t>
  </si>
  <si>
    <t>halvet</t>
  </si>
  <si>
    <t>animox 15 ml</t>
  </si>
  <si>
    <t>bravo litro</t>
  </si>
  <si>
    <t>bravo spray</t>
  </si>
  <si>
    <t>escuderm tabletas</t>
  </si>
  <si>
    <t>escuderm spray</t>
  </si>
  <si>
    <t>gotikas 18 ml</t>
  </si>
  <si>
    <t>tomo 100  ml</t>
  </si>
  <si>
    <t>tomo 250 ml</t>
  </si>
  <si>
    <t>tomo litro</t>
  </si>
  <si>
    <t>hipra</t>
  </si>
  <si>
    <t>gentamox 250 ml 350</t>
  </si>
  <si>
    <t>hipraflora</t>
  </si>
  <si>
    <t>starvac 5 ds</t>
  </si>
  <si>
    <t>hipra vit selenio 100 ml</t>
  </si>
  <si>
    <t>hollan</t>
  </si>
  <si>
    <t>absorbine linimento galon</t>
  </si>
  <si>
    <t xml:space="preserve">super poo </t>
  </si>
  <si>
    <t>showsheen</t>
  </si>
  <si>
    <t>spectrum amoxicilina y acido clav.</t>
  </si>
  <si>
    <t>spectrum enrofloxacina</t>
  </si>
  <si>
    <t xml:space="preserve">micoplex plus shampoo </t>
  </si>
  <si>
    <t>micoplex plus spray</t>
  </si>
  <si>
    <t>nutriplex gel</t>
  </si>
  <si>
    <t>jabon lassy insecticida</t>
  </si>
  <si>
    <t>multivitaminico lassy</t>
  </si>
  <si>
    <t>polvo lassy antipulgas</t>
  </si>
  <si>
    <t>shampoo  lassy insecticida</t>
  </si>
  <si>
    <t>shampoo lassy medicado</t>
  </si>
  <si>
    <t>vermicell suspension 40 ml</t>
  </si>
  <si>
    <t>vermicell suspension  120 ml</t>
  </si>
  <si>
    <t>lapisa</t>
  </si>
  <si>
    <t>ampipen 10gr</t>
  </si>
  <si>
    <t>estrep-50</t>
  </si>
  <si>
    <t>neumo sp kg</t>
  </si>
  <si>
    <t>pylosin 100ml</t>
  </si>
  <si>
    <t>pylosin 250ml</t>
  </si>
  <si>
    <t>ticoff</t>
  </si>
  <si>
    <t>loeffler</t>
  </si>
  <si>
    <t>cafeina</t>
  </si>
  <si>
    <t>calcio reforzado</t>
  </si>
  <si>
    <t>diurifler 30 ml</t>
  </si>
  <si>
    <t>epironox 500 ml</t>
  </si>
  <si>
    <t>extracto pituitario anterior</t>
  </si>
  <si>
    <t>extracto pituitario posterior</t>
  </si>
  <si>
    <t>formula antidiarreica</t>
  </si>
  <si>
    <t>gonadotropina corionica 10,000</t>
  </si>
  <si>
    <t>gonadotropina corionica 2,000</t>
  </si>
  <si>
    <t>iverffler tab</t>
  </si>
  <si>
    <t>laxotonico iny</t>
  </si>
  <si>
    <t>laxotonico oral</t>
  </si>
  <si>
    <t>neomastil</t>
  </si>
  <si>
    <t>rumisal</t>
  </si>
  <si>
    <t>secador loeffler</t>
  </si>
  <si>
    <t>sulfato de atropina   10 ML</t>
  </si>
  <si>
    <t>sulfato de atropina 60 ml</t>
  </si>
  <si>
    <t>super quimioffler 6 mll</t>
  </si>
  <si>
    <t>trisulfa 100 ml</t>
  </si>
  <si>
    <t>trisulfa 500ml</t>
  </si>
  <si>
    <t>maver</t>
  </si>
  <si>
    <t>biotavit kg</t>
  </si>
  <si>
    <t>pentosedal  100 ml</t>
  </si>
  <si>
    <t>bonus intra uterino 60 ml</t>
  </si>
  <si>
    <t>bonus solucin galon</t>
  </si>
  <si>
    <t>butadex sobre</t>
  </si>
  <si>
    <t>butoral sobre</t>
  </si>
  <si>
    <t>coribac 100 ml</t>
  </si>
  <si>
    <t>new castle maver 25 ds</t>
  </si>
  <si>
    <t>new castle maver 50 ds</t>
  </si>
  <si>
    <t>new castle maver 100 ds</t>
  </si>
  <si>
    <t>viruela maver 50 ds</t>
  </si>
  <si>
    <t>viruela maver 100 ds</t>
  </si>
  <si>
    <t>cuffer galon</t>
  </si>
  <si>
    <t>cuffer 240 ml</t>
  </si>
  <si>
    <t>dmso 120 ml</t>
  </si>
  <si>
    <t>lax-ave 100gr</t>
  </si>
  <si>
    <t>colaphostyl 500 ml</t>
  </si>
  <si>
    <t>equalan</t>
  </si>
  <si>
    <t>frontline  10 - 20 kgs</t>
  </si>
  <si>
    <t>frontline  20 - 40 kgs</t>
  </si>
  <si>
    <t>frontline 40 - 60 kgs</t>
  </si>
  <si>
    <t>frontline spray 250 ml</t>
  </si>
  <si>
    <t>frontline  gatos</t>
  </si>
  <si>
    <t>frontline 2 - 10</t>
  </si>
  <si>
    <t>ivomec 1 % 500 ML</t>
  </si>
  <si>
    <t>ivomec-f 200 ml</t>
  </si>
  <si>
    <t>ivomec-f 50 ml</t>
  </si>
  <si>
    <t>ivomec-f 500 ml</t>
  </si>
  <si>
    <t>tetradur 300 100ml</t>
  </si>
  <si>
    <t>trodax bovinos 50ml</t>
  </si>
  <si>
    <t>cystorelin 30 ml</t>
  </si>
  <si>
    <t>microsules</t>
  </si>
  <si>
    <t>vit mic 500 ml</t>
  </si>
  <si>
    <t>msd</t>
  </si>
  <si>
    <t>bacterina mixta bovina 250 ml</t>
  </si>
  <si>
    <t>bacterina mixta bovina 50 ml</t>
  </si>
  <si>
    <t>bacterina mixta porcina 250 ml</t>
  </si>
  <si>
    <t>bacterina mixta porcina 50 ml</t>
  </si>
  <si>
    <t>bacterina triple 250 ml</t>
  </si>
  <si>
    <t xml:space="preserve">bacterina triple 50 ml </t>
  </si>
  <si>
    <t>bacterina triple 50 ml</t>
  </si>
  <si>
    <t>bobact 8 250 ml</t>
  </si>
  <si>
    <t>butox 100 ml</t>
  </si>
  <si>
    <t>folligon ds 1000 ui</t>
  </si>
  <si>
    <t>gorban 100 ml</t>
  </si>
  <si>
    <t>laurabolin 10 ml</t>
  </si>
  <si>
    <t>mastijet jer</t>
  </si>
  <si>
    <t>metricur</t>
  </si>
  <si>
    <t>nafpenzal dc jer</t>
  </si>
  <si>
    <t>panacur 22 %</t>
  </si>
  <si>
    <t>panacur 4 %</t>
  </si>
  <si>
    <t>pg 600</t>
  </si>
  <si>
    <t>salix</t>
  </si>
  <si>
    <t>taktic litro</t>
  </si>
  <si>
    <t>tonofosfan 100 ml</t>
  </si>
  <si>
    <t>tonofosfan 500 ml</t>
  </si>
  <si>
    <t>tonofosfan compositum</t>
  </si>
  <si>
    <t>vetalgina 100 ml</t>
  </si>
  <si>
    <t>vetalgina 50 ml</t>
  </si>
  <si>
    <t>pencivet 6 mlls</t>
  </si>
  <si>
    <t>agujas para ralgro</t>
  </si>
  <si>
    <t>boostin</t>
  </si>
  <si>
    <t xml:space="preserve">celocil </t>
  </si>
  <si>
    <t>finadyne 100 ml</t>
  </si>
  <si>
    <t>naquasone</t>
  </si>
  <si>
    <t>muse 100 ml</t>
  </si>
  <si>
    <t>ralgro</t>
  </si>
  <si>
    <t>neofarma</t>
  </si>
  <si>
    <t>maxipen</t>
  </si>
  <si>
    <t>oxichem 20 ml</t>
  </si>
  <si>
    <t>oxichem 50 ml</t>
  </si>
  <si>
    <t>oxichem 100 ml</t>
  </si>
  <si>
    <t>norvet</t>
  </si>
  <si>
    <t xml:space="preserve">giardiacos M </t>
  </si>
  <si>
    <t>novartis</t>
  </si>
  <si>
    <t>agita 400 gr</t>
  </si>
  <si>
    <t>alfadex  100 ml</t>
  </si>
  <si>
    <t>alfadex sobre</t>
  </si>
  <si>
    <t>ganaseg b12 25 ml</t>
  </si>
  <si>
    <t>lanirat kg  AVENA</t>
  </si>
  <si>
    <t xml:space="preserve">levadura bulto </t>
  </si>
  <si>
    <t>levadura kg</t>
  </si>
  <si>
    <t>vetibenzamina 100 ml</t>
  </si>
  <si>
    <t>nupec</t>
  </si>
  <si>
    <t>nupec cachorros 2 kg</t>
  </si>
  <si>
    <t>matagusano</t>
  </si>
  <si>
    <t>nupec cachorros R P  kg  rosa</t>
  </si>
  <si>
    <t>faena</t>
  </si>
  <si>
    <t>nupec cachorros 20 kg</t>
  </si>
  <si>
    <t>nupec adulto 2 kg</t>
  </si>
  <si>
    <t>nupec adulto 2  kg rosa</t>
  </si>
  <si>
    <t>nupec adulto 20 kg</t>
  </si>
  <si>
    <t xml:space="preserve">optimo cachorros </t>
  </si>
  <si>
    <t>ordoñez</t>
  </si>
  <si>
    <t>pom la tia chica</t>
  </si>
  <si>
    <t>pom la tia grande</t>
  </si>
  <si>
    <t>pom la tia mediana</t>
  </si>
  <si>
    <t>panavet</t>
  </si>
  <si>
    <t>anapiro</t>
  </si>
  <si>
    <t>anemin phos 250 ml</t>
  </si>
  <si>
    <t>calcio protein vit. 500 ml</t>
  </si>
  <si>
    <t>ceptiopan 100 ml</t>
  </si>
  <si>
    <t>diastopan sobre</t>
  </si>
  <si>
    <t>lactocin 250 ml</t>
  </si>
  <si>
    <t>parfarm</t>
  </si>
  <si>
    <t>arsil 50 ml</t>
  </si>
  <si>
    <t>arsil 100 ml</t>
  </si>
  <si>
    <t>centryl 5% 20 ml</t>
  </si>
  <si>
    <t>dexvet 10 ml</t>
  </si>
  <si>
    <t>dexvet 50 ml</t>
  </si>
  <si>
    <t>edemofin 10 ml</t>
  </si>
  <si>
    <t>ericlor avicoa 100 gms</t>
  </si>
  <si>
    <t>ericlor avicoa 10 gms</t>
  </si>
  <si>
    <t>espenfort 100 ml</t>
  </si>
  <si>
    <t>flunidol 250 ml</t>
  </si>
  <si>
    <t xml:space="preserve">forenzim </t>
  </si>
  <si>
    <t>forestro</t>
  </si>
  <si>
    <t xml:space="preserve">formizina </t>
  </si>
  <si>
    <t>histafin 100 ml</t>
  </si>
  <si>
    <t>histafin 30 ml</t>
  </si>
  <si>
    <t>mastobac</t>
  </si>
  <si>
    <t>mastofin</t>
  </si>
  <si>
    <t>mastosec</t>
  </si>
  <si>
    <t>parmectin plus pasta</t>
  </si>
  <si>
    <t>parzen bovimos 19% jeringa</t>
  </si>
  <si>
    <t>parmisole 12% 100 ml</t>
  </si>
  <si>
    <t>parmisole ade + b 100 ml</t>
  </si>
  <si>
    <t>parmisole ade + b 20 ml</t>
  </si>
  <si>
    <t>parzen 200 ml</t>
  </si>
  <si>
    <t>pisan spray</t>
  </si>
  <si>
    <t>prontaformo oral</t>
  </si>
  <si>
    <t>prontaformo uterino</t>
  </si>
  <si>
    <t>rulaxton</t>
  </si>
  <si>
    <t>vitafor A 10 gr</t>
  </si>
  <si>
    <t>vitafor A  100 gr</t>
  </si>
  <si>
    <t>vitafor A 500 grms</t>
  </si>
  <si>
    <t xml:space="preserve">vitafor A kg </t>
  </si>
  <si>
    <t>vitafor postura 10 gr</t>
  </si>
  <si>
    <t>vitafor c kg</t>
  </si>
  <si>
    <t>vitafor pelecha 10 gr</t>
  </si>
  <si>
    <t>pecuarios</t>
  </si>
  <si>
    <t>pecgent 250 ml</t>
  </si>
  <si>
    <t>pecsulprim 250 ml</t>
  </si>
  <si>
    <t>pier</t>
  </si>
  <si>
    <t>gt-300 20 ml</t>
  </si>
  <si>
    <t>gt-aves y lechones 50 ml</t>
  </si>
  <si>
    <t>gt-aves y lechones 250 ml</t>
  </si>
  <si>
    <t>pirex 80 100 ml</t>
  </si>
  <si>
    <t>pirex 80 250 ml</t>
  </si>
  <si>
    <t>pisa</t>
  </si>
  <si>
    <t>3 sulfas 500 ml</t>
  </si>
  <si>
    <t>alnex 100 ml</t>
  </si>
  <si>
    <t>alnex 250 ml</t>
  </si>
  <si>
    <t>amoxiclav tabs</t>
  </si>
  <si>
    <t>basety 250 ml</t>
  </si>
  <si>
    <t>calciosol pastilla</t>
  </si>
  <si>
    <t>carosen sobre</t>
  </si>
  <si>
    <t>complenay elixir 120 ml</t>
  </si>
  <si>
    <t>complenay elixir 3,5 lts</t>
  </si>
  <si>
    <t>coccitrak 250 ml</t>
  </si>
  <si>
    <t>crivosin 10 ml</t>
  </si>
  <si>
    <t>docarpina 25 mg</t>
  </si>
  <si>
    <t>docarpina 50 mg</t>
  </si>
  <si>
    <t>docarpina 100 mg</t>
  </si>
  <si>
    <t>espiranide</t>
  </si>
  <si>
    <t>electrodex pvo 10 kgs</t>
  </si>
  <si>
    <t>ferriton 100 ml</t>
  </si>
  <si>
    <t>furacin 453 gr</t>
  </si>
  <si>
    <t>furacin 500 ml</t>
  </si>
  <si>
    <t>iron hourse</t>
  </si>
  <si>
    <t>sinataq 100 ml</t>
  </si>
  <si>
    <t>sinataq litro</t>
  </si>
  <si>
    <t>gentaerba 100 ml</t>
  </si>
  <si>
    <t>gentaerba soluble sobre</t>
  </si>
  <si>
    <t xml:space="preserve">masticyclin </t>
  </si>
  <si>
    <t>napzin 10 ml</t>
  </si>
  <si>
    <t>napzin 250 ml</t>
  </si>
  <si>
    <t>nf 180 aves</t>
  </si>
  <si>
    <t xml:space="preserve">nf 180 terneros </t>
  </si>
  <si>
    <t>novox</t>
  </si>
  <si>
    <t>pendiben</t>
  </si>
  <si>
    <t>penbacort 100 ml</t>
  </si>
  <si>
    <t>pet shine barra jabon</t>
  </si>
  <si>
    <t>pisacaina</t>
  </si>
  <si>
    <t>pisacaina con epinefrina</t>
  </si>
  <si>
    <t>prantel plus 20 tabs</t>
  </si>
  <si>
    <t>prantel plus perro gde 20 tabs</t>
  </si>
  <si>
    <t>procin 2 % 25 ml</t>
  </si>
  <si>
    <t>otrozol 100 ml</t>
  </si>
  <si>
    <t>soldrin clean 125 ml</t>
  </si>
  <si>
    <t>soldrin oftalmico sol 10 ml</t>
  </si>
  <si>
    <t>soldrin  plus ungüento otico vet</t>
  </si>
  <si>
    <t>solucion ht litro</t>
  </si>
  <si>
    <t>stop on 60 ml</t>
  </si>
  <si>
    <t>stop on 250 ml</t>
  </si>
  <si>
    <t>tilmi</t>
  </si>
  <si>
    <t>topazone 250 ml</t>
  </si>
  <si>
    <t>topazone 400 ml</t>
  </si>
  <si>
    <t>valsyn</t>
  </si>
  <si>
    <t xml:space="preserve">valsyn kg </t>
  </si>
  <si>
    <t>vitabecid 100 ml</t>
  </si>
  <si>
    <t>vodexat 50 ml</t>
  </si>
  <si>
    <t xml:space="preserve">enercol </t>
  </si>
  <si>
    <t>promo vet</t>
  </si>
  <si>
    <t>ergopar</t>
  </si>
  <si>
    <t>suprim 100 ml</t>
  </si>
  <si>
    <t>suprim 25 ml</t>
  </si>
  <si>
    <t>probiorin</t>
  </si>
  <si>
    <t>promovet</t>
  </si>
  <si>
    <t>sincronol 250   2 ml</t>
  </si>
  <si>
    <t>prositter</t>
  </si>
  <si>
    <t>dextrotier 50%</t>
  </si>
  <si>
    <t>tylosin 200  250 ml</t>
  </si>
  <si>
    <t>purina</t>
  </si>
  <si>
    <t>arena para gatos tidycats</t>
  </si>
  <si>
    <t>gatina 171.6</t>
  </si>
  <si>
    <t>nucleos</t>
  </si>
  <si>
    <t>puriblock</t>
  </si>
  <si>
    <t>caballeti</t>
  </si>
  <si>
    <t>omolene</t>
  </si>
  <si>
    <t>sustituto de leche purina 5 kg</t>
  </si>
  <si>
    <t>sustituto de leche purina 10 kgs</t>
  </si>
  <si>
    <t>sustituto supercria 10kgs</t>
  </si>
  <si>
    <t>sustituto supercria 5 kgs</t>
  </si>
  <si>
    <t>quimica farvet</t>
  </si>
  <si>
    <t>ade farvet 20 ml</t>
  </si>
  <si>
    <t>ade farvet 100 ml</t>
  </si>
  <si>
    <t>quimidipirona 20 ml</t>
  </si>
  <si>
    <t>mastifarvet</t>
  </si>
  <si>
    <t>oxi 100 500 ml</t>
  </si>
  <si>
    <t>oleovet enzimatico 100 ml</t>
  </si>
  <si>
    <t>endovet ces int 10 ml</t>
  </si>
  <si>
    <t>endovet crema</t>
  </si>
  <si>
    <t>imidofin 10 ml</t>
  </si>
  <si>
    <t>imidofin 100 ml</t>
  </si>
  <si>
    <t>sana sana gel</t>
  </si>
  <si>
    <t>riverlab</t>
  </si>
  <si>
    <t>vitamina b 12 5 500 codigo rojo 10 ml</t>
  </si>
  <si>
    <t>vitamina b 12 5 500 codigo rojo 50 ml</t>
  </si>
  <si>
    <t>vitamina b 12 5 500 codigo rojo 100 ml</t>
  </si>
  <si>
    <t>salud y bienestar</t>
  </si>
  <si>
    <t>calciphorte</t>
  </si>
  <si>
    <t>dianabol plus 100 ml</t>
  </si>
  <si>
    <t>dianabol 100 ml</t>
  </si>
  <si>
    <t>sanfer</t>
  </si>
  <si>
    <t>daimento b 20 100 ml</t>
  </si>
  <si>
    <t>daimento b 20 25 ml</t>
  </si>
  <si>
    <t>daimento b 20 T 100 ML</t>
  </si>
  <si>
    <t>daimento b 20 T 25 ML</t>
  </si>
  <si>
    <t>daimetropin sobres</t>
  </si>
  <si>
    <t>daimetropin litro</t>
  </si>
  <si>
    <t>diagmastin  litro</t>
  </si>
  <si>
    <t>diarrefin  240 ml</t>
  </si>
  <si>
    <t>diarrefin 60 ml</t>
  </si>
  <si>
    <t>diarrefin120 ml</t>
  </si>
  <si>
    <t>flunixim iny 100</t>
  </si>
  <si>
    <t>phostoxin</t>
  </si>
  <si>
    <t xml:space="preserve">serigan  esponjas </t>
  </si>
  <si>
    <t xml:space="preserve">serigan  pmsg 1000 ui </t>
  </si>
  <si>
    <t>d  cloprostenol iny</t>
  </si>
  <si>
    <t>enrofloxacina 10 % 100 ml sanfer</t>
  </si>
  <si>
    <t>enrofloxacina 10 % 250 ml sanfer</t>
  </si>
  <si>
    <t>gnrh iny 50 ml</t>
  </si>
  <si>
    <t>ivermectina gel</t>
  </si>
  <si>
    <t>ivermectina 1% 50 ml sanfer</t>
  </si>
  <si>
    <t>ivermectina 1% 500 ml sanfer</t>
  </si>
  <si>
    <t>oxitetraciclina 100 ml sanfer</t>
  </si>
  <si>
    <t>oxitetraciclina 500 ml sanfer</t>
  </si>
  <si>
    <t xml:space="preserve">selenio + vitamina e 100 ml </t>
  </si>
  <si>
    <t xml:space="preserve">selenio + vitamina e 250 ml </t>
  </si>
  <si>
    <t>schutze</t>
  </si>
  <si>
    <t>fatroximin</t>
  </si>
  <si>
    <t>metabolase 500 ml</t>
  </si>
  <si>
    <t>hepagen 100 ml</t>
  </si>
  <si>
    <t>senosian</t>
  </si>
  <si>
    <t>enroxil 10% 25 ml</t>
  </si>
  <si>
    <t>enroxil 10% 250 ml</t>
  </si>
  <si>
    <t>enroxil 5 % 50 ml</t>
  </si>
  <si>
    <t>enroxil 5% 20 ml</t>
  </si>
  <si>
    <t>enroxil 5% 250 ml</t>
  </si>
  <si>
    <t>enroxil l0 % litro</t>
  </si>
  <si>
    <t>respivet  2mll</t>
  </si>
  <si>
    <t>respivet  4 mll</t>
  </si>
  <si>
    <t>respivet 6 mlls</t>
  </si>
  <si>
    <t>respivet 800 ui</t>
  </si>
  <si>
    <t>reugol 100 ml</t>
  </si>
  <si>
    <t>reugol 250 ml</t>
  </si>
  <si>
    <t>reugol gel</t>
  </si>
  <si>
    <t>unirapix 20 ml</t>
  </si>
  <si>
    <t>unirapix 250 ml</t>
  </si>
  <si>
    <t>actuol 4 %</t>
  </si>
  <si>
    <t>actuol 22 %</t>
  </si>
  <si>
    <t>syva</t>
  </si>
  <si>
    <t>amoxoid retard 100 ml</t>
  </si>
  <si>
    <t>amoxoid retard 250 ml</t>
  </si>
  <si>
    <t>biseptyl 100  ml</t>
  </si>
  <si>
    <t>digestoyet 100 ml</t>
  </si>
  <si>
    <t>pederol</t>
  </si>
  <si>
    <t>estilbo 100 ml</t>
  </si>
  <si>
    <t>gonasyl 20 ml</t>
  </si>
  <si>
    <t>gonasyl 50 ml</t>
  </si>
  <si>
    <t>synparv 5 ds</t>
  </si>
  <si>
    <t>coltox</t>
  </si>
  <si>
    <t xml:space="preserve">tornel </t>
  </si>
  <si>
    <t>antoplex 100 ml</t>
  </si>
  <si>
    <t>antoplex 20 ml</t>
  </si>
  <si>
    <t>antoplex gallos</t>
  </si>
  <si>
    <t>avipen 100 ml</t>
  </si>
  <si>
    <t>avipen 20 ml</t>
  </si>
  <si>
    <t>avipen 50 ml</t>
  </si>
  <si>
    <t>butafenil  100 ml</t>
  </si>
  <si>
    <t>butafenil compuesto 100 ml</t>
  </si>
  <si>
    <t>butafenil sobres</t>
  </si>
  <si>
    <t>ca aminoplex  500.ml</t>
  </si>
  <si>
    <t>ca aminoplex 250 ml</t>
  </si>
  <si>
    <t>endoseptine 50</t>
  </si>
  <si>
    <t>equigan 10 ml</t>
  </si>
  <si>
    <t>equigan 100  ml</t>
  </si>
  <si>
    <t>equigan 50 ml</t>
  </si>
  <si>
    <t>espectodoyol sobre</t>
  </si>
  <si>
    <t>ferronel 200 100 ml</t>
  </si>
  <si>
    <t>ferronel 20 ml</t>
  </si>
  <si>
    <t>galliver 50 tabletas</t>
  </si>
  <si>
    <t>gentomicyn super 100 ml</t>
  </si>
  <si>
    <t>hidropen 100 ml</t>
  </si>
  <si>
    <t>hidropen 250 ml</t>
  </si>
  <si>
    <t>jabon de perro agradecido</t>
  </si>
  <si>
    <t>k ton 12 100 ml</t>
  </si>
  <si>
    <t>korin tripe 10 gr</t>
  </si>
  <si>
    <t>korin tripe 100 gr</t>
  </si>
  <si>
    <t>leptos 10 20 ml</t>
  </si>
  <si>
    <t>leptos 10 100 ml</t>
  </si>
  <si>
    <t>meta flusol 30 ml</t>
  </si>
  <si>
    <t>meta flusol 50 ml</t>
  </si>
  <si>
    <t>pangamine 250 10 ml</t>
  </si>
  <si>
    <t>pangamine 250 30 ml</t>
  </si>
  <si>
    <t>penicilina g procainica 100 ml tornel</t>
  </si>
  <si>
    <t>rb 51 10 ds becerraa</t>
  </si>
  <si>
    <t>rb 51 10 ds vacas</t>
  </si>
  <si>
    <t>salino</t>
  </si>
  <si>
    <t>sarna sana</t>
  </si>
  <si>
    <t>super amin toplex</t>
  </si>
  <si>
    <t>super flumi strep  6 mll</t>
  </si>
  <si>
    <t>super flumi strep 1 mlls</t>
  </si>
  <si>
    <t>super flumi strep 2 mlls</t>
  </si>
  <si>
    <t>super flumi strep 4 mll</t>
  </si>
  <si>
    <t>super perfomance l 100 ml</t>
  </si>
  <si>
    <t>super perfomance l 50 ml</t>
  </si>
  <si>
    <t>top b 15 + 3 30 ml</t>
  </si>
  <si>
    <t>top b 15 + 3 10 ml</t>
  </si>
  <si>
    <t>tylexin 100 ml</t>
  </si>
  <si>
    <t>urolix 10 ml</t>
  </si>
  <si>
    <t>urolix 50 ml</t>
  </si>
  <si>
    <t>urolix 100 ml</t>
  </si>
  <si>
    <t>VARIOS</t>
  </si>
  <si>
    <t>peroxido litro</t>
  </si>
  <si>
    <t>sulfato de cobre</t>
  </si>
  <si>
    <t>varios</t>
  </si>
  <si>
    <t>dagger 100 gms</t>
  </si>
  <si>
    <t>aguja aluminio</t>
  </si>
  <si>
    <t xml:space="preserve">aguja desechable </t>
  </si>
  <si>
    <t>aguja metalica</t>
  </si>
  <si>
    <t>aguja para aretar</t>
  </si>
  <si>
    <t>almoaza</t>
  </si>
  <si>
    <t>almoaza metalica</t>
  </si>
  <si>
    <t>aplicador para ligas</t>
  </si>
  <si>
    <t xml:space="preserve">aplicador para sello </t>
  </si>
  <si>
    <t>aplicador para semen .25</t>
  </si>
  <si>
    <t>aplicador para semen .5</t>
  </si>
  <si>
    <t>arete american tag</t>
  </si>
  <si>
    <t>atomizador</t>
  </si>
  <si>
    <t>avepol litro</t>
  </si>
  <si>
    <t>bebedero para borregos</t>
  </si>
  <si>
    <t>bisturi campana</t>
  </si>
  <si>
    <t>block sal purina</t>
  </si>
  <si>
    <t>bota para niño</t>
  </si>
  <si>
    <t>botas dunlop amarilla</t>
  </si>
  <si>
    <t>botas dunlop roja</t>
  </si>
  <si>
    <t>cajas para gallo café</t>
  </si>
  <si>
    <t>calcio para gallina kg</t>
  </si>
  <si>
    <t>camisa sanitaria</t>
  </si>
  <si>
    <t>cepillo para mamila</t>
  </si>
  <si>
    <t>chupon para cerdo</t>
  </si>
  <si>
    <t>cincha jalar becerro</t>
  </si>
  <si>
    <t>cincha para patas</t>
  </si>
  <si>
    <t>clavo mustag #4   140</t>
  </si>
  <si>
    <t>corta pajillas</t>
  </si>
  <si>
    <t>crayon marking</t>
  </si>
  <si>
    <t>creolina litro</t>
  </si>
  <si>
    <t>cuchilla doble filo</t>
  </si>
  <si>
    <t>cyanocobalamina american 150</t>
  </si>
  <si>
    <t xml:space="preserve">dilatador </t>
  </si>
  <si>
    <t>dmoso gel</t>
  </si>
  <si>
    <t>equipo de venoclisis desechable</t>
  </si>
  <si>
    <t>equipo de venoclisis reusable</t>
  </si>
  <si>
    <t>foley 2% kilo</t>
  </si>
  <si>
    <t>formula 707 kg</t>
  </si>
  <si>
    <t>formula 707 25 lb</t>
  </si>
  <si>
    <t>fosfuro de zinc</t>
  </si>
  <si>
    <t xml:space="preserve">funda azul </t>
  </si>
  <si>
    <t>fundas</t>
  </si>
  <si>
    <t>guantes</t>
  </si>
  <si>
    <t xml:space="preserve">guantes desechables </t>
  </si>
  <si>
    <t>hans super americano</t>
  </si>
  <si>
    <t>herradura alumnio</t>
  </si>
  <si>
    <t>herraduras de trabajo</t>
  </si>
  <si>
    <t>hoja de bisturi</t>
  </si>
  <si>
    <t>iman</t>
  </si>
  <si>
    <t>intestroll</t>
  </si>
  <si>
    <t>prelisis</t>
  </si>
  <si>
    <t>jeringa automatica</t>
  </si>
  <si>
    <t>jeringa desechable  10ml</t>
  </si>
  <si>
    <t>jeringa desechable  20ml</t>
  </si>
  <si>
    <t>jeringa desechable  25ml</t>
  </si>
  <si>
    <t>jeringa desechable  30ml</t>
  </si>
  <si>
    <t>jeringa desechable  3ml</t>
  </si>
  <si>
    <t>jeringa desechable  5ml</t>
  </si>
  <si>
    <t>jeringa desechable  60ml</t>
  </si>
  <si>
    <t>jeringa desechable insulina</t>
  </si>
  <si>
    <t>jeringa dosificadora</t>
  </si>
  <si>
    <t>jeringa naylon 10  ml</t>
  </si>
  <si>
    <t>jeringa naylon 20  ml</t>
  </si>
  <si>
    <t>jeringa naylon 30  ml</t>
  </si>
  <si>
    <t>jeringa naylon 50  ml</t>
  </si>
  <si>
    <t>jeringa tomas oral</t>
  </si>
  <si>
    <t>liga castradora</t>
  </si>
  <si>
    <t xml:space="preserve">mamila  </t>
  </si>
  <si>
    <t>mamilas deLaval</t>
  </si>
  <si>
    <t>mamilas ultraline</t>
  </si>
  <si>
    <t>mandil</t>
  </si>
  <si>
    <t>mandil con agarraderas</t>
  </si>
  <si>
    <t>mane it taile sampho</t>
  </si>
  <si>
    <t>manguera aire 9/16</t>
  </si>
  <si>
    <t xml:space="preserve">manguera cuata </t>
  </si>
  <si>
    <t>manguera leche 5/8</t>
  </si>
  <si>
    <t>manguera para casquillos</t>
  </si>
  <si>
    <t>micro mix</t>
  </si>
  <si>
    <t>narizote acero inox.</t>
  </si>
  <si>
    <t>narizote bronce</t>
  </si>
  <si>
    <t>pipetas</t>
  </si>
  <si>
    <t>polvo santa cruz</t>
  </si>
  <si>
    <t>redcel</t>
  </si>
  <si>
    <t>repuesto para sellador</t>
  </si>
  <si>
    <t>sellador naranja galon</t>
  </si>
  <si>
    <t>sellador oro galon</t>
  </si>
  <si>
    <t>sellador Oro litro</t>
  </si>
  <si>
    <t>sierra de liz mts</t>
  </si>
  <si>
    <t>sonda sombrilla</t>
  </si>
  <si>
    <t>sonda tiraleche metalica</t>
  </si>
  <si>
    <t>sonda tiraleche plastica</t>
  </si>
  <si>
    <t>sonda tiraleche tapon rojo</t>
  </si>
  <si>
    <t>steron litro</t>
  </si>
  <si>
    <t>suturas</t>
  </si>
  <si>
    <t>tenaza</t>
  </si>
  <si>
    <t>top gun</t>
  </si>
  <si>
    <t>trocar</t>
  </si>
  <si>
    <t>venda para caballo carrera</t>
  </si>
  <si>
    <t>vitasan cubeta</t>
  </si>
  <si>
    <t>yodo galon</t>
  </si>
  <si>
    <t>yodo litro</t>
  </si>
  <si>
    <t xml:space="preserve">esteron </t>
  </si>
  <si>
    <t>chapoleo</t>
  </si>
  <si>
    <t xml:space="preserve">varios </t>
  </si>
  <si>
    <t>freno</t>
  </si>
  <si>
    <t>vedi</t>
  </si>
  <si>
    <t>anamastil 100 ml</t>
  </si>
  <si>
    <t xml:space="preserve">anamastil jer </t>
  </si>
  <si>
    <t>anamastil 500 ml</t>
  </si>
  <si>
    <t>antidiarreico vedi sobre</t>
  </si>
  <si>
    <t>dexalong forte 100 ml</t>
  </si>
  <si>
    <t>ercanol 10 ml  gotero</t>
  </si>
  <si>
    <t>ercanol oral 120 ml</t>
  </si>
  <si>
    <t>ercanol 10 ml iny</t>
  </si>
  <si>
    <t>ercanol 100 ml</t>
  </si>
  <si>
    <t>ercanol 50 ml</t>
  </si>
  <si>
    <t>maminthol 200 grms</t>
  </si>
  <si>
    <t>maminthol 30 grms</t>
  </si>
  <si>
    <t xml:space="preserve">ruminolax </t>
  </si>
  <si>
    <t>ru vio tic sobre 20 gms</t>
  </si>
  <si>
    <t>ru vio tic 125 gms</t>
  </si>
  <si>
    <t>ru vio tic 500 grms</t>
  </si>
  <si>
    <t>ru vio tic kg</t>
  </si>
  <si>
    <t>tetracol dex 10 ml</t>
  </si>
  <si>
    <t>tetracol dex 20 ml</t>
  </si>
  <si>
    <t>tetracol dex 100 ml</t>
  </si>
  <si>
    <t>tetracol dex 250 ml</t>
  </si>
  <si>
    <t>vedivit b 12 6000 50 ml</t>
  </si>
  <si>
    <t>vedivit b 12 6000  100 ml</t>
  </si>
  <si>
    <t>vetinova</t>
  </si>
  <si>
    <t>respirex 50 tab</t>
  </si>
  <si>
    <t>respirex 100 tab</t>
  </si>
  <si>
    <t>respirex sobre 10 gr</t>
  </si>
  <si>
    <t>coxifflex 100 tab</t>
  </si>
  <si>
    <t>coxifflex 50 tabs</t>
  </si>
  <si>
    <t>coxifflex polvo 100 grms</t>
  </si>
  <si>
    <t>coxifflex sobre</t>
  </si>
  <si>
    <t>wormex 100 tab</t>
  </si>
  <si>
    <t>wormex 50 tab</t>
  </si>
  <si>
    <t>wormex  sobre</t>
  </si>
  <si>
    <t>super rooster 100 tb</t>
  </si>
  <si>
    <t>super rooster 50 tb</t>
  </si>
  <si>
    <t>super nux 100 tabs</t>
  </si>
  <si>
    <t>super nux 50 tabs</t>
  </si>
  <si>
    <t>veti k 50  tabs</t>
  </si>
  <si>
    <t>veti k 100 tabs</t>
  </si>
  <si>
    <t>bleed stop</t>
  </si>
  <si>
    <t>oxypower 50 tabs</t>
  </si>
  <si>
    <t>oxypower 100 tabs</t>
  </si>
  <si>
    <t>spray cure</t>
  </si>
  <si>
    <t>ultra b 12  5000  100 tabs</t>
  </si>
  <si>
    <t>ultra b 12   5000   50 tabs</t>
  </si>
  <si>
    <t>turbotonic 100 tabs</t>
  </si>
  <si>
    <t>turbotonic 50 tabs</t>
  </si>
  <si>
    <t>turbotonic sobres</t>
  </si>
  <si>
    <t>coruflit</t>
  </si>
  <si>
    <t>vetoquinol</t>
  </si>
  <si>
    <t>aluspray</t>
  </si>
  <si>
    <t>cothivet 30</t>
  </si>
  <si>
    <t>cothivet 100</t>
  </si>
  <si>
    <t>serimmunpet jeringa oral 15 ml</t>
  </si>
  <si>
    <t>oribiotic 10 gr</t>
  </si>
  <si>
    <t>surolan 15 ml</t>
  </si>
  <si>
    <t>tolfine 50 ml</t>
  </si>
  <si>
    <t>diurezone 50 ml</t>
  </si>
  <si>
    <t>vetacortyl 5 ml</t>
  </si>
  <si>
    <t>flexadin 30 tabs</t>
  </si>
  <si>
    <t>calmivet 50 ml</t>
  </si>
  <si>
    <t>calmivet pastilla</t>
  </si>
  <si>
    <t>frecardyl</t>
  </si>
  <si>
    <t>kynoselen</t>
  </si>
  <si>
    <t>ornipural</t>
  </si>
  <si>
    <t>universal medicated shampoo</t>
  </si>
  <si>
    <t>heamolytan 400 litro</t>
  </si>
  <si>
    <t>selepherol 100 ml</t>
  </si>
  <si>
    <t>virbac</t>
  </si>
  <si>
    <t xml:space="preserve">alizin </t>
  </si>
  <si>
    <t>aquadent 250 ml</t>
  </si>
  <si>
    <t>rilexine 300</t>
  </si>
  <si>
    <t>arthridine 100 ml</t>
  </si>
  <si>
    <t>arthridine 250 ml</t>
  </si>
  <si>
    <t>canigen puppy extra</t>
  </si>
  <si>
    <t>canigen quintuple</t>
  </si>
  <si>
    <t>canigen triple</t>
  </si>
  <si>
    <t>dexoryl 20 gr</t>
  </si>
  <si>
    <t>dexoryl 10 gr</t>
  </si>
  <si>
    <t>endogard 10</t>
  </si>
  <si>
    <t>endogard 2.5</t>
  </si>
  <si>
    <t>endogar puppy jer</t>
  </si>
  <si>
    <t>endogard 30</t>
  </si>
  <si>
    <t>epi sothe</t>
  </si>
  <si>
    <t>easiotic 10 ml</t>
  </si>
  <si>
    <t xml:space="preserve">allermyl glyco </t>
  </si>
  <si>
    <t>cortavance 76 ml</t>
  </si>
  <si>
    <t>megaderm 28 sachets</t>
  </si>
  <si>
    <t>hexadene spherulites</t>
  </si>
  <si>
    <t xml:space="preserve">pyoben </t>
  </si>
  <si>
    <t>hepatonic 100 ml</t>
  </si>
  <si>
    <t>nutri plus gel</t>
  </si>
  <si>
    <t>nutri plus tabs 30 tabletas</t>
  </si>
  <si>
    <t>nutri plus tabs 60 tabletas</t>
  </si>
  <si>
    <t>parvo</t>
  </si>
  <si>
    <t>phospho 20 100 ml</t>
  </si>
  <si>
    <t>phospho 20 250 ml</t>
  </si>
  <si>
    <t>proton 500 100 ml</t>
  </si>
  <si>
    <t>novormon 5000</t>
  </si>
  <si>
    <t xml:space="preserve">rilexine 75 mg </t>
  </si>
  <si>
    <t>rilexine 150 100 ml</t>
  </si>
  <si>
    <t xml:space="preserve">rilexine 600 </t>
  </si>
  <si>
    <t>shotapen la  250 ml</t>
  </si>
  <si>
    <t>shotapen la 100 ml</t>
  </si>
  <si>
    <t xml:space="preserve">potencil 100 ml </t>
  </si>
  <si>
    <t xml:space="preserve">tetrabiocil 6 mll </t>
  </si>
  <si>
    <t>vitaminthe 10 ml</t>
  </si>
  <si>
    <t>vitaminthe 25 ml</t>
  </si>
  <si>
    <t>zeralon 250 ml</t>
  </si>
  <si>
    <t>zeralon 50 ml</t>
  </si>
  <si>
    <t>zeramec 250 ml</t>
  </si>
  <si>
    <t>zeramec 50 ml</t>
  </si>
  <si>
    <t>zoletil 100</t>
  </si>
  <si>
    <t xml:space="preserve">zoletil 50 </t>
  </si>
  <si>
    <t>wittney</t>
  </si>
  <si>
    <t>adevite 100 ml</t>
  </si>
  <si>
    <t>adevite 500 ml</t>
  </si>
  <si>
    <t>amino com</t>
  </si>
  <si>
    <t>C.M.F.</t>
  </si>
  <si>
    <t>magmilax</t>
  </si>
  <si>
    <t>mastisul</t>
  </si>
  <si>
    <t>pasta descornadora</t>
  </si>
  <si>
    <t>polvo optico</t>
  </si>
  <si>
    <t>vitamina b complejo 100 ml</t>
  </si>
  <si>
    <t>vitamina b complejo 250 ml</t>
  </si>
  <si>
    <t>zirin</t>
  </si>
  <si>
    <t>cardiobee 15 10 ml</t>
  </si>
  <si>
    <t>cardiobee 15 50 ml</t>
  </si>
  <si>
    <t>cardiobee 15 100 ml</t>
  </si>
  <si>
    <t>cardiobee 15 250 ml</t>
  </si>
  <si>
    <t>super vit caballo</t>
  </si>
  <si>
    <t>complejo b 500 ml</t>
  </si>
  <si>
    <t>super ace okasome 100 ml</t>
  </si>
  <si>
    <t>super ace okasome 50 ml</t>
  </si>
  <si>
    <t>super ace okasome 250 ml</t>
  </si>
  <si>
    <t>super sorbin 250 ml</t>
  </si>
  <si>
    <t>super sorbin litro</t>
  </si>
  <si>
    <t>zirca negro 500 ml</t>
  </si>
  <si>
    <t>zoetis</t>
  </si>
  <si>
    <t>calmafos 500 ml</t>
  </si>
  <si>
    <t>clovite 25  lb</t>
  </si>
  <si>
    <t>domoso 100 ml</t>
  </si>
  <si>
    <t>duphafral e + sel 250 ml</t>
  </si>
  <si>
    <t>equipoise 10 ml</t>
  </si>
  <si>
    <t>equipoise 50 ml</t>
  </si>
  <si>
    <t xml:space="preserve">fluvac inovator ehv </t>
  </si>
  <si>
    <t>fluvet 10 ml</t>
  </si>
  <si>
    <t>fluvet 50 ml</t>
  </si>
  <si>
    <t>fluvicina forte 100 ml</t>
  </si>
  <si>
    <t>fluvicina 4 mlls</t>
  </si>
  <si>
    <t>masstex jeringa 10 ml</t>
  </si>
  <si>
    <t>mastex 100 ml</t>
  </si>
  <si>
    <t>progesterona 10 ml</t>
  </si>
  <si>
    <t>ripercol 100 ml</t>
  </si>
  <si>
    <t>ripercol 500 ml</t>
  </si>
  <si>
    <t>tetanos toxide</t>
  </si>
  <si>
    <t>bovi shield gold fps 50 ds</t>
  </si>
  <si>
    <t>cattle master 4 + l 5 10 ds</t>
  </si>
  <si>
    <t>cattle master 4 + l 5 25 ds</t>
  </si>
  <si>
    <t>cattle master goldo fpd 10 ds</t>
  </si>
  <si>
    <t>cattle master goldo fpd 25 ds</t>
  </si>
  <si>
    <t>dectomas 50 ml</t>
  </si>
  <si>
    <t>dectomas 500 ml</t>
  </si>
  <si>
    <t xml:space="preserve">ecp </t>
  </si>
  <si>
    <t>emicina LA 100 ml</t>
  </si>
  <si>
    <t>emicina LA 250 ml</t>
  </si>
  <si>
    <t>emicina liquida 100 ml</t>
  </si>
  <si>
    <t>emicina liquida 20 ml</t>
  </si>
  <si>
    <t>emicina liquida 500 ml</t>
  </si>
  <si>
    <t>excenel rtu</t>
  </si>
  <si>
    <t>hippiron</t>
  </si>
  <si>
    <t>leptoferm 5</t>
  </si>
  <si>
    <t xml:space="preserve">lutalyse </t>
  </si>
  <si>
    <t>mamisan chico</t>
  </si>
  <si>
    <t>mamisan grande 200 gr.</t>
  </si>
  <si>
    <t>orbenin</t>
  </si>
  <si>
    <t>terramicina  F.A 50 GR</t>
  </si>
  <si>
    <t>terramicina C/ H 5 GR</t>
  </si>
  <si>
    <t>bovi shield gold fps 10 ds</t>
  </si>
  <si>
    <t>dipiron 500 ml</t>
  </si>
  <si>
    <t xml:space="preserve">bronquivet nf </t>
  </si>
  <si>
    <t>vitamina b 12 3000 100 ml</t>
  </si>
  <si>
    <t>p calimag 250ml</t>
  </si>
  <si>
    <t xml:space="preserve">basetyl max 250ml </t>
  </si>
  <si>
    <t xml:space="preserve">racmina premix kg </t>
  </si>
  <si>
    <t>clindapis 150mg 20tb</t>
  </si>
  <si>
    <t>ectosin equus simple</t>
  </si>
  <si>
    <t>vermi horse jeringa</t>
  </si>
  <si>
    <t>closantel 5% oral 500ml</t>
  </si>
  <si>
    <t>multivit b 50ml</t>
  </si>
  <si>
    <t>ceftiopan 250ml</t>
  </si>
  <si>
    <t>scourguard 4 kc</t>
  </si>
  <si>
    <t>ultrabac 7 10 ds</t>
  </si>
  <si>
    <t>ultrabac 7 50 ds</t>
  </si>
  <si>
    <t>tsv-2  ds</t>
  </si>
  <si>
    <t>draxxin 20 ml</t>
  </si>
  <si>
    <t>terramicina  F.A 200 GR</t>
  </si>
  <si>
    <t>terramicina C/H 50 GR</t>
  </si>
  <si>
    <t>teatseal jer</t>
  </si>
  <si>
    <t>rimadyl af 50 ml</t>
  </si>
  <si>
    <t>cidr bovinos</t>
  </si>
  <si>
    <t>coccizuril 100 tab</t>
  </si>
  <si>
    <t>pisadol oral 10 ml</t>
  </si>
  <si>
    <t>pisadol iny 20 ml</t>
  </si>
  <si>
    <t>pisadol iny 50 ml</t>
  </si>
  <si>
    <t>piroflox 150 mg tabs</t>
  </si>
  <si>
    <t>piroflox 50 mg tabs</t>
  </si>
  <si>
    <t>prantel susp 150 ml</t>
  </si>
  <si>
    <t>prantel susp 20 ml</t>
  </si>
  <si>
    <t>pisabental 100 ml</t>
  </si>
  <si>
    <t>furacin pom 85 g</t>
  </si>
  <si>
    <t>equiprazol</t>
  </si>
  <si>
    <t>basetyl max 100 ml</t>
  </si>
  <si>
    <t>ranulin  iny 50 ml</t>
  </si>
  <si>
    <t>procin equus  10 % 50 ml</t>
  </si>
  <si>
    <t>p calimag 100 ml</t>
  </si>
  <si>
    <t>severin tab</t>
  </si>
  <si>
    <t>dyscural p.v.e 20 ml</t>
  </si>
  <si>
    <t>fluxymeg 100 ml</t>
  </si>
  <si>
    <t xml:space="preserve">diastopan 2.4 kg </t>
  </si>
  <si>
    <t>doblepen s</t>
  </si>
  <si>
    <t>mastivac 100 ml</t>
  </si>
  <si>
    <t>albendazol litro</t>
  </si>
  <si>
    <t>diclofenaco 100 ml</t>
  </si>
  <si>
    <t>diclofenaco 250 ,l</t>
  </si>
  <si>
    <t>ecofen oral 120 ml</t>
  </si>
  <si>
    <t>ecofen oral 20 ml</t>
  </si>
  <si>
    <t>eco plus 50 tab</t>
  </si>
  <si>
    <t>eco plus 100 tab</t>
  </si>
  <si>
    <t>toltrazuril 20 ml</t>
  </si>
  <si>
    <t>toltrazuril 120 ml</t>
  </si>
  <si>
    <t>enro 100 ml</t>
  </si>
  <si>
    <t>enro 250 ml</t>
  </si>
  <si>
    <t>ivermectina 50 ml</t>
  </si>
  <si>
    <t>eclipse 250 gr</t>
  </si>
  <si>
    <t>eclipse 100 gr</t>
  </si>
  <si>
    <t>mederilab</t>
  </si>
  <si>
    <t>alben min litro</t>
  </si>
  <si>
    <t>block in litro</t>
  </si>
  <si>
    <t>clindacin 10 30 t</t>
  </si>
  <si>
    <t>clindacion 30 30 t</t>
  </si>
  <si>
    <t>artrodol 30 30 t</t>
  </si>
  <si>
    <t>artrodol 10 30 t</t>
  </si>
  <si>
    <t>alben max 10 30 t</t>
  </si>
  <si>
    <t>alben max 30 30t</t>
  </si>
  <si>
    <t>clindagen 25 ml</t>
  </si>
  <si>
    <t>dermisan spray</t>
  </si>
  <si>
    <t>doximed 10 30 tab</t>
  </si>
  <si>
    <t>epilexis 5</t>
  </si>
  <si>
    <t>epilexis 10</t>
  </si>
  <si>
    <t>epilexis 30</t>
  </si>
  <si>
    <t>forte 4 spray 240 ml</t>
  </si>
  <si>
    <t xml:space="preserve"> levivet 10 30 tab </t>
  </si>
  <si>
    <t>nidazol oral 60 ml</t>
  </si>
  <si>
    <t>nidazol 30 tab</t>
  </si>
  <si>
    <t>pregabalyn 5</t>
  </si>
  <si>
    <t>pregabalyn 10</t>
  </si>
  <si>
    <t>respimed 30 tab</t>
  </si>
  <si>
    <t>trisul d 25 ml</t>
  </si>
  <si>
    <t xml:space="preserve">omepra </t>
  </si>
  <si>
    <t xml:space="preserve">relax gotas 30 t </t>
  </si>
  <si>
    <t xml:space="preserve">relax spray 30 t </t>
  </si>
  <si>
    <t>nutrivit tab</t>
  </si>
  <si>
    <t>gastryl iny 10 ml</t>
  </si>
  <si>
    <t>gastryl iny 50 ml</t>
  </si>
  <si>
    <t>block 250 ml</t>
  </si>
  <si>
    <t>block 500 ml</t>
  </si>
  <si>
    <t>andobiotic 1 ml</t>
  </si>
  <si>
    <t>andobiotic 5 ml</t>
  </si>
  <si>
    <t>fluviotic 4 mll</t>
  </si>
  <si>
    <t>penicilina acuosa 500 ml</t>
  </si>
  <si>
    <t>shampoo para caballo 500 ml</t>
  </si>
  <si>
    <t>shampoo para caballo lt</t>
  </si>
  <si>
    <t xml:space="preserve">mucotox </t>
  </si>
  <si>
    <t xml:space="preserve">aceite germen </t>
  </si>
  <si>
    <t>coccizuril 50 tab</t>
  </si>
  <si>
    <t>ojosan</t>
  </si>
  <si>
    <t xml:space="preserve">pervinal jarabe </t>
  </si>
  <si>
    <t>hierronil 500 ml</t>
  </si>
  <si>
    <t>stamin atom 100 ml</t>
  </si>
  <si>
    <t>thiamina hcl 100 ml</t>
  </si>
  <si>
    <t>vitamina c iny 100 ml</t>
  </si>
  <si>
    <t>zirin relax 500 gr</t>
  </si>
  <si>
    <t>zirin relax 1 kg</t>
  </si>
  <si>
    <t>zirin relax 2 kg</t>
  </si>
  <si>
    <t>gt-aves y lechones 100 ml</t>
  </si>
  <si>
    <t>gt-300 100 ml</t>
  </si>
  <si>
    <t>gt-300 250 ml</t>
  </si>
  <si>
    <t>gt-300 500 ml</t>
  </si>
  <si>
    <t>cocci pier 100 ml</t>
  </si>
  <si>
    <t>cocci pier 250 ml</t>
  </si>
  <si>
    <t>s tiron oral 20 ml</t>
  </si>
  <si>
    <t>sulfato de cobre 250 g</t>
  </si>
  <si>
    <t>ivermectin pour on  7 ml</t>
  </si>
  <si>
    <t>electrolictos 100 gt</t>
  </si>
  <si>
    <t>electrolictos 5 gr</t>
  </si>
  <si>
    <t>endovet ces 100 ml</t>
  </si>
  <si>
    <t>endovet gallos</t>
  </si>
  <si>
    <t>endovet iny 10 ml</t>
  </si>
  <si>
    <t>endovet polivitam 10 ml</t>
  </si>
  <si>
    <t>endovet polivitam 50 ml</t>
  </si>
  <si>
    <t>endovet polivitam 100 ml</t>
  </si>
  <si>
    <t>endovet polivitam 250 ml</t>
  </si>
  <si>
    <t xml:space="preserve">galliforte </t>
  </si>
  <si>
    <t xml:space="preserve">micofin </t>
  </si>
  <si>
    <t>polivit b12+ade 50 ml</t>
  </si>
  <si>
    <t>polivit b12 +ade 100 ml</t>
  </si>
  <si>
    <t>polivit b12 +ade 250ml</t>
  </si>
  <si>
    <t>polivit b12 +ade 500 ml</t>
  </si>
  <si>
    <t>rafoxcur 500 ml</t>
  </si>
  <si>
    <t>sulfatrim 25 ml</t>
  </si>
  <si>
    <t>super polivit gallos  5 ml</t>
  </si>
  <si>
    <t>super polivit gallos  50 ml</t>
  </si>
  <si>
    <t>vitamina b12 5500 100 ml</t>
  </si>
  <si>
    <t xml:space="preserve">dolo vet oftalmico </t>
  </si>
  <si>
    <t>polivit b12+ade 10 ml</t>
  </si>
  <si>
    <t>peristalti na</t>
  </si>
  <si>
    <t>probioticos248</t>
  </si>
  <si>
    <t>metrosulfa 100</t>
  </si>
  <si>
    <t>dexa estrepto 2 mll</t>
  </si>
  <si>
    <t>dexa estrepto 6 mll</t>
  </si>
  <si>
    <t>dexa estrepto 12 mll</t>
  </si>
  <si>
    <t>estrepto plus 6 mlls</t>
  </si>
  <si>
    <t>estrepto plus 12 mlls</t>
  </si>
  <si>
    <t>streptovet 6 mll</t>
  </si>
  <si>
    <t>streptovet 4 mll</t>
  </si>
  <si>
    <t>estrepto plus 4 mlls</t>
  </si>
  <si>
    <t>dexa estrepto 4 mll</t>
  </si>
  <si>
    <t>turboffler 100 ml</t>
  </si>
  <si>
    <t>triamadol 20 ml</t>
  </si>
  <si>
    <t>meloxinn 30 ml</t>
  </si>
  <si>
    <t>sucralvet 15 ml</t>
  </si>
  <si>
    <t xml:space="preserve">pre pro bios </t>
  </si>
  <si>
    <t>diprofaq</t>
  </si>
  <si>
    <t>cefaxal 60 ml</t>
  </si>
  <si>
    <t>clavam 60 ml</t>
  </si>
  <si>
    <t xml:space="preserve">petskrim 40 g </t>
  </si>
  <si>
    <t>cefaletas 200 mg</t>
  </si>
  <si>
    <t>cefaletas 400 mg</t>
  </si>
  <si>
    <t>optivan 20 ml</t>
  </si>
  <si>
    <t xml:space="preserve">petskrim 120 g </t>
  </si>
  <si>
    <t>amprox la 100 ml</t>
  </si>
  <si>
    <t>gentakiny 10 ml</t>
  </si>
  <si>
    <t>kiron</t>
  </si>
  <si>
    <t xml:space="preserve">kiron </t>
  </si>
  <si>
    <t>lagrivet sc 10 ml</t>
  </si>
  <si>
    <t>azitrokir 200  6 tab</t>
  </si>
  <si>
    <t xml:space="preserve">cefaletas 600 mg </t>
  </si>
  <si>
    <t>petspharma</t>
  </si>
  <si>
    <t>amoxipet 250 30 tab</t>
  </si>
  <si>
    <t>amoxipet 500 14 tab</t>
  </si>
  <si>
    <t>shotapen clasic 100 ml</t>
  </si>
  <si>
    <t>shotapen clasic 250 ml</t>
  </si>
  <si>
    <t xml:space="preserve">tetrabiocil 2 mll </t>
  </si>
  <si>
    <t xml:space="preserve">tetrabiocil 4 mll </t>
  </si>
  <si>
    <t>maxicolli</t>
  </si>
  <si>
    <t>cipioactive 50 ml</t>
  </si>
  <si>
    <t>estroactive 50 ml</t>
  </si>
  <si>
    <t>rilexine 200 np</t>
  </si>
  <si>
    <t>rilexine 500</t>
  </si>
  <si>
    <t xml:space="preserve">ruminal </t>
  </si>
  <si>
    <t xml:space="preserve">canigen cuadruple </t>
  </si>
  <si>
    <t xml:space="preserve">rabigen </t>
  </si>
  <si>
    <t>virbagen omega</t>
  </si>
  <si>
    <t xml:space="preserve">leucogen </t>
  </si>
  <si>
    <t>anxitane ml</t>
  </si>
  <si>
    <t>anxitane s</t>
  </si>
  <si>
    <t>allerderm 2 ml</t>
  </si>
  <si>
    <t>allerderm 4 ml</t>
  </si>
  <si>
    <t>allergroom</t>
  </si>
  <si>
    <t xml:space="preserve">ketochlor </t>
  </si>
  <si>
    <t>sanix 120 ml</t>
  </si>
  <si>
    <t>fisio antiolor</t>
  </si>
  <si>
    <t xml:space="preserve">chondroflex 525 </t>
  </si>
  <si>
    <t>chondroflex 375</t>
  </si>
  <si>
    <t>chondroflex 225</t>
  </si>
  <si>
    <t>nutri bond perros</t>
  </si>
  <si>
    <t>nutri bond gatos</t>
  </si>
  <si>
    <t>effitix 1.5-4</t>
  </si>
  <si>
    <t>effitix 4-10</t>
  </si>
  <si>
    <t>effitix 10-20</t>
  </si>
  <si>
    <t>effitix 20-40</t>
  </si>
  <si>
    <t>effitix 40-60</t>
  </si>
  <si>
    <t>effipro gato 1-6</t>
  </si>
  <si>
    <t>effipro gato 6-12</t>
  </si>
  <si>
    <t>effipro 2-10</t>
  </si>
  <si>
    <t>effipro 10-20</t>
  </si>
  <si>
    <t>effipro 20-40</t>
  </si>
  <si>
    <t>effipro 40-60</t>
  </si>
  <si>
    <t>credelio 1.3-2.5</t>
  </si>
  <si>
    <t>credelio 2.5-5.5</t>
  </si>
  <si>
    <t>credelio 5.5 - 11</t>
  </si>
  <si>
    <t>credelio 11-22</t>
  </si>
  <si>
    <t>preventik collar</t>
  </si>
  <si>
    <t xml:space="preserve">potencil 250 ml </t>
  </si>
  <si>
    <t>shotadex la 100 ml</t>
  </si>
  <si>
    <t>shotapen  clasic 250 ml</t>
  </si>
  <si>
    <t>virbagest 900 ml</t>
  </si>
  <si>
    <t xml:space="preserve">epiotic  </t>
  </si>
  <si>
    <t>curacef 100</t>
  </si>
  <si>
    <t>curacef 250</t>
  </si>
  <si>
    <t>equimax</t>
  </si>
  <si>
    <t>inmunoidi</t>
  </si>
  <si>
    <t>genesis 10 ml</t>
  </si>
  <si>
    <t>gorbazoo table</t>
  </si>
  <si>
    <t>micotic 2 tab</t>
  </si>
  <si>
    <t xml:space="preserve">genesis pasta </t>
  </si>
  <si>
    <t>genesis 50ml</t>
  </si>
  <si>
    <t>bioarsenol 50 ml</t>
  </si>
  <si>
    <t>ext. De hígado 50 ml</t>
  </si>
  <si>
    <t xml:space="preserve">derriengue biozoo </t>
  </si>
  <si>
    <t>biodipirona 20ml</t>
  </si>
  <si>
    <t>bioquin 20 ml</t>
  </si>
  <si>
    <t>bioquin 6 % oral</t>
  </si>
  <si>
    <t>bioxil la 250  ml</t>
  </si>
  <si>
    <t>¡¡¡¡</t>
  </si>
  <si>
    <t>clavam tab</t>
  </si>
  <si>
    <t>diprofenif 30 ml</t>
  </si>
  <si>
    <t>clorexivet jabon</t>
  </si>
  <si>
    <t>amoxiclav suspensión</t>
  </si>
  <si>
    <t>donexet 100 tab</t>
  </si>
  <si>
    <t xml:space="preserve">pisaliv </t>
  </si>
  <si>
    <t>darbazin jer</t>
  </si>
  <si>
    <t>prantel toy 20 tabs</t>
  </si>
  <si>
    <t>prantel susp20 ml</t>
  </si>
  <si>
    <t>beplenovax</t>
  </si>
  <si>
    <t>horprogest</t>
  </si>
  <si>
    <t xml:space="preserve">indupar </t>
  </si>
  <si>
    <t xml:space="preserve">oxitopisa  100 ml </t>
  </si>
  <si>
    <t>oxitopisa  250 ml</t>
  </si>
  <si>
    <t>electrodex pediatrico</t>
  </si>
  <si>
    <t>antivon 20 ml</t>
  </si>
  <si>
    <t xml:space="preserve">equiprazol pasta </t>
  </si>
  <si>
    <t>pentren 10 ml</t>
  </si>
  <si>
    <t xml:space="preserve">selectur </t>
  </si>
  <si>
    <t>ectosin litro</t>
  </si>
  <si>
    <t>calciosol 100</t>
  </si>
  <si>
    <t>nexgard 2.3</t>
  </si>
  <si>
    <t>nexgard 3.7</t>
  </si>
  <si>
    <t>nexgard 7.15</t>
  </si>
  <si>
    <t>nexgard 30.60</t>
  </si>
  <si>
    <t>nexgard 15.30</t>
  </si>
  <si>
    <t>frontline spray 100 ml</t>
  </si>
  <si>
    <t xml:space="preserve">fureal </t>
  </si>
  <si>
    <t>sebaciclina 500 ml</t>
  </si>
  <si>
    <t>respirex sobre 100 grms</t>
  </si>
  <si>
    <t>recombitek c4</t>
  </si>
  <si>
    <t>recombitek c6</t>
  </si>
  <si>
    <t>absorbine linimento 946  ml</t>
  </si>
  <si>
    <t>absorbine linimento 500 ml</t>
  </si>
  <si>
    <t>bactoderm shampoo</t>
  </si>
  <si>
    <t>ear clean 150 ml</t>
  </si>
  <si>
    <t>adecto forte pasta</t>
  </si>
  <si>
    <t>11 vias 250</t>
  </si>
  <si>
    <t>11 vias 100</t>
  </si>
  <si>
    <t>11 vias 50</t>
  </si>
  <si>
    <t>contrac 10 ml</t>
  </si>
  <si>
    <t>arsiler 100 ml</t>
  </si>
  <si>
    <t>arsiler 250 ml</t>
  </si>
  <si>
    <t>vitadunkel 100 ml</t>
  </si>
  <si>
    <t>vitaler b12 5500 100</t>
  </si>
  <si>
    <t>3 sulfas 100 ml</t>
  </si>
  <si>
    <t>tylogant 20</t>
  </si>
  <si>
    <t>tylogant 100</t>
  </si>
  <si>
    <t>proteleer complex 20 ml</t>
  </si>
  <si>
    <t>proteleer complex 100 ml</t>
  </si>
  <si>
    <t>proteler complex 250 ml</t>
  </si>
  <si>
    <t>proteler 20 ml</t>
  </si>
  <si>
    <t>proteleer 100 ml</t>
  </si>
  <si>
    <t>vitrolero  40 jabones</t>
  </si>
  <si>
    <t>estrepto extra f 2 mll</t>
  </si>
  <si>
    <t>estrepto extra f 6 ml</t>
  </si>
  <si>
    <t>estrepto extra f 4</t>
  </si>
  <si>
    <t>dogalact</t>
  </si>
  <si>
    <t>megecat</t>
  </si>
  <si>
    <t>prifinial  iny</t>
  </si>
  <si>
    <t>septotryl 250 ml</t>
  </si>
  <si>
    <t xml:space="preserve">bioestrovet </t>
  </si>
  <si>
    <t xml:space="preserve">calf lyte </t>
  </si>
  <si>
    <t xml:space="preserve">fertiline </t>
  </si>
  <si>
    <t xml:space="preserve">suprestral </t>
  </si>
  <si>
    <t>pen hista strep 100</t>
  </si>
  <si>
    <t>fercobsang</t>
  </si>
  <si>
    <t>pisap</t>
  </si>
  <si>
    <t>napzin 50 ml</t>
  </si>
  <si>
    <t>napzin 100 ml</t>
  </si>
  <si>
    <t>actynoxel 250 ml</t>
  </si>
  <si>
    <t>fosfodica lt</t>
  </si>
  <si>
    <t>vitabecid 250 ml</t>
  </si>
  <si>
    <t>dexalong forte 10 ml</t>
  </si>
  <si>
    <t>emasol lt</t>
  </si>
  <si>
    <t>fosfovedi 250 ml</t>
  </si>
  <si>
    <t>fosfovedi 100 ml</t>
  </si>
  <si>
    <t>megluxyn 100 ml</t>
  </si>
  <si>
    <t>megluxyn 250 ml</t>
  </si>
  <si>
    <t>scarlet gel 100 gr</t>
  </si>
  <si>
    <t>scarlet sol 120 gms</t>
  </si>
  <si>
    <t xml:space="preserve">vezooprim 25 ml </t>
  </si>
  <si>
    <t xml:space="preserve">gonactive </t>
  </si>
  <si>
    <t>fosfosan 100  ml</t>
  </si>
  <si>
    <t>koptisin 250 ml</t>
  </si>
  <si>
    <t>severin sus</t>
  </si>
  <si>
    <t>alin tab</t>
  </si>
  <si>
    <t>alin oftalmico</t>
  </si>
  <si>
    <t xml:space="preserve">grinolon </t>
  </si>
  <si>
    <t>predoftal</t>
  </si>
  <si>
    <t>koptin tab</t>
  </si>
  <si>
    <t>koptin ssusp</t>
  </si>
  <si>
    <t>sentopri,m 25 m</t>
  </si>
  <si>
    <t>.</t>
  </si>
  <si>
    <t>gluticort t</t>
  </si>
  <si>
    <t>citius 100 ml</t>
  </si>
  <si>
    <t>citius 250 ml</t>
  </si>
  <si>
    <t xml:space="preserve">maxflor 250 ml </t>
  </si>
  <si>
    <t xml:space="preserve">inducel </t>
  </si>
  <si>
    <t>fosfosan 500  ml</t>
  </si>
  <si>
    <t xml:space="preserve">canigen puppy </t>
  </si>
  <si>
    <t>parvo clon</t>
  </si>
  <si>
    <t>feligen</t>
  </si>
  <si>
    <t>feligen /rabia</t>
  </si>
  <si>
    <t>capstar 11.4 mh</t>
  </si>
  <si>
    <t>capstar 57 mh</t>
  </si>
  <si>
    <t>clostrigen t 250 ml</t>
  </si>
  <si>
    <t>milpro 12.5</t>
  </si>
  <si>
    <t>sinataq</t>
  </si>
  <si>
    <t>vita joint</t>
  </si>
  <si>
    <t>piroflox 250 ml</t>
  </si>
  <si>
    <t xml:space="preserve">imation </t>
  </si>
  <si>
    <t xml:space="preserve">pisap </t>
  </si>
  <si>
    <t>mass performance eq</t>
  </si>
  <si>
    <t>mass performance yeg</t>
  </si>
  <si>
    <t>reddy</t>
  </si>
  <si>
    <t>amx 100 ml</t>
  </si>
  <si>
    <t xml:space="preserve">floxacine 100 </t>
  </si>
  <si>
    <t>gentalex 250 ml</t>
  </si>
  <si>
    <t>totenfli 1 kg</t>
  </si>
  <si>
    <t>th4 25 lt</t>
  </si>
  <si>
    <t>parafen pasta</t>
  </si>
  <si>
    <t>tribendazol litro</t>
  </si>
  <si>
    <t>avipen 10 ml</t>
  </si>
  <si>
    <t>equigan 250  ml</t>
  </si>
  <si>
    <t>galliver 100 tabletas</t>
  </si>
  <si>
    <t>gentomicyn super 10 ml</t>
  </si>
  <si>
    <t>super perfomance l 10 ml</t>
  </si>
  <si>
    <t>super vit. B 12 100 ml gallos</t>
  </si>
  <si>
    <t>super vit. B 12 100 ml caba</t>
  </si>
  <si>
    <t>super vit. B 12 30 ml gallo</t>
  </si>
  <si>
    <t>super vit. B 12 30 mlcaba</t>
  </si>
  <si>
    <t>super vit. B 12 5 ml gallos</t>
  </si>
  <si>
    <t>sure shot gallos 20 tab</t>
  </si>
  <si>
    <t>sure shot gallos 50 tab</t>
  </si>
  <si>
    <t>complejo b super 10 ml</t>
  </si>
  <si>
    <t>complejo b super 50 ml</t>
  </si>
  <si>
    <t>complejo b super 20 ml</t>
  </si>
  <si>
    <t>complejo b super 100 ml</t>
  </si>
  <si>
    <t>leticina 100 ml</t>
  </si>
  <si>
    <t>antoplex 50 ml</t>
  </si>
  <si>
    <t>dipirona 50</t>
  </si>
  <si>
    <t>aquavit 500</t>
  </si>
  <si>
    <t>cadef 500</t>
  </si>
  <si>
    <t xml:space="preserve">ferlocina </t>
  </si>
  <si>
    <t xml:space="preserve">espenfort 250 </t>
  </si>
  <si>
    <t>gonaforte</t>
  </si>
  <si>
    <t>parmisole ade + b 500 ml</t>
  </si>
  <si>
    <t>vitafor pelecha 100 gr</t>
  </si>
  <si>
    <t>vitafor pelecha 500 gr</t>
  </si>
  <si>
    <t>vitafor postura 100 gr</t>
  </si>
  <si>
    <t>vitafor postura 500 gr</t>
  </si>
  <si>
    <t>vitafor ade + b 10</t>
  </si>
  <si>
    <t>vitafor ade + b 100</t>
  </si>
  <si>
    <t>vitafor ade + b 500 ml</t>
  </si>
  <si>
    <t>PARFOSAL</t>
  </si>
  <si>
    <t xml:space="preserve">HISTAFORTE </t>
  </si>
  <si>
    <t>enroxil 0.2 %</t>
  </si>
  <si>
    <t>actuol LITRO</t>
  </si>
  <si>
    <t>super vit caballo carnitina</t>
  </si>
  <si>
    <t>clindafur 25 ml iny</t>
  </si>
  <si>
    <t>cis a prid 20ml</t>
  </si>
  <si>
    <t>clindaserin 30 g</t>
  </si>
  <si>
    <t>hialudol 4 ml</t>
  </si>
  <si>
    <t>bravo 100 ml</t>
  </si>
  <si>
    <t>bravo 250 ml</t>
  </si>
  <si>
    <t>bravo 500 ml</t>
  </si>
  <si>
    <t>bravo shampo</t>
  </si>
  <si>
    <t>broncotrim 30 ml</t>
  </si>
  <si>
    <t xml:space="preserve">damax </t>
  </si>
  <si>
    <t>damax 11</t>
  </si>
  <si>
    <t>emetin 10</t>
  </si>
  <si>
    <t>emetin 50</t>
  </si>
  <si>
    <t>emetin 2</t>
  </si>
  <si>
    <t>escuderm shampo</t>
  </si>
  <si>
    <t>metrinid tab</t>
  </si>
  <si>
    <t>respaire 30 tab</t>
  </si>
  <si>
    <t>tomo 60 ml</t>
  </si>
  <si>
    <t>unimast 100 ml</t>
  </si>
  <si>
    <t>virustad 50 ml</t>
  </si>
  <si>
    <t>xilocam gotas</t>
  </si>
  <si>
    <t>carprotec 20</t>
  </si>
  <si>
    <t>promofer 250 ml</t>
  </si>
  <si>
    <t>bendaval  100 ml</t>
  </si>
  <si>
    <t>avizin10 ds</t>
  </si>
  <si>
    <t>avizin 20 ds</t>
  </si>
  <si>
    <t>avizin 50 ds</t>
  </si>
  <si>
    <t>cefalexina 250mg</t>
  </si>
  <si>
    <t xml:space="preserve"> cefalexina 500 mg</t>
  </si>
  <si>
    <t>deltamicin 500 gr</t>
  </si>
  <si>
    <t>deltamicin 4 kg</t>
  </si>
  <si>
    <t>equixuprina</t>
  </si>
  <si>
    <t>fercobon 100</t>
  </si>
  <si>
    <t>ferragan 20 ml</t>
  </si>
  <si>
    <t>ferragan 100 ml</t>
  </si>
  <si>
    <t>fervinac 500 gr</t>
  </si>
  <si>
    <t xml:space="preserve">flagisyn </t>
  </si>
  <si>
    <t>gastroprazol  eq</t>
  </si>
  <si>
    <t>melvinac 250 ml</t>
  </si>
  <si>
    <t>melvinac ge</t>
  </si>
  <si>
    <t xml:space="preserve">pom. Ictiol </t>
  </si>
  <si>
    <t>vitamina b 15 25 ml</t>
  </si>
  <si>
    <t>vetoryl 5 mg</t>
  </si>
  <si>
    <t>forthyron 800</t>
  </si>
  <si>
    <t>vitamina b 15 10 ml</t>
  </si>
  <si>
    <t>ferragan 10 ml</t>
  </si>
  <si>
    <t>ambroxin 300 50 ml</t>
  </si>
  <si>
    <t>forthyron 600</t>
  </si>
  <si>
    <t>forthyron 400</t>
  </si>
  <si>
    <t>forthyron 200</t>
  </si>
  <si>
    <t>dermisan shampo</t>
  </si>
  <si>
    <t xml:space="preserve">enrodip </t>
  </si>
  <si>
    <t>forte g litro</t>
  </si>
  <si>
    <t xml:space="preserve">forte 4 lt </t>
  </si>
  <si>
    <t xml:space="preserve">forte 34  lt </t>
  </si>
  <si>
    <t xml:space="preserve">dermisan 30 tab </t>
  </si>
  <si>
    <t>lagrimed10 ml</t>
  </si>
  <si>
    <t>otisan  20 ml</t>
  </si>
  <si>
    <t>nidazol 10 tab</t>
  </si>
  <si>
    <t xml:space="preserve">silk shampoo </t>
  </si>
  <si>
    <t>trisul pets 60 ml</t>
  </si>
  <si>
    <t>trisul c 60 ml</t>
  </si>
  <si>
    <t>trisul pets 20 ml</t>
  </si>
  <si>
    <t>block in 250 ml</t>
  </si>
  <si>
    <t>block in 500 ml</t>
  </si>
  <si>
    <t xml:space="preserve">dermisan 10 tab </t>
  </si>
  <si>
    <t>forte 4 spray 120 ml</t>
  </si>
  <si>
    <t>enrocam 10</t>
  </si>
  <si>
    <t>ner mus</t>
  </si>
  <si>
    <t>doximed 30 30 tab</t>
  </si>
  <si>
    <t xml:space="preserve">gentadex </t>
  </si>
  <si>
    <t>sindol 30</t>
  </si>
  <si>
    <t>sindol  10</t>
  </si>
  <si>
    <t>forte 34  100 ml</t>
  </si>
  <si>
    <t>mycogal 100 ml</t>
  </si>
  <si>
    <t>diarrefin litro</t>
  </si>
  <si>
    <t>electroidi polvo</t>
  </si>
  <si>
    <t>helmicin 12 100 ml</t>
  </si>
  <si>
    <t>helmicin 12 500 ml</t>
  </si>
  <si>
    <t>enroxol 20 ml</t>
  </si>
  <si>
    <r>
      <t xml:space="preserve">iverfull </t>
    </r>
    <r>
      <rPr>
        <b/>
        <sz val="11"/>
        <color theme="1"/>
        <rFont val="Calibri"/>
        <family val="2"/>
        <scheme val="minor"/>
      </rPr>
      <t xml:space="preserve">F </t>
    </r>
    <r>
      <rPr>
        <sz val="11"/>
        <color theme="1"/>
        <rFont val="Calibri"/>
        <family val="2"/>
        <scheme val="minor"/>
      </rPr>
      <t>100 ML bovinos</t>
    </r>
  </si>
  <si>
    <t>iverfull f 500 ml bovinos</t>
  </si>
  <si>
    <t>parafen fascionil 120 ml</t>
  </si>
  <si>
    <t>parafen facionil litro</t>
  </si>
  <si>
    <t>parafen 3%</t>
  </si>
  <si>
    <t>eutafin 100 ml</t>
  </si>
  <si>
    <t>euyacol forte 50 ml</t>
  </si>
  <si>
    <t>pentobarbital 100 ml</t>
  </si>
  <si>
    <t xml:space="preserve">sanitor forge </t>
  </si>
  <si>
    <t>sanitor forge economico</t>
  </si>
  <si>
    <t>lasarnol  pets</t>
  </si>
  <si>
    <t xml:space="preserve">laxa pets </t>
  </si>
  <si>
    <t>melodex pets oral</t>
  </si>
  <si>
    <t>melodex pets iny</t>
  </si>
  <si>
    <t xml:space="preserve">necain pets </t>
  </si>
  <si>
    <t>jabon antipulgas</t>
  </si>
  <si>
    <t xml:space="preserve">shampo clean guard </t>
  </si>
  <si>
    <t>talco clean guard</t>
  </si>
  <si>
    <t xml:space="preserve">fortex </t>
  </si>
  <si>
    <t xml:space="preserve">onsec </t>
  </si>
  <si>
    <t xml:space="preserve">parafen tab </t>
  </si>
  <si>
    <t>parafen litro</t>
  </si>
  <si>
    <t>hierronil 100 ml</t>
  </si>
  <si>
    <t>oxyjet 100 ml</t>
  </si>
  <si>
    <t>tylofos 500 ml</t>
  </si>
  <si>
    <t>carty jet 4 ml</t>
  </si>
  <si>
    <t>azul vet spray</t>
  </si>
  <si>
    <t>genta jet 15 ml</t>
  </si>
  <si>
    <t>giardiaco</t>
  </si>
  <si>
    <t>bacterina triple 100 ml</t>
  </si>
  <si>
    <t>neogen ganado 250 ml</t>
  </si>
  <si>
    <t>stop jet 120 ml</t>
  </si>
  <si>
    <t xml:space="preserve">giardiacos xl  </t>
  </si>
  <si>
    <t>giardiacos susp 20 ml</t>
  </si>
  <si>
    <t>giardiacos susp 50 ml</t>
  </si>
  <si>
    <t>metronidapets 30 ml</t>
  </si>
  <si>
    <t>cimalgex 80 mg</t>
  </si>
  <si>
    <t>flexadin 90 tabs</t>
  </si>
  <si>
    <t xml:space="preserve">prifinial  tab 70 mg </t>
  </si>
  <si>
    <t>theracalcium  100 ml</t>
  </si>
  <si>
    <t xml:space="preserve">propalin  100 ml </t>
  </si>
  <si>
    <t>fortius la 250 ml</t>
  </si>
  <si>
    <t>veterralent  250 ml</t>
  </si>
  <si>
    <t>grofactor 5 kg</t>
  </si>
  <si>
    <t>parvoclon</t>
  </si>
  <si>
    <t>sanix  gel 120 ml</t>
  </si>
  <si>
    <t>closantil oral 15 litro</t>
  </si>
  <si>
    <t xml:space="preserve"> chinoin pn150 ml</t>
  </si>
  <si>
    <t>chinoin pn 1 250 ml</t>
  </si>
  <si>
    <t xml:space="preserve">puppy chinoin </t>
  </si>
  <si>
    <t>naninvac 50</t>
  </si>
  <si>
    <t>naninvac 100</t>
  </si>
  <si>
    <t>naninvac 250</t>
  </si>
  <si>
    <t>histaffler</t>
  </si>
  <si>
    <t>tolerax 100</t>
  </si>
  <si>
    <t>iverffler 500 ml</t>
  </si>
  <si>
    <t>loeffler innopharma</t>
  </si>
  <si>
    <t>sucravet 30 ml</t>
  </si>
  <si>
    <t>ondatron 10 ml</t>
  </si>
  <si>
    <t>terbigen 120 ml</t>
  </si>
  <si>
    <t xml:space="preserve">terbigen shampoo </t>
  </si>
  <si>
    <t xml:space="preserve">protozol 120 ml </t>
  </si>
  <si>
    <t>calcio protein fuerte</t>
  </si>
  <si>
    <t>calcio protein vit 100 ml</t>
  </si>
  <si>
    <t>calcio protein vit 250 m1</t>
  </si>
  <si>
    <t>iverpan 3.5 500 ml</t>
  </si>
  <si>
    <t>clorasul 100</t>
  </si>
  <si>
    <t>clorasul 50</t>
  </si>
  <si>
    <t>clorasul 20</t>
  </si>
  <si>
    <t>birosin sodica 250 mg</t>
  </si>
  <si>
    <t>koptisin 1000 ml</t>
  </si>
  <si>
    <t>broadline ch</t>
  </si>
  <si>
    <t>broadline gde</t>
  </si>
  <si>
    <t>heart gard  2-11</t>
  </si>
  <si>
    <t>heart gard  11-22</t>
  </si>
  <si>
    <t>heart gard  22-45</t>
  </si>
  <si>
    <t>recombitek c3</t>
  </si>
  <si>
    <t>purevax RCPCH FELV</t>
  </si>
  <si>
    <t>boheringer</t>
  </si>
  <si>
    <t>merial boheringer</t>
  </si>
  <si>
    <t>bivatop 200 de 500 ml</t>
  </si>
  <si>
    <t xml:space="preserve">ectoline litro </t>
  </si>
  <si>
    <t xml:space="preserve">equitop </t>
  </si>
  <si>
    <t xml:space="preserve">equalan gold </t>
  </si>
  <si>
    <t>ivomec 1 % 50 ML</t>
  </si>
  <si>
    <t>ivomec 1 % 200 ML</t>
  </si>
  <si>
    <t xml:space="preserve">ivomec gold 500 ml </t>
  </si>
  <si>
    <t>oxipar 100</t>
  </si>
  <si>
    <t>proteq flu te</t>
  </si>
  <si>
    <t>vetipulmin gel 330</t>
  </si>
  <si>
    <t>zactran 250 ml</t>
  </si>
  <si>
    <t>j vac</t>
  </si>
  <si>
    <t>zoetis p</t>
  </si>
  <si>
    <t>vanguard plus 5</t>
  </si>
  <si>
    <t>vanguard plus 5/cv</t>
  </si>
  <si>
    <t>vanguard plus 5/L4 cv</t>
  </si>
  <si>
    <t>vanguard plus cpv</t>
  </si>
  <si>
    <t>vanguard pluscpv/cv</t>
  </si>
  <si>
    <t>giardia</t>
  </si>
  <si>
    <t>bronchi shied</t>
  </si>
  <si>
    <t>bronchicine</t>
  </si>
  <si>
    <t>fellocel</t>
  </si>
  <si>
    <t>leukocell</t>
  </si>
  <si>
    <t>defensor</t>
  </si>
  <si>
    <t>zylexis</t>
  </si>
  <si>
    <t>apoquel 3.6 100 ta</t>
  </si>
  <si>
    <t>apoquel 5.4 100 t</t>
  </si>
  <si>
    <t>apoquel 16 100 t</t>
  </si>
  <si>
    <t>cytopoint  10</t>
  </si>
  <si>
    <t xml:space="preserve">cytopoint 20 </t>
  </si>
  <si>
    <t>cytopoint 30</t>
  </si>
  <si>
    <t>simparica 20 40</t>
  </si>
  <si>
    <t>simparica 10 20</t>
  </si>
  <si>
    <t>simparica 5 10</t>
  </si>
  <si>
    <t>simparica 2 5</t>
  </si>
  <si>
    <t>convenia 10</t>
  </si>
  <si>
    <t>convenia 4</t>
  </si>
  <si>
    <t>rimadyl 75</t>
  </si>
  <si>
    <t>rimadyl 100</t>
  </si>
  <si>
    <t>rimadyl 25</t>
  </si>
  <si>
    <t>cerenia</t>
  </si>
  <si>
    <t>zelazol</t>
  </si>
  <si>
    <t xml:space="preserve">fluvac inovator </t>
  </si>
  <si>
    <t>pneumabortk</t>
  </si>
  <si>
    <t>excede</t>
  </si>
  <si>
    <t>equest pramox</t>
  </si>
  <si>
    <t>equest gel</t>
  </si>
  <si>
    <t xml:space="preserve">clovite 5 </t>
  </si>
  <si>
    <t>duphafral</t>
  </si>
  <si>
    <t>norvet g</t>
  </si>
  <si>
    <t xml:space="preserve">norvet g </t>
  </si>
  <si>
    <t>equinox pastas</t>
  </si>
  <si>
    <t>enerjet 500 ml sin caja</t>
  </si>
  <si>
    <t xml:space="preserve">ener jet lite 500 ml con caja </t>
  </si>
  <si>
    <t>complet plus Susp 15</t>
  </si>
  <si>
    <t>complet Max oral 30 ml</t>
  </si>
  <si>
    <t>protecto XL</t>
  </si>
  <si>
    <t>protecto M</t>
  </si>
  <si>
    <t>protecto  L</t>
  </si>
  <si>
    <t>condro jet 10 ml</t>
  </si>
  <si>
    <t>carti pets 10</t>
  </si>
  <si>
    <t>cartipets 25</t>
  </si>
  <si>
    <t>rampril plus S</t>
  </si>
  <si>
    <t>rampril plus M</t>
  </si>
  <si>
    <t>rampril plus L</t>
  </si>
  <si>
    <t>tyropets S</t>
  </si>
  <si>
    <t>tyropets M</t>
  </si>
  <si>
    <t>tyropets L</t>
  </si>
  <si>
    <t xml:space="preserve">tyropets XL </t>
  </si>
  <si>
    <t>itraconapets S</t>
  </si>
  <si>
    <t>itraconapets M</t>
  </si>
  <si>
    <t xml:space="preserve">itraconapets L </t>
  </si>
  <si>
    <t>ondra pets</t>
  </si>
  <si>
    <t>masko pets ca</t>
  </si>
  <si>
    <t>masko pets plus</t>
  </si>
  <si>
    <t>omega pets</t>
  </si>
  <si>
    <t>atrayenta natural</t>
  </si>
  <si>
    <t>repelente natura</t>
  </si>
  <si>
    <t>lubri pets 10 ml</t>
  </si>
  <si>
    <t>lubri pets crema</t>
  </si>
  <si>
    <t>complet plus sus 30 ml</t>
  </si>
  <si>
    <t>complet plus susp 15 ml</t>
  </si>
  <si>
    <t>complet plus susp 120 ml</t>
  </si>
  <si>
    <t>complet plus tab S</t>
  </si>
  <si>
    <t>complet plus tab M</t>
  </si>
  <si>
    <t>complet plus tab L</t>
  </si>
  <si>
    <t>complet plus tabl XL</t>
  </si>
  <si>
    <t>complet Max oral 120 ml</t>
  </si>
  <si>
    <t>complet Max S tab</t>
  </si>
  <si>
    <t>complet Max M tab</t>
  </si>
  <si>
    <t>asuntol 100 ml</t>
  </si>
  <si>
    <t>bovitraz 100 ml</t>
  </si>
  <si>
    <t>bovitraz litro</t>
  </si>
  <si>
    <t>baycox litro</t>
  </si>
  <si>
    <t>baycox 250 ml</t>
  </si>
  <si>
    <t>baycox 5 lt</t>
  </si>
  <si>
    <t>baytril max 250 mkl</t>
  </si>
  <si>
    <t>calfon 500 ml</t>
  </si>
  <si>
    <t>catosal 20 ml</t>
  </si>
  <si>
    <t>catosal 50 ml</t>
  </si>
  <si>
    <t>neptra</t>
  </si>
  <si>
    <t>advantage multi 4</t>
  </si>
  <si>
    <t>advantage multi 10</t>
  </si>
  <si>
    <t>advantage multi 25</t>
  </si>
  <si>
    <t>advantage multi 40</t>
  </si>
  <si>
    <t>advantage multi gato 4</t>
  </si>
  <si>
    <t>advantage multi gato 8</t>
  </si>
  <si>
    <t>drontal puppy</t>
  </si>
  <si>
    <t>vetriderm shampo</t>
  </si>
  <si>
    <t>vetriderm essec</t>
  </si>
  <si>
    <t>tetrabac aerosol</t>
  </si>
  <si>
    <t>pecutrim vit</t>
  </si>
  <si>
    <t>superbayphos</t>
  </si>
  <si>
    <t>rodhilon pellets  25 kg</t>
  </si>
  <si>
    <t>rodhilon bloc azul 9 kg</t>
  </si>
  <si>
    <t>virkos 10 kg</t>
  </si>
  <si>
    <t xml:space="preserve">bayticol litro  </t>
  </si>
  <si>
    <t>trucid 500 ml</t>
  </si>
  <si>
    <t xml:space="preserve">fluxabac la </t>
  </si>
  <si>
    <t xml:space="preserve">HIERROX </t>
  </si>
  <si>
    <t>baytril 150 MG</t>
  </si>
  <si>
    <t>baytril LITRO</t>
  </si>
  <si>
    <t xml:space="preserve">penimox </t>
  </si>
  <si>
    <t>prolajet</t>
  </si>
  <si>
    <t>sensiblex</t>
  </si>
  <si>
    <t>levaguard</t>
  </si>
  <si>
    <t>quick bay</t>
  </si>
  <si>
    <t>carprobay</t>
  </si>
  <si>
    <t xml:space="preserve">baymec </t>
  </si>
  <si>
    <t>nf 180 2 litros</t>
  </si>
  <si>
    <t>relina</t>
  </si>
  <si>
    <t>solucion salina</t>
  </si>
  <si>
    <t>solucion dx</t>
  </si>
  <si>
    <t>solucion ht 2.5 litro</t>
  </si>
  <si>
    <t xml:space="preserve">hialuvisc </t>
  </si>
  <si>
    <t>pramotil</t>
  </si>
  <si>
    <t>electrodex dogs</t>
  </si>
  <si>
    <t>atropisa</t>
  </si>
  <si>
    <t>biozoo p</t>
  </si>
  <si>
    <t>one pastilla 60 tab</t>
  </si>
  <si>
    <t>growlac pets</t>
  </si>
  <si>
    <t>parvo biozoo</t>
  </si>
  <si>
    <t>quintuple biozoo</t>
  </si>
  <si>
    <t xml:space="preserve">triple canina biozoo </t>
  </si>
  <si>
    <t>bioxil 20 ml</t>
  </si>
  <si>
    <t>meloximax suspt</t>
  </si>
  <si>
    <t>triple bovina 250 ml</t>
  </si>
  <si>
    <t xml:space="preserve">triple bovina 100 </t>
  </si>
  <si>
    <t>triple bovina 50 ml</t>
  </si>
  <si>
    <t>riverfarma</t>
  </si>
  <si>
    <t>sulfatrim 100 ml</t>
  </si>
  <si>
    <t>draxxin 100 ml</t>
  </si>
  <si>
    <t>excede cab 100</t>
  </si>
  <si>
    <t>fluvicina 4 ml</t>
  </si>
  <si>
    <t>rimadyl 50 ml</t>
  </si>
  <si>
    <t>bovi shield gold fps L5 10 ds</t>
  </si>
  <si>
    <t>bovi shield gold fps L5 50 ds</t>
  </si>
  <si>
    <t>tsv-3  ds</t>
  </si>
  <si>
    <t>cydectin 500</t>
  </si>
  <si>
    <t xml:space="preserve">synovex plus </t>
  </si>
  <si>
    <t>lutalyse 30 ml</t>
  </si>
  <si>
    <t>lutalyse  100 ml</t>
  </si>
  <si>
    <t>benzoato de estradiol</t>
  </si>
  <si>
    <t xml:space="preserve">ovalyse </t>
  </si>
  <si>
    <t>vanguard plus 5 L /cv</t>
  </si>
  <si>
    <t>azodyl iva</t>
  </si>
  <si>
    <t>ipaketine 60 gr  iva</t>
  </si>
  <si>
    <t>ipaketine 300 gr IVA</t>
  </si>
  <si>
    <t>paxon  IVA</t>
  </si>
  <si>
    <t>laxotone 120.5 VA</t>
  </si>
  <si>
    <t>nutrical  IVA</t>
  </si>
  <si>
    <t xml:space="preserve">ear cleansing salucion IVA </t>
  </si>
  <si>
    <t>trodax bovinos 500 ml</t>
  </si>
  <si>
    <t>legend amp</t>
  </si>
  <si>
    <t xml:space="preserve">caballo poder </t>
  </si>
  <si>
    <t>vedivit b 12 6000 10 ml</t>
  </si>
  <si>
    <t>wormex 500 tab</t>
  </si>
  <si>
    <t>wormex 1000 tab</t>
  </si>
  <si>
    <t>licor de forge suelto</t>
  </si>
  <si>
    <t>dirulan 15 mg</t>
  </si>
  <si>
    <t>dirulan 50 mg</t>
  </si>
  <si>
    <t>vetoryl 10 mg</t>
  </si>
  <si>
    <t>vetoryl 30 mg</t>
  </si>
  <si>
    <t>gastropazol 5 mg</t>
  </si>
  <si>
    <t>gastropazol 20 mg</t>
  </si>
  <si>
    <t>parasitin 2.5 kg</t>
  </si>
  <si>
    <t>parasitin 10 kg</t>
  </si>
  <si>
    <t>parasitin 30 kg</t>
  </si>
  <si>
    <t>kaomol 60 ml</t>
  </si>
  <si>
    <t>flohsin jabon 50 gr</t>
  </si>
  <si>
    <t>flohsin jabon 100 gr</t>
  </si>
  <si>
    <t>flohsin shampoo</t>
  </si>
  <si>
    <t>flohkeine shampo</t>
  </si>
  <si>
    <t xml:space="preserve">flohkeine jabon </t>
  </si>
  <si>
    <t>kaomol 100 ml</t>
  </si>
  <si>
    <t>adepto pom</t>
  </si>
  <si>
    <t>arsiler 50 ml</t>
  </si>
  <si>
    <t xml:space="preserve">tylogant 250 ml </t>
  </si>
  <si>
    <t>laboratorio</t>
  </si>
  <si>
    <t xml:space="preserve">producto </t>
  </si>
  <si>
    <t>p.lab</t>
  </si>
  <si>
    <t>costo</t>
  </si>
  <si>
    <t>publico</t>
  </si>
  <si>
    <t>id</t>
  </si>
  <si>
    <t>Laboratorio</t>
  </si>
  <si>
    <t>Nombre</t>
  </si>
  <si>
    <t>existencia</t>
  </si>
  <si>
    <t>P compra</t>
  </si>
  <si>
    <t>p Lista</t>
  </si>
  <si>
    <t xml:space="preserve">Publico </t>
  </si>
  <si>
    <t>p medio</t>
  </si>
  <si>
    <t>p mayoreo</t>
  </si>
  <si>
    <t>ordonez</t>
  </si>
  <si>
    <t>amoxiclav suspension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</si>
</sst>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9" fontId="6" fillId="0" borderId="0" applyFont="0" applyFill="0" applyBorder="0" applyAlignment="0" applyProtection="0"/>
  </cellStyleXfs>
  <cellXfs count="48">
    <xf numFmtId="0" fontId="0" fillId="0" borderId="0" xfId="0"/>
    <xf numFmtId="0" fontId="0" fillId="0" borderId="1" xfId="0" applyBorder="1"/>
    <xf numFmtId="2" fontId="0" fillId="0" borderId="1" xfId="0" applyNumberFormat="1" applyBorder="1"/>
    <xf numFmtId="0" fontId="0" fillId="2" borderId="1" xfId="0" applyFill="1" applyBorder="1"/>
    <xf numFmtId="0" fontId="4" fillId="0" borderId="1" xfId="0" applyFont="1" applyBorder="1"/>
    <xf numFmtId="0" fontId="5" fillId="0" borderId="1" xfId="1" applyBorder="1"/>
    <xf numFmtId="4" fontId="5" fillId="0" borderId="1" xfId="1" applyNumberFormat="1" applyBorder="1"/>
    <xf numFmtId="0" fontId="0" fillId="0" borderId="3" xfId="0" applyBorder="1"/>
    <xf numFmtId="0" fontId="0" fillId="2" borderId="3" xfId="0" applyFill="1" applyBorder="1"/>
    <xf numFmtId="0" fontId="0" fillId="0" borderId="2" xfId="0" applyBorder="1"/>
    <xf numFmtId="2" fontId="0" fillId="0" borderId="2" xfId="0" applyNumberFormat="1" applyBorder="1"/>
    <xf numFmtId="0" fontId="0" fillId="2" borderId="2" xfId="0" applyFill="1" applyBorder="1"/>
    <xf numFmtId="2" fontId="0" fillId="0" borderId="3" xfId="0" applyNumberFormat="1" applyBorder="1"/>
    <xf numFmtId="0" fontId="0" fillId="0" borderId="4" xfId="0" applyBorder="1"/>
    <xf numFmtId="2" fontId="0" fillId="0" borderId="4" xfId="0" applyNumberFormat="1" applyBorder="1"/>
    <xf numFmtId="0" fontId="0" fillId="2" borderId="4" xfId="0" applyFill="1" applyBorder="1"/>
    <xf numFmtId="0" fontId="4" fillId="0" borderId="2" xfId="0" applyFont="1" applyBorder="1"/>
    <xf numFmtId="0" fontId="7" fillId="0" borderId="3" xfId="0" applyFont="1" applyBorder="1"/>
    <xf numFmtId="0" fontId="7" fillId="0" borderId="1" xfId="0" applyFont="1" applyBorder="1"/>
    <xf numFmtId="0" fontId="7" fillId="2" borderId="1" xfId="0" applyFont="1" applyFill="1" applyBorder="1"/>
    <xf numFmtId="0" fontId="7" fillId="2" borderId="3" xfId="0" applyFont="1" applyFill="1" applyBorder="1"/>
    <xf numFmtId="0" fontId="7" fillId="0" borderId="2" xfId="0" applyFont="1" applyBorder="1"/>
    <xf numFmtId="0" fontId="7" fillId="2" borderId="2" xfId="0" applyFont="1" applyFill="1" applyBorder="1"/>
    <xf numFmtId="2" fontId="7" fillId="0" borderId="2" xfId="0" applyNumberFormat="1" applyFont="1" applyBorder="1"/>
    <xf numFmtId="0" fontId="8" fillId="0" borderId="1" xfId="0" applyFont="1" applyBorder="1"/>
    <xf numFmtId="0" fontId="8" fillId="0" borderId="2" xfId="0" applyFont="1" applyBorder="1"/>
    <xf numFmtId="0" fontId="0" fillId="0" borderId="5" xfId="0" applyBorder="1"/>
    <xf numFmtId="0" fontId="0" fillId="0" borderId="6" xfId="0" applyBorder="1"/>
    <xf numFmtId="0" fontId="0" fillId="2" borderId="6" xfId="0" applyFill="1" applyBorder="1"/>
    <xf numFmtId="0" fontId="0" fillId="2" borderId="5" xfId="0" applyFill="1" applyBorder="1"/>
    <xf numFmtId="9" fontId="8" fillId="0" borderId="1" xfId="2" applyFont="1" applyBorder="1"/>
    <xf numFmtId="0" fontId="8" fillId="0" borderId="5" xfId="0" applyFont="1" applyBorder="1"/>
    <xf numFmtId="0" fontId="0" fillId="0" borderId="6" xfId="0" applyFill="1" applyBorder="1"/>
    <xf numFmtId="9" fontId="9" fillId="3" borderId="1" xfId="2" applyFont="1" applyFill="1" applyBorder="1"/>
    <xf numFmtId="0" fontId="9" fillId="3" borderId="1" xfId="0" applyFont="1" applyFill="1" applyBorder="1"/>
    <xf numFmtId="0" fontId="9" fillId="3" borderId="2" xfId="0" applyFont="1" applyFill="1" applyBorder="1"/>
    <xf numFmtId="0" fontId="9" fillId="3" borderId="5" xfId="0" applyFont="1" applyFill="1" applyBorder="1"/>
    <xf numFmtId="16" fontId="0" fillId="0" borderId="1" xfId="0" applyNumberFormat="1" applyBorder="1"/>
    <xf numFmtId="0" fontId="0" fillId="0" borderId="1" xfId="0" applyNumberFormat="1" applyBorder="1"/>
    <xf numFmtId="0" fontId="0" fillId="2" borderId="1" xfId="0" applyNumberFormat="1" applyFill="1" applyBorder="1"/>
    <xf numFmtId="0" fontId="0" fillId="0" borderId="0" xfId="0" applyBorder="1"/>
    <xf numFmtId="0" fontId="4" fillId="0" borderId="0" xfId="0" applyFont="1" applyBorder="1"/>
    <xf numFmtId="0" fontId="7" fillId="0" borderId="0" xfId="0" applyFont="1" applyBorder="1"/>
    <xf numFmtId="9" fontId="9" fillId="3" borderId="0" xfId="2" applyFont="1" applyFill="1" applyBorder="1"/>
    <xf numFmtId="0" fontId="9" fillId="3" borderId="0" xfId="0" applyFont="1" applyFill="1" applyBorder="1"/>
    <xf numFmtId="0" fontId="8" fillId="0" borderId="0" xfId="0" applyFont="1" applyBorder="1"/>
    <xf numFmtId="0" fontId="0" fillId="0" borderId="0" xfId="0" applyNumberFormat="1" applyBorder="1"/>
    <xf numFmtId="0" fontId="5" fillId="0" borderId="0" xfId="1" applyBorder="1"/>
  </cellXfs>
  <cellStyles count="3">
    <cellStyle name="Normal" xfId="0" builtinId="0"/>
    <cellStyle name="Normal 2" xfId="1" xr:uid="{00000000-0005-0000-0000-000001000000}"/>
    <cellStyle name="Porcentaj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DS1871"/>
  <sheetViews>
    <sheetView zoomScale="130" zoomScaleNormal="130" workbookViewId="0">
      <pane ySplit="1" topLeftCell="A1845" activePane="bottomLeft" state="frozen"/>
      <selection pane="bottomLeft" activeCell="F3" sqref="F3:F1847"/>
    </sheetView>
  </sheetViews>
  <sheetFormatPr baseColWidth="10" defaultColWidth="11.42578125" defaultRowHeight="15" x14ac:dyDescent="0.25"/>
  <cols>
    <col min="1" max="1" width="19" style="1" customWidth="1"/>
    <col min="2" max="2" width="30.5703125" style="1" customWidth="1"/>
    <col min="3" max="3" width="7.5703125" style="1" customWidth="1"/>
    <col min="4" max="4" width="11.42578125" style="2" customWidth="1"/>
    <col min="5" max="5" width="7.28515625" customWidth="1"/>
    <col min="6" max="6" width="7.28515625" style="1" customWidth="1"/>
    <col min="7" max="16384" width="11.42578125" style="1"/>
  </cols>
  <sheetData>
    <row r="1" spans="1:6" x14ac:dyDescent="0.25">
      <c r="B1" s="1">
        <v>0</v>
      </c>
      <c r="D1" s="2">
        <v>0</v>
      </c>
      <c r="E1">
        <v>0</v>
      </c>
      <c r="F1" s="1">
        <v>0</v>
      </c>
    </row>
    <row r="2" spans="1:6" x14ac:dyDescent="0.25">
      <c r="A2" s="1" t="s">
        <v>1880</v>
      </c>
      <c r="B2" s="1" t="s">
        <v>1881</v>
      </c>
      <c r="C2" s="1" t="s">
        <v>1882</v>
      </c>
      <c r="E2" s="32" t="s">
        <v>1883</v>
      </c>
      <c r="F2" s="1" t="s">
        <v>1884</v>
      </c>
    </row>
    <row r="3" spans="1:6" x14ac:dyDescent="0.25">
      <c r="A3" s="1" t="s">
        <v>0</v>
      </c>
      <c r="B3" s="1" t="s">
        <v>1</v>
      </c>
      <c r="C3" s="1">
        <v>58</v>
      </c>
      <c r="D3" s="2">
        <v>0.7</v>
      </c>
      <c r="E3" s="3">
        <f t="shared" ref="E3:E24" si="0">(C3*D3)/1.8</f>
        <v>22.555555555555554</v>
      </c>
      <c r="F3" s="1">
        <f t="shared" ref="F3:F24" si="1">(C3*(D3+0.1))/1.8</f>
        <v>25.777777777777775</v>
      </c>
    </row>
    <row r="4" spans="1:6" x14ac:dyDescent="0.25">
      <c r="A4" s="1" t="s">
        <v>0</v>
      </c>
      <c r="B4" s="1" t="s">
        <v>2</v>
      </c>
      <c r="C4" s="1">
        <v>83</v>
      </c>
      <c r="D4" s="2">
        <v>0.7</v>
      </c>
      <c r="E4" s="3">
        <f t="shared" si="0"/>
        <v>32.277777777777771</v>
      </c>
      <c r="F4" s="1">
        <f t="shared" si="1"/>
        <v>36.888888888888886</v>
      </c>
    </row>
    <row r="5" spans="1:6" x14ac:dyDescent="0.25">
      <c r="A5" s="1" t="s">
        <v>0</v>
      </c>
      <c r="B5" s="1" t="s">
        <v>3</v>
      </c>
      <c r="C5" s="1">
        <v>107</v>
      </c>
      <c r="D5" s="2">
        <v>0.7</v>
      </c>
      <c r="E5" s="3">
        <f t="shared" si="0"/>
        <v>41.611111111111107</v>
      </c>
      <c r="F5" s="1">
        <f t="shared" si="1"/>
        <v>47.55555555555555</v>
      </c>
    </row>
    <row r="6" spans="1:6" x14ac:dyDescent="0.25">
      <c r="A6" s="1" t="s">
        <v>0</v>
      </c>
      <c r="B6" s="1" t="s">
        <v>4</v>
      </c>
      <c r="C6" s="1">
        <v>80</v>
      </c>
      <c r="D6" s="2">
        <v>0.7</v>
      </c>
      <c r="E6" s="3">
        <f t="shared" si="0"/>
        <v>31.111111111111111</v>
      </c>
      <c r="F6" s="1">
        <f t="shared" si="1"/>
        <v>35.55555555555555</v>
      </c>
    </row>
    <row r="7" spans="1:6" x14ac:dyDescent="0.25">
      <c r="A7" s="1" t="s">
        <v>0</v>
      </c>
      <c r="B7" s="1" t="s">
        <v>5</v>
      </c>
      <c r="C7" s="1">
        <v>118</v>
      </c>
      <c r="D7" s="2">
        <v>0.7</v>
      </c>
      <c r="E7" s="3">
        <f t="shared" si="0"/>
        <v>45.888888888888886</v>
      </c>
      <c r="F7" s="1">
        <f t="shared" si="1"/>
        <v>52.444444444444436</v>
      </c>
    </row>
    <row r="8" spans="1:6" x14ac:dyDescent="0.25">
      <c r="A8" s="1" t="s">
        <v>0</v>
      </c>
      <c r="B8" s="1" t="s">
        <v>6</v>
      </c>
      <c r="C8" s="1">
        <v>168</v>
      </c>
      <c r="D8" s="2">
        <v>0.7</v>
      </c>
      <c r="E8" s="3">
        <f t="shared" si="0"/>
        <v>65.333333333333329</v>
      </c>
      <c r="F8" s="1">
        <f t="shared" si="1"/>
        <v>74.666666666666657</v>
      </c>
    </row>
    <row r="9" spans="1:6" x14ac:dyDescent="0.25">
      <c r="A9" s="1" t="s">
        <v>0</v>
      </c>
      <c r="B9" s="1" t="s">
        <v>7</v>
      </c>
      <c r="C9" s="1">
        <v>60</v>
      </c>
      <c r="D9" s="2">
        <v>0.7</v>
      </c>
      <c r="E9" s="3">
        <f t="shared" si="0"/>
        <v>23.333333333333332</v>
      </c>
      <c r="F9" s="1">
        <f t="shared" si="1"/>
        <v>26.666666666666661</v>
      </c>
    </row>
    <row r="10" spans="1:6" x14ac:dyDescent="0.25">
      <c r="A10" s="1" t="s">
        <v>0</v>
      </c>
      <c r="B10" s="1" t="s">
        <v>8</v>
      </c>
      <c r="C10" s="1">
        <v>67</v>
      </c>
      <c r="D10" s="2">
        <v>0.7</v>
      </c>
      <c r="E10" s="3">
        <f t="shared" si="0"/>
        <v>26.055555555555554</v>
      </c>
      <c r="F10" s="1">
        <f t="shared" si="1"/>
        <v>29.777777777777775</v>
      </c>
    </row>
    <row r="11" spans="1:6" x14ac:dyDescent="0.25">
      <c r="A11" s="1" t="s">
        <v>0</v>
      </c>
      <c r="B11" s="1" t="s">
        <v>9</v>
      </c>
      <c r="C11" s="1">
        <v>77</v>
      </c>
      <c r="D11" s="2">
        <v>0.7</v>
      </c>
      <c r="E11" s="3">
        <f t="shared" si="0"/>
        <v>29.944444444444443</v>
      </c>
      <c r="F11" s="1">
        <f t="shared" si="1"/>
        <v>34.222222222222221</v>
      </c>
    </row>
    <row r="12" spans="1:6" x14ac:dyDescent="0.25">
      <c r="A12" s="1" t="s">
        <v>0</v>
      </c>
      <c r="B12" s="1" t="s">
        <v>10</v>
      </c>
      <c r="C12" s="1">
        <v>79</v>
      </c>
      <c r="D12" s="2">
        <v>0.7</v>
      </c>
      <c r="E12" s="3">
        <f t="shared" si="0"/>
        <v>30.722222222222221</v>
      </c>
      <c r="F12" s="1">
        <f t="shared" si="1"/>
        <v>35.111111111111107</v>
      </c>
    </row>
    <row r="13" spans="1:6" x14ac:dyDescent="0.25">
      <c r="A13" s="1" t="s">
        <v>0</v>
      </c>
      <c r="B13" s="1" t="s">
        <v>11</v>
      </c>
      <c r="C13" s="1">
        <v>91</v>
      </c>
      <c r="D13" s="2">
        <v>0.7</v>
      </c>
      <c r="E13" s="3">
        <f t="shared" si="0"/>
        <v>35.388888888888886</v>
      </c>
      <c r="F13" s="1">
        <f t="shared" si="1"/>
        <v>40.444444444444443</v>
      </c>
    </row>
    <row r="14" spans="1:6" x14ac:dyDescent="0.25">
      <c r="A14" s="1" t="s">
        <v>0</v>
      </c>
      <c r="B14" s="1" t="s">
        <v>1398</v>
      </c>
      <c r="C14" s="1">
        <v>206</v>
      </c>
      <c r="D14" s="2">
        <v>0.7</v>
      </c>
      <c r="E14" s="3">
        <f t="shared" si="0"/>
        <v>80.1111111111111</v>
      </c>
      <c r="F14" s="1">
        <f t="shared" si="1"/>
        <v>91.555555555555543</v>
      </c>
    </row>
    <row r="15" spans="1:6" x14ac:dyDescent="0.25">
      <c r="A15" s="1" t="s">
        <v>0</v>
      </c>
      <c r="B15" s="1" t="s">
        <v>1401</v>
      </c>
      <c r="C15" s="1">
        <v>335</v>
      </c>
      <c r="D15" s="2">
        <v>0.7</v>
      </c>
      <c r="E15" s="3">
        <f t="shared" si="0"/>
        <v>130.27777777777777</v>
      </c>
      <c r="F15" s="1">
        <f t="shared" si="1"/>
        <v>148.88888888888889</v>
      </c>
    </row>
    <row r="16" spans="1:6" x14ac:dyDescent="0.25">
      <c r="A16" s="1" t="s">
        <v>0</v>
      </c>
      <c r="B16" s="1" t="s">
        <v>1400</v>
      </c>
      <c r="C16" s="1">
        <v>570</v>
      </c>
      <c r="D16" s="2">
        <v>0.7</v>
      </c>
      <c r="E16" s="3">
        <f t="shared" si="0"/>
        <v>221.66666666666666</v>
      </c>
      <c r="F16" s="1">
        <f t="shared" si="1"/>
        <v>253.33333333333329</v>
      </c>
    </row>
    <row r="17" spans="1:6" x14ac:dyDescent="0.25">
      <c r="A17" s="1" t="s">
        <v>0</v>
      </c>
      <c r="B17" s="1" t="s">
        <v>1399</v>
      </c>
      <c r="C17" s="1">
        <v>1010</v>
      </c>
      <c r="D17" s="2">
        <v>0.7</v>
      </c>
      <c r="E17" s="3">
        <f t="shared" si="0"/>
        <v>392.77777777777777</v>
      </c>
      <c r="F17" s="1">
        <f t="shared" si="1"/>
        <v>448.8888888888888</v>
      </c>
    </row>
    <row r="18" spans="1:6" x14ac:dyDescent="0.25">
      <c r="A18" s="1" t="s">
        <v>0</v>
      </c>
      <c r="B18" s="1" t="s">
        <v>1402</v>
      </c>
      <c r="C18" s="1">
        <v>64</v>
      </c>
      <c r="D18" s="2">
        <v>0.7</v>
      </c>
      <c r="E18" s="3">
        <f t="shared" si="0"/>
        <v>24.888888888888886</v>
      </c>
      <c r="F18" s="1">
        <f t="shared" si="1"/>
        <v>28.444444444444443</v>
      </c>
    </row>
    <row r="19" spans="1:6" x14ac:dyDescent="0.25">
      <c r="A19" s="1" t="s">
        <v>0</v>
      </c>
      <c r="B19" s="1" t="s">
        <v>1410</v>
      </c>
      <c r="C19" s="1">
        <v>58</v>
      </c>
      <c r="D19" s="2">
        <v>0.7</v>
      </c>
      <c r="E19" s="3">
        <f t="shared" si="0"/>
        <v>22.555555555555554</v>
      </c>
      <c r="F19" s="1">
        <f t="shared" si="1"/>
        <v>25.777777777777775</v>
      </c>
    </row>
    <row r="20" spans="1:6" x14ac:dyDescent="0.25">
      <c r="A20" s="1" t="s">
        <v>0</v>
      </c>
      <c r="B20" s="1" t="s">
        <v>1411</v>
      </c>
      <c r="C20" s="1">
        <v>213</v>
      </c>
      <c r="D20" s="2">
        <v>0.7</v>
      </c>
      <c r="E20" s="3">
        <f t="shared" si="0"/>
        <v>82.833333333333329</v>
      </c>
      <c r="F20" s="1">
        <f t="shared" si="1"/>
        <v>94.666666666666657</v>
      </c>
    </row>
    <row r="21" spans="1:6" x14ac:dyDescent="0.25">
      <c r="A21" s="1" t="s">
        <v>0</v>
      </c>
      <c r="B21" s="1" t="s">
        <v>1412</v>
      </c>
      <c r="C21" s="1">
        <v>378</v>
      </c>
      <c r="D21" s="2">
        <v>0.7</v>
      </c>
      <c r="E21" s="3">
        <f t="shared" si="0"/>
        <v>146.99999999999997</v>
      </c>
      <c r="F21" s="1">
        <f t="shared" si="1"/>
        <v>167.99999999999997</v>
      </c>
    </row>
    <row r="22" spans="1:6" x14ac:dyDescent="0.25">
      <c r="A22" s="1" t="s">
        <v>0</v>
      </c>
      <c r="B22" s="1" t="s">
        <v>1413</v>
      </c>
      <c r="C22" s="1">
        <v>56</v>
      </c>
      <c r="D22" s="2">
        <v>0.7</v>
      </c>
      <c r="E22" s="3">
        <f t="shared" si="0"/>
        <v>21.777777777777775</v>
      </c>
      <c r="F22" s="1">
        <f t="shared" si="1"/>
        <v>24.888888888888886</v>
      </c>
    </row>
    <row r="23" spans="1:6" x14ac:dyDescent="0.25">
      <c r="A23" s="1" t="s">
        <v>0</v>
      </c>
      <c r="B23" s="1" t="s">
        <v>1414</v>
      </c>
      <c r="C23" s="1">
        <v>202</v>
      </c>
      <c r="D23" s="2">
        <v>0.7</v>
      </c>
      <c r="E23" s="3">
        <f t="shared" si="0"/>
        <v>78.555555555555543</v>
      </c>
      <c r="F23" s="1">
        <f t="shared" si="1"/>
        <v>89.777777777777771</v>
      </c>
    </row>
    <row r="24" spans="1:6" x14ac:dyDescent="0.25">
      <c r="A24" s="1" t="s">
        <v>0</v>
      </c>
      <c r="B24" s="1" t="s">
        <v>12</v>
      </c>
      <c r="C24" s="1">
        <v>151</v>
      </c>
      <c r="D24" s="2">
        <v>0.7</v>
      </c>
      <c r="E24" s="3">
        <f t="shared" si="0"/>
        <v>58.722222222222214</v>
      </c>
      <c r="F24" s="1">
        <f t="shared" si="1"/>
        <v>67.1111111111111</v>
      </c>
    </row>
    <row r="25" spans="1:6" x14ac:dyDescent="0.25">
      <c r="E25" s="3"/>
    </row>
    <row r="26" spans="1:6" x14ac:dyDescent="0.25">
      <c r="A26" s="1" t="s">
        <v>0</v>
      </c>
      <c r="B26" s="1" t="s">
        <v>1416</v>
      </c>
      <c r="C26" s="1">
        <v>103</v>
      </c>
      <c r="D26" s="2">
        <v>0.7</v>
      </c>
      <c r="E26" s="3">
        <f t="shared" ref="E26:E50" si="2">(C26*D26)/1.8</f>
        <v>40.05555555555555</v>
      </c>
      <c r="F26" s="1">
        <f t="shared" ref="F26:F50" si="3">(C26*(D26+0.1))/1.8</f>
        <v>45.777777777777771</v>
      </c>
    </row>
    <row r="27" spans="1:6" x14ac:dyDescent="0.25">
      <c r="A27" s="1" t="s">
        <v>0</v>
      </c>
      <c r="B27" s="1" t="s">
        <v>1418</v>
      </c>
      <c r="C27" s="1">
        <v>137</v>
      </c>
      <c r="D27" s="2">
        <v>0.7</v>
      </c>
      <c r="E27" s="3">
        <f t="shared" si="2"/>
        <v>53.277777777777771</v>
      </c>
      <c r="F27" s="1">
        <f t="shared" si="3"/>
        <v>60.888888888888886</v>
      </c>
    </row>
    <row r="28" spans="1:6" x14ac:dyDescent="0.25">
      <c r="A28" s="1" t="s">
        <v>0</v>
      </c>
      <c r="B28" s="1" t="s">
        <v>1417</v>
      </c>
      <c r="C28" s="1">
        <v>157</v>
      </c>
      <c r="D28" s="2">
        <v>0.7</v>
      </c>
      <c r="E28" s="3">
        <f t="shared" si="2"/>
        <v>61.05555555555555</v>
      </c>
      <c r="F28" s="1">
        <f t="shared" si="3"/>
        <v>69.777777777777771</v>
      </c>
    </row>
    <row r="29" spans="1:6" x14ac:dyDescent="0.25">
      <c r="A29" s="1" t="s">
        <v>0</v>
      </c>
      <c r="B29" s="1" t="s">
        <v>13</v>
      </c>
      <c r="C29" s="1">
        <v>325</v>
      </c>
      <c r="D29" s="2">
        <v>0.7</v>
      </c>
      <c r="E29" s="3">
        <f t="shared" si="2"/>
        <v>126.38888888888887</v>
      </c>
      <c r="F29" s="1">
        <f t="shared" si="3"/>
        <v>144.44444444444443</v>
      </c>
    </row>
    <row r="30" spans="1:6" x14ac:dyDescent="0.25">
      <c r="A30" s="1" t="s">
        <v>0</v>
      </c>
      <c r="B30" s="1" t="s">
        <v>14</v>
      </c>
      <c r="C30" s="1">
        <v>1037</v>
      </c>
      <c r="D30" s="2">
        <v>0.7</v>
      </c>
      <c r="E30" s="3">
        <f t="shared" si="2"/>
        <v>403.27777777777777</v>
      </c>
      <c r="F30" s="1">
        <f t="shared" si="3"/>
        <v>460.8888888888888</v>
      </c>
    </row>
    <row r="31" spans="1:6" x14ac:dyDescent="0.25">
      <c r="A31" s="1" t="s">
        <v>0</v>
      </c>
      <c r="B31" s="1" t="s">
        <v>1870</v>
      </c>
      <c r="C31" s="1">
        <v>78</v>
      </c>
      <c r="D31" s="2">
        <v>0.7</v>
      </c>
      <c r="E31" s="3">
        <f t="shared" si="2"/>
        <v>30.333333333333329</v>
      </c>
      <c r="F31" s="1">
        <f t="shared" si="3"/>
        <v>34.666666666666664</v>
      </c>
    </row>
    <row r="32" spans="1:6" s="26" customFormat="1" x14ac:dyDescent="0.25">
      <c r="A32" s="1" t="s">
        <v>0</v>
      </c>
      <c r="B32" s="26" t="s">
        <v>1876</v>
      </c>
      <c r="D32" s="2">
        <v>0.7</v>
      </c>
      <c r="E32" s="3">
        <f t="shared" si="2"/>
        <v>0</v>
      </c>
      <c r="F32" s="1">
        <f t="shared" si="3"/>
        <v>0</v>
      </c>
    </row>
    <row r="33" spans="1:6" s="26" customFormat="1" x14ac:dyDescent="0.25">
      <c r="A33" s="1" t="s">
        <v>0</v>
      </c>
      <c r="B33" s="26" t="s">
        <v>1871</v>
      </c>
      <c r="C33" s="1">
        <v>1037</v>
      </c>
      <c r="D33" s="2">
        <v>0.7</v>
      </c>
      <c r="E33" s="3">
        <f t="shared" si="2"/>
        <v>403.27777777777777</v>
      </c>
      <c r="F33" s="1">
        <f t="shared" si="3"/>
        <v>460.8888888888888</v>
      </c>
    </row>
    <row r="34" spans="1:6" s="26" customFormat="1" x14ac:dyDescent="0.25">
      <c r="A34" s="1" t="s">
        <v>0</v>
      </c>
      <c r="B34" s="26" t="s">
        <v>1872</v>
      </c>
      <c r="C34" s="1">
        <v>78</v>
      </c>
      <c r="D34" s="2">
        <v>0.7</v>
      </c>
      <c r="E34" s="3">
        <f t="shared" si="2"/>
        <v>30.333333333333329</v>
      </c>
      <c r="F34" s="1">
        <f t="shared" si="3"/>
        <v>34.666666666666664</v>
      </c>
    </row>
    <row r="35" spans="1:6" s="26" customFormat="1" x14ac:dyDescent="0.25">
      <c r="A35" s="1" t="s">
        <v>0</v>
      </c>
      <c r="B35" s="26" t="s">
        <v>1873</v>
      </c>
      <c r="D35" s="2">
        <v>0.7</v>
      </c>
      <c r="E35" s="3">
        <f t="shared" si="2"/>
        <v>0</v>
      </c>
      <c r="F35" s="1">
        <f t="shared" si="3"/>
        <v>0</v>
      </c>
    </row>
    <row r="36" spans="1:6" s="26" customFormat="1" x14ac:dyDescent="0.25">
      <c r="A36" s="1" t="s">
        <v>0</v>
      </c>
      <c r="B36" s="26" t="s">
        <v>1874</v>
      </c>
      <c r="D36" s="2">
        <v>0.7</v>
      </c>
      <c r="E36" s="3">
        <f t="shared" si="2"/>
        <v>0</v>
      </c>
      <c r="F36" s="1">
        <f t="shared" si="3"/>
        <v>0</v>
      </c>
    </row>
    <row r="37" spans="1:6" s="26" customFormat="1" x14ac:dyDescent="0.25">
      <c r="A37" s="1" t="s">
        <v>0</v>
      </c>
      <c r="B37" s="26" t="s">
        <v>1875</v>
      </c>
      <c r="D37" s="2">
        <v>0.7</v>
      </c>
      <c r="E37" s="3">
        <f t="shared" si="2"/>
        <v>0</v>
      </c>
      <c r="F37" s="1">
        <f t="shared" si="3"/>
        <v>0</v>
      </c>
    </row>
    <row r="38" spans="1:6" s="26" customFormat="1" x14ac:dyDescent="0.25">
      <c r="A38" s="1" t="s">
        <v>0</v>
      </c>
      <c r="B38" s="26" t="s">
        <v>1877</v>
      </c>
      <c r="D38" s="2">
        <v>0.7</v>
      </c>
      <c r="E38" s="3">
        <f t="shared" si="2"/>
        <v>0</v>
      </c>
      <c r="F38" s="1">
        <f t="shared" si="3"/>
        <v>0</v>
      </c>
    </row>
    <row r="39" spans="1:6" s="26" customFormat="1" x14ac:dyDescent="0.25">
      <c r="A39" s="1" t="s">
        <v>0</v>
      </c>
      <c r="B39" s="26" t="s">
        <v>1878</v>
      </c>
      <c r="D39" s="2">
        <v>0.7</v>
      </c>
      <c r="E39" s="3">
        <f t="shared" si="2"/>
        <v>0</v>
      </c>
      <c r="F39" s="1">
        <f t="shared" si="3"/>
        <v>0</v>
      </c>
    </row>
    <row r="40" spans="1:6" s="26" customFormat="1" x14ac:dyDescent="0.25">
      <c r="A40" s="26" t="s">
        <v>0</v>
      </c>
      <c r="B40" s="26" t="s">
        <v>1403</v>
      </c>
      <c r="C40" s="26">
        <v>247</v>
      </c>
      <c r="D40" s="2">
        <v>0.7</v>
      </c>
      <c r="E40" s="3">
        <f t="shared" si="2"/>
        <v>96.055555555555543</v>
      </c>
      <c r="F40" s="1">
        <f t="shared" si="3"/>
        <v>109.77777777777777</v>
      </c>
    </row>
    <row r="41" spans="1:6" s="26" customFormat="1" x14ac:dyDescent="0.25">
      <c r="A41" s="26" t="s">
        <v>0</v>
      </c>
      <c r="B41" s="26" t="s">
        <v>1404</v>
      </c>
      <c r="C41" s="26">
        <v>448</v>
      </c>
      <c r="D41" s="2">
        <v>0.7</v>
      </c>
      <c r="E41" s="3">
        <f t="shared" si="2"/>
        <v>174.2222222222222</v>
      </c>
      <c r="F41" s="1">
        <f t="shared" si="3"/>
        <v>199.11111111111109</v>
      </c>
    </row>
    <row r="42" spans="1:6" s="26" customFormat="1" x14ac:dyDescent="0.25">
      <c r="A42" s="26" t="s">
        <v>0</v>
      </c>
      <c r="B42" s="26" t="s">
        <v>630</v>
      </c>
      <c r="C42" s="26">
        <v>140</v>
      </c>
      <c r="D42" s="2">
        <v>0.7</v>
      </c>
      <c r="E42" s="3">
        <f t="shared" si="2"/>
        <v>54.444444444444443</v>
      </c>
      <c r="F42" s="1">
        <f t="shared" si="3"/>
        <v>62.222222222222214</v>
      </c>
    </row>
    <row r="43" spans="1:6" s="26" customFormat="1" x14ac:dyDescent="0.25">
      <c r="A43" s="26" t="s">
        <v>0</v>
      </c>
      <c r="B43" s="26" t="s">
        <v>1407</v>
      </c>
      <c r="C43" s="26">
        <v>300</v>
      </c>
      <c r="D43" s="2">
        <v>0.7</v>
      </c>
      <c r="E43" s="3">
        <f t="shared" si="2"/>
        <v>116.66666666666666</v>
      </c>
      <c r="F43" s="1">
        <f t="shared" si="3"/>
        <v>133.33333333333331</v>
      </c>
    </row>
    <row r="44" spans="1:6" s="26" customFormat="1" x14ac:dyDescent="0.25">
      <c r="A44" s="26" t="s">
        <v>0</v>
      </c>
      <c r="B44" s="26" t="s">
        <v>1408</v>
      </c>
      <c r="C44" s="26">
        <v>132</v>
      </c>
      <c r="D44" s="2">
        <v>0.7</v>
      </c>
      <c r="E44" s="3">
        <f t="shared" si="2"/>
        <v>51.333333333333329</v>
      </c>
      <c r="F44" s="1">
        <f t="shared" si="3"/>
        <v>58.666666666666664</v>
      </c>
    </row>
    <row r="45" spans="1:6" s="26" customFormat="1" x14ac:dyDescent="0.25">
      <c r="A45" s="26" t="s">
        <v>0</v>
      </c>
      <c r="B45" s="26" t="s">
        <v>1409</v>
      </c>
      <c r="C45" s="26">
        <v>541</v>
      </c>
      <c r="D45" s="2">
        <v>0.7</v>
      </c>
      <c r="E45" s="3">
        <f t="shared" si="2"/>
        <v>210.38888888888889</v>
      </c>
      <c r="F45" s="1">
        <f t="shared" si="3"/>
        <v>240.4444444444444</v>
      </c>
    </row>
    <row r="46" spans="1:6" s="26" customFormat="1" x14ac:dyDescent="0.25">
      <c r="A46" s="1" t="s">
        <v>0</v>
      </c>
      <c r="B46" s="26" t="s">
        <v>1879</v>
      </c>
      <c r="D46" s="2">
        <v>0.7</v>
      </c>
      <c r="E46" s="3">
        <f t="shared" si="2"/>
        <v>0</v>
      </c>
      <c r="F46" s="1">
        <f t="shared" si="3"/>
        <v>0</v>
      </c>
    </row>
    <row r="47" spans="1:6" s="26" customFormat="1" x14ac:dyDescent="0.25">
      <c r="A47" s="1" t="s">
        <v>0</v>
      </c>
      <c r="B47" s="26" t="s">
        <v>1406</v>
      </c>
      <c r="C47" s="26">
        <v>921</v>
      </c>
      <c r="D47" s="2">
        <v>0.7</v>
      </c>
      <c r="E47" s="3">
        <f t="shared" si="2"/>
        <v>358.16666666666663</v>
      </c>
      <c r="F47" s="1">
        <f t="shared" si="3"/>
        <v>409.33333333333331</v>
      </c>
    </row>
    <row r="48" spans="1:6" s="26" customFormat="1" x14ac:dyDescent="0.25">
      <c r="A48" s="26" t="s">
        <v>0</v>
      </c>
      <c r="B48" s="26" t="s">
        <v>1415</v>
      </c>
      <c r="C48" s="26">
        <v>1040</v>
      </c>
      <c r="D48" s="2">
        <v>0.7</v>
      </c>
      <c r="E48" s="3">
        <f t="shared" si="2"/>
        <v>404.44444444444446</v>
      </c>
      <c r="F48" s="1">
        <f t="shared" si="3"/>
        <v>462.22222222222217</v>
      </c>
    </row>
    <row r="49" spans="1:6" s="26" customFormat="1" ht="15.75" thickBot="1" x14ac:dyDescent="0.3">
      <c r="A49" s="26" t="s">
        <v>0</v>
      </c>
      <c r="B49" s="9" t="s">
        <v>1405</v>
      </c>
      <c r="C49" s="9">
        <v>198</v>
      </c>
      <c r="D49" s="2">
        <v>0.7</v>
      </c>
      <c r="E49" s="3">
        <f t="shared" si="2"/>
        <v>77</v>
      </c>
      <c r="F49" s="1">
        <f t="shared" si="3"/>
        <v>87.999999999999986</v>
      </c>
    </row>
    <row r="50" spans="1:6" s="9" customFormat="1" ht="15.75" thickBot="1" x14ac:dyDescent="0.3">
      <c r="A50" s="9" t="s">
        <v>0</v>
      </c>
      <c r="B50" s="9" t="s">
        <v>15</v>
      </c>
      <c r="C50" s="9">
        <v>425</v>
      </c>
      <c r="D50" s="10">
        <v>0.7</v>
      </c>
      <c r="E50" s="11">
        <f t="shared" si="2"/>
        <v>165.27777777777777</v>
      </c>
      <c r="F50" s="9">
        <f t="shared" si="3"/>
        <v>188.88888888888889</v>
      </c>
    </row>
    <row r="51" spans="1:6" s="7" customFormat="1" x14ac:dyDescent="0.25">
      <c r="A51" s="7" t="s">
        <v>16</v>
      </c>
      <c r="B51" s="7" t="s">
        <v>17</v>
      </c>
      <c r="C51" s="7">
        <v>67</v>
      </c>
      <c r="D51" s="7">
        <v>0.5</v>
      </c>
      <c r="E51" s="8">
        <f t="shared" ref="E51:E75" si="4">C51*D51</f>
        <v>33.5</v>
      </c>
      <c r="F51" s="7">
        <f t="shared" ref="F51:F75" si="5">C51*(D51+0.1)</f>
        <v>40.199999999999996</v>
      </c>
    </row>
    <row r="52" spans="1:6" x14ac:dyDescent="0.25">
      <c r="A52" s="1" t="s">
        <v>16</v>
      </c>
      <c r="B52" s="1" t="s">
        <v>18</v>
      </c>
      <c r="C52" s="1">
        <v>55</v>
      </c>
      <c r="D52" s="1">
        <v>0.5</v>
      </c>
      <c r="E52" s="3">
        <f t="shared" si="4"/>
        <v>27.5</v>
      </c>
      <c r="F52" s="1">
        <f t="shared" si="5"/>
        <v>33</v>
      </c>
    </row>
    <row r="53" spans="1:6" x14ac:dyDescent="0.25">
      <c r="A53" s="1" t="s">
        <v>16</v>
      </c>
      <c r="B53" s="1" t="s">
        <v>19</v>
      </c>
      <c r="C53" s="1">
        <v>40</v>
      </c>
      <c r="D53" s="1">
        <v>0.5</v>
      </c>
      <c r="E53" s="3">
        <f t="shared" si="4"/>
        <v>20</v>
      </c>
      <c r="F53" s="1">
        <f t="shared" si="5"/>
        <v>24</v>
      </c>
    </row>
    <row r="54" spans="1:6" x14ac:dyDescent="0.25">
      <c r="A54" s="1" t="s">
        <v>16</v>
      </c>
      <c r="B54" s="1" t="s">
        <v>20</v>
      </c>
      <c r="C54" s="1">
        <v>185</v>
      </c>
      <c r="D54" s="1">
        <v>0.5</v>
      </c>
      <c r="E54" s="3">
        <f t="shared" si="4"/>
        <v>92.5</v>
      </c>
      <c r="F54" s="1">
        <f t="shared" si="5"/>
        <v>111</v>
      </c>
    </row>
    <row r="55" spans="1:6" x14ac:dyDescent="0.25">
      <c r="A55" s="1" t="s">
        <v>16</v>
      </c>
      <c r="B55" s="1" t="s">
        <v>21</v>
      </c>
      <c r="C55" s="1">
        <v>368</v>
      </c>
      <c r="D55" s="1">
        <v>0.5</v>
      </c>
      <c r="E55" s="3">
        <f t="shared" si="4"/>
        <v>184</v>
      </c>
      <c r="F55" s="1">
        <f t="shared" si="5"/>
        <v>220.79999999999998</v>
      </c>
    </row>
    <row r="56" spans="1:6" s="9" customFormat="1" ht="15.75" thickBot="1" x14ac:dyDescent="0.3">
      <c r="A56" s="9" t="s">
        <v>16</v>
      </c>
      <c r="B56" s="9" t="s">
        <v>22</v>
      </c>
      <c r="C56" s="9">
        <v>365</v>
      </c>
      <c r="D56" s="9">
        <v>0.5</v>
      </c>
      <c r="E56" s="11">
        <f t="shared" si="4"/>
        <v>182.5</v>
      </c>
      <c r="F56" s="9">
        <f t="shared" si="5"/>
        <v>219</v>
      </c>
    </row>
    <row r="57" spans="1:6" s="7" customFormat="1" x14ac:dyDescent="0.25">
      <c r="A57" s="7" t="s">
        <v>23</v>
      </c>
      <c r="B57" s="7" t="s">
        <v>1265</v>
      </c>
      <c r="C57" s="7">
        <v>118</v>
      </c>
      <c r="D57" s="7">
        <v>0.43</v>
      </c>
      <c r="E57" s="8">
        <f t="shared" si="4"/>
        <v>50.74</v>
      </c>
      <c r="F57" s="7">
        <f t="shared" si="5"/>
        <v>62.540000000000006</v>
      </c>
    </row>
    <row r="58" spans="1:6" s="7" customFormat="1" x14ac:dyDescent="0.25">
      <c r="A58" s="7" t="s">
        <v>23</v>
      </c>
      <c r="B58" s="7" t="s">
        <v>1273</v>
      </c>
      <c r="C58" s="7">
        <v>165</v>
      </c>
      <c r="D58" s="7">
        <v>0.43</v>
      </c>
      <c r="E58" s="8">
        <f t="shared" si="4"/>
        <v>70.95</v>
      </c>
      <c r="F58" s="7">
        <f t="shared" si="5"/>
        <v>87.45</v>
      </c>
    </row>
    <row r="59" spans="1:6" s="7" customFormat="1" x14ac:dyDescent="0.25">
      <c r="A59" s="7" t="s">
        <v>23</v>
      </c>
      <c r="B59" s="7" t="s">
        <v>1266</v>
      </c>
      <c r="C59" s="7">
        <v>193</v>
      </c>
      <c r="D59" s="7">
        <v>0.43</v>
      </c>
      <c r="E59" s="8">
        <f t="shared" si="4"/>
        <v>82.99</v>
      </c>
      <c r="F59" s="7">
        <f t="shared" si="5"/>
        <v>102.29</v>
      </c>
    </row>
    <row r="60" spans="1:6" s="7" customFormat="1" x14ac:dyDescent="0.25">
      <c r="A60" s="7" t="s">
        <v>23</v>
      </c>
      <c r="B60" s="7" t="s">
        <v>1267</v>
      </c>
      <c r="C60" s="7">
        <v>302</v>
      </c>
      <c r="D60" s="7">
        <v>0.43</v>
      </c>
      <c r="E60" s="8">
        <f t="shared" si="4"/>
        <v>129.85999999999999</v>
      </c>
      <c r="F60" s="7">
        <f t="shared" si="5"/>
        <v>160.06</v>
      </c>
    </row>
    <row r="61" spans="1:6" s="7" customFormat="1" x14ac:dyDescent="0.25">
      <c r="A61" s="7" t="s">
        <v>23</v>
      </c>
      <c r="B61" s="7" t="s">
        <v>24</v>
      </c>
      <c r="C61" s="7">
        <v>780</v>
      </c>
      <c r="D61" s="7">
        <v>0.43</v>
      </c>
      <c r="E61" s="8">
        <f t="shared" si="4"/>
        <v>335.4</v>
      </c>
      <c r="F61" s="7">
        <f t="shared" si="5"/>
        <v>413.40000000000003</v>
      </c>
    </row>
    <row r="62" spans="1:6" x14ac:dyDescent="0.25">
      <c r="A62" s="1" t="s">
        <v>23</v>
      </c>
      <c r="B62" s="1" t="s">
        <v>25</v>
      </c>
      <c r="C62" s="1">
        <v>435</v>
      </c>
      <c r="D62" s="1">
        <v>0.43</v>
      </c>
      <c r="E62" s="3">
        <f t="shared" si="4"/>
        <v>187.04999999999998</v>
      </c>
      <c r="F62" s="1">
        <f t="shared" si="5"/>
        <v>230.55</v>
      </c>
    </row>
    <row r="63" spans="1:6" x14ac:dyDescent="0.25">
      <c r="A63" s="7" t="s">
        <v>23</v>
      </c>
      <c r="B63" s="1" t="s">
        <v>1272</v>
      </c>
      <c r="C63" s="1">
        <v>140</v>
      </c>
      <c r="D63" s="1">
        <v>0.43</v>
      </c>
      <c r="E63" s="3">
        <f t="shared" si="4"/>
        <v>60.199999999999996</v>
      </c>
      <c r="F63" s="1">
        <f t="shared" si="5"/>
        <v>74.2</v>
      </c>
    </row>
    <row r="64" spans="1:6" x14ac:dyDescent="0.25">
      <c r="A64" s="1" t="s">
        <v>23</v>
      </c>
      <c r="B64" s="1" t="s">
        <v>1268</v>
      </c>
      <c r="C64" s="1">
        <v>154</v>
      </c>
      <c r="D64" s="1">
        <v>0.43</v>
      </c>
      <c r="E64" s="3">
        <f t="shared" si="4"/>
        <v>66.22</v>
      </c>
      <c r="F64" s="1">
        <f t="shared" si="5"/>
        <v>81.62</v>
      </c>
    </row>
    <row r="65" spans="1:6" x14ac:dyDescent="0.25">
      <c r="A65" s="7" t="s">
        <v>23</v>
      </c>
      <c r="B65" s="1" t="s">
        <v>1269</v>
      </c>
      <c r="C65" s="1">
        <v>297</v>
      </c>
      <c r="D65" s="1">
        <v>0.43</v>
      </c>
      <c r="E65" s="3">
        <f t="shared" si="4"/>
        <v>127.71</v>
      </c>
      <c r="F65" s="1">
        <f t="shared" si="5"/>
        <v>157.41</v>
      </c>
    </row>
    <row r="66" spans="1:6" x14ac:dyDescent="0.25">
      <c r="A66" s="7" t="s">
        <v>23</v>
      </c>
      <c r="B66" s="1" t="s">
        <v>26</v>
      </c>
      <c r="C66" s="1">
        <v>704</v>
      </c>
      <c r="D66" s="1">
        <v>0.43</v>
      </c>
      <c r="E66" s="3">
        <f t="shared" si="4"/>
        <v>302.71999999999997</v>
      </c>
      <c r="F66" s="1">
        <f t="shared" si="5"/>
        <v>373.12</v>
      </c>
    </row>
    <row r="67" spans="1:6" x14ac:dyDescent="0.25">
      <c r="A67" s="1" t="s">
        <v>23</v>
      </c>
      <c r="B67" s="1" t="s">
        <v>1271</v>
      </c>
      <c r="C67" s="1">
        <v>120</v>
      </c>
      <c r="D67" s="1">
        <v>0.43</v>
      </c>
      <c r="E67" s="3">
        <f t="shared" si="4"/>
        <v>51.6</v>
      </c>
      <c r="F67" s="1">
        <f t="shared" si="5"/>
        <v>63.6</v>
      </c>
    </row>
    <row r="68" spans="1:6" x14ac:dyDescent="0.25">
      <c r="A68" s="7" t="s">
        <v>23</v>
      </c>
      <c r="B68" s="1" t="s">
        <v>1270</v>
      </c>
      <c r="C68" s="1">
        <v>140</v>
      </c>
      <c r="D68" s="1">
        <v>0.43</v>
      </c>
      <c r="E68" s="3">
        <f t="shared" si="4"/>
        <v>60.199999999999996</v>
      </c>
      <c r="F68" s="1">
        <f t="shared" si="5"/>
        <v>74.2</v>
      </c>
    </row>
    <row r="69" spans="1:6" x14ac:dyDescent="0.25">
      <c r="A69" s="7" t="s">
        <v>23</v>
      </c>
      <c r="B69" s="1" t="s">
        <v>27</v>
      </c>
      <c r="C69" s="1">
        <v>566</v>
      </c>
      <c r="D69" s="1">
        <v>0.43</v>
      </c>
      <c r="E69" s="3">
        <f t="shared" si="4"/>
        <v>243.38</v>
      </c>
      <c r="F69" s="1">
        <f t="shared" si="5"/>
        <v>299.98</v>
      </c>
    </row>
    <row r="70" spans="1:6" x14ac:dyDescent="0.25">
      <c r="A70" s="1" t="s">
        <v>23</v>
      </c>
      <c r="B70" s="1" t="s">
        <v>28</v>
      </c>
      <c r="C70" s="1">
        <v>276</v>
      </c>
      <c r="D70" s="1">
        <v>0.43</v>
      </c>
      <c r="E70" s="3">
        <f t="shared" si="4"/>
        <v>118.67999999999999</v>
      </c>
      <c r="F70" s="1">
        <f t="shared" si="5"/>
        <v>146.28</v>
      </c>
    </row>
    <row r="71" spans="1:6" x14ac:dyDescent="0.25">
      <c r="A71" s="1" t="s">
        <v>23</v>
      </c>
      <c r="B71" s="1" t="s">
        <v>29</v>
      </c>
      <c r="C71" s="1">
        <v>83.5</v>
      </c>
      <c r="D71" s="1">
        <v>0.43</v>
      </c>
      <c r="E71" s="3">
        <f t="shared" si="4"/>
        <v>35.905000000000001</v>
      </c>
      <c r="F71" s="1">
        <f t="shared" si="5"/>
        <v>44.255000000000003</v>
      </c>
    </row>
    <row r="72" spans="1:6" x14ac:dyDescent="0.25">
      <c r="A72" s="1" t="s">
        <v>23</v>
      </c>
      <c r="B72" s="1" t="s">
        <v>30</v>
      </c>
      <c r="C72" s="1">
        <v>158</v>
      </c>
      <c r="D72" s="1">
        <v>0.43</v>
      </c>
      <c r="E72" s="3">
        <f t="shared" si="4"/>
        <v>67.94</v>
      </c>
      <c r="F72" s="1">
        <f t="shared" si="5"/>
        <v>83.740000000000009</v>
      </c>
    </row>
    <row r="73" spans="1:6" x14ac:dyDescent="0.25">
      <c r="A73" s="1" t="s">
        <v>23</v>
      </c>
      <c r="B73" s="1" t="s">
        <v>31</v>
      </c>
      <c r="C73" s="1">
        <v>250</v>
      </c>
      <c r="D73" s="1">
        <v>0.43</v>
      </c>
      <c r="E73" s="3">
        <f t="shared" si="4"/>
        <v>107.5</v>
      </c>
      <c r="F73" s="1">
        <f t="shared" si="5"/>
        <v>132.5</v>
      </c>
    </row>
    <row r="74" spans="1:6" x14ac:dyDescent="0.25">
      <c r="A74" s="1" t="s">
        <v>23</v>
      </c>
      <c r="B74" s="1" t="s">
        <v>32</v>
      </c>
      <c r="C74" s="1">
        <v>495</v>
      </c>
      <c r="D74" s="1">
        <v>0.43</v>
      </c>
      <c r="E74" s="3">
        <f t="shared" si="4"/>
        <v>212.85</v>
      </c>
      <c r="F74" s="1">
        <f t="shared" si="5"/>
        <v>262.35000000000002</v>
      </c>
    </row>
    <row r="75" spans="1:6" s="9" customFormat="1" ht="15.75" thickBot="1" x14ac:dyDescent="0.3">
      <c r="A75" s="9" t="s">
        <v>23</v>
      </c>
      <c r="B75" s="9" t="s">
        <v>33</v>
      </c>
      <c r="C75" s="9">
        <v>235</v>
      </c>
      <c r="D75" s="9">
        <v>0.43</v>
      </c>
      <c r="E75" s="11">
        <f t="shared" si="4"/>
        <v>101.05</v>
      </c>
      <c r="F75" s="9">
        <f t="shared" si="5"/>
        <v>124.55000000000001</v>
      </c>
    </row>
    <row r="76" spans="1:6" s="7" customFormat="1" x14ac:dyDescent="0.25">
      <c r="A76" s="7" t="s">
        <v>34</v>
      </c>
      <c r="B76" s="7" t="s">
        <v>35</v>
      </c>
      <c r="E76" s="8"/>
    </row>
    <row r="77" spans="1:6" x14ac:dyDescent="0.25">
      <c r="A77" s="1" t="s">
        <v>34</v>
      </c>
      <c r="B77" s="1" t="s">
        <v>36</v>
      </c>
      <c r="D77" s="1"/>
      <c r="E77" s="3"/>
    </row>
    <row r="78" spans="1:6" x14ac:dyDescent="0.25">
      <c r="A78" s="1" t="s">
        <v>34</v>
      </c>
      <c r="B78" s="1" t="s">
        <v>37</v>
      </c>
      <c r="C78" s="1">
        <v>240</v>
      </c>
      <c r="D78" s="1"/>
      <c r="E78" s="3"/>
    </row>
    <row r="79" spans="1:6" x14ac:dyDescent="0.25">
      <c r="A79" s="1" t="s">
        <v>34</v>
      </c>
      <c r="B79" s="1" t="s">
        <v>38</v>
      </c>
      <c r="D79" s="1"/>
      <c r="E79" s="3"/>
    </row>
    <row r="80" spans="1:6" x14ac:dyDescent="0.25">
      <c r="A80" s="1" t="s">
        <v>34</v>
      </c>
      <c r="B80" s="1" t="s">
        <v>39</v>
      </c>
      <c r="D80" s="1"/>
      <c r="E80" s="3"/>
    </row>
    <row r="81" spans="1:6" x14ac:dyDescent="0.25">
      <c r="A81" s="1" t="s">
        <v>34</v>
      </c>
      <c r="B81" s="1" t="s">
        <v>40</v>
      </c>
      <c r="D81" s="1"/>
      <c r="E81" s="3"/>
    </row>
    <row r="82" spans="1:6" x14ac:dyDescent="0.25">
      <c r="A82" s="1" t="s">
        <v>34</v>
      </c>
      <c r="B82" s="1" t="s">
        <v>41</v>
      </c>
      <c r="D82" s="1"/>
      <c r="E82" s="3"/>
    </row>
    <row r="83" spans="1:6" x14ac:dyDescent="0.25">
      <c r="A83" s="1" t="s">
        <v>34</v>
      </c>
      <c r="B83" s="1" t="s">
        <v>42</v>
      </c>
      <c r="D83" s="1"/>
      <c r="E83" s="3"/>
    </row>
    <row r="84" spans="1:6" x14ac:dyDescent="0.25">
      <c r="A84" s="1" t="s">
        <v>34</v>
      </c>
      <c r="B84" s="1" t="s">
        <v>43</v>
      </c>
      <c r="D84" s="1"/>
      <c r="E84" s="3"/>
    </row>
    <row r="85" spans="1:6" s="9" customFormat="1" ht="15.75" thickBot="1" x14ac:dyDescent="0.3">
      <c r="A85" s="9" t="s">
        <v>34</v>
      </c>
      <c r="B85" s="16" t="s">
        <v>44</v>
      </c>
      <c r="E85" s="11"/>
    </row>
    <row r="86" spans="1:6" s="7" customFormat="1" x14ac:dyDescent="0.25">
      <c r="A86" s="7" t="s">
        <v>45</v>
      </c>
      <c r="B86" s="7" t="s">
        <v>1213</v>
      </c>
      <c r="C86" s="7">
        <v>89</v>
      </c>
      <c r="D86" s="7">
        <v>0.46</v>
      </c>
      <c r="E86" s="8">
        <f t="shared" ref="E86:E115" si="6">C86*D86</f>
        <v>40.940000000000005</v>
      </c>
      <c r="F86" s="7">
        <f t="shared" ref="F86:F115" si="7">C86*(D86+0.1)</f>
        <v>49.84</v>
      </c>
    </row>
    <row r="87" spans="1:6" s="7" customFormat="1" x14ac:dyDescent="0.25">
      <c r="A87" s="7" t="s">
        <v>45</v>
      </c>
      <c r="B87" s="7" t="s">
        <v>1214</v>
      </c>
      <c r="C87" s="7">
        <v>149</v>
      </c>
      <c r="D87" s="7">
        <v>0.46</v>
      </c>
      <c r="E87" s="3">
        <f t="shared" si="6"/>
        <v>68.540000000000006</v>
      </c>
      <c r="F87" s="7">
        <f t="shared" si="7"/>
        <v>83.440000000000012</v>
      </c>
    </row>
    <row r="88" spans="1:6" x14ac:dyDescent="0.25">
      <c r="A88" s="1" t="s">
        <v>45</v>
      </c>
      <c r="B88" s="1" t="s">
        <v>46</v>
      </c>
      <c r="C88" s="1">
        <v>79</v>
      </c>
      <c r="D88" s="1">
        <v>0.46</v>
      </c>
      <c r="E88" s="3">
        <f t="shared" si="6"/>
        <v>36.340000000000003</v>
      </c>
      <c r="F88" s="1">
        <f t="shared" si="7"/>
        <v>44.24</v>
      </c>
    </row>
    <row r="89" spans="1:6" x14ac:dyDescent="0.25">
      <c r="A89" s="1" t="s">
        <v>45</v>
      </c>
      <c r="B89" s="1" t="s">
        <v>47</v>
      </c>
      <c r="C89" s="1">
        <v>119</v>
      </c>
      <c r="D89" s="1">
        <v>0.46</v>
      </c>
      <c r="E89" s="3">
        <f t="shared" si="6"/>
        <v>54.74</v>
      </c>
      <c r="F89" s="1">
        <f t="shared" si="7"/>
        <v>66.64</v>
      </c>
    </row>
    <row r="90" spans="1:6" x14ac:dyDescent="0.25">
      <c r="A90" s="1" t="s">
        <v>45</v>
      </c>
      <c r="B90" s="1" t="s">
        <v>48</v>
      </c>
      <c r="C90" s="1">
        <v>273</v>
      </c>
      <c r="D90" s="1">
        <v>0.46</v>
      </c>
      <c r="E90" s="3">
        <f t="shared" si="6"/>
        <v>125.58000000000001</v>
      </c>
      <c r="F90" s="1">
        <f t="shared" si="7"/>
        <v>152.88000000000002</v>
      </c>
    </row>
    <row r="91" spans="1:6" x14ac:dyDescent="0.25">
      <c r="A91" s="1" t="s">
        <v>45</v>
      </c>
      <c r="B91" s="1" t="s">
        <v>49</v>
      </c>
      <c r="C91" s="1">
        <v>369</v>
      </c>
      <c r="D91" s="1">
        <v>0.46</v>
      </c>
      <c r="E91" s="3">
        <f t="shared" si="6"/>
        <v>169.74</v>
      </c>
      <c r="F91" s="1">
        <f t="shared" si="7"/>
        <v>206.64000000000001</v>
      </c>
    </row>
    <row r="92" spans="1:6" x14ac:dyDescent="0.25">
      <c r="A92" s="1" t="s">
        <v>45</v>
      </c>
      <c r="B92" s="1" t="s">
        <v>50</v>
      </c>
      <c r="C92" s="1">
        <v>1269</v>
      </c>
      <c r="D92" s="1">
        <v>0.46</v>
      </c>
      <c r="E92" s="3">
        <f t="shared" si="6"/>
        <v>583.74</v>
      </c>
      <c r="F92" s="1">
        <f t="shared" si="7"/>
        <v>710.6400000000001</v>
      </c>
    </row>
    <row r="93" spans="1:6" x14ac:dyDescent="0.25">
      <c r="A93" s="1" t="s">
        <v>45</v>
      </c>
      <c r="B93" s="1" t="s">
        <v>51</v>
      </c>
      <c r="C93" s="1">
        <v>126</v>
      </c>
      <c r="D93" s="1">
        <v>0.46</v>
      </c>
      <c r="E93" s="3">
        <f t="shared" si="6"/>
        <v>57.96</v>
      </c>
      <c r="F93" s="1">
        <f t="shared" si="7"/>
        <v>70.56</v>
      </c>
    </row>
    <row r="94" spans="1:6" x14ac:dyDescent="0.25">
      <c r="A94" s="1" t="s">
        <v>45</v>
      </c>
      <c r="B94" s="1" t="s">
        <v>52</v>
      </c>
      <c r="C94" s="1">
        <v>49</v>
      </c>
      <c r="D94" s="1">
        <v>0.46</v>
      </c>
      <c r="E94" s="3">
        <f t="shared" si="6"/>
        <v>22.540000000000003</v>
      </c>
      <c r="F94" s="1">
        <f t="shared" si="7"/>
        <v>27.44</v>
      </c>
    </row>
    <row r="95" spans="1:6" x14ac:dyDescent="0.25">
      <c r="A95" s="1" t="s">
        <v>45</v>
      </c>
      <c r="B95" s="1" t="s">
        <v>53</v>
      </c>
      <c r="C95" s="1">
        <v>409</v>
      </c>
      <c r="D95" s="1">
        <v>0.46</v>
      </c>
      <c r="E95" s="3">
        <f t="shared" si="6"/>
        <v>188.14000000000001</v>
      </c>
      <c r="F95" s="1">
        <f t="shared" si="7"/>
        <v>229.04000000000002</v>
      </c>
    </row>
    <row r="96" spans="1:6" x14ac:dyDescent="0.25">
      <c r="A96" s="1" t="s">
        <v>45</v>
      </c>
      <c r="B96" s="1" t="s">
        <v>54</v>
      </c>
      <c r="C96" s="1">
        <v>266</v>
      </c>
      <c r="D96" s="1">
        <v>0.46</v>
      </c>
      <c r="E96" s="3">
        <f t="shared" si="6"/>
        <v>122.36</v>
      </c>
      <c r="F96" s="1">
        <f t="shared" si="7"/>
        <v>148.96</v>
      </c>
    </row>
    <row r="97" spans="1:6" x14ac:dyDescent="0.25">
      <c r="A97" s="1" t="s">
        <v>45</v>
      </c>
      <c r="B97" s="1" t="s">
        <v>55</v>
      </c>
      <c r="C97" s="1">
        <v>299</v>
      </c>
      <c r="D97" s="1">
        <v>0.46</v>
      </c>
      <c r="E97" s="8">
        <f t="shared" si="6"/>
        <v>137.54</v>
      </c>
      <c r="F97" s="1">
        <f t="shared" si="7"/>
        <v>167.44000000000003</v>
      </c>
    </row>
    <row r="98" spans="1:6" x14ac:dyDescent="0.25">
      <c r="A98" s="1" t="s">
        <v>45</v>
      </c>
      <c r="B98" s="1" t="s">
        <v>56</v>
      </c>
      <c r="C98" s="1">
        <v>559</v>
      </c>
      <c r="D98" s="1">
        <v>0.46</v>
      </c>
      <c r="E98" s="3">
        <f t="shared" si="6"/>
        <v>257.14</v>
      </c>
      <c r="F98" s="1">
        <f t="shared" si="7"/>
        <v>313.04000000000002</v>
      </c>
    </row>
    <row r="99" spans="1:6" x14ac:dyDescent="0.25">
      <c r="A99" s="1" t="s">
        <v>45</v>
      </c>
      <c r="B99" s="1" t="s">
        <v>57</v>
      </c>
      <c r="C99" s="1">
        <v>206</v>
      </c>
      <c r="D99" s="1">
        <v>0.46</v>
      </c>
      <c r="E99" s="3">
        <f t="shared" si="6"/>
        <v>94.76</v>
      </c>
      <c r="F99" s="1">
        <f t="shared" si="7"/>
        <v>115.36000000000001</v>
      </c>
    </row>
    <row r="100" spans="1:6" x14ac:dyDescent="0.25">
      <c r="A100" s="1" t="s">
        <v>45</v>
      </c>
      <c r="B100" s="1" t="s">
        <v>58</v>
      </c>
      <c r="C100" s="1">
        <v>163</v>
      </c>
      <c r="D100" s="1">
        <v>0.46</v>
      </c>
      <c r="E100" s="3">
        <f t="shared" si="6"/>
        <v>74.98</v>
      </c>
      <c r="F100" s="1">
        <f t="shared" si="7"/>
        <v>91.280000000000015</v>
      </c>
    </row>
    <row r="101" spans="1:6" x14ac:dyDescent="0.25">
      <c r="A101" s="1" t="s">
        <v>45</v>
      </c>
      <c r="B101" s="1" t="s">
        <v>59</v>
      </c>
      <c r="C101" s="1">
        <v>73</v>
      </c>
      <c r="D101" s="1">
        <v>0.46</v>
      </c>
      <c r="E101" s="3">
        <f t="shared" si="6"/>
        <v>33.58</v>
      </c>
      <c r="F101" s="1">
        <f t="shared" si="7"/>
        <v>40.880000000000003</v>
      </c>
    </row>
    <row r="102" spans="1:6" x14ac:dyDescent="0.25">
      <c r="A102" s="1" t="s">
        <v>45</v>
      </c>
      <c r="B102" s="1" t="s">
        <v>60</v>
      </c>
      <c r="C102" s="1">
        <v>126</v>
      </c>
      <c r="D102" s="1">
        <v>0.46</v>
      </c>
      <c r="E102" s="3">
        <f t="shared" si="6"/>
        <v>57.96</v>
      </c>
      <c r="F102" s="1">
        <f t="shared" si="7"/>
        <v>70.56</v>
      </c>
    </row>
    <row r="103" spans="1:6" x14ac:dyDescent="0.25">
      <c r="A103" s="1" t="s">
        <v>45</v>
      </c>
      <c r="B103" s="1" t="s">
        <v>61</v>
      </c>
      <c r="C103" s="1">
        <v>56</v>
      </c>
      <c r="D103" s="1">
        <v>0.46</v>
      </c>
      <c r="E103" s="3">
        <f t="shared" si="6"/>
        <v>25.76</v>
      </c>
      <c r="F103" s="1">
        <f t="shared" si="7"/>
        <v>31.360000000000003</v>
      </c>
    </row>
    <row r="104" spans="1:6" x14ac:dyDescent="0.25">
      <c r="A104" s="1" t="s">
        <v>45</v>
      </c>
      <c r="B104" s="1" t="s">
        <v>62</v>
      </c>
      <c r="C104" s="1">
        <v>129</v>
      </c>
      <c r="D104" s="1">
        <v>0.46</v>
      </c>
      <c r="E104" s="3">
        <f t="shared" si="6"/>
        <v>59.34</v>
      </c>
      <c r="F104" s="1">
        <f t="shared" si="7"/>
        <v>72.240000000000009</v>
      </c>
    </row>
    <row r="105" spans="1:6" x14ac:dyDescent="0.25">
      <c r="A105" s="1" t="s">
        <v>45</v>
      </c>
      <c r="B105" s="1" t="s">
        <v>63</v>
      </c>
      <c r="C105" s="1">
        <v>176</v>
      </c>
      <c r="D105" s="1">
        <v>0.46</v>
      </c>
      <c r="E105" s="3">
        <f t="shared" si="6"/>
        <v>80.960000000000008</v>
      </c>
      <c r="F105" s="1">
        <f t="shared" si="7"/>
        <v>98.56</v>
      </c>
    </row>
    <row r="106" spans="1:6" x14ac:dyDescent="0.25">
      <c r="A106" s="1" t="s">
        <v>45</v>
      </c>
      <c r="B106" s="1" t="s">
        <v>64</v>
      </c>
      <c r="C106" s="1">
        <v>329</v>
      </c>
      <c r="D106" s="1">
        <v>0.46</v>
      </c>
      <c r="E106" s="3">
        <f t="shared" si="6"/>
        <v>151.34</v>
      </c>
      <c r="F106" s="1">
        <f t="shared" si="7"/>
        <v>184.24</v>
      </c>
    </row>
    <row r="107" spans="1:6" x14ac:dyDescent="0.25">
      <c r="A107" s="1" t="s">
        <v>45</v>
      </c>
      <c r="B107" s="1" t="s">
        <v>65</v>
      </c>
      <c r="C107" s="1">
        <v>163</v>
      </c>
      <c r="D107" s="1">
        <v>0.46</v>
      </c>
      <c r="E107" s="3">
        <f t="shared" si="6"/>
        <v>74.98</v>
      </c>
      <c r="F107" s="1">
        <f t="shared" si="7"/>
        <v>91.280000000000015</v>
      </c>
    </row>
    <row r="108" spans="1:6" x14ac:dyDescent="0.25">
      <c r="A108" s="1" t="s">
        <v>45</v>
      </c>
      <c r="B108" s="1" t="s">
        <v>66</v>
      </c>
      <c r="C108" s="1">
        <v>196</v>
      </c>
      <c r="D108" s="1">
        <v>0.46</v>
      </c>
      <c r="E108" s="3">
        <f t="shared" si="6"/>
        <v>90.160000000000011</v>
      </c>
      <c r="F108" s="1">
        <f t="shared" si="7"/>
        <v>109.76</v>
      </c>
    </row>
    <row r="109" spans="1:6" x14ac:dyDescent="0.25">
      <c r="A109" s="1" t="s">
        <v>45</v>
      </c>
      <c r="B109" s="1" t="s">
        <v>67</v>
      </c>
      <c r="C109" s="1">
        <v>166</v>
      </c>
      <c r="D109" s="1">
        <v>0.46</v>
      </c>
      <c r="E109" s="3">
        <f t="shared" si="6"/>
        <v>76.36</v>
      </c>
      <c r="F109" s="1">
        <f t="shared" si="7"/>
        <v>92.960000000000008</v>
      </c>
    </row>
    <row r="110" spans="1:6" x14ac:dyDescent="0.25">
      <c r="A110" s="1" t="s">
        <v>45</v>
      </c>
      <c r="B110" s="1" t="s">
        <v>68</v>
      </c>
      <c r="C110" s="1">
        <v>42</v>
      </c>
      <c r="D110" s="1">
        <v>0.46</v>
      </c>
      <c r="E110" s="3">
        <f t="shared" si="6"/>
        <v>19.32</v>
      </c>
      <c r="F110" s="1">
        <f t="shared" si="7"/>
        <v>23.520000000000003</v>
      </c>
    </row>
    <row r="111" spans="1:6" x14ac:dyDescent="0.25">
      <c r="A111" s="1" t="s">
        <v>45</v>
      </c>
      <c r="B111" s="1" t="s">
        <v>69</v>
      </c>
      <c r="C111" s="1">
        <v>303</v>
      </c>
      <c r="D111" s="1">
        <v>0.46</v>
      </c>
      <c r="E111" s="3">
        <f t="shared" si="6"/>
        <v>139.38</v>
      </c>
      <c r="F111" s="1">
        <f t="shared" si="7"/>
        <v>169.68</v>
      </c>
    </row>
    <row r="112" spans="1:6" x14ac:dyDescent="0.25">
      <c r="A112" s="1" t="s">
        <v>45</v>
      </c>
      <c r="B112" s="1" t="s">
        <v>70</v>
      </c>
      <c r="C112" s="1">
        <v>0</v>
      </c>
      <c r="D112" s="1">
        <v>0.46</v>
      </c>
      <c r="E112" s="3">
        <f t="shared" si="6"/>
        <v>0</v>
      </c>
      <c r="F112" s="1">
        <f t="shared" si="7"/>
        <v>0</v>
      </c>
    </row>
    <row r="113" spans="1:6" s="9" customFormat="1" ht="15.75" thickBot="1" x14ac:dyDescent="0.3">
      <c r="A113" s="9" t="s">
        <v>45</v>
      </c>
      <c r="B113" s="9" t="s">
        <v>71</v>
      </c>
      <c r="C113" s="9">
        <v>299</v>
      </c>
      <c r="D113" s="9">
        <v>0.46</v>
      </c>
      <c r="E113" s="3">
        <f t="shared" si="6"/>
        <v>137.54</v>
      </c>
      <c r="F113" s="9">
        <f t="shared" si="7"/>
        <v>167.44000000000003</v>
      </c>
    </row>
    <row r="114" spans="1:6" s="7" customFormat="1" x14ac:dyDescent="0.25">
      <c r="A114" s="7" t="s">
        <v>72</v>
      </c>
      <c r="B114" s="7" t="s">
        <v>73</v>
      </c>
      <c r="D114" s="7">
        <v>0.6</v>
      </c>
      <c r="E114" s="8">
        <f t="shared" si="6"/>
        <v>0</v>
      </c>
      <c r="F114" s="7">
        <f t="shared" si="7"/>
        <v>0</v>
      </c>
    </row>
    <row r="115" spans="1:6" s="9" customFormat="1" ht="15.75" thickBot="1" x14ac:dyDescent="0.3">
      <c r="A115" s="9" t="s">
        <v>72</v>
      </c>
      <c r="B115" s="9" t="s">
        <v>74</v>
      </c>
      <c r="C115" s="9">
        <v>1338</v>
      </c>
      <c r="D115" s="9">
        <v>0.6</v>
      </c>
      <c r="E115" s="11">
        <f t="shared" si="6"/>
        <v>802.8</v>
      </c>
      <c r="F115" s="9">
        <f t="shared" si="7"/>
        <v>936.59999999999991</v>
      </c>
    </row>
    <row r="116" spans="1:6" s="7" customFormat="1" x14ac:dyDescent="0.25">
      <c r="A116" s="7" t="s">
        <v>75</v>
      </c>
      <c r="B116" s="7" t="s">
        <v>76</v>
      </c>
      <c r="C116" s="7">
        <v>299</v>
      </c>
      <c r="D116" s="7">
        <v>0.4</v>
      </c>
      <c r="E116" s="8">
        <f t="shared" ref="E116:E147" si="8">(C116*D116)</f>
        <v>119.60000000000001</v>
      </c>
      <c r="F116" s="7">
        <f t="shared" ref="F116:F147" si="9">C116*(D116+0.12)</f>
        <v>155.48000000000002</v>
      </c>
    </row>
    <row r="117" spans="1:6" x14ac:dyDescent="0.25">
      <c r="A117" s="1" t="s">
        <v>75</v>
      </c>
      <c r="B117" s="1" t="s">
        <v>77</v>
      </c>
      <c r="C117" s="1">
        <v>78</v>
      </c>
      <c r="D117" s="1">
        <v>0.4</v>
      </c>
      <c r="E117" s="3">
        <f t="shared" si="8"/>
        <v>31.200000000000003</v>
      </c>
      <c r="F117" s="7">
        <f t="shared" si="9"/>
        <v>40.56</v>
      </c>
    </row>
    <row r="118" spans="1:6" x14ac:dyDescent="0.25">
      <c r="A118" s="1" t="s">
        <v>75</v>
      </c>
      <c r="B118" s="1" t="s">
        <v>78</v>
      </c>
      <c r="C118" s="1">
        <v>218</v>
      </c>
      <c r="D118" s="1">
        <v>0.4</v>
      </c>
      <c r="E118" s="3">
        <f t="shared" si="8"/>
        <v>87.2</v>
      </c>
      <c r="F118" s="7">
        <f t="shared" si="9"/>
        <v>113.36</v>
      </c>
    </row>
    <row r="119" spans="1:6" x14ac:dyDescent="0.25">
      <c r="A119" s="1" t="s">
        <v>75</v>
      </c>
      <c r="B119" s="1" t="s">
        <v>79</v>
      </c>
      <c r="C119" s="1">
        <v>159</v>
      </c>
      <c r="D119" s="1">
        <v>0.4</v>
      </c>
      <c r="E119" s="3">
        <f t="shared" si="8"/>
        <v>63.6</v>
      </c>
      <c r="F119" s="7">
        <f t="shared" si="9"/>
        <v>82.68</v>
      </c>
    </row>
    <row r="120" spans="1:6" x14ac:dyDescent="0.25">
      <c r="A120" s="1" t="s">
        <v>75</v>
      </c>
      <c r="B120" s="1" t="s">
        <v>80</v>
      </c>
      <c r="C120" s="1">
        <v>239</v>
      </c>
      <c r="D120" s="1">
        <v>0.4</v>
      </c>
      <c r="E120" s="3">
        <f t="shared" si="8"/>
        <v>95.600000000000009</v>
      </c>
      <c r="F120" s="7">
        <f t="shared" si="9"/>
        <v>124.28</v>
      </c>
    </row>
    <row r="121" spans="1:6" x14ac:dyDescent="0.25">
      <c r="A121" s="1" t="s">
        <v>75</v>
      </c>
      <c r="B121" s="1" t="s">
        <v>81</v>
      </c>
      <c r="C121" s="1">
        <v>163</v>
      </c>
      <c r="D121" s="1">
        <v>0.4</v>
      </c>
      <c r="E121" s="3">
        <f t="shared" si="8"/>
        <v>65.2</v>
      </c>
      <c r="F121" s="7">
        <f t="shared" si="9"/>
        <v>84.76</v>
      </c>
    </row>
    <row r="122" spans="1:6" x14ac:dyDescent="0.25">
      <c r="A122" s="1" t="s">
        <v>75</v>
      </c>
      <c r="B122" s="1" t="s">
        <v>82</v>
      </c>
      <c r="C122" s="1">
        <v>59</v>
      </c>
      <c r="D122" s="1">
        <v>0.4</v>
      </c>
      <c r="E122" s="3">
        <f t="shared" si="8"/>
        <v>23.6</v>
      </c>
      <c r="F122" s="7">
        <f t="shared" si="9"/>
        <v>30.68</v>
      </c>
    </row>
    <row r="123" spans="1:6" x14ac:dyDescent="0.25">
      <c r="A123" s="1" t="s">
        <v>75</v>
      </c>
      <c r="B123" s="1" t="s">
        <v>83</v>
      </c>
      <c r="C123" s="1">
        <v>95</v>
      </c>
      <c r="D123" s="1">
        <v>0.4</v>
      </c>
      <c r="E123" s="3">
        <f t="shared" si="8"/>
        <v>38</v>
      </c>
      <c r="F123" s="7">
        <f t="shared" si="9"/>
        <v>49.4</v>
      </c>
    </row>
    <row r="124" spans="1:6" x14ac:dyDescent="0.25">
      <c r="A124" s="1" t="s">
        <v>75</v>
      </c>
      <c r="B124" s="1" t="s">
        <v>84</v>
      </c>
      <c r="C124" s="1">
        <v>108</v>
      </c>
      <c r="D124" s="1">
        <v>0.4</v>
      </c>
      <c r="E124" s="3">
        <f t="shared" si="8"/>
        <v>43.2</v>
      </c>
      <c r="F124" s="7">
        <f t="shared" si="9"/>
        <v>56.160000000000004</v>
      </c>
    </row>
    <row r="125" spans="1:6" x14ac:dyDescent="0.25">
      <c r="A125" s="1" t="s">
        <v>75</v>
      </c>
      <c r="B125" s="1" t="s">
        <v>85</v>
      </c>
      <c r="C125" s="1">
        <v>230</v>
      </c>
      <c r="D125" s="1">
        <v>0.4</v>
      </c>
      <c r="E125" s="3">
        <f t="shared" si="8"/>
        <v>92</v>
      </c>
      <c r="F125" s="7">
        <f t="shared" si="9"/>
        <v>119.60000000000001</v>
      </c>
    </row>
    <row r="126" spans="1:6" x14ac:dyDescent="0.25">
      <c r="A126" s="1" t="s">
        <v>75</v>
      </c>
      <c r="B126" s="1" t="s">
        <v>86</v>
      </c>
      <c r="C126" s="1">
        <v>158</v>
      </c>
      <c r="D126" s="1">
        <v>0.4</v>
      </c>
      <c r="E126" s="3">
        <f t="shared" si="8"/>
        <v>63.2</v>
      </c>
      <c r="F126" s="7">
        <f t="shared" si="9"/>
        <v>82.16</v>
      </c>
    </row>
    <row r="127" spans="1:6" x14ac:dyDescent="0.25">
      <c r="A127" s="1" t="s">
        <v>75</v>
      </c>
      <c r="B127" s="1" t="s">
        <v>87</v>
      </c>
      <c r="C127" s="1">
        <v>71</v>
      </c>
      <c r="D127" s="1">
        <v>0.4</v>
      </c>
      <c r="E127" s="3">
        <f t="shared" si="8"/>
        <v>28.400000000000002</v>
      </c>
      <c r="F127" s="7">
        <f t="shared" si="9"/>
        <v>36.92</v>
      </c>
    </row>
    <row r="128" spans="1:6" x14ac:dyDescent="0.25">
      <c r="A128" s="1" t="s">
        <v>75</v>
      </c>
      <c r="B128" s="1" t="s">
        <v>88</v>
      </c>
      <c r="C128" s="1">
        <v>404</v>
      </c>
      <c r="D128" s="1">
        <v>0.4</v>
      </c>
      <c r="E128" s="3">
        <f t="shared" si="8"/>
        <v>161.60000000000002</v>
      </c>
      <c r="F128" s="7">
        <f t="shared" si="9"/>
        <v>210.08</v>
      </c>
    </row>
    <row r="129" spans="1:6" x14ac:dyDescent="0.25">
      <c r="A129" s="1" t="s">
        <v>75</v>
      </c>
      <c r="B129" s="1" t="s">
        <v>89</v>
      </c>
      <c r="C129" s="1">
        <v>515</v>
      </c>
      <c r="D129" s="1">
        <v>0.4</v>
      </c>
      <c r="E129" s="3">
        <f t="shared" si="8"/>
        <v>206</v>
      </c>
      <c r="F129" s="7">
        <f t="shared" si="9"/>
        <v>267.8</v>
      </c>
    </row>
    <row r="130" spans="1:6" x14ac:dyDescent="0.25">
      <c r="A130" s="1" t="s">
        <v>75</v>
      </c>
      <c r="B130" s="1" t="s">
        <v>90</v>
      </c>
      <c r="C130" s="1">
        <v>295</v>
      </c>
      <c r="D130" s="1">
        <v>0.4</v>
      </c>
      <c r="E130" s="3">
        <f t="shared" si="8"/>
        <v>118</v>
      </c>
      <c r="F130" s="7">
        <f t="shared" si="9"/>
        <v>153.4</v>
      </c>
    </row>
    <row r="131" spans="1:6" x14ac:dyDescent="0.25">
      <c r="A131" s="1" t="s">
        <v>75</v>
      </c>
      <c r="B131" s="1" t="s">
        <v>91</v>
      </c>
      <c r="C131" s="1">
        <v>338</v>
      </c>
      <c r="D131" s="1">
        <v>0.4</v>
      </c>
      <c r="E131" s="3">
        <f t="shared" si="8"/>
        <v>135.20000000000002</v>
      </c>
      <c r="F131" s="7">
        <f t="shared" si="9"/>
        <v>175.76000000000002</v>
      </c>
    </row>
    <row r="132" spans="1:6" x14ac:dyDescent="0.25">
      <c r="A132" s="1" t="s">
        <v>75</v>
      </c>
      <c r="B132" s="1" t="s">
        <v>92</v>
      </c>
      <c r="C132" s="1">
        <v>934</v>
      </c>
      <c r="D132" s="1">
        <v>0.4</v>
      </c>
      <c r="E132" s="3">
        <f t="shared" si="8"/>
        <v>373.6</v>
      </c>
      <c r="F132" s="7">
        <f t="shared" si="9"/>
        <v>485.68</v>
      </c>
    </row>
    <row r="133" spans="1:6" x14ac:dyDescent="0.25">
      <c r="A133" s="1" t="s">
        <v>75</v>
      </c>
      <c r="B133" s="1" t="s">
        <v>93</v>
      </c>
      <c r="C133" s="1">
        <v>67</v>
      </c>
      <c r="D133" s="1">
        <v>0.4</v>
      </c>
      <c r="E133" s="3">
        <f t="shared" si="8"/>
        <v>26.8</v>
      </c>
      <c r="F133" s="7">
        <f t="shared" si="9"/>
        <v>34.840000000000003</v>
      </c>
    </row>
    <row r="134" spans="1:6" x14ac:dyDescent="0.25">
      <c r="A134" s="1" t="s">
        <v>75</v>
      </c>
      <c r="B134" s="1" t="s">
        <v>95</v>
      </c>
      <c r="C134" s="1">
        <v>135</v>
      </c>
      <c r="D134" s="1">
        <v>0.4</v>
      </c>
      <c r="E134" s="3">
        <f t="shared" si="8"/>
        <v>54</v>
      </c>
      <c r="F134" s="7">
        <f t="shared" si="9"/>
        <v>70.2</v>
      </c>
    </row>
    <row r="135" spans="1:6" x14ac:dyDescent="0.25">
      <c r="A135" s="1" t="s">
        <v>75</v>
      </c>
      <c r="B135" s="1" t="s">
        <v>94</v>
      </c>
      <c r="C135" s="1">
        <v>219</v>
      </c>
      <c r="D135" s="1">
        <v>0.4</v>
      </c>
      <c r="E135" s="3">
        <f t="shared" si="8"/>
        <v>87.600000000000009</v>
      </c>
      <c r="F135" s="7">
        <f t="shared" si="9"/>
        <v>113.88000000000001</v>
      </c>
    </row>
    <row r="136" spans="1:6" x14ac:dyDescent="0.25">
      <c r="A136" s="1" t="s">
        <v>75</v>
      </c>
      <c r="B136" s="1" t="s">
        <v>96</v>
      </c>
      <c r="C136" s="1">
        <v>104</v>
      </c>
      <c r="D136" s="1">
        <v>0.4</v>
      </c>
      <c r="E136" s="3">
        <f t="shared" si="8"/>
        <v>41.6</v>
      </c>
      <c r="F136" s="7">
        <f t="shared" si="9"/>
        <v>54.08</v>
      </c>
    </row>
    <row r="137" spans="1:6" x14ac:dyDescent="0.25">
      <c r="A137" s="1" t="s">
        <v>75</v>
      </c>
      <c r="B137" s="1" t="s">
        <v>1601</v>
      </c>
      <c r="C137" s="1">
        <v>101</v>
      </c>
      <c r="D137" s="1">
        <v>0.4</v>
      </c>
      <c r="E137" s="3">
        <f t="shared" si="8"/>
        <v>40.400000000000006</v>
      </c>
      <c r="F137" s="7">
        <f t="shared" si="9"/>
        <v>52.52</v>
      </c>
    </row>
    <row r="138" spans="1:6" x14ac:dyDescent="0.25">
      <c r="A138" s="1" t="s">
        <v>75</v>
      </c>
      <c r="B138" s="1" t="s">
        <v>97</v>
      </c>
      <c r="C138" s="1">
        <v>299</v>
      </c>
      <c r="D138" s="1">
        <v>0.4</v>
      </c>
      <c r="E138" s="3">
        <f t="shared" si="8"/>
        <v>119.60000000000001</v>
      </c>
      <c r="F138" s="7">
        <f t="shared" si="9"/>
        <v>155.48000000000002</v>
      </c>
    </row>
    <row r="139" spans="1:6" x14ac:dyDescent="0.25">
      <c r="A139" s="1" t="s">
        <v>75</v>
      </c>
      <c r="B139" s="1" t="s">
        <v>98</v>
      </c>
      <c r="C139" s="1">
        <v>635</v>
      </c>
      <c r="D139" s="1">
        <v>0.4</v>
      </c>
      <c r="E139" s="3">
        <f t="shared" si="8"/>
        <v>254</v>
      </c>
      <c r="F139" s="7">
        <f t="shared" si="9"/>
        <v>330.2</v>
      </c>
    </row>
    <row r="140" spans="1:6" x14ac:dyDescent="0.25">
      <c r="A140" s="1" t="s">
        <v>75</v>
      </c>
      <c r="B140" s="1" t="s">
        <v>1607</v>
      </c>
      <c r="C140" s="1">
        <v>1528</v>
      </c>
      <c r="D140" s="1">
        <v>0.4</v>
      </c>
      <c r="E140" s="3">
        <f t="shared" si="8"/>
        <v>611.20000000000005</v>
      </c>
      <c r="F140" s="7">
        <f t="shared" si="9"/>
        <v>794.56000000000006</v>
      </c>
    </row>
    <row r="141" spans="1:6" x14ac:dyDescent="0.25">
      <c r="A141" s="1" t="s">
        <v>75</v>
      </c>
      <c r="B141" s="1" t="s">
        <v>1608</v>
      </c>
      <c r="C141" s="1">
        <v>145</v>
      </c>
      <c r="D141" s="1">
        <v>0.4</v>
      </c>
      <c r="E141" s="3">
        <f t="shared" si="8"/>
        <v>58</v>
      </c>
      <c r="F141" s="7">
        <f t="shared" si="9"/>
        <v>75.400000000000006</v>
      </c>
    </row>
    <row r="142" spans="1:6" x14ac:dyDescent="0.25">
      <c r="A142" s="1" t="s">
        <v>75</v>
      </c>
      <c r="B142" s="1" t="s">
        <v>99</v>
      </c>
      <c r="C142" s="1">
        <v>213</v>
      </c>
      <c r="D142" s="1">
        <v>0.4</v>
      </c>
      <c r="E142" s="3">
        <f t="shared" si="8"/>
        <v>85.2</v>
      </c>
      <c r="F142" s="7">
        <f t="shared" si="9"/>
        <v>110.76</v>
      </c>
    </row>
    <row r="143" spans="1:6" x14ac:dyDescent="0.25">
      <c r="A143" s="1" t="s">
        <v>75</v>
      </c>
      <c r="B143" s="1" t="s">
        <v>100</v>
      </c>
      <c r="C143" s="1">
        <v>76</v>
      </c>
      <c r="D143" s="1">
        <v>0.4</v>
      </c>
      <c r="E143" s="3">
        <f t="shared" si="8"/>
        <v>30.400000000000002</v>
      </c>
      <c r="F143" s="7">
        <f t="shared" si="9"/>
        <v>39.520000000000003</v>
      </c>
    </row>
    <row r="144" spans="1:6" x14ac:dyDescent="0.25">
      <c r="A144" s="1" t="s">
        <v>75</v>
      </c>
      <c r="B144" s="1" t="s">
        <v>101</v>
      </c>
      <c r="C144" s="1">
        <v>339</v>
      </c>
      <c r="D144" s="1">
        <v>0.4</v>
      </c>
      <c r="E144" s="3">
        <f t="shared" si="8"/>
        <v>135.6</v>
      </c>
      <c r="F144" s="7">
        <f t="shared" si="9"/>
        <v>176.28</v>
      </c>
    </row>
    <row r="145" spans="1:6" x14ac:dyDescent="0.25">
      <c r="A145" s="1" t="s">
        <v>75</v>
      </c>
      <c r="B145" s="1" t="s">
        <v>102</v>
      </c>
      <c r="C145" s="1">
        <v>113</v>
      </c>
      <c r="D145" s="1">
        <v>0.4</v>
      </c>
      <c r="E145" s="3">
        <f t="shared" si="8"/>
        <v>45.2</v>
      </c>
      <c r="F145" s="7">
        <f t="shared" si="9"/>
        <v>58.760000000000005</v>
      </c>
    </row>
    <row r="146" spans="1:6" x14ac:dyDescent="0.25">
      <c r="A146" s="1" t="s">
        <v>75</v>
      </c>
      <c r="B146" s="1" t="s">
        <v>103</v>
      </c>
      <c r="C146" s="1">
        <v>198</v>
      </c>
      <c r="D146" s="1">
        <v>0.4</v>
      </c>
      <c r="E146" s="3">
        <f t="shared" si="8"/>
        <v>79.2</v>
      </c>
      <c r="F146" s="7">
        <f t="shared" si="9"/>
        <v>102.96000000000001</v>
      </c>
    </row>
    <row r="147" spans="1:6" x14ac:dyDescent="0.25">
      <c r="A147" s="1" t="s">
        <v>75</v>
      </c>
      <c r="B147" s="1" t="s">
        <v>1215</v>
      </c>
      <c r="C147" s="1">
        <v>193</v>
      </c>
      <c r="D147" s="1">
        <v>0.4</v>
      </c>
      <c r="E147" s="3">
        <f t="shared" si="8"/>
        <v>77.2</v>
      </c>
      <c r="F147" s="7">
        <f t="shared" si="9"/>
        <v>100.36</v>
      </c>
    </row>
    <row r="148" spans="1:6" x14ac:dyDescent="0.25">
      <c r="A148" s="1" t="s">
        <v>75</v>
      </c>
      <c r="B148" s="1" t="s">
        <v>104</v>
      </c>
      <c r="C148" s="1">
        <v>66</v>
      </c>
      <c r="D148" s="1">
        <v>0.4</v>
      </c>
      <c r="E148" s="3">
        <f t="shared" ref="E148:E179" si="10">(C148*D148)</f>
        <v>26.400000000000002</v>
      </c>
      <c r="F148" s="7">
        <f t="shared" ref="F148:F182" si="11">C148*(D148+0.12)</f>
        <v>34.32</v>
      </c>
    </row>
    <row r="149" spans="1:6" x14ac:dyDescent="0.25">
      <c r="A149" s="1" t="s">
        <v>75</v>
      </c>
      <c r="B149" s="1" t="s">
        <v>105</v>
      </c>
      <c r="C149" s="1">
        <v>298</v>
      </c>
      <c r="D149" s="1">
        <v>0.4</v>
      </c>
      <c r="E149" s="3">
        <f t="shared" si="10"/>
        <v>119.2</v>
      </c>
      <c r="F149" s="7">
        <f t="shared" si="11"/>
        <v>154.96</v>
      </c>
    </row>
    <row r="150" spans="1:6" x14ac:dyDescent="0.25">
      <c r="A150" s="1" t="s">
        <v>75</v>
      </c>
      <c r="B150" s="1" t="s">
        <v>106</v>
      </c>
      <c r="C150" s="1">
        <v>563</v>
      </c>
      <c r="D150" s="1">
        <v>0.4</v>
      </c>
      <c r="E150" s="3">
        <f t="shared" si="10"/>
        <v>225.20000000000002</v>
      </c>
      <c r="F150" s="7">
        <f t="shared" si="11"/>
        <v>292.76</v>
      </c>
    </row>
    <row r="151" spans="1:6" x14ac:dyDescent="0.25">
      <c r="A151" s="1" t="s">
        <v>75</v>
      </c>
      <c r="B151" s="1" t="s">
        <v>107</v>
      </c>
      <c r="C151" s="1">
        <v>935</v>
      </c>
      <c r="D151" s="1">
        <v>0.4</v>
      </c>
      <c r="E151" s="3">
        <f t="shared" si="10"/>
        <v>374</v>
      </c>
      <c r="F151" s="7">
        <f t="shared" si="11"/>
        <v>486.2</v>
      </c>
    </row>
    <row r="152" spans="1:6" x14ac:dyDescent="0.25">
      <c r="A152" s="1" t="s">
        <v>75</v>
      </c>
      <c r="B152" s="1" t="s">
        <v>108</v>
      </c>
      <c r="C152" s="1">
        <v>414</v>
      </c>
      <c r="D152" s="1">
        <v>0.4</v>
      </c>
      <c r="E152" s="3">
        <f t="shared" si="10"/>
        <v>165.60000000000002</v>
      </c>
      <c r="F152" s="7">
        <f t="shared" si="11"/>
        <v>215.28</v>
      </c>
    </row>
    <row r="153" spans="1:6" x14ac:dyDescent="0.25">
      <c r="A153" s="1" t="s">
        <v>75</v>
      </c>
      <c r="B153" s="1" t="s">
        <v>109</v>
      </c>
      <c r="C153" s="1">
        <v>1295</v>
      </c>
      <c r="D153" s="1">
        <v>0.4</v>
      </c>
      <c r="E153" s="3">
        <f t="shared" si="10"/>
        <v>518</v>
      </c>
      <c r="F153" s="7">
        <f t="shared" si="11"/>
        <v>673.4</v>
      </c>
    </row>
    <row r="154" spans="1:6" x14ac:dyDescent="0.25">
      <c r="A154" s="1" t="s">
        <v>75</v>
      </c>
      <c r="B154" s="1" t="s">
        <v>1602</v>
      </c>
      <c r="C154" s="1">
        <v>613</v>
      </c>
      <c r="D154" s="1">
        <v>0.4</v>
      </c>
      <c r="E154" s="3">
        <f t="shared" si="10"/>
        <v>245.20000000000002</v>
      </c>
      <c r="F154" s="7">
        <f t="shared" si="11"/>
        <v>318.76</v>
      </c>
    </row>
    <row r="155" spans="1:6" x14ac:dyDescent="0.25">
      <c r="A155" s="1" t="s">
        <v>75</v>
      </c>
      <c r="B155" s="1" t="s">
        <v>1603</v>
      </c>
      <c r="C155" s="1">
        <v>2566</v>
      </c>
      <c r="D155" s="1">
        <v>0.4</v>
      </c>
      <c r="E155" s="3">
        <f t="shared" si="10"/>
        <v>1026.4000000000001</v>
      </c>
      <c r="F155" s="7">
        <f t="shared" si="11"/>
        <v>1334.32</v>
      </c>
    </row>
    <row r="156" spans="1:6" x14ac:dyDescent="0.25">
      <c r="A156" s="1" t="s">
        <v>75</v>
      </c>
      <c r="B156" s="1" t="s">
        <v>110</v>
      </c>
      <c r="C156" s="1">
        <v>102</v>
      </c>
      <c r="D156" s="1">
        <v>0.4</v>
      </c>
      <c r="E156" s="3">
        <f t="shared" si="10"/>
        <v>40.800000000000004</v>
      </c>
      <c r="F156" s="7">
        <f t="shared" si="11"/>
        <v>53.04</v>
      </c>
    </row>
    <row r="157" spans="1:6" x14ac:dyDescent="0.25">
      <c r="A157" s="1" t="s">
        <v>75</v>
      </c>
      <c r="B157" s="1" t="s">
        <v>111</v>
      </c>
      <c r="C157" s="1">
        <v>534</v>
      </c>
      <c r="D157" s="1">
        <v>0.4</v>
      </c>
      <c r="E157" s="3">
        <f t="shared" si="10"/>
        <v>213.60000000000002</v>
      </c>
      <c r="F157" s="7">
        <f t="shared" si="11"/>
        <v>277.68</v>
      </c>
    </row>
    <row r="158" spans="1:6" x14ac:dyDescent="0.25">
      <c r="A158" s="1" t="s">
        <v>75</v>
      </c>
      <c r="B158" s="1" t="s">
        <v>112</v>
      </c>
      <c r="C158" s="1">
        <v>1449</v>
      </c>
      <c r="D158" s="1">
        <v>0.4</v>
      </c>
      <c r="E158" s="3">
        <f t="shared" si="10"/>
        <v>579.6</v>
      </c>
      <c r="F158" s="7">
        <f t="shared" si="11"/>
        <v>753.48</v>
      </c>
    </row>
    <row r="159" spans="1:6" x14ac:dyDescent="0.25">
      <c r="A159" s="1" t="s">
        <v>75</v>
      </c>
      <c r="B159" s="1" t="s">
        <v>113</v>
      </c>
      <c r="C159" s="1">
        <v>198</v>
      </c>
      <c r="D159" s="1">
        <v>0.4</v>
      </c>
      <c r="E159" s="3">
        <f t="shared" si="10"/>
        <v>79.2</v>
      </c>
      <c r="F159" s="7">
        <f t="shared" si="11"/>
        <v>102.96000000000001</v>
      </c>
    </row>
    <row r="160" spans="1:6" x14ac:dyDescent="0.25">
      <c r="A160" s="1" t="s">
        <v>75</v>
      </c>
      <c r="B160" s="1" t="s">
        <v>114</v>
      </c>
      <c r="C160" s="1">
        <v>246</v>
      </c>
      <c r="D160" s="1">
        <v>0.4</v>
      </c>
      <c r="E160" s="3">
        <f t="shared" si="10"/>
        <v>98.4</v>
      </c>
      <c r="F160" s="7">
        <f t="shared" si="11"/>
        <v>127.92</v>
      </c>
    </row>
    <row r="161" spans="1:6" x14ac:dyDescent="0.25">
      <c r="A161" s="1" t="s">
        <v>75</v>
      </c>
      <c r="B161" s="1" t="s">
        <v>115</v>
      </c>
      <c r="C161" s="1">
        <v>839</v>
      </c>
      <c r="D161" s="1">
        <v>0.4</v>
      </c>
      <c r="E161" s="3">
        <f t="shared" si="10"/>
        <v>335.6</v>
      </c>
      <c r="F161" s="7">
        <f t="shared" si="11"/>
        <v>436.28000000000003</v>
      </c>
    </row>
    <row r="162" spans="1:6" x14ac:dyDescent="0.25">
      <c r="A162" s="1" t="s">
        <v>75</v>
      </c>
      <c r="B162" s="1" t="s">
        <v>116</v>
      </c>
      <c r="C162" s="1">
        <v>98</v>
      </c>
      <c r="D162" s="1">
        <v>0.4</v>
      </c>
      <c r="E162" s="3">
        <f t="shared" si="10"/>
        <v>39.200000000000003</v>
      </c>
      <c r="F162" s="7">
        <f t="shared" si="11"/>
        <v>50.96</v>
      </c>
    </row>
    <row r="163" spans="1:6" x14ac:dyDescent="0.25">
      <c r="A163" s="1" t="s">
        <v>75</v>
      </c>
      <c r="B163" s="1" t="s">
        <v>117</v>
      </c>
      <c r="C163" s="1">
        <v>155</v>
      </c>
      <c r="D163" s="1">
        <v>0.4</v>
      </c>
      <c r="E163" s="3">
        <f t="shared" si="10"/>
        <v>62</v>
      </c>
      <c r="F163" s="7">
        <f t="shared" si="11"/>
        <v>80.600000000000009</v>
      </c>
    </row>
    <row r="164" spans="1:6" x14ac:dyDescent="0.25">
      <c r="A164" s="1" t="s">
        <v>75</v>
      </c>
      <c r="B164" s="1" t="s">
        <v>118</v>
      </c>
      <c r="C164" s="1">
        <v>209</v>
      </c>
      <c r="D164" s="1">
        <v>0.4</v>
      </c>
      <c r="E164" s="3">
        <f t="shared" si="10"/>
        <v>83.600000000000009</v>
      </c>
      <c r="F164" s="7">
        <f t="shared" si="11"/>
        <v>108.68</v>
      </c>
    </row>
    <row r="165" spans="1:6" x14ac:dyDescent="0.25">
      <c r="A165" s="1" t="s">
        <v>75</v>
      </c>
      <c r="B165" s="1" t="s">
        <v>119</v>
      </c>
      <c r="C165" s="1">
        <v>477</v>
      </c>
      <c r="D165" s="1">
        <v>0.4</v>
      </c>
      <c r="E165" s="3">
        <f t="shared" si="10"/>
        <v>190.8</v>
      </c>
      <c r="F165" s="7">
        <f t="shared" si="11"/>
        <v>248.04000000000002</v>
      </c>
    </row>
    <row r="166" spans="1:6" x14ac:dyDescent="0.25">
      <c r="A166" s="1" t="s">
        <v>75</v>
      </c>
      <c r="B166" s="1" t="s">
        <v>120</v>
      </c>
      <c r="C166" s="1">
        <v>823</v>
      </c>
      <c r="D166" s="1">
        <v>0.4</v>
      </c>
      <c r="E166" s="3">
        <f t="shared" si="10"/>
        <v>329.20000000000005</v>
      </c>
      <c r="F166" s="7">
        <f t="shared" si="11"/>
        <v>427.96000000000004</v>
      </c>
    </row>
    <row r="167" spans="1:6" x14ac:dyDescent="0.25">
      <c r="A167" s="1" t="s">
        <v>75</v>
      </c>
      <c r="B167" s="1" t="s">
        <v>121</v>
      </c>
      <c r="C167" s="1">
        <v>157</v>
      </c>
      <c r="D167" s="1">
        <v>0.4</v>
      </c>
      <c r="E167" s="3">
        <f t="shared" si="10"/>
        <v>62.800000000000004</v>
      </c>
      <c r="F167" s="7">
        <f t="shared" si="11"/>
        <v>81.64</v>
      </c>
    </row>
    <row r="168" spans="1:6" x14ac:dyDescent="0.25">
      <c r="A168" s="1" t="s">
        <v>75</v>
      </c>
      <c r="B168" s="1" t="s">
        <v>1612</v>
      </c>
      <c r="C168" s="1">
        <v>88</v>
      </c>
      <c r="D168" s="1">
        <v>0.4</v>
      </c>
      <c r="E168" s="3">
        <f t="shared" si="10"/>
        <v>35.200000000000003</v>
      </c>
      <c r="F168" s="7">
        <f t="shared" si="11"/>
        <v>45.760000000000005</v>
      </c>
    </row>
    <row r="169" spans="1:6" x14ac:dyDescent="0.25">
      <c r="A169" s="1" t="s">
        <v>75</v>
      </c>
      <c r="B169" s="1" t="s">
        <v>1613</v>
      </c>
      <c r="C169" s="1">
        <v>154</v>
      </c>
      <c r="D169" s="1">
        <v>0.4</v>
      </c>
      <c r="E169" s="3">
        <f t="shared" si="10"/>
        <v>61.6</v>
      </c>
      <c r="F169" s="7">
        <f t="shared" si="11"/>
        <v>80.08</v>
      </c>
    </row>
    <row r="170" spans="1:6" x14ac:dyDescent="0.25">
      <c r="A170" s="1" t="s">
        <v>75</v>
      </c>
      <c r="B170" s="1" t="s">
        <v>1614</v>
      </c>
      <c r="C170" s="1">
        <v>64</v>
      </c>
      <c r="D170" s="1">
        <v>0.4</v>
      </c>
      <c r="E170" s="3">
        <f t="shared" si="10"/>
        <v>25.6</v>
      </c>
      <c r="F170" s="7">
        <f t="shared" si="11"/>
        <v>33.28</v>
      </c>
    </row>
    <row r="171" spans="1:6" x14ac:dyDescent="0.25">
      <c r="A171" s="1" t="s">
        <v>75</v>
      </c>
      <c r="B171" s="1" t="s">
        <v>1615</v>
      </c>
      <c r="C171" s="1">
        <v>137</v>
      </c>
      <c r="D171" s="1">
        <v>0.4</v>
      </c>
      <c r="E171" s="3">
        <f t="shared" si="10"/>
        <v>54.800000000000004</v>
      </c>
      <c r="F171" s="7">
        <f t="shared" si="11"/>
        <v>71.240000000000009</v>
      </c>
    </row>
    <row r="172" spans="1:6" x14ac:dyDescent="0.25">
      <c r="A172" s="1" t="s">
        <v>75</v>
      </c>
      <c r="B172" s="1" t="s">
        <v>122</v>
      </c>
      <c r="C172" s="1">
        <v>73</v>
      </c>
      <c r="D172" s="1">
        <v>0.4</v>
      </c>
      <c r="E172" s="3">
        <f t="shared" si="10"/>
        <v>29.200000000000003</v>
      </c>
      <c r="F172" s="7">
        <f t="shared" si="11"/>
        <v>37.96</v>
      </c>
    </row>
    <row r="173" spans="1:6" x14ac:dyDescent="0.25">
      <c r="A173" s="1" t="s">
        <v>75</v>
      </c>
      <c r="B173" s="1" t="s">
        <v>123</v>
      </c>
      <c r="C173" s="1">
        <v>282</v>
      </c>
      <c r="D173" s="1">
        <v>0.4</v>
      </c>
      <c r="E173" s="3">
        <f t="shared" si="10"/>
        <v>112.80000000000001</v>
      </c>
      <c r="F173" s="7">
        <f t="shared" si="11"/>
        <v>146.64000000000001</v>
      </c>
    </row>
    <row r="174" spans="1:6" x14ac:dyDescent="0.25">
      <c r="A174" s="1" t="s">
        <v>75</v>
      </c>
      <c r="B174" s="1" t="s">
        <v>124</v>
      </c>
      <c r="C174" s="1">
        <v>105</v>
      </c>
      <c r="D174" s="1">
        <v>0.4</v>
      </c>
      <c r="E174" s="3">
        <f t="shared" si="10"/>
        <v>42</v>
      </c>
      <c r="F174" s="7">
        <f t="shared" si="11"/>
        <v>54.6</v>
      </c>
    </row>
    <row r="175" spans="1:6" x14ac:dyDescent="0.25">
      <c r="A175" s="1" t="s">
        <v>75</v>
      </c>
      <c r="B175" s="1" t="s">
        <v>125</v>
      </c>
      <c r="C175" s="1">
        <v>99</v>
      </c>
      <c r="D175" s="1">
        <v>0.4</v>
      </c>
      <c r="E175" s="3">
        <f t="shared" si="10"/>
        <v>39.6</v>
      </c>
      <c r="F175" s="7">
        <f t="shared" si="11"/>
        <v>51.480000000000004</v>
      </c>
    </row>
    <row r="176" spans="1:6" x14ac:dyDescent="0.25">
      <c r="A176" s="1" t="s">
        <v>75</v>
      </c>
      <c r="B176" s="1" t="s">
        <v>126</v>
      </c>
      <c r="C176" s="1">
        <v>59</v>
      </c>
      <c r="D176" s="1">
        <v>0.4</v>
      </c>
      <c r="E176" s="3">
        <f t="shared" si="10"/>
        <v>23.6</v>
      </c>
      <c r="F176" s="7">
        <f t="shared" si="11"/>
        <v>30.68</v>
      </c>
    </row>
    <row r="177" spans="1:6" x14ac:dyDescent="0.25">
      <c r="A177" s="1" t="s">
        <v>75</v>
      </c>
      <c r="B177" s="1" t="s">
        <v>1616</v>
      </c>
      <c r="C177" s="1">
        <v>64</v>
      </c>
      <c r="D177" s="1">
        <v>0.4</v>
      </c>
      <c r="E177" s="3">
        <f t="shared" si="10"/>
        <v>25.6</v>
      </c>
      <c r="F177" s="7">
        <f t="shared" si="11"/>
        <v>33.28</v>
      </c>
    </row>
    <row r="178" spans="1:6" x14ac:dyDescent="0.25">
      <c r="A178" s="1" t="s">
        <v>75</v>
      </c>
      <c r="B178" s="1" t="s">
        <v>127</v>
      </c>
      <c r="C178" s="1">
        <v>106</v>
      </c>
      <c r="D178" s="1">
        <v>0.4</v>
      </c>
      <c r="E178" s="3">
        <f t="shared" si="10"/>
        <v>42.400000000000006</v>
      </c>
      <c r="F178" s="7">
        <f t="shared" si="11"/>
        <v>55.120000000000005</v>
      </c>
    </row>
    <row r="179" spans="1:6" x14ac:dyDescent="0.25">
      <c r="A179" s="1" t="s">
        <v>75</v>
      </c>
      <c r="B179" s="1" t="s">
        <v>128</v>
      </c>
      <c r="C179" s="1">
        <v>359</v>
      </c>
      <c r="D179" s="1">
        <v>0.4</v>
      </c>
      <c r="E179" s="3">
        <f t="shared" si="10"/>
        <v>143.6</v>
      </c>
      <c r="F179" s="7">
        <f t="shared" si="11"/>
        <v>186.68</v>
      </c>
    </row>
    <row r="180" spans="1:6" x14ac:dyDescent="0.25">
      <c r="A180" s="1" t="s">
        <v>75</v>
      </c>
      <c r="B180" s="1" t="s">
        <v>129</v>
      </c>
      <c r="C180" s="1">
        <v>774</v>
      </c>
      <c r="D180" s="1">
        <v>0.4</v>
      </c>
      <c r="E180" s="3">
        <f t="shared" ref="E180:E182" si="12">(C180*D180)</f>
        <v>309.60000000000002</v>
      </c>
      <c r="F180" s="7">
        <f t="shared" si="11"/>
        <v>402.48</v>
      </c>
    </row>
    <row r="181" spans="1:6" x14ac:dyDescent="0.25">
      <c r="A181" s="1" t="s">
        <v>75</v>
      </c>
      <c r="B181" s="1" t="s">
        <v>130</v>
      </c>
      <c r="C181" s="1">
        <v>120</v>
      </c>
      <c r="D181" s="1">
        <v>0.4</v>
      </c>
      <c r="E181" s="3">
        <f t="shared" si="12"/>
        <v>48</v>
      </c>
      <c r="F181" s="7">
        <f t="shared" si="11"/>
        <v>62.400000000000006</v>
      </c>
    </row>
    <row r="182" spans="1:6" x14ac:dyDescent="0.25">
      <c r="A182" s="1" t="s">
        <v>75</v>
      </c>
      <c r="B182" s="1" t="s">
        <v>131</v>
      </c>
      <c r="C182" s="1">
        <v>64</v>
      </c>
      <c r="D182" s="1">
        <v>0.4</v>
      </c>
      <c r="E182" s="3">
        <f t="shared" si="12"/>
        <v>25.6</v>
      </c>
      <c r="F182" s="7">
        <f t="shared" si="11"/>
        <v>33.28</v>
      </c>
    </row>
    <row r="183" spans="1:6" x14ac:dyDescent="0.25">
      <c r="A183" s="1" t="s">
        <v>75</v>
      </c>
      <c r="B183" s="1" t="s">
        <v>1483</v>
      </c>
      <c r="C183" s="1">
        <v>180</v>
      </c>
      <c r="D183" s="1"/>
      <c r="E183" s="3"/>
    </row>
    <row r="184" spans="1:6" x14ac:dyDescent="0.25">
      <c r="A184" s="1" t="s">
        <v>75</v>
      </c>
      <c r="B184" s="1" t="s">
        <v>1604</v>
      </c>
      <c r="C184" s="1">
        <v>593</v>
      </c>
      <c r="D184" s="1">
        <v>0.4</v>
      </c>
      <c r="E184" s="3">
        <f>(C184*D184)</f>
        <v>237.20000000000002</v>
      </c>
      <c r="F184" s="7">
        <f>C184*(D184+0.12)</f>
        <v>308.36</v>
      </c>
    </row>
    <row r="185" spans="1:6" x14ac:dyDescent="0.25">
      <c r="A185" s="1" t="s">
        <v>75</v>
      </c>
      <c r="B185" s="1" t="s">
        <v>1605</v>
      </c>
      <c r="C185" s="1">
        <v>4078</v>
      </c>
      <c r="D185" s="1">
        <v>0.4</v>
      </c>
      <c r="E185" s="3">
        <f>(C185*D185)</f>
        <v>1631.2</v>
      </c>
      <c r="F185" s="7">
        <f>C185*(D185+0.12)</f>
        <v>2120.56</v>
      </c>
    </row>
    <row r="186" spans="1:6" x14ac:dyDescent="0.25">
      <c r="A186" s="1" t="s">
        <v>75</v>
      </c>
      <c r="B186" s="1" t="s">
        <v>1483</v>
      </c>
      <c r="C186" s="1">
        <v>193</v>
      </c>
      <c r="D186" s="1">
        <v>0.4</v>
      </c>
      <c r="E186" s="3">
        <f>(C186*D186)</f>
        <v>77.2</v>
      </c>
      <c r="F186" s="7">
        <f>C186*(D186+0.12)</f>
        <v>100.36</v>
      </c>
    </row>
    <row r="187" spans="1:6" x14ac:dyDescent="0.25">
      <c r="A187" s="1" t="s">
        <v>75</v>
      </c>
      <c r="B187" s="1" t="s">
        <v>1606</v>
      </c>
      <c r="C187" s="1">
        <v>116</v>
      </c>
      <c r="D187" s="1">
        <v>0.4</v>
      </c>
      <c r="E187" s="3">
        <f>(C187*D187)</f>
        <v>46.400000000000006</v>
      </c>
      <c r="F187" s="7">
        <f>C187*(D187+0.12)</f>
        <v>60.32</v>
      </c>
    </row>
    <row r="188" spans="1:6" x14ac:dyDescent="0.25">
      <c r="A188" s="1" t="s">
        <v>75</v>
      </c>
      <c r="B188" s="1" t="s">
        <v>1622</v>
      </c>
      <c r="C188" s="1">
        <v>193</v>
      </c>
      <c r="D188" s="1"/>
      <c r="E188" s="3"/>
      <c r="F188" s="7"/>
    </row>
    <row r="189" spans="1:6" x14ac:dyDescent="0.25">
      <c r="A189" s="1" t="s">
        <v>75</v>
      </c>
      <c r="B189" s="1" t="s">
        <v>1623</v>
      </c>
      <c r="C189" s="1">
        <v>116</v>
      </c>
      <c r="D189" s="1"/>
      <c r="E189" s="3"/>
      <c r="F189" s="7"/>
    </row>
    <row r="190" spans="1:6" x14ac:dyDescent="0.25">
      <c r="A190" s="1" t="s">
        <v>75</v>
      </c>
      <c r="B190" s="1" t="s">
        <v>1609</v>
      </c>
      <c r="C190" s="1">
        <v>392</v>
      </c>
      <c r="D190" s="1">
        <v>0.4</v>
      </c>
      <c r="E190" s="3">
        <f t="shared" ref="E190:E205" si="13">(C190*D190)</f>
        <v>156.80000000000001</v>
      </c>
      <c r="F190" s="7">
        <f t="shared" ref="F190:F205" si="14">C190*(D190+0.12)</f>
        <v>203.84</v>
      </c>
    </row>
    <row r="191" spans="1:6" x14ac:dyDescent="0.25">
      <c r="A191" s="1" t="s">
        <v>75</v>
      </c>
      <c r="B191" s="1" t="s">
        <v>1223</v>
      </c>
      <c r="C191" s="1">
        <v>143</v>
      </c>
      <c r="D191" s="1">
        <v>0.4</v>
      </c>
      <c r="E191" s="3">
        <f t="shared" si="13"/>
        <v>57.2</v>
      </c>
      <c r="F191" s="7">
        <f t="shared" si="14"/>
        <v>74.36</v>
      </c>
    </row>
    <row r="192" spans="1:6" x14ac:dyDescent="0.25">
      <c r="A192" s="1" t="s">
        <v>75</v>
      </c>
      <c r="B192" s="1" t="s">
        <v>132</v>
      </c>
      <c r="C192" s="1">
        <v>359</v>
      </c>
      <c r="D192" s="1">
        <v>0.4</v>
      </c>
      <c r="E192" s="3">
        <f t="shared" si="13"/>
        <v>143.6</v>
      </c>
      <c r="F192" s="7">
        <f t="shared" si="14"/>
        <v>186.68</v>
      </c>
    </row>
    <row r="193" spans="1:6" x14ac:dyDescent="0.25">
      <c r="A193" s="1" t="s">
        <v>75</v>
      </c>
      <c r="B193" s="1" t="s">
        <v>133</v>
      </c>
      <c r="C193" s="1">
        <v>659</v>
      </c>
      <c r="D193" s="1">
        <v>0.4</v>
      </c>
      <c r="E193" s="3">
        <f t="shared" si="13"/>
        <v>263.60000000000002</v>
      </c>
      <c r="F193" s="7">
        <f t="shared" si="14"/>
        <v>342.68</v>
      </c>
    </row>
    <row r="194" spans="1:6" x14ac:dyDescent="0.25">
      <c r="A194" s="1" t="s">
        <v>75</v>
      </c>
      <c r="B194" s="1" t="s">
        <v>1216</v>
      </c>
      <c r="C194" s="1">
        <v>1278</v>
      </c>
      <c r="D194" s="1">
        <v>0.4</v>
      </c>
      <c r="E194" s="3">
        <f t="shared" si="13"/>
        <v>511.20000000000005</v>
      </c>
      <c r="F194" s="7">
        <f t="shared" si="14"/>
        <v>664.56000000000006</v>
      </c>
    </row>
    <row r="195" spans="1:6" x14ac:dyDescent="0.25">
      <c r="A195" s="1" t="s">
        <v>75</v>
      </c>
      <c r="B195" s="1" t="s">
        <v>134</v>
      </c>
      <c r="C195" s="1">
        <v>385</v>
      </c>
      <c r="D195" s="1">
        <v>0.4</v>
      </c>
      <c r="E195" s="3">
        <f t="shared" si="13"/>
        <v>154</v>
      </c>
      <c r="F195" s="7">
        <f t="shared" si="14"/>
        <v>200.20000000000002</v>
      </c>
    </row>
    <row r="196" spans="1:6" x14ac:dyDescent="0.25">
      <c r="A196" s="1" t="s">
        <v>75</v>
      </c>
      <c r="B196" s="1" t="s">
        <v>135</v>
      </c>
      <c r="C196" s="1">
        <v>73</v>
      </c>
      <c r="D196" s="1">
        <v>0.4</v>
      </c>
      <c r="E196" s="3">
        <f t="shared" si="13"/>
        <v>29.200000000000003</v>
      </c>
      <c r="F196" s="7">
        <f t="shared" si="14"/>
        <v>37.96</v>
      </c>
    </row>
    <row r="197" spans="1:6" x14ac:dyDescent="0.25">
      <c r="A197" s="1" t="s">
        <v>75</v>
      </c>
      <c r="B197" s="1" t="s">
        <v>136</v>
      </c>
      <c r="C197" s="1">
        <v>414</v>
      </c>
      <c r="D197" s="1">
        <v>0.4</v>
      </c>
      <c r="E197" s="3">
        <f t="shared" si="13"/>
        <v>165.60000000000002</v>
      </c>
      <c r="F197" s="7">
        <f t="shared" si="14"/>
        <v>215.28</v>
      </c>
    </row>
    <row r="198" spans="1:6" x14ac:dyDescent="0.25">
      <c r="A198" s="1" t="s">
        <v>75</v>
      </c>
      <c r="B198" s="1" t="s">
        <v>137</v>
      </c>
      <c r="C198" s="1">
        <v>739</v>
      </c>
      <c r="D198" s="1">
        <v>0.4</v>
      </c>
      <c r="E198" s="3">
        <f t="shared" si="13"/>
        <v>295.60000000000002</v>
      </c>
      <c r="F198" s="7">
        <f t="shared" si="14"/>
        <v>384.28000000000003</v>
      </c>
    </row>
    <row r="199" spans="1:6" x14ac:dyDescent="0.25">
      <c r="A199" s="1" t="s">
        <v>75</v>
      </c>
      <c r="B199" s="1" t="s">
        <v>138</v>
      </c>
      <c r="C199" s="1">
        <v>127</v>
      </c>
      <c r="D199" s="1">
        <v>0.4</v>
      </c>
      <c r="E199" s="3">
        <f t="shared" si="13"/>
        <v>50.800000000000004</v>
      </c>
      <c r="F199" s="7">
        <f t="shared" si="14"/>
        <v>66.040000000000006</v>
      </c>
    </row>
    <row r="200" spans="1:6" x14ac:dyDescent="0.25">
      <c r="A200" s="1" t="s">
        <v>75</v>
      </c>
      <c r="B200" s="1" t="s">
        <v>1610</v>
      </c>
      <c r="C200" s="1">
        <v>99</v>
      </c>
      <c r="D200" s="1">
        <v>0.4</v>
      </c>
      <c r="E200" s="3">
        <f t="shared" si="13"/>
        <v>39.6</v>
      </c>
      <c r="F200" s="7">
        <f t="shared" si="14"/>
        <v>51.480000000000004</v>
      </c>
    </row>
    <row r="201" spans="1:6" x14ac:dyDescent="0.25">
      <c r="A201" s="1" t="s">
        <v>75</v>
      </c>
      <c r="B201" s="1" t="s">
        <v>1611</v>
      </c>
      <c r="C201" s="1">
        <v>56</v>
      </c>
      <c r="D201" s="1">
        <v>0.4</v>
      </c>
      <c r="E201" s="3">
        <f t="shared" si="13"/>
        <v>22.400000000000002</v>
      </c>
      <c r="F201" s="7">
        <f t="shared" si="14"/>
        <v>29.12</v>
      </c>
    </row>
    <row r="202" spans="1:6" x14ac:dyDescent="0.25">
      <c r="A202" s="1" t="s">
        <v>75</v>
      </c>
      <c r="B202" s="1" t="s">
        <v>139</v>
      </c>
      <c r="C202" s="1">
        <v>96</v>
      </c>
      <c r="D202" s="1">
        <v>0.4</v>
      </c>
      <c r="E202" s="3">
        <f t="shared" si="13"/>
        <v>38.400000000000006</v>
      </c>
      <c r="F202" s="7">
        <f t="shared" si="14"/>
        <v>49.92</v>
      </c>
    </row>
    <row r="203" spans="1:6" x14ac:dyDescent="0.25">
      <c r="A203" s="1" t="s">
        <v>75</v>
      </c>
      <c r="B203" s="1" t="s">
        <v>1217</v>
      </c>
      <c r="C203" s="1">
        <v>199</v>
      </c>
      <c r="D203" s="1">
        <v>0.4</v>
      </c>
      <c r="E203" s="3">
        <f t="shared" si="13"/>
        <v>79.600000000000009</v>
      </c>
      <c r="F203" s="7">
        <f t="shared" si="14"/>
        <v>103.48</v>
      </c>
    </row>
    <row r="204" spans="1:6" x14ac:dyDescent="0.25">
      <c r="A204" s="1" t="s">
        <v>75</v>
      </c>
      <c r="B204" s="1" t="s">
        <v>1218</v>
      </c>
      <c r="C204" s="1">
        <v>264</v>
      </c>
      <c r="D204" s="1">
        <v>0.4</v>
      </c>
      <c r="E204" s="3">
        <f t="shared" si="13"/>
        <v>105.60000000000001</v>
      </c>
      <c r="F204" s="7">
        <f t="shared" si="14"/>
        <v>137.28</v>
      </c>
    </row>
    <row r="205" spans="1:6" x14ac:dyDescent="0.25">
      <c r="A205" s="1" t="s">
        <v>75</v>
      </c>
      <c r="B205" s="1" t="s">
        <v>140</v>
      </c>
      <c r="C205" s="1">
        <v>510</v>
      </c>
      <c r="D205" s="1">
        <v>0.4</v>
      </c>
      <c r="E205" s="3">
        <f t="shared" si="13"/>
        <v>204</v>
      </c>
      <c r="F205" s="7">
        <f t="shared" si="14"/>
        <v>265.2</v>
      </c>
    </row>
    <row r="206" spans="1:6" x14ac:dyDescent="0.25">
      <c r="A206" s="1" t="s">
        <v>75</v>
      </c>
      <c r="B206" s="1" t="s">
        <v>1484</v>
      </c>
      <c r="D206" s="1"/>
      <c r="E206" s="3"/>
    </row>
    <row r="207" spans="1:6" x14ac:dyDescent="0.25">
      <c r="A207" s="1" t="s">
        <v>75</v>
      </c>
      <c r="B207" s="1" t="s">
        <v>1484</v>
      </c>
      <c r="C207" s="1">
        <v>2717</v>
      </c>
      <c r="D207" s="1">
        <v>0.4</v>
      </c>
      <c r="E207" s="3">
        <f>(C207*D207)</f>
        <v>1086.8</v>
      </c>
      <c r="F207" s="7">
        <f>C207*(D207+0.12)</f>
        <v>1412.8400000000001</v>
      </c>
    </row>
    <row r="208" spans="1:6" x14ac:dyDescent="0.25">
      <c r="A208" s="1" t="s">
        <v>75</v>
      </c>
      <c r="B208" s="1" t="s">
        <v>141</v>
      </c>
      <c r="C208" s="1">
        <v>175</v>
      </c>
      <c r="D208" s="1">
        <v>0.4</v>
      </c>
      <c r="E208" s="3">
        <f>(C208*D208)</f>
        <v>70</v>
      </c>
      <c r="F208" s="7">
        <f>C208*(D208+0.12)</f>
        <v>91</v>
      </c>
    </row>
    <row r="209" spans="1:6" x14ac:dyDescent="0.25">
      <c r="A209" s="1" t="s">
        <v>75</v>
      </c>
      <c r="B209" s="1" t="s">
        <v>142</v>
      </c>
      <c r="C209" s="1">
        <v>74</v>
      </c>
      <c r="D209" s="1">
        <v>0.4</v>
      </c>
      <c r="E209" s="3">
        <f>(C209*D209)</f>
        <v>29.6</v>
      </c>
      <c r="F209" s="7">
        <f>C209*(D209+0.12)</f>
        <v>38.480000000000004</v>
      </c>
    </row>
    <row r="210" spans="1:6" x14ac:dyDescent="0.25">
      <c r="A210" s="1" t="s">
        <v>75</v>
      </c>
      <c r="B210" s="1" t="s">
        <v>143</v>
      </c>
      <c r="C210" s="1">
        <v>126</v>
      </c>
      <c r="D210" s="1">
        <v>0.4</v>
      </c>
      <c r="E210" s="3">
        <f>(C210*D210)</f>
        <v>50.400000000000006</v>
      </c>
      <c r="F210" s="7">
        <f>C210*(D210+0.12)</f>
        <v>65.52</v>
      </c>
    </row>
    <row r="211" spans="1:6" x14ac:dyDescent="0.25">
      <c r="A211" s="1" t="s">
        <v>75</v>
      </c>
      <c r="B211" s="1" t="s">
        <v>1484</v>
      </c>
      <c r="C211" s="1">
        <v>2059</v>
      </c>
      <c r="D211" s="1"/>
      <c r="E211" s="3"/>
    </row>
    <row r="212" spans="1:6" x14ac:dyDescent="0.25">
      <c r="A212" s="1" t="s">
        <v>75</v>
      </c>
      <c r="B212" s="1" t="s">
        <v>144</v>
      </c>
      <c r="C212" s="1">
        <v>99</v>
      </c>
      <c r="D212" s="1">
        <v>0.4</v>
      </c>
      <c r="E212" s="3">
        <f t="shared" ref="E212:E229" si="15">(C212*D212)</f>
        <v>39.6</v>
      </c>
      <c r="F212" s="7">
        <f t="shared" ref="F212:F217" si="16">C212*(D212+0.12)</f>
        <v>51.480000000000004</v>
      </c>
    </row>
    <row r="213" spans="1:6" x14ac:dyDescent="0.25">
      <c r="A213" s="1" t="s">
        <v>75</v>
      </c>
      <c r="B213" s="1" t="s">
        <v>145</v>
      </c>
      <c r="C213" s="1">
        <v>439</v>
      </c>
      <c r="D213" s="1">
        <v>0.4</v>
      </c>
      <c r="E213" s="3">
        <f t="shared" si="15"/>
        <v>175.60000000000002</v>
      </c>
      <c r="F213" s="7">
        <f t="shared" si="16"/>
        <v>228.28</v>
      </c>
    </row>
    <row r="214" spans="1:6" x14ac:dyDescent="0.25">
      <c r="A214" s="1" t="s">
        <v>75</v>
      </c>
      <c r="B214" s="1" t="s">
        <v>1617</v>
      </c>
      <c r="C214" s="1">
        <v>69</v>
      </c>
      <c r="D214" s="1">
        <v>0.4</v>
      </c>
      <c r="E214" s="3">
        <f t="shared" si="15"/>
        <v>27.6</v>
      </c>
      <c r="F214" s="7">
        <f t="shared" si="16"/>
        <v>35.880000000000003</v>
      </c>
    </row>
    <row r="215" spans="1:6" x14ac:dyDescent="0.25">
      <c r="A215" s="1" t="s">
        <v>75</v>
      </c>
      <c r="B215" s="1" t="s">
        <v>1618</v>
      </c>
      <c r="C215" s="1">
        <v>105</v>
      </c>
      <c r="D215" s="1">
        <v>0.4</v>
      </c>
      <c r="E215" s="3">
        <f t="shared" si="15"/>
        <v>42</v>
      </c>
      <c r="F215" s="7">
        <f t="shared" si="16"/>
        <v>54.6</v>
      </c>
    </row>
    <row r="216" spans="1:6" x14ac:dyDescent="0.25">
      <c r="A216" s="1" t="s">
        <v>75</v>
      </c>
      <c r="B216" s="1" t="s">
        <v>1619</v>
      </c>
      <c r="C216" s="1">
        <v>106</v>
      </c>
      <c r="D216" s="1">
        <v>0.4</v>
      </c>
      <c r="E216" s="3">
        <f t="shared" si="15"/>
        <v>42.400000000000006</v>
      </c>
      <c r="F216" s="7">
        <f t="shared" si="16"/>
        <v>55.120000000000005</v>
      </c>
    </row>
    <row r="217" spans="1:6" x14ac:dyDescent="0.25">
      <c r="A217" s="1" t="s">
        <v>75</v>
      </c>
      <c r="B217" s="1" t="s">
        <v>146</v>
      </c>
      <c r="C217" s="1">
        <v>125</v>
      </c>
      <c r="D217" s="1">
        <v>0.4</v>
      </c>
      <c r="E217" s="3">
        <f t="shared" si="15"/>
        <v>50</v>
      </c>
      <c r="F217" s="7">
        <f t="shared" si="16"/>
        <v>65</v>
      </c>
    </row>
    <row r="218" spans="1:6" x14ac:dyDescent="0.25">
      <c r="A218" s="1" t="s">
        <v>75</v>
      </c>
      <c r="B218" s="1" t="s">
        <v>147</v>
      </c>
      <c r="C218" s="1">
        <v>0</v>
      </c>
      <c r="D218" s="1">
        <v>0.4</v>
      </c>
      <c r="E218" s="3">
        <f t="shared" si="15"/>
        <v>0</v>
      </c>
      <c r="F218" s="1">
        <f t="shared" ref="F218:F229" si="17">C218*(D218+0.1)</f>
        <v>0</v>
      </c>
    </row>
    <row r="219" spans="1:6" x14ac:dyDescent="0.25">
      <c r="A219" s="1" t="s">
        <v>75</v>
      </c>
      <c r="B219" s="1" t="s">
        <v>148</v>
      </c>
      <c r="C219" s="1">
        <v>213</v>
      </c>
      <c r="D219" s="1">
        <v>0.4</v>
      </c>
      <c r="E219" s="3">
        <f t="shared" si="15"/>
        <v>85.2</v>
      </c>
      <c r="F219" s="1">
        <f t="shared" si="17"/>
        <v>106.5</v>
      </c>
    </row>
    <row r="220" spans="1:6" x14ac:dyDescent="0.25">
      <c r="A220" s="1" t="s">
        <v>75</v>
      </c>
      <c r="B220" s="1" t="s">
        <v>1620</v>
      </c>
      <c r="C220" s="1">
        <v>213</v>
      </c>
      <c r="D220" s="1">
        <v>0.4</v>
      </c>
      <c r="E220" s="3">
        <f t="shared" si="15"/>
        <v>85.2</v>
      </c>
      <c r="F220" s="1">
        <f t="shared" si="17"/>
        <v>106.5</v>
      </c>
    </row>
    <row r="221" spans="1:6" x14ac:dyDescent="0.25">
      <c r="A221" s="1" t="s">
        <v>75</v>
      </c>
      <c r="B221" s="1" t="s">
        <v>149</v>
      </c>
      <c r="C221" s="1">
        <v>186</v>
      </c>
      <c r="D221" s="1">
        <v>0.4</v>
      </c>
      <c r="E221" s="3">
        <f t="shared" si="15"/>
        <v>74.400000000000006</v>
      </c>
      <c r="F221" s="1">
        <f t="shared" si="17"/>
        <v>93</v>
      </c>
    </row>
    <row r="222" spans="1:6" x14ac:dyDescent="0.25">
      <c r="A222" s="1" t="s">
        <v>75</v>
      </c>
      <c r="B222" s="1" t="s">
        <v>150</v>
      </c>
      <c r="C222" s="1">
        <v>236</v>
      </c>
      <c r="D222" s="1">
        <v>0.4</v>
      </c>
      <c r="E222" s="3">
        <f t="shared" si="15"/>
        <v>94.4</v>
      </c>
      <c r="F222" s="1">
        <f t="shared" si="17"/>
        <v>118</v>
      </c>
    </row>
    <row r="223" spans="1:6" x14ac:dyDescent="0.25">
      <c r="A223" s="1" t="s">
        <v>75</v>
      </c>
      <c r="B223" s="1" t="s">
        <v>1219</v>
      </c>
      <c r="C223" s="1">
        <v>146</v>
      </c>
      <c r="D223" s="1">
        <v>0.4</v>
      </c>
      <c r="E223" s="3">
        <f t="shared" si="15"/>
        <v>58.400000000000006</v>
      </c>
      <c r="F223" s="1">
        <f t="shared" si="17"/>
        <v>73</v>
      </c>
    </row>
    <row r="224" spans="1:6" x14ac:dyDescent="0.25">
      <c r="A224" s="1" t="s">
        <v>75</v>
      </c>
      <c r="B224" s="1" t="s">
        <v>1621</v>
      </c>
      <c r="C224" s="1">
        <v>100</v>
      </c>
      <c r="D224" s="1">
        <v>0.4</v>
      </c>
      <c r="E224" s="3">
        <f t="shared" si="15"/>
        <v>40</v>
      </c>
      <c r="F224" s="1">
        <f t="shared" si="17"/>
        <v>50</v>
      </c>
    </row>
    <row r="225" spans="1:6" x14ac:dyDescent="0.25">
      <c r="A225" s="1" t="s">
        <v>75</v>
      </c>
      <c r="B225" s="1" t="s">
        <v>151</v>
      </c>
      <c r="C225" s="1">
        <v>103</v>
      </c>
      <c r="D225" s="1">
        <v>0.4</v>
      </c>
      <c r="E225" s="3">
        <f t="shared" si="15"/>
        <v>41.2</v>
      </c>
      <c r="F225" s="1">
        <f t="shared" si="17"/>
        <v>51.5</v>
      </c>
    </row>
    <row r="226" spans="1:6" x14ac:dyDescent="0.25">
      <c r="A226" s="1" t="s">
        <v>75</v>
      </c>
      <c r="B226" s="1" t="s">
        <v>152</v>
      </c>
      <c r="C226" s="1">
        <v>162</v>
      </c>
      <c r="D226" s="1">
        <v>0.4</v>
      </c>
      <c r="E226" s="3">
        <f t="shared" si="15"/>
        <v>64.8</v>
      </c>
      <c r="F226" s="1">
        <f t="shared" si="17"/>
        <v>81</v>
      </c>
    </row>
    <row r="227" spans="1:6" x14ac:dyDescent="0.25">
      <c r="A227" s="18" t="s">
        <v>75</v>
      </c>
      <c r="B227" s="18" t="s">
        <v>153</v>
      </c>
      <c r="C227" s="18">
        <v>84</v>
      </c>
      <c r="D227" s="18">
        <v>0.4</v>
      </c>
      <c r="E227" s="19">
        <f t="shared" si="15"/>
        <v>33.6</v>
      </c>
      <c r="F227" s="18">
        <f t="shared" si="17"/>
        <v>42</v>
      </c>
    </row>
    <row r="228" spans="1:6" x14ac:dyDescent="0.25">
      <c r="A228" s="1" t="s">
        <v>75</v>
      </c>
      <c r="B228" s="1" t="s">
        <v>154</v>
      </c>
      <c r="C228" s="1">
        <v>105</v>
      </c>
      <c r="D228" s="1">
        <v>0.4</v>
      </c>
      <c r="E228" s="3">
        <f t="shared" si="15"/>
        <v>42</v>
      </c>
      <c r="F228" s="1">
        <f t="shared" si="17"/>
        <v>52.5</v>
      </c>
    </row>
    <row r="229" spans="1:6" ht="15.75" thickBot="1" x14ac:dyDescent="0.3">
      <c r="A229" s="9" t="s">
        <v>75</v>
      </c>
      <c r="B229" s="9" t="s">
        <v>155</v>
      </c>
      <c r="C229" s="9">
        <v>89</v>
      </c>
      <c r="D229" s="9">
        <v>0.4</v>
      </c>
      <c r="E229" s="11">
        <f t="shared" si="15"/>
        <v>35.6</v>
      </c>
      <c r="F229" s="9">
        <f t="shared" si="17"/>
        <v>44.5</v>
      </c>
    </row>
    <row r="230" spans="1:6" s="26" customFormat="1" x14ac:dyDescent="0.25">
      <c r="A230" s="26" t="s">
        <v>75</v>
      </c>
      <c r="B230" s="26" t="s">
        <v>1471</v>
      </c>
      <c r="C230" s="26">
        <v>549</v>
      </c>
      <c r="E230" s="19"/>
      <c r="F230" s="18"/>
    </row>
    <row r="231" spans="1:6" s="7" customFormat="1" x14ac:dyDescent="0.25">
      <c r="A231" s="7" t="s">
        <v>156</v>
      </c>
      <c r="B231" s="7" t="s">
        <v>157</v>
      </c>
      <c r="C231" s="7">
        <v>180</v>
      </c>
      <c r="D231" s="7">
        <v>0.55000000000000004</v>
      </c>
      <c r="E231" s="8">
        <f>(C231*D231)/1.1</f>
        <v>90</v>
      </c>
      <c r="F231" s="7">
        <f>(C231*(D231+0.1))/1.1</f>
        <v>106.36363636363636</v>
      </c>
    </row>
    <row r="232" spans="1:6" x14ac:dyDescent="0.25">
      <c r="A232" s="1" t="s">
        <v>156</v>
      </c>
      <c r="B232" s="1" t="s">
        <v>158</v>
      </c>
      <c r="C232" s="1">
        <v>340</v>
      </c>
      <c r="D232" s="1">
        <v>0.55000000000000004</v>
      </c>
      <c r="E232" s="3">
        <f>(C232*D232)/1.1</f>
        <v>170</v>
      </c>
      <c r="F232" s="1">
        <f>(C232*(D232+0.1))/1.1</f>
        <v>200.90909090909091</v>
      </c>
    </row>
    <row r="233" spans="1:6" ht="14.25" customHeight="1" x14ac:dyDescent="0.25">
      <c r="A233" s="1" t="s">
        <v>156</v>
      </c>
      <c r="B233" s="1" t="s">
        <v>159</v>
      </c>
      <c r="C233" s="1">
        <v>54</v>
      </c>
      <c r="D233" s="1">
        <v>0.55000000000000004</v>
      </c>
      <c r="E233" s="3">
        <f>C233*D233</f>
        <v>29.700000000000003</v>
      </c>
      <c r="F233" s="1">
        <f>C233*(D233+0.15)</f>
        <v>37.800000000000004</v>
      </c>
    </row>
    <row r="234" spans="1:6" x14ac:dyDescent="0.25">
      <c r="A234" s="1" t="s">
        <v>156</v>
      </c>
      <c r="B234" s="1" t="s">
        <v>160</v>
      </c>
      <c r="C234" s="1">
        <v>54</v>
      </c>
      <c r="D234" s="1">
        <v>0.55000000000000004</v>
      </c>
      <c r="E234" s="3">
        <f>C234*D234</f>
        <v>29.700000000000003</v>
      </c>
      <c r="F234" s="1">
        <f>C234*(D234+0.15)</f>
        <v>37.800000000000004</v>
      </c>
    </row>
    <row r="235" spans="1:6" x14ac:dyDescent="0.25">
      <c r="A235" s="1" t="s">
        <v>156</v>
      </c>
      <c r="B235" s="1" t="s">
        <v>161</v>
      </c>
      <c r="C235" s="1">
        <v>630</v>
      </c>
      <c r="D235" s="1">
        <v>0.52</v>
      </c>
      <c r="E235" s="3">
        <f>C235*D235</f>
        <v>327.60000000000002</v>
      </c>
      <c r="F235" s="1">
        <f>C235*(D235+0.1)</f>
        <v>390.6</v>
      </c>
    </row>
    <row r="236" spans="1:6" s="9" customFormat="1" ht="15.75" thickBot="1" x14ac:dyDescent="0.3">
      <c r="A236" s="9" t="s">
        <v>156</v>
      </c>
      <c r="B236" s="9" t="s">
        <v>162</v>
      </c>
      <c r="C236" s="9">
        <v>470</v>
      </c>
      <c r="D236" s="9">
        <v>0.55000000000000004</v>
      </c>
      <c r="E236" s="11">
        <f>C236*D236</f>
        <v>258.5</v>
      </c>
      <c r="F236" s="9">
        <f>C236*(D236+0.1)</f>
        <v>305.5</v>
      </c>
    </row>
    <row r="237" spans="1:6" s="13" customFormat="1" ht="15.75" thickBot="1" x14ac:dyDescent="0.3">
      <c r="A237" s="13" t="s">
        <v>163</v>
      </c>
      <c r="B237" s="13" t="s">
        <v>164</v>
      </c>
      <c r="D237" s="14"/>
      <c r="E237" s="15"/>
    </row>
    <row r="238" spans="1:6" s="7" customFormat="1" x14ac:dyDescent="0.25">
      <c r="A238" s="7" t="s">
        <v>165</v>
      </c>
      <c r="B238" s="7" t="s">
        <v>166</v>
      </c>
      <c r="C238" s="7">
        <v>0</v>
      </c>
      <c r="D238" s="7">
        <v>0.72</v>
      </c>
      <c r="E238" s="8">
        <f t="shared" ref="E238:E269" si="18">C238*D238</f>
        <v>0</v>
      </c>
      <c r="F238" s="7">
        <f>C238*(D238+0.05)</f>
        <v>0</v>
      </c>
    </row>
    <row r="239" spans="1:6" x14ac:dyDescent="0.25">
      <c r="A239" s="1" t="s">
        <v>165</v>
      </c>
      <c r="B239" s="1" t="s">
        <v>167</v>
      </c>
      <c r="C239" s="1">
        <v>0</v>
      </c>
      <c r="D239" s="1">
        <v>0.72</v>
      </c>
      <c r="E239" s="3">
        <f t="shared" si="18"/>
        <v>0</v>
      </c>
      <c r="F239" s="1">
        <f t="shared" ref="F239:F270" si="19">C239*(D239+0.1)</f>
        <v>0</v>
      </c>
    </row>
    <row r="240" spans="1:6" x14ac:dyDescent="0.25">
      <c r="A240" s="1" t="s">
        <v>165</v>
      </c>
      <c r="B240" s="1" t="s">
        <v>168</v>
      </c>
      <c r="C240" s="1">
        <v>78</v>
      </c>
      <c r="D240" s="1">
        <v>0.56000000000000005</v>
      </c>
      <c r="E240" s="3">
        <f t="shared" si="18"/>
        <v>43.680000000000007</v>
      </c>
      <c r="F240" s="1">
        <f t="shared" si="19"/>
        <v>51.480000000000004</v>
      </c>
    </row>
    <row r="241" spans="1:6" x14ac:dyDescent="0.25">
      <c r="A241" s="1" t="s">
        <v>165</v>
      </c>
      <c r="B241" s="1" t="s">
        <v>1772</v>
      </c>
      <c r="C241" s="1">
        <v>239.42</v>
      </c>
      <c r="D241" s="1">
        <v>0.59</v>
      </c>
      <c r="E241" s="3">
        <f t="shared" si="18"/>
        <v>141.25779999999997</v>
      </c>
      <c r="F241" s="1">
        <f t="shared" si="19"/>
        <v>165.19979999999998</v>
      </c>
    </row>
    <row r="242" spans="1:6" x14ac:dyDescent="0.25">
      <c r="A242" s="1" t="s">
        <v>165</v>
      </c>
      <c r="B242" s="1" t="s">
        <v>169</v>
      </c>
      <c r="C242" s="1">
        <v>1584.56</v>
      </c>
      <c r="D242" s="1">
        <v>0.61</v>
      </c>
      <c r="E242" s="3">
        <f t="shared" si="18"/>
        <v>966.58159999999998</v>
      </c>
      <c r="F242" s="1">
        <f t="shared" si="19"/>
        <v>1125.0375999999999</v>
      </c>
    </row>
    <row r="243" spans="1:6" x14ac:dyDescent="0.25">
      <c r="A243" s="1" t="s">
        <v>165</v>
      </c>
      <c r="B243" s="1" t="s">
        <v>170</v>
      </c>
      <c r="C243" s="1">
        <v>90.32</v>
      </c>
      <c r="D243" s="1">
        <v>0.61</v>
      </c>
      <c r="E243" s="3">
        <f t="shared" si="18"/>
        <v>55.095199999999991</v>
      </c>
      <c r="F243" s="1">
        <f t="shared" si="19"/>
        <v>64.127199999999988</v>
      </c>
    </row>
    <row r="244" spans="1:6" x14ac:dyDescent="0.25">
      <c r="A244" s="1" t="s">
        <v>165</v>
      </c>
      <c r="B244" s="1" t="s">
        <v>171</v>
      </c>
      <c r="C244" s="1">
        <v>147.91999999999999</v>
      </c>
      <c r="D244" s="1">
        <v>0.67</v>
      </c>
      <c r="E244" s="3">
        <f t="shared" si="18"/>
        <v>99.106399999999994</v>
      </c>
      <c r="F244" s="1">
        <f t="shared" si="19"/>
        <v>113.8984</v>
      </c>
    </row>
    <row r="245" spans="1:6" x14ac:dyDescent="0.25">
      <c r="A245" s="1" t="s">
        <v>165</v>
      </c>
      <c r="B245" s="1" t="s">
        <v>172</v>
      </c>
      <c r="C245" s="1">
        <v>240.85</v>
      </c>
      <c r="D245" s="1">
        <v>0.66</v>
      </c>
      <c r="E245" s="3">
        <f t="shared" si="18"/>
        <v>158.96100000000001</v>
      </c>
      <c r="F245" s="1">
        <f t="shared" si="19"/>
        <v>183.04599999999999</v>
      </c>
    </row>
    <row r="246" spans="1:6" x14ac:dyDescent="0.25">
      <c r="A246" s="1" t="s">
        <v>165</v>
      </c>
      <c r="B246" s="1" t="s">
        <v>173</v>
      </c>
      <c r="C246" s="1">
        <v>264.10000000000002</v>
      </c>
      <c r="D246" s="1">
        <v>0.54</v>
      </c>
      <c r="E246" s="3">
        <f t="shared" si="18"/>
        <v>142.61400000000003</v>
      </c>
      <c r="F246" s="1">
        <f t="shared" si="19"/>
        <v>169.02400000000003</v>
      </c>
    </row>
    <row r="247" spans="1:6" x14ac:dyDescent="0.25">
      <c r="A247" s="1" t="s">
        <v>165</v>
      </c>
      <c r="B247" s="1" t="s">
        <v>174</v>
      </c>
      <c r="C247" s="1">
        <v>943.6</v>
      </c>
      <c r="D247" s="1">
        <v>0.37</v>
      </c>
      <c r="E247" s="3">
        <f t="shared" si="18"/>
        <v>349.13200000000001</v>
      </c>
      <c r="F247" s="1">
        <f t="shared" si="19"/>
        <v>443.49199999999996</v>
      </c>
    </row>
    <row r="248" spans="1:6" x14ac:dyDescent="0.25">
      <c r="A248" s="1" t="s">
        <v>165</v>
      </c>
      <c r="B248" s="1" t="s">
        <v>1798</v>
      </c>
      <c r="C248" s="1">
        <v>1425.95</v>
      </c>
      <c r="D248" s="1">
        <v>0.65</v>
      </c>
      <c r="E248" s="3">
        <f t="shared" si="18"/>
        <v>926.86750000000006</v>
      </c>
      <c r="F248" s="1">
        <f t="shared" si="19"/>
        <v>1069.4625000000001</v>
      </c>
    </row>
    <row r="249" spans="1:6" x14ac:dyDescent="0.25">
      <c r="A249" s="1" t="s">
        <v>165</v>
      </c>
      <c r="B249" s="1" t="s">
        <v>1810</v>
      </c>
      <c r="C249" s="1">
        <v>1478.54</v>
      </c>
      <c r="D249" s="1">
        <v>0.71499999999999997</v>
      </c>
      <c r="E249" s="3">
        <f t="shared" si="18"/>
        <v>1057.1560999999999</v>
      </c>
      <c r="F249" s="1">
        <f t="shared" si="19"/>
        <v>1205.0101</v>
      </c>
    </row>
    <row r="250" spans="1:6" x14ac:dyDescent="0.25">
      <c r="A250" s="1" t="s">
        <v>165</v>
      </c>
      <c r="B250" s="1" t="s">
        <v>1773</v>
      </c>
      <c r="C250" s="1">
        <v>152.15</v>
      </c>
      <c r="D250" s="1">
        <v>0.49</v>
      </c>
      <c r="E250" s="3">
        <f t="shared" si="18"/>
        <v>74.5535</v>
      </c>
      <c r="F250" s="1">
        <f t="shared" si="19"/>
        <v>89.768500000000003</v>
      </c>
    </row>
    <row r="251" spans="1:6" x14ac:dyDescent="0.25">
      <c r="A251" s="1" t="s">
        <v>165</v>
      </c>
      <c r="B251" s="1" t="s">
        <v>1774</v>
      </c>
      <c r="C251" s="1">
        <v>703.99</v>
      </c>
      <c r="D251" s="1">
        <v>0.53</v>
      </c>
      <c r="E251" s="3">
        <f t="shared" si="18"/>
        <v>373.11470000000003</v>
      </c>
      <c r="F251" s="1">
        <f t="shared" si="19"/>
        <v>443.51370000000003</v>
      </c>
    </row>
    <row r="252" spans="1:6" x14ac:dyDescent="0.25">
      <c r="A252" s="1" t="s">
        <v>165</v>
      </c>
      <c r="B252" s="1" t="s">
        <v>1776</v>
      </c>
      <c r="C252" s="1">
        <v>1725.86</v>
      </c>
      <c r="D252" s="1">
        <v>0.67</v>
      </c>
      <c r="E252" s="3">
        <f t="shared" si="18"/>
        <v>1156.3262</v>
      </c>
      <c r="F252" s="1">
        <f t="shared" si="19"/>
        <v>1328.9122</v>
      </c>
    </row>
    <row r="253" spans="1:6" x14ac:dyDescent="0.25">
      <c r="A253" s="1" t="s">
        <v>165</v>
      </c>
      <c r="B253" s="1" t="s">
        <v>1775</v>
      </c>
      <c r="C253" s="1">
        <v>5880.15</v>
      </c>
      <c r="D253" s="1">
        <v>0.71</v>
      </c>
      <c r="E253" s="3">
        <f t="shared" si="18"/>
        <v>4174.9064999999991</v>
      </c>
      <c r="F253" s="1">
        <f t="shared" si="19"/>
        <v>4762.9214999999995</v>
      </c>
    </row>
    <row r="254" spans="1:6" x14ac:dyDescent="0.25">
      <c r="A254" s="1" t="s">
        <v>165</v>
      </c>
      <c r="B254" s="1" t="s">
        <v>1777</v>
      </c>
      <c r="C254" s="1">
        <v>12960</v>
      </c>
      <c r="D254" s="1">
        <v>0.495</v>
      </c>
      <c r="E254" s="3">
        <f t="shared" si="18"/>
        <v>6415.2</v>
      </c>
      <c r="F254" s="1">
        <f t="shared" si="19"/>
        <v>7711.2</v>
      </c>
    </row>
    <row r="255" spans="1:6" x14ac:dyDescent="0.25">
      <c r="A255" s="1" t="s">
        <v>165</v>
      </c>
      <c r="B255" s="1" t="s">
        <v>1799</v>
      </c>
      <c r="C255" s="1">
        <v>1722.5</v>
      </c>
      <c r="D255" s="1">
        <v>0.73</v>
      </c>
      <c r="E255" s="3">
        <f t="shared" si="18"/>
        <v>1257.425</v>
      </c>
      <c r="F255" s="1">
        <f t="shared" si="19"/>
        <v>1429.675</v>
      </c>
    </row>
    <row r="256" spans="1:6" x14ac:dyDescent="0.25">
      <c r="A256" s="1" t="s">
        <v>165</v>
      </c>
      <c r="B256" s="1" t="s">
        <v>1778</v>
      </c>
      <c r="C256" s="1">
        <v>1949.82</v>
      </c>
      <c r="D256" s="1">
        <v>0.68</v>
      </c>
      <c r="E256" s="3">
        <f t="shared" si="18"/>
        <v>1325.8776</v>
      </c>
      <c r="F256" s="1">
        <f t="shared" si="19"/>
        <v>1520.8596</v>
      </c>
    </row>
    <row r="257" spans="1:6" x14ac:dyDescent="0.25">
      <c r="A257" s="1" t="s">
        <v>165</v>
      </c>
      <c r="B257" s="1" t="s">
        <v>175</v>
      </c>
      <c r="C257" s="1">
        <v>442.4</v>
      </c>
      <c r="D257" s="1">
        <v>0.64</v>
      </c>
      <c r="E257" s="3">
        <f t="shared" si="18"/>
        <v>283.13599999999997</v>
      </c>
      <c r="F257" s="1">
        <f t="shared" si="19"/>
        <v>327.37599999999998</v>
      </c>
    </row>
    <row r="258" spans="1:6" x14ac:dyDescent="0.25">
      <c r="A258" s="1" t="s">
        <v>165</v>
      </c>
      <c r="B258" s="1" t="s">
        <v>176</v>
      </c>
      <c r="C258" s="1">
        <v>297.13</v>
      </c>
      <c r="D258" s="1">
        <v>0.63</v>
      </c>
      <c r="E258" s="3">
        <f t="shared" si="18"/>
        <v>187.1919</v>
      </c>
      <c r="F258" s="1">
        <f t="shared" si="19"/>
        <v>216.9049</v>
      </c>
    </row>
    <row r="259" spans="1:6" x14ac:dyDescent="0.25">
      <c r="A259" s="1" t="s">
        <v>165</v>
      </c>
      <c r="B259" s="1" t="s">
        <v>1802</v>
      </c>
      <c r="C259" s="1">
        <v>562</v>
      </c>
      <c r="D259" s="1">
        <v>0.63</v>
      </c>
      <c r="E259" s="3">
        <f t="shared" si="18"/>
        <v>354.06</v>
      </c>
      <c r="F259" s="1">
        <f t="shared" si="19"/>
        <v>410.26</v>
      </c>
    </row>
    <row r="260" spans="1:6" x14ac:dyDescent="0.25">
      <c r="A260" s="1" t="s">
        <v>165</v>
      </c>
      <c r="B260" s="1" t="s">
        <v>1803</v>
      </c>
      <c r="C260" s="1">
        <v>2163.2600000000002</v>
      </c>
      <c r="D260" s="1">
        <v>0.66</v>
      </c>
      <c r="E260" s="3">
        <f t="shared" si="18"/>
        <v>1427.7516000000003</v>
      </c>
      <c r="F260" s="1">
        <f t="shared" si="19"/>
        <v>1644.0776000000001</v>
      </c>
    </row>
    <row r="261" spans="1:6" x14ac:dyDescent="0.25">
      <c r="A261" s="1" t="s">
        <v>165</v>
      </c>
      <c r="B261" s="1" t="s">
        <v>177</v>
      </c>
      <c r="E261" s="3">
        <f t="shared" si="18"/>
        <v>0</v>
      </c>
      <c r="F261" s="1">
        <f t="shared" si="19"/>
        <v>0</v>
      </c>
    </row>
    <row r="262" spans="1:6" x14ac:dyDescent="0.25">
      <c r="A262" s="1" t="s">
        <v>165</v>
      </c>
      <c r="B262" s="1" t="s">
        <v>178</v>
      </c>
      <c r="C262" s="1">
        <v>150</v>
      </c>
      <c r="D262" s="1">
        <v>0.53</v>
      </c>
      <c r="E262" s="3">
        <f t="shared" si="18"/>
        <v>79.5</v>
      </c>
      <c r="F262" s="1">
        <f t="shared" si="19"/>
        <v>94.5</v>
      </c>
    </row>
    <row r="263" spans="1:6" x14ac:dyDescent="0.25">
      <c r="A263" s="1" t="s">
        <v>165</v>
      </c>
      <c r="B263" s="1" t="s">
        <v>179</v>
      </c>
      <c r="C263" s="1">
        <v>241</v>
      </c>
      <c r="D263" s="1">
        <v>0.62</v>
      </c>
      <c r="E263" s="3">
        <f t="shared" si="18"/>
        <v>149.41999999999999</v>
      </c>
      <c r="F263" s="1">
        <f t="shared" si="19"/>
        <v>173.51999999999998</v>
      </c>
    </row>
    <row r="264" spans="1:6" x14ac:dyDescent="0.25">
      <c r="A264" s="1" t="s">
        <v>165</v>
      </c>
      <c r="B264" s="1" t="s">
        <v>180</v>
      </c>
      <c r="C264" s="1">
        <v>0</v>
      </c>
      <c r="D264" s="1">
        <v>0.72</v>
      </c>
      <c r="E264" s="3">
        <f t="shared" si="18"/>
        <v>0</v>
      </c>
      <c r="F264" s="1">
        <f t="shared" si="19"/>
        <v>0</v>
      </c>
    </row>
    <row r="265" spans="1:6" x14ac:dyDescent="0.25">
      <c r="A265" s="1" t="s">
        <v>165</v>
      </c>
      <c r="B265" s="1" t="s">
        <v>181</v>
      </c>
      <c r="C265" s="1">
        <v>0</v>
      </c>
      <c r="D265" s="1">
        <v>0.72</v>
      </c>
      <c r="E265" s="3">
        <f t="shared" si="18"/>
        <v>0</v>
      </c>
      <c r="F265" s="1">
        <f t="shared" si="19"/>
        <v>0</v>
      </c>
    </row>
    <row r="266" spans="1:6" x14ac:dyDescent="0.25">
      <c r="A266" s="1" t="s">
        <v>165</v>
      </c>
      <c r="B266" s="1" t="s">
        <v>182</v>
      </c>
      <c r="C266" s="1">
        <v>364.03</v>
      </c>
      <c r="D266" s="1">
        <v>0.66</v>
      </c>
      <c r="E266" s="3">
        <f t="shared" si="18"/>
        <v>240.25979999999998</v>
      </c>
      <c r="F266" s="1">
        <f t="shared" si="19"/>
        <v>276.6628</v>
      </c>
    </row>
    <row r="267" spans="1:6" x14ac:dyDescent="0.25">
      <c r="A267" s="1" t="s">
        <v>165</v>
      </c>
      <c r="B267" s="1" t="s">
        <v>1779</v>
      </c>
      <c r="C267" s="1">
        <v>1513.86</v>
      </c>
      <c r="D267" s="1">
        <v>0.65</v>
      </c>
      <c r="E267" s="3">
        <f t="shared" si="18"/>
        <v>984.00900000000001</v>
      </c>
      <c r="F267" s="1">
        <f t="shared" si="19"/>
        <v>1135.395</v>
      </c>
    </row>
    <row r="268" spans="1:6" x14ac:dyDescent="0.25">
      <c r="A268" s="1" t="s">
        <v>165</v>
      </c>
      <c r="B268" s="1" t="s">
        <v>183</v>
      </c>
      <c r="C268" s="1">
        <v>537.04999999999995</v>
      </c>
      <c r="D268" s="1">
        <v>0.63</v>
      </c>
      <c r="E268" s="3">
        <f t="shared" si="18"/>
        <v>338.3415</v>
      </c>
      <c r="F268" s="1">
        <f t="shared" si="19"/>
        <v>392.04649999999998</v>
      </c>
    </row>
    <row r="269" spans="1:6" x14ac:dyDescent="0.25">
      <c r="A269" s="1" t="s">
        <v>165</v>
      </c>
      <c r="B269" s="1" t="s">
        <v>1780</v>
      </c>
      <c r="C269" s="1">
        <v>219.69</v>
      </c>
      <c r="D269" s="1">
        <v>0.66</v>
      </c>
      <c r="E269" s="3">
        <f t="shared" si="18"/>
        <v>144.99540000000002</v>
      </c>
      <c r="F269" s="1">
        <f t="shared" si="19"/>
        <v>166.96440000000001</v>
      </c>
    </row>
    <row r="270" spans="1:6" x14ac:dyDescent="0.25">
      <c r="A270" s="1" t="s">
        <v>165</v>
      </c>
      <c r="B270" s="1" t="s">
        <v>1781</v>
      </c>
      <c r="C270" s="1">
        <v>431.54</v>
      </c>
      <c r="D270" s="1">
        <v>0.66</v>
      </c>
      <c r="E270" s="3">
        <f t="shared" ref="E270:E301" si="20">C270*D270</f>
        <v>284.81640000000004</v>
      </c>
      <c r="F270" s="1">
        <f t="shared" si="19"/>
        <v>327.97040000000004</v>
      </c>
    </row>
    <row r="271" spans="1:6" x14ac:dyDescent="0.25">
      <c r="A271" s="1" t="s">
        <v>165</v>
      </c>
      <c r="B271" s="1" t="s">
        <v>184</v>
      </c>
      <c r="C271" s="1">
        <v>675.43</v>
      </c>
      <c r="D271" s="1">
        <v>0.65</v>
      </c>
      <c r="E271" s="3">
        <f t="shared" si="20"/>
        <v>439.02949999999998</v>
      </c>
      <c r="F271" s="1">
        <f t="shared" ref="F271:F302" si="21">C271*(D271+0.1)</f>
        <v>506.57249999999999</v>
      </c>
    </row>
    <row r="272" spans="1:6" x14ac:dyDescent="0.25">
      <c r="A272" s="1" t="s">
        <v>165</v>
      </c>
      <c r="B272" s="1" t="s">
        <v>185</v>
      </c>
      <c r="C272" s="1">
        <v>1431.56</v>
      </c>
      <c r="D272" s="1">
        <v>0.66</v>
      </c>
      <c r="E272" s="3">
        <f t="shared" si="20"/>
        <v>944.82960000000003</v>
      </c>
      <c r="F272" s="1">
        <f t="shared" si="21"/>
        <v>1087.9856</v>
      </c>
    </row>
    <row r="273" spans="1:6" x14ac:dyDescent="0.25">
      <c r="A273" s="1" t="s">
        <v>165</v>
      </c>
      <c r="B273" s="1" t="s">
        <v>1782</v>
      </c>
      <c r="C273" s="1">
        <v>817</v>
      </c>
      <c r="D273" s="1">
        <v>0.52</v>
      </c>
      <c r="E273" s="3">
        <f t="shared" si="20"/>
        <v>424.84000000000003</v>
      </c>
      <c r="F273" s="1">
        <f t="shared" si="21"/>
        <v>506.54</v>
      </c>
    </row>
    <row r="274" spans="1:6" x14ac:dyDescent="0.25">
      <c r="A274" s="1" t="s">
        <v>165</v>
      </c>
      <c r="B274" s="1" t="s">
        <v>186</v>
      </c>
      <c r="C274" s="1">
        <v>917.6</v>
      </c>
      <c r="D274" s="1">
        <v>0.74</v>
      </c>
      <c r="E274" s="3">
        <f t="shared" si="20"/>
        <v>679.024</v>
      </c>
      <c r="F274" s="1">
        <f t="shared" si="21"/>
        <v>770.78399999999999</v>
      </c>
    </row>
    <row r="275" spans="1:6" x14ac:dyDescent="0.25">
      <c r="A275" s="1" t="s">
        <v>165</v>
      </c>
      <c r="B275" s="1" t="s">
        <v>1789</v>
      </c>
      <c r="C275" s="1">
        <v>252</v>
      </c>
      <c r="D275" s="1">
        <v>0.59</v>
      </c>
      <c r="E275" s="3">
        <f t="shared" si="20"/>
        <v>148.67999999999998</v>
      </c>
      <c r="F275" s="1">
        <f t="shared" si="21"/>
        <v>173.88</v>
      </c>
    </row>
    <row r="276" spans="1:6" x14ac:dyDescent="0.25">
      <c r="A276" s="1" t="s">
        <v>165</v>
      </c>
      <c r="B276" s="1" t="s">
        <v>187</v>
      </c>
      <c r="C276" s="1">
        <v>35.24</v>
      </c>
      <c r="D276" s="1">
        <v>0.59</v>
      </c>
      <c r="E276" s="3">
        <f t="shared" si="20"/>
        <v>20.791599999999999</v>
      </c>
      <c r="F276" s="1">
        <f t="shared" si="21"/>
        <v>24.3156</v>
      </c>
    </row>
    <row r="277" spans="1:6" x14ac:dyDescent="0.25">
      <c r="A277" s="1" t="s">
        <v>165</v>
      </c>
      <c r="B277" s="1" t="s">
        <v>188</v>
      </c>
      <c r="C277" s="1">
        <v>109</v>
      </c>
      <c r="D277" s="1">
        <v>0.59</v>
      </c>
      <c r="E277" s="3">
        <f t="shared" si="20"/>
        <v>64.31</v>
      </c>
      <c r="F277" s="1">
        <f t="shared" si="21"/>
        <v>75.209999999999994</v>
      </c>
    </row>
    <row r="278" spans="1:6" x14ac:dyDescent="0.25">
      <c r="A278" s="1" t="s">
        <v>165</v>
      </c>
      <c r="B278" s="1" t="s">
        <v>189</v>
      </c>
      <c r="C278" s="1">
        <v>0</v>
      </c>
      <c r="D278" s="1">
        <v>0.72</v>
      </c>
      <c r="E278" s="3">
        <f t="shared" si="20"/>
        <v>0</v>
      </c>
      <c r="F278" s="1">
        <f t="shared" si="21"/>
        <v>0</v>
      </c>
    </row>
    <row r="279" spans="1:6" x14ac:dyDescent="0.25">
      <c r="A279" s="1" t="s">
        <v>165</v>
      </c>
      <c r="B279" s="1" t="s">
        <v>190</v>
      </c>
      <c r="C279" s="1">
        <v>0</v>
      </c>
      <c r="D279" s="1">
        <v>0.72</v>
      </c>
      <c r="E279" s="3">
        <f t="shared" si="20"/>
        <v>0</v>
      </c>
      <c r="F279" s="1">
        <f t="shared" si="21"/>
        <v>0</v>
      </c>
    </row>
    <row r="280" spans="1:6" x14ac:dyDescent="0.25">
      <c r="A280" s="1" t="s">
        <v>165</v>
      </c>
      <c r="B280" s="1" t="s">
        <v>191</v>
      </c>
      <c r="C280" s="1">
        <v>0</v>
      </c>
      <c r="D280" s="1">
        <v>0.72</v>
      </c>
      <c r="E280" s="3">
        <f t="shared" si="20"/>
        <v>0</v>
      </c>
      <c r="F280" s="1">
        <f t="shared" si="21"/>
        <v>0</v>
      </c>
    </row>
    <row r="281" spans="1:6" x14ac:dyDescent="0.25">
      <c r="A281" s="1" t="s">
        <v>165</v>
      </c>
      <c r="B281" s="1" t="s">
        <v>1800</v>
      </c>
      <c r="C281" s="1">
        <v>1075.1099999999999</v>
      </c>
      <c r="D281" s="1">
        <v>0.7</v>
      </c>
      <c r="E281" s="3">
        <f t="shared" si="20"/>
        <v>752.57699999999988</v>
      </c>
      <c r="F281" s="1">
        <f t="shared" si="21"/>
        <v>860.08799999999985</v>
      </c>
    </row>
    <row r="282" spans="1:6" x14ac:dyDescent="0.25">
      <c r="A282" s="1" t="s">
        <v>165</v>
      </c>
      <c r="B282" s="1" t="s">
        <v>1801</v>
      </c>
      <c r="C282" s="1">
        <v>526.88</v>
      </c>
      <c r="D282" s="1">
        <v>0.66</v>
      </c>
      <c r="E282" s="3">
        <f t="shared" si="20"/>
        <v>347.74080000000004</v>
      </c>
      <c r="F282" s="1">
        <f t="shared" si="21"/>
        <v>400.42880000000002</v>
      </c>
    </row>
    <row r="283" spans="1:6" x14ac:dyDescent="0.25">
      <c r="A283" s="1" t="s">
        <v>165</v>
      </c>
      <c r="B283" s="1" t="s">
        <v>192</v>
      </c>
      <c r="C283" s="1">
        <v>0</v>
      </c>
      <c r="D283" s="1">
        <v>0.72</v>
      </c>
      <c r="E283" s="3">
        <f t="shared" si="20"/>
        <v>0</v>
      </c>
      <c r="F283" s="1">
        <f t="shared" si="21"/>
        <v>0</v>
      </c>
    </row>
    <row r="284" spans="1:6" x14ac:dyDescent="0.25">
      <c r="A284" s="1" t="s">
        <v>165</v>
      </c>
      <c r="B284" s="1" t="s">
        <v>193</v>
      </c>
      <c r="C284" s="1">
        <v>0</v>
      </c>
      <c r="D284" s="1">
        <v>0.72</v>
      </c>
      <c r="E284" s="3">
        <f t="shared" si="20"/>
        <v>0</v>
      </c>
      <c r="F284" s="1">
        <f t="shared" si="21"/>
        <v>0</v>
      </c>
    </row>
    <row r="285" spans="1:6" x14ac:dyDescent="0.25">
      <c r="A285" s="1" t="s">
        <v>165</v>
      </c>
      <c r="B285" s="1" t="s">
        <v>194</v>
      </c>
      <c r="C285" s="1">
        <v>89.12</v>
      </c>
      <c r="D285" s="1">
        <v>0.66</v>
      </c>
      <c r="E285" s="3">
        <f t="shared" si="20"/>
        <v>58.819200000000009</v>
      </c>
      <c r="F285" s="1">
        <f t="shared" si="21"/>
        <v>67.731200000000001</v>
      </c>
    </row>
    <row r="286" spans="1:6" x14ac:dyDescent="0.25">
      <c r="A286" s="1" t="s">
        <v>165</v>
      </c>
      <c r="B286" s="1" t="s">
        <v>195</v>
      </c>
      <c r="C286" s="1">
        <v>286.89</v>
      </c>
      <c r="D286" s="1">
        <v>0.59</v>
      </c>
      <c r="E286" s="3">
        <f t="shared" si="20"/>
        <v>169.26509999999999</v>
      </c>
      <c r="F286" s="1">
        <f t="shared" si="21"/>
        <v>197.95409999999998</v>
      </c>
    </row>
    <row r="287" spans="1:6" x14ac:dyDescent="0.25">
      <c r="A287" s="1" t="s">
        <v>165</v>
      </c>
      <c r="B287" s="1" t="s">
        <v>196</v>
      </c>
      <c r="C287" s="1">
        <v>0</v>
      </c>
      <c r="D287" s="1">
        <v>0.72</v>
      </c>
      <c r="E287" s="3">
        <f t="shared" si="20"/>
        <v>0</v>
      </c>
      <c r="F287" s="1">
        <f t="shared" si="21"/>
        <v>0</v>
      </c>
    </row>
    <row r="288" spans="1:6" x14ac:dyDescent="0.25">
      <c r="A288" s="1" t="s">
        <v>165</v>
      </c>
      <c r="B288" s="1" t="s">
        <v>197</v>
      </c>
      <c r="C288" s="1">
        <v>2186.84</v>
      </c>
      <c r="D288" s="1">
        <v>0.76</v>
      </c>
      <c r="E288" s="3">
        <f t="shared" si="20"/>
        <v>1661.9984000000002</v>
      </c>
      <c r="F288" s="1">
        <f t="shared" si="21"/>
        <v>1880.6824000000001</v>
      </c>
    </row>
    <row r="289" spans="1:6" x14ac:dyDescent="0.25">
      <c r="A289" s="1" t="s">
        <v>165</v>
      </c>
      <c r="B289" s="1" t="s">
        <v>1804</v>
      </c>
      <c r="C289" s="1">
        <v>624.97</v>
      </c>
      <c r="D289" s="1">
        <v>0.68</v>
      </c>
      <c r="E289" s="3">
        <f t="shared" si="20"/>
        <v>424.97960000000006</v>
      </c>
      <c r="F289" s="1">
        <f t="shared" si="21"/>
        <v>487.47660000000002</v>
      </c>
    </row>
    <row r="290" spans="1:6" x14ac:dyDescent="0.25">
      <c r="A290" s="1" t="s">
        <v>165</v>
      </c>
      <c r="B290" s="1" t="s">
        <v>1805</v>
      </c>
      <c r="C290" s="1">
        <v>624.97</v>
      </c>
      <c r="D290" s="1">
        <v>0.68</v>
      </c>
      <c r="E290" s="3">
        <f t="shared" si="20"/>
        <v>424.97960000000006</v>
      </c>
      <c r="F290" s="1">
        <f t="shared" si="21"/>
        <v>487.47660000000002</v>
      </c>
    </row>
    <row r="291" spans="1:6" x14ac:dyDescent="0.25">
      <c r="A291" s="1" t="s">
        <v>165</v>
      </c>
      <c r="B291" s="1" t="s">
        <v>1793</v>
      </c>
      <c r="C291" s="1">
        <v>933.66</v>
      </c>
      <c r="D291" s="1">
        <v>0.75</v>
      </c>
      <c r="E291" s="3">
        <f t="shared" si="20"/>
        <v>700.245</v>
      </c>
      <c r="F291" s="1">
        <f t="shared" si="21"/>
        <v>793.61099999999999</v>
      </c>
    </row>
    <row r="292" spans="1:6" x14ac:dyDescent="0.25">
      <c r="A292" s="1" t="s">
        <v>165</v>
      </c>
      <c r="B292" s="1" t="s">
        <v>1794</v>
      </c>
      <c r="C292" s="1">
        <v>1688.8</v>
      </c>
      <c r="D292" s="1">
        <v>0.81</v>
      </c>
      <c r="E292" s="3">
        <f t="shared" si="20"/>
        <v>1367.9280000000001</v>
      </c>
      <c r="F292" s="1">
        <f t="shared" si="21"/>
        <v>1536.808</v>
      </c>
    </row>
    <row r="293" spans="1:6" x14ac:dyDescent="0.25">
      <c r="A293" s="1" t="s">
        <v>165</v>
      </c>
      <c r="B293" s="1" t="s">
        <v>1806</v>
      </c>
      <c r="C293" s="1">
        <v>1334.21</v>
      </c>
      <c r="D293" s="1">
        <v>0.68</v>
      </c>
      <c r="E293" s="3">
        <f t="shared" si="20"/>
        <v>907.26280000000008</v>
      </c>
      <c r="F293" s="1">
        <f t="shared" si="21"/>
        <v>1040.6838</v>
      </c>
    </row>
    <row r="294" spans="1:6" x14ac:dyDescent="0.25">
      <c r="A294" s="1" t="s">
        <v>165</v>
      </c>
      <c r="B294" s="1" t="s">
        <v>1807</v>
      </c>
      <c r="C294" s="1">
        <v>1721.92</v>
      </c>
      <c r="D294" s="1">
        <v>0.73</v>
      </c>
      <c r="E294" s="3">
        <f t="shared" si="20"/>
        <v>1257.0016000000001</v>
      </c>
      <c r="F294" s="1">
        <f t="shared" si="21"/>
        <v>1429.1936000000001</v>
      </c>
    </row>
    <row r="295" spans="1:6" x14ac:dyDescent="0.25">
      <c r="A295" s="1" t="s">
        <v>165</v>
      </c>
      <c r="B295" s="1" t="s">
        <v>198</v>
      </c>
      <c r="C295" s="1">
        <v>220.18</v>
      </c>
      <c r="D295" s="1">
        <v>0.55000000000000004</v>
      </c>
      <c r="E295" s="3">
        <f t="shared" si="20"/>
        <v>121.09900000000002</v>
      </c>
      <c r="F295" s="1">
        <f t="shared" si="21"/>
        <v>143.11700000000002</v>
      </c>
    </row>
    <row r="296" spans="1:6" x14ac:dyDescent="0.25">
      <c r="A296" s="1" t="s">
        <v>165</v>
      </c>
      <c r="B296" s="1" t="s">
        <v>199</v>
      </c>
      <c r="C296" s="1">
        <v>278.22000000000003</v>
      </c>
      <c r="D296" s="1">
        <v>0.56000000000000005</v>
      </c>
      <c r="E296" s="3">
        <f t="shared" si="20"/>
        <v>155.80320000000003</v>
      </c>
      <c r="F296" s="1">
        <f t="shared" si="21"/>
        <v>183.62520000000004</v>
      </c>
    </row>
    <row r="297" spans="1:6" x14ac:dyDescent="0.25">
      <c r="A297" s="1" t="s">
        <v>165</v>
      </c>
      <c r="B297" s="1" t="s">
        <v>200</v>
      </c>
      <c r="C297" s="1">
        <v>0</v>
      </c>
      <c r="D297" s="1">
        <v>0.72</v>
      </c>
      <c r="E297" s="3">
        <f t="shared" si="20"/>
        <v>0</v>
      </c>
      <c r="F297" s="1">
        <f t="shared" si="21"/>
        <v>0</v>
      </c>
    </row>
    <row r="298" spans="1:6" x14ac:dyDescent="0.25">
      <c r="A298" s="1" t="s">
        <v>165</v>
      </c>
      <c r="B298" s="1" t="s">
        <v>1796</v>
      </c>
      <c r="C298" s="1">
        <v>3399.71</v>
      </c>
      <c r="D298" s="1">
        <v>0.76</v>
      </c>
      <c r="E298" s="3">
        <f t="shared" si="20"/>
        <v>2583.7795999999998</v>
      </c>
      <c r="F298" s="1">
        <f t="shared" si="21"/>
        <v>2923.7505999999998</v>
      </c>
    </row>
    <row r="299" spans="1:6" x14ac:dyDescent="0.25">
      <c r="A299" s="1" t="s">
        <v>165</v>
      </c>
      <c r="B299" s="1" t="s">
        <v>1795</v>
      </c>
      <c r="C299" s="1">
        <v>8733.32</v>
      </c>
      <c r="D299" s="1">
        <v>0.61</v>
      </c>
      <c r="E299" s="3">
        <f t="shared" si="20"/>
        <v>5327.3251999999993</v>
      </c>
      <c r="F299" s="1">
        <f t="shared" si="21"/>
        <v>6200.6571999999996</v>
      </c>
    </row>
    <row r="300" spans="1:6" x14ac:dyDescent="0.25">
      <c r="A300" s="1" t="s">
        <v>165</v>
      </c>
      <c r="B300" s="1" t="s">
        <v>201</v>
      </c>
      <c r="C300" s="1">
        <v>0</v>
      </c>
      <c r="D300" s="1">
        <v>0.72</v>
      </c>
      <c r="E300" s="3">
        <f t="shared" si="20"/>
        <v>0</v>
      </c>
      <c r="F300" s="1">
        <f t="shared" si="21"/>
        <v>0</v>
      </c>
    </row>
    <row r="301" spans="1:6" x14ac:dyDescent="0.25">
      <c r="A301" s="1" t="s">
        <v>165</v>
      </c>
      <c r="B301" s="1" t="s">
        <v>1808</v>
      </c>
      <c r="C301" s="1">
        <v>117</v>
      </c>
      <c r="D301" s="1">
        <v>0.73</v>
      </c>
      <c r="E301" s="3">
        <f t="shared" si="20"/>
        <v>85.41</v>
      </c>
      <c r="F301" s="1">
        <f t="shared" si="21"/>
        <v>97.11</v>
      </c>
    </row>
    <row r="302" spans="1:6" x14ac:dyDescent="0.25">
      <c r="A302" s="1" t="s">
        <v>165</v>
      </c>
      <c r="B302" s="1" t="s">
        <v>1797</v>
      </c>
      <c r="C302" s="1">
        <v>11266.5</v>
      </c>
      <c r="D302" s="1">
        <v>0.66</v>
      </c>
      <c r="E302" s="3">
        <f t="shared" ref="E302:E333" si="22">C302*D302</f>
        <v>7435.89</v>
      </c>
      <c r="F302" s="1">
        <f t="shared" si="21"/>
        <v>8562.5400000000009</v>
      </c>
    </row>
    <row r="303" spans="1:6" x14ac:dyDescent="0.25">
      <c r="A303" s="1" t="s">
        <v>165</v>
      </c>
      <c r="B303" s="1" t="s">
        <v>202</v>
      </c>
      <c r="C303" s="1">
        <v>180</v>
      </c>
      <c r="D303" s="1">
        <v>0.61</v>
      </c>
      <c r="E303" s="3">
        <f t="shared" si="22"/>
        <v>109.8</v>
      </c>
      <c r="F303" s="1">
        <f t="shared" ref="F303:F333" si="23">C303*(D303+0.1)</f>
        <v>127.8</v>
      </c>
    </row>
    <row r="304" spans="1:6" x14ac:dyDescent="0.25">
      <c r="A304" s="1" t="s">
        <v>165</v>
      </c>
      <c r="B304" s="1" t="s">
        <v>1792</v>
      </c>
      <c r="C304" s="1">
        <v>297.41000000000003</v>
      </c>
      <c r="D304" s="1">
        <v>0.67</v>
      </c>
      <c r="E304" s="3">
        <f t="shared" si="22"/>
        <v>199.26470000000003</v>
      </c>
      <c r="F304" s="1">
        <f t="shared" si="23"/>
        <v>229.00570000000002</v>
      </c>
    </row>
    <row r="305" spans="1:6" x14ac:dyDescent="0.25">
      <c r="A305" s="1" t="s">
        <v>165</v>
      </c>
      <c r="B305" s="1" t="s">
        <v>193</v>
      </c>
      <c r="C305" s="1">
        <v>101</v>
      </c>
      <c r="D305" s="1">
        <v>0.61</v>
      </c>
      <c r="E305" s="3">
        <f t="shared" si="22"/>
        <v>61.61</v>
      </c>
      <c r="F305" s="1">
        <f t="shared" si="23"/>
        <v>71.709999999999994</v>
      </c>
    </row>
    <row r="306" spans="1:6" x14ac:dyDescent="0.25">
      <c r="A306" s="1" t="s">
        <v>165</v>
      </c>
      <c r="B306" s="1" t="s">
        <v>1790</v>
      </c>
      <c r="C306" s="1">
        <v>202</v>
      </c>
      <c r="D306" s="1">
        <v>0.66</v>
      </c>
      <c r="E306" s="3">
        <f t="shared" si="22"/>
        <v>133.32</v>
      </c>
      <c r="F306" s="1">
        <f t="shared" si="23"/>
        <v>153.52000000000001</v>
      </c>
    </row>
    <row r="307" spans="1:6" x14ac:dyDescent="0.25">
      <c r="A307" s="1" t="s">
        <v>165</v>
      </c>
      <c r="B307" s="1" t="s">
        <v>1791</v>
      </c>
      <c r="C307" s="1">
        <v>233</v>
      </c>
      <c r="D307" s="1">
        <v>0.62</v>
      </c>
      <c r="E307" s="3">
        <f t="shared" si="22"/>
        <v>144.46</v>
      </c>
      <c r="F307" s="1">
        <f t="shared" si="23"/>
        <v>167.76</v>
      </c>
    </row>
    <row r="308" spans="1:6" x14ac:dyDescent="0.25">
      <c r="A308" s="1" t="s">
        <v>165</v>
      </c>
      <c r="B308" s="1" t="s">
        <v>203</v>
      </c>
      <c r="C308" s="1">
        <v>692.14</v>
      </c>
      <c r="D308" s="1">
        <v>0.67</v>
      </c>
      <c r="E308" s="3">
        <f t="shared" si="22"/>
        <v>463.73380000000003</v>
      </c>
      <c r="F308" s="1">
        <f t="shared" si="23"/>
        <v>532.94780000000003</v>
      </c>
    </row>
    <row r="309" spans="1:6" x14ac:dyDescent="0.25">
      <c r="A309" s="1" t="s">
        <v>165</v>
      </c>
      <c r="B309" s="1" t="s">
        <v>204</v>
      </c>
      <c r="C309" s="1">
        <v>262.11</v>
      </c>
      <c r="D309" s="1">
        <v>0.67</v>
      </c>
      <c r="E309" s="3">
        <f t="shared" si="22"/>
        <v>175.61370000000002</v>
      </c>
      <c r="F309" s="1">
        <f t="shared" si="23"/>
        <v>201.82470000000001</v>
      </c>
    </row>
    <row r="310" spans="1:6" x14ac:dyDescent="0.25">
      <c r="A310" s="1" t="s">
        <v>165</v>
      </c>
      <c r="B310" s="1" t="s">
        <v>205</v>
      </c>
      <c r="C310" s="1">
        <v>2995.39</v>
      </c>
      <c r="D310" s="1">
        <v>0.68</v>
      </c>
      <c r="E310" s="3">
        <f t="shared" si="22"/>
        <v>2036.8652</v>
      </c>
      <c r="F310" s="1">
        <f t="shared" si="23"/>
        <v>2336.4041999999999</v>
      </c>
    </row>
    <row r="311" spans="1:6" x14ac:dyDescent="0.25">
      <c r="A311" s="1" t="s">
        <v>165</v>
      </c>
      <c r="B311" s="1" t="s">
        <v>206</v>
      </c>
      <c r="C311" s="1">
        <v>427.46</v>
      </c>
      <c r="D311" s="1">
        <v>0.66</v>
      </c>
      <c r="E311" s="3">
        <f t="shared" si="22"/>
        <v>282.12360000000001</v>
      </c>
      <c r="F311" s="1">
        <f t="shared" si="23"/>
        <v>324.86959999999999</v>
      </c>
    </row>
    <row r="312" spans="1:6" x14ac:dyDescent="0.25">
      <c r="A312" s="1" t="s">
        <v>165</v>
      </c>
      <c r="B312" s="1" t="s">
        <v>207</v>
      </c>
      <c r="C312" s="1">
        <v>0</v>
      </c>
      <c r="D312" s="1">
        <v>0.72</v>
      </c>
      <c r="E312" s="3">
        <f t="shared" si="22"/>
        <v>0</v>
      </c>
      <c r="F312" s="1">
        <f t="shared" si="23"/>
        <v>0</v>
      </c>
    </row>
    <row r="313" spans="1:6" x14ac:dyDescent="0.25">
      <c r="A313" s="1" t="s">
        <v>165</v>
      </c>
      <c r="B313" s="1" t="s">
        <v>208</v>
      </c>
      <c r="C313" s="1">
        <v>0</v>
      </c>
      <c r="D313" s="1">
        <v>0.72</v>
      </c>
      <c r="E313" s="3">
        <f t="shared" si="22"/>
        <v>0</v>
      </c>
      <c r="F313" s="1">
        <f t="shared" si="23"/>
        <v>0</v>
      </c>
    </row>
    <row r="314" spans="1:6" x14ac:dyDescent="0.25">
      <c r="A314" s="1" t="s">
        <v>165</v>
      </c>
      <c r="B314" s="1" t="s">
        <v>209</v>
      </c>
      <c r="C314" s="1">
        <v>0</v>
      </c>
      <c r="D314" s="1">
        <v>0.72</v>
      </c>
      <c r="E314" s="3">
        <f t="shared" si="22"/>
        <v>0</v>
      </c>
      <c r="F314" s="1">
        <f t="shared" si="23"/>
        <v>0</v>
      </c>
    </row>
    <row r="315" spans="1:6" x14ac:dyDescent="0.25">
      <c r="A315" s="1" t="s">
        <v>165</v>
      </c>
      <c r="B315" s="1" t="s">
        <v>1809</v>
      </c>
      <c r="C315" s="1">
        <v>673</v>
      </c>
      <c r="D315" s="1">
        <v>0.66</v>
      </c>
      <c r="E315" s="3">
        <f t="shared" si="22"/>
        <v>444.18</v>
      </c>
      <c r="F315" s="1">
        <f t="shared" si="23"/>
        <v>511.48</v>
      </c>
    </row>
    <row r="316" spans="1:6" x14ac:dyDescent="0.25">
      <c r="A316" s="1" t="s">
        <v>165</v>
      </c>
      <c r="B316" s="1" t="s">
        <v>210</v>
      </c>
      <c r="D316" s="1"/>
      <c r="E316" s="3">
        <f t="shared" si="22"/>
        <v>0</v>
      </c>
      <c r="F316" s="1">
        <f t="shared" si="23"/>
        <v>0</v>
      </c>
    </row>
    <row r="317" spans="1:6" x14ac:dyDescent="0.25">
      <c r="A317" s="1" t="s">
        <v>165</v>
      </c>
      <c r="B317" s="1" t="s">
        <v>1783</v>
      </c>
      <c r="C317" s="1">
        <v>291</v>
      </c>
      <c r="D317" s="1">
        <v>0.52</v>
      </c>
      <c r="E317" s="3">
        <f t="shared" si="22"/>
        <v>151.32</v>
      </c>
      <c r="F317" s="1">
        <f t="shared" si="23"/>
        <v>180.42</v>
      </c>
    </row>
    <row r="318" spans="1:6" x14ac:dyDescent="0.25">
      <c r="A318" s="1" t="s">
        <v>165</v>
      </c>
      <c r="B318" s="1" t="s">
        <v>1784</v>
      </c>
      <c r="C318" s="1">
        <v>300</v>
      </c>
      <c r="D318" s="1">
        <v>0.53</v>
      </c>
      <c r="E318" s="3">
        <f t="shared" si="22"/>
        <v>159</v>
      </c>
      <c r="F318" s="1">
        <f t="shared" si="23"/>
        <v>189</v>
      </c>
    </row>
    <row r="319" spans="1:6" s="9" customFormat="1" ht="15.75" thickBot="1" x14ac:dyDescent="0.3">
      <c r="A319" s="9" t="s">
        <v>165</v>
      </c>
      <c r="B319" s="1" t="s">
        <v>1785</v>
      </c>
      <c r="C319" s="9">
        <v>315</v>
      </c>
      <c r="D319" s="9">
        <v>0.53</v>
      </c>
      <c r="E319" s="3">
        <f t="shared" si="22"/>
        <v>166.95000000000002</v>
      </c>
      <c r="F319" s="1">
        <f t="shared" si="23"/>
        <v>198.45</v>
      </c>
    </row>
    <row r="320" spans="1:6" x14ac:dyDescent="0.25">
      <c r="A320" s="1" t="s">
        <v>165</v>
      </c>
      <c r="B320" s="1" t="s">
        <v>1786</v>
      </c>
      <c r="C320" s="1">
        <v>330</v>
      </c>
      <c r="D320" s="1">
        <v>0.54</v>
      </c>
      <c r="E320" s="3">
        <f t="shared" si="22"/>
        <v>178.20000000000002</v>
      </c>
      <c r="F320" s="1">
        <f t="shared" si="23"/>
        <v>211.20000000000002</v>
      </c>
    </row>
    <row r="321" spans="1:6" x14ac:dyDescent="0.25">
      <c r="A321" s="1" t="s">
        <v>165</v>
      </c>
      <c r="B321" s="1" t="s">
        <v>1787</v>
      </c>
      <c r="C321" s="1">
        <v>294</v>
      </c>
      <c r="D321" s="1">
        <v>0.56000000000000005</v>
      </c>
      <c r="E321" s="3">
        <f t="shared" si="22"/>
        <v>164.64000000000001</v>
      </c>
      <c r="F321" s="1">
        <f t="shared" si="23"/>
        <v>194.04000000000002</v>
      </c>
    </row>
    <row r="322" spans="1:6" s="9" customFormat="1" ht="15.75" thickBot="1" x14ac:dyDescent="0.3">
      <c r="A322" s="9" t="s">
        <v>165</v>
      </c>
      <c r="B322" s="1" t="s">
        <v>1788</v>
      </c>
      <c r="C322" s="9">
        <v>321</v>
      </c>
      <c r="D322" s="9">
        <v>0.59</v>
      </c>
      <c r="E322" s="3">
        <f t="shared" si="22"/>
        <v>189.39</v>
      </c>
      <c r="F322" s="1">
        <f t="shared" si="23"/>
        <v>221.48999999999998</v>
      </c>
    </row>
    <row r="323" spans="1:6" s="7" customFormat="1" x14ac:dyDescent="0.25">
      <c r="A323" s="7" t="s">
        <v>211</v>
      </c>
      <c r="B323" s="7" t="s">
        <v>212</v>
      </c>
      <c r="C323" s="7">
        <v>144</v>
      </c>
      <c r="D323" s="7">
        <v>0.45</v>
      </c>
      <c r="E323" s="8">
        <f t="shared" si="22"/>
        <v>64.8</v>
      </c>
      <c r="F323" s="7">
        <f t="shared" si="23"/>
        <v>79.2</v>
      </c>
    </row>
    <row r="324" spans="1:6" x14ac:dyDescent="0.25">
      <c r="A324" s="1" t="s">
        <v>211</v>
      </c>
      <c r="B324" s="1" t="s">
        <v>213</v>
      </c>
      <c r="C324" s="1">
        <v>189</v>
      </c>
      <c r="D324" s="1">
        <v>0.45</v>
      </c>
      <c r="E324" s="3">
        <f t="shared" si="22"/>
        <v>85.05</v>
      </c>
      <c r="F324" s="1">
        <f t="shared" si="23"/>
        <v>103.95</v>
      </c>
    </row>
    <row r="325" spans="1:6" x14ac:dyDescent="0.25">
      <c r="A325" s="1" t="s">
        <v>211</v>
      </c>
      <c r="B325" s="1" t="s">
        <v>214</v>
      </c>
      <c r="C325" s="1">
        <v>138</v>
      </c>
      <c r="D325" s="1">
        <v>0.45</v>
      </c>
      <c r="E325" s="3">
        <f t="shared" si="22"/>
        <v>62.1</v>
      </c>
      <c r="F325" s="1">
        <f t="shared" si="23"/>
        <v>75.900000000000006</v>
      </c>
    </row>
    <row r="326" spans="1:6" x14ac:dyDescent="0.25">
      <c r="A326" s="1" t="s">
        <v>211</v>
      </c>
      <c r="B326" s="1" t="s">
        <v>215</v>
      </c>
      <c r="C326" s="1">
        <v>115</v>
      </c>
      <c r="D326" s="1">
        <v>0.45</v>
      </c>
      <c r="E326" s="3">
        <f t="shared" si="22"/>
        <v>51.75</v>
      </c>
      <c r="F326" s="1">
        <f t="shared" si="23"/>
        <v>63.250000000000007</v>
      </c>
    </row>
    <row r="327" spans="1:6" x14ac:dyDescent="0.25">
      <c r="A327" s="1" t="s">
        <v>211</v>
      </c>
      <c r="B327" s="1" t="s">
        <v>216</v>
      </c>
      <c r="C327" s="1">
        <v>277</v>
      </c>
      <c r="D327" s="1">
        <v>0.45</v>
      </c>
      <c r="E327" s="3">
        <f t="shared" si="22"/>
        <v>124.65</v>
      </c>
      <c r="F327" s="1">
        <f t="shared" si="23"/>
        <v>152.35000000000002</v>
      </c>
    </row>
    <row r="328" spans="1:6" x14ac:dyDescent="0.25">
      <c r="A328" s="1" t="s">
        <v>211</v>
      </c>
      <c r="B328" s="1" t="s">
        <v>217</v>
      </c>
      <c r="C328" s="1">
        <v>185</v>
      </c>
      <c r="D328" s="1">
        <v>0.45</v>
      </c>
      <c r="E328" s="3">
        <f t="shared" si="22"/>
        <v>83.25</v>
      </c>
      <c r="F328" s="1">
        <f t="shared" si="23"/>
        <v>101.75000000000001</v>
      </c>
    </row>
    <row r="329" spans="1:6" x14ac:dyDescent="0.25">
      <c r="A329" s="1" t="s">
        <v>211</v>
      </c>
      <c r="B329" s="1" t="s">
        <v>218</v>
      </c>
      <c r="C329" s="1">
        <v>345</v>
      </c>
      <c r="D329" s="1">
        <v>0.45</v>
      </c>
      <c r="E329" s="3">
        <f t="shared" si="22"/>
        <v>155.25</v>
      </c>
      <c r="F329" s="1">
        <f t="shared" si="23"/>
        <v>189.75000000000003</v>
      </c>
    </row>
    <row r="330" spans="1:6" x14ac:dyDescent="0.25">
      <c r="A330" s="1" t="s">
        <v>211</v>
      </c>
      <c r="B330" s="1" t="s">
        <v>219</v>
      </c>
      <c r="C330" s="1">
        <v>591</v>
      </c>
      <c r="D330" s="1">
        <v>0.45</v>
      </c>
      <c r="E330" s="3">
        <f t="shared" si="22"/>
        <v>265.95</v>
      </c>
      <c r="F330" s="1">
        <f t="shared" si="23"/>
        <v>325.05</v>
      </c>
    </row>
    <row r="331" spans="1:6" x14ac:dyDescent="0.25">
      <c r="A331" s="1" t="s">
        <v>211</v>
      </c>
      <c r="B331" s="1" t="s">
        <v>220</v>
      </c>
      <c r="C331" s="1">
        <v>147</v>
      </c>
      <c r="D331" s="1">
        <v>0.45</v>
      </c>
      <c r="E331" s="3">
        <f t="shared" si="22"/>
        <v>66.150000000000006</v>
      </c>
      <c r="F331" s="1">
        <f t="shared" si="23"/>
        <v>80.850000000000009</v>
      </c>
    </row>
    <row r="332" spans="1:6" x14ac:dyDescent="0.25">
      <c r="A332" s="1" t="s">
        <v>211</v>
      </c>
      <c r="B332" s="1" t="s">
        <v>221</v>
      </c>
      <c r="C332" s="1">
        <v>400</v>
      </c>
      <c r="D332" s="1">
        <v>0.45</v>
      </c>
      <c r="E332" s="3">
        <f t="shared" si="22"/>
        <v>180</v>
      </c>
      <c r="F332" s="1">
        <f t="shared" si="23"/>
        <v>220.00000000000003</v>
      </c>
    </row>
    <row r="333" spans="1:6" s="9" customFormat="1" ht="15.75" thickBot="1" x14ac:dyDescent="0.3">
      <c r="A333" s="9" t="s">
        <v>211</v>
      </c>
      <c r="B333" s="9" t="s">
        <v>222</v>
      </c>
      <c r="C333" s="9">
        <v>731</v>
      </c>
      <c r="D333" s="9">
        <v>0.45</v>
      </c>
      <c r="E333" s="11">
        <f t="shared" si="22"/>
        <v>328.95</v>
      </c>
      <c r="F333" s="9">
        <f t="shared" si="23"/>
        <v>402.05</v>
      </c>
    </row>
    <row r="334" spans="1:6" s="7" customFormat="1" x14ac:dyDescent="0.25">
      <c r="A334" s="7" t="s">
        <v>223</v>
      </c>
      <c r="B334" s="7" t="s">
        <v>224</v>
      </c>
      <c r="C334" s="7">
        <v>0</v>
      </c>
      <c r="D334" s="7">
        <v>0.4</v>
      </c>
      <c r="E334" s="8">
        <f t="shared" ref="E334:E365" si="24">(C334*D334)</f>
        <v>0</v>
      </c>
      <c r="F334" s="7">
        <f t="shared" ref="F334:F365" si="25">C334*(D334+0.15)</f>
        <v>0</v>
      </c>
    </row>
    <row r="335" spans="1:6" x14ac:dyDescent="0.25">
      <c r="A335" s="1" t="s">
        <v>223</v>
      </c>
      <c r="B335" s="1" t="s">
        <v>225</v>
      </c>
      <c r="C335" s="1">
        <v>239</v>
      </c>
      <c r="D335" s="1">
        <v>0.38</v>
      </c>
      <c r="E335" s="3">
        <f t="shared" si="24"/>
        <v>90.820000000000007</v>
      </c>
      <c r="F335" s="1">
        <f t="shared" si="25"/>
        <v>126.67</v>
      </c>
    </row>
    <row r="336" spans="1:6" x14ac:dyDescent="0.25">
      <c r="A336" s="1" t="s">
        <v>223</v>
      </c>
      <c r="B336" s="1" t="s">
        <v>1354</v>
      </c>
      <c r="C336" s="1">
        <v>183</v>
      </c>
      <c r="D336" s="1">
        <v>0.38</v>
      </c>
      <c r="E336" s="3">
        <f t="shared" si="24"/>
        <v>69.540000000000006</v>
      </c>
      <c r="F336" s="1">
        <f t="shared" si="25"/>
        <v>96.990000000000009</v>
      </c>
    </row>
    <row r="337" spans="1:6" x14ac:dyDescent="0.25">
      <c r="A337" s="1" t="s">
        <v>223</v>
      </c>
      <c r="B337" s="1" t="s">
        <v>226</v>
      </c>
      <c r="C337" s="1">
        <v>270</v>
      </c>
      <c r="D337" s="1">
        <v>0.38</v>
      </c>
      <c r="E337" s="3">
        <f t="shared" si="24"/>
        <v>102.6</v>
      </c>
      <c r="F337" s="1">
        <f t="shared" si="25"/>
        <v>143.1</v>
      </c>
    </row>
    <row r="338" spans="1:6" x14ac:dyDescent="0.25">
      <c r="A338" s="1" t="s">
        <v>223</v>
      </c>
      <c r="B338" s="1" t="s">
        <v>227</v>
      </c>
      <c r="C338" s="1">
        <v>539</v>
      </c>
      <c r="D338" s="1">
        <v>0.38</v>
      </c>
      <c r="E338" s="3">
        <f t="shared" si="24"/>
        <v>204.82</v>
      </c>
      <c r="F338" s="1">
        <f t="shared" si="25"/>
        <v>285.67</v>
      </c>
    </row>
    <row r="339" spans="1:6" x14ac:dyDescent="0.25">
      <c r="A339" s="1" t="s">
        <v>223</v>
      </c>
      <c r="B339" s="1" t="s">
        <v>1357</v>
      </c>
      <c r="C339" s="1">
        <v>96</v>
      </c>
      <c r="D339" s="1">
        <v>0.38</v>
      </c>
      <c r="E339" s="3">
        <f t="shared" si="24"/>
        <v>36.480000000000004</v>
      </c>
      <c r="F339" s="1">
        <f t="shared" si="25"/>
        <v>50.88</v>
      </c>
    </row>
    <row r="340" spans="1:6" x14ac:dyDescent="0.25">
      <c r="A340" s="1" t="s">
        <v>223</v>
      </c>
      <c r="B340" s="1" t="s">
        <v>228</v>
      </c>
      <c r="C340" s="1">
        <v>228</v>
      </c>
      <c r="D340" s="1">
        <v>0.38</v>
      </c>
      <c r="E340" s="3">
        <f t="shared" si="24"/>
        <v>86.64</v>
      </c>
      <c r="F340" s="1">
        <f t="shared" si="25"/>
        <v>120.84</v>
      </c>
    </row>
    <row r="341" spans="1:6" x14ac:dyDescent="0.25">
      <c r="A341" s="1" t="s">
        <v>223</v>
      </c>
      <c r="B341" s="1" t="s">
        <v>229</v>
      </c>
      <c r="C341" s="1">
        <v>415</v>
      </c>
      <c r="D341" s="1">
        <v>0.38</v>
      </c>
      <c r="E341" s="3">
        <f t="shared" si="24"/>
        <v>157.69999999999999</v>
      </c>
      <c r="F341" s="1">
        <f t="shared" si="25"/>
        <v>219.95000000000002</v>
      </c>
    </row>
    <row r="342" spans="1:6" x14ac:dyDescent="0.25">
      <c r="A342" s="1" t="s">
        <v>223</v>
      </c>
      <c r="B342" s="1" t="s">
        <v>230</v>
      </c>
      <c r="C342" s="1">
        <v>616</v>
      </c>
      <c r="D342" s="1">
        <v>0.38</v>
      </c>
      <c r="E342" s="3">
        <f t="shared" si="24"/>
        <v>234.08</v>
      </c>
      <c r="F342" s="1">
        <f t="shared" si="25"/>
        <v>326.48</v>
      </c>
    </row>
    <row r="343" spans="1:6" x14ac:dyDescent="0.25">
      <c r="A343" s="1" t="s">
        <v>223</v>
      </c>
      <c r="B343" s="1" t="s">
        <v>231</v>
      </c>
      <c r="C343" s="1">
        <v>407</v>
      </c>
      <c r="D343" s="1">
        <v>0.38</v>
      </c>
      <c r="E343" s="3">
        <f t="shared" si="24"/>
        <v>154.66</v>
      </c>
      <c r="F343" s="1">
        <f t="shared" si="25"/>
        <v>215.71</v>
      </c>
    </row>
    <row r="344" spans="1:6" x14ac:dyDescent="0.25">
      <c r="A344" s="1" t="s">
        <v>223</v>
      </c>
      <c r="B344" s="1" t="s">
        <v>232</v>
      </c>
      <c r="C344" s="1">
        <v>668</v>
      </c>
      <c r="D344" s="1">
        <v>0.38</v>
      </c>
      <c r="E344" s="3">
        <f t="shared" si="24"/>
        <v>253.84</v>
      </c>
      <c r="F344" s="1">
        <f t="shared" si="25"/>
        <v>354.04</v>
      </c>
    </row>
    <row r="345" spans="1:6" x14ac:dyDescent="0.25">
      <c r="A345" s="1" t="s">
        <v>223</v>
      </c>
      <c r="B345" s="1" t="s">
        <v>233</v>
      </c>
      <c r="C345" s="1">
        <v>1087</v>
      </c>
      <c r="D345" s="1">
        <v>0.38</v>
      </c>
      <c r="E345" s="3">
        <f t="shared" si="24"/>
        <v>413.06</v>
      </c>
      <c r="F345" s="1">
        <f t="shared" si="25"/>
        <v>576.11</v>
      </c>
    </row>
    <row r="346" spans="1:6" x14ac:dyDescent="0.25">
      <c r="A346" s="1" t="s">
        <v>223</v>
      </c>
      <c r="B346" s="1" t="s">
        <v>1830</v>
      </c>
      <c r="C346" s="1">
        <v>119</v>
      </c>
      <c r="D346" s="1">
        <v>0.38</v>
      </c>
      <c r="E346" s="3">
        <f t="shared" si="24"/>
        <v>45.22</v>
      </c>
      <c r="F346" s="1">
        <f t="shared" si="25"/>
        <v>63.07</v>
      </c>
    </row>
    <row r="347" spans="1:6" x14ac:dyDescent="0.25">
      <c r="A347" s="1" t="s">
        <v>223</v>
      </c>
      <c r="B347" s="1" t="s">
        <v>1829</v>
      </c>
      <c r="C347" s="1">
        <v>173</v>
      </c>
      <c r="D347" s="1">
        <v>0.38</v>
      </c>
      <c r="E347" s="3">
        <f t="shared" si="24"/>
        <v>65.739999999999995</v>
      </c>
      <c r="F347" s="1">
        <f t="shared" si="25"/>
        <v>91.69</v>
      </c>
    </row>
    <row r="348" spans="1:6" x14ac:dyDescent="0.25">
      <c r="A348" s="1" t="s">
        <v>223</v>
      </c>
      <c r="B348" s="1" t="s">
        <v>1828</v>
      </c>
      <c r="C348" s="1">
        <v>336</v>
      </c>
      <c r="D348" s="1">
        <v>0.38</v>
      </c>
      <c r="E348" s="3">
        <f t="shared" si="24"/>
        <v>127.68</v>
      </c>
      <c r="F348" s="1">
        <f t="shared" si="25"/>
        <v>178.08</v>
      </c>
    </row>
    <row r="349" spans="1:6" x14ac:dyDescent="0.25">
      <c r="A349" s="1" t="s">
        <v>223</v>
      </c>
      <c r="B349" s="1" t="s">
        <v>1358</v>
      </c>
      <c r="C349" s="1">
        <v>118</v>
      </c>
      <c r="D349" s="1">
        <v>0.38</v>
      </c>
      <c r="E349" s="3">
        <f t="shared" si="24"/>
        <v>44.84</v>
      </c>
      <c r="F349" s="1">
        <f t="shared" si="25"/>
        <v>62.540000000000006</v>
      </c>
    </row>
    <row r="350" spans="1:6" x14ac:dyDescent="0.25">
      <c r="A350" s="1" t="s">
        <v>223</v>
      </c>
      <c r="B350" s="1" t="s">
        <v>1359</v>
      </c>
      <c r="C350" s="1">
        <v>75</v>
      </c>
      <c r="D350" s="1">
        <v>0.38</v>
      </c>
      <c r="E350" s="3">
        <f t="shared" si="24"/>
        <v>28.5</v>
      </c>
      <c r="F350" s="1">
        <f t="shared" si="25"/>
        <v>39.75</v>
      </c>
    </row>
    <row r="351" spans="1:6" x14ac:dyDescent="0.25">
      <c r="A351" s="1" t="s">
        <v>223</v>
      </c>
      <c r="B351" s="1" t="s">
        <v>1356</v>
      </c>
      <c r="C351" s="1">
        <v>292</v>
      </c>
      <c r="D351" s="1">
        <v>0.38</v>
      </c>
      <c r="E351" s="3">
        <f t="shared" si="24"/>
        <v>110.96000000000001</v>
      </c>
      <c r="F351" s="1">
        <f t="shared" si="25"/>
        <v>154.76000000000002</v>
      </c>
    </row>
    <row r="352" spans="1:6" x14ac:dyDescent="0.25">
      <c r="A352" s="1" t="s">
        <v>223</v>
      </c>
      <c r="B352" s="1" t="s">
        <v>1360</v>
      </c>
      <c r="C352" s="1">
        <v>720</v>
      </c>
      <c r="D352" s="1">
        <v>0.38</v>
      </c>
      <c r="E352" s="3">
        <f t="shared" si="24"/>
        <v>273.60000000000002</v>
      </c>
      <c r="F352" s="1">
        <f t="shared" si="25"/>
        <v>381.6</v>
      </c>
    </row>
    <row r="353" spans="1:6" x14ac:dyDescent="0.25">
      <c r="A353" s="1" t="s">
        <v>223</v>
      </c>
      <c r="B353" s="1" t="s">
        <v>1826</v>
      </c>
      <c r="C353" s="1">
        <v>76</v>
      </c>
      <c r="D353" s="1">
        <v>0.38</v>
      </c>
      <c r="E353" s="3">
        <f t="shared" si="24"/>
        <v>28.88</v>
      </c>
      <c r="F353" s="1">
        <f t="shared" si="25"/>
        <v>40.28</v>
      </c>
    </row>
    <row r="354" spans="1:6" x14ac:dyDescent="0.25">
      <c r="A354" s="1" t="s">
        <v>223</v>
      </c>
      <c r="B354" s="1" t="s">
        <v>234</v>
      </c>
      <c r="C354" s="1">
        <v>163</v>
      </c>
      <c r="D354" s="1">
        <v>0.35</v>
      </c>
      <c r="E354" s="3">
        <f t="shared" si="24"/>
        <v>57.05</v>
      </c>
      <c r="F354" s="1">
        <f t="shared" si="25"/>
        <v>81.5</v>
      </c>
    </row>
    <row r="355" spans="1:6" x14ac:dyDescent="0.25">
      <c r="A355" s="1" t="s">
        <v>223</v>
      </c>
      <c r="B355" s="1" t="s">
        <v>235</v>
      </c>
      <c r="C355" s="1">
        <v>454</v>
      </c>
      <c r="D355" s="1">
        <v>0.35</v>
      </c>
      <c r="E355" s="3">
        <f t="shared" si="24"/>
        <v>158.89999999999998</v>
      </c>
      <c r="F355" s="1">
        <f t="shared" si="25"/>
        <v>227</v>
      </c>
    </row>
    <row r="356" spans="1:6" x14ac:dyDescent="0.25">
      <c r="A356" s="1" t="s">
        <v>223</v>
      </c>
      <c r="B356" s="1" t="s">
        <v>236</v>
      </c>
      <c r="C356" s="1">
        <v>295</v>
      </c>
      <c r="D356" s="1">
        <v>0.38</v>
      </c>
      <c r="E356" s="3">
        <f t="shared" si="24"/>
        <v>112.1</v>
      </c>
      <c r="F356" s="1">
        <f t="shared" si="25"/>
        <v>156.35</v>
      </c>
    </row>
    <row r="357" spans="1:6" x14ac:dyDescent="0.25">
      <c r="A357" s="1" t="s">
        <v>223</v>
      </c>
      <c r="B357" s="1" t="s">
        <v>237</v>
      </c>
      <c r="C357" s="1">
        <v>130</v>
      </c>
      <c r="D357" s="1">
        <v>0.38</v>
      </c>
      <c r="E357" s="3">
        <f t="shared" si="24"/>
        <v>49.4</v>
      </c>
      <c r="F357" s="1">
        <f t="shared" si="25"/>
        <v>68.900000000000006</v>
      </c>
    </row>
    <row r="358" spans="1:6" x14ac:dyDescent="0.25">
      <c r="A358" s="1" t="s">
        <v>223</v>
      </c>
      <c r="B358" s="1" t="s">
        <v>238</v>
      </c>
      <c r="C358" s="1">
        <v>151</v>
      </c>
      <c r="D358" s="1">
        <v>0.38</v>
      </c>
      <c r="E358" s="3">
        <f t="shared" si="24"/>
        <v>57.38</v>
      </c>
      <c r="F358" s="1">
        <f t="shared" si="25"/>
        <v>80.03</v>
      </c>
    </row>
    <row r="359" spans="1:6" x14ac:dyDescent="0.25">
      <c r="A359" s="1" t="s">
        <v>223</v>
      </c>
      <c r="B359" s="1" t="s">
        <v>239</v>
      </c>
      <c r="C359" s="1">
        <v>157</v>
      </c>
      <c r="D359" s="1">
        <v>0.38</v>
      </c>
      <c r="E359" s="3">
        <f t="shared" si="24"/>
        <v>59.660000000000004</v>
      </c>
      <c r="F359" s="1">
        <f t="shared" si="25"/>
        <v>83.210000000000008</v>
      </c>
    </row>
    <row r="360" spans="1:6" x14ac:dyDescent="0.25">
      <c r="A360" s="1" t="s">
        <v>223</v>
      </c>
      <c r="B360" s="1" t="s">
        <v>240</v>
      </c>
      <c r="C360" s="1">
        <v>145</v>
      </c>
      <c r="D360" s="1">
        <v>0.38</v>
      </c>
      <c r="E360" s="3">
        <f t="shared" si="24"/>
        <v>55.1</v>
      </c>
      <c r="F360" s="1">
        <f t="shared" si="25"/>
        <v>76.850000000000009</v>
      </c>
    </row>
    <row r="361" spans="1:6" x14ac:dyDescent="0.25">
      <c r="A361" s="1" t="s">
        <v>223</v>
      </c>
      <c r="B361" s="1" t="s">
        <v>241</v>
      </c>
      <c r="C361" s="1">
        <v>61</v>
      </c>
      <c r="D361" s="1">
        <v>0.38</v>
      </c>
      <c r="E361" s="3">
        <f t="shared" si="24"/>
        <v>23.18</v>
      </c>
      <c r="F361" s="1">
        <f t="shared" si="25"/>
        <v>32.33</v>
      </c>
    </row>
    <row r="362" spans="1:6" x14ac:dyDescent="0.25">
      <c r="A362" s="1" t="s">
        <v>223</v>
      </c>
      <c r="B362" s="1" t="s">
        <v>1355</v>
      </c>
      <c r="C362" s="1">
        <v>150</v>
      </c>
      <c r="D362" s="1">
        <v>0.38</v>
      </c>
      <c r="E362" s="3">
        <f t="shared" si="24"/>
        <v>57</v>
      </c>
      <c r="F362" s="1">
        <f t="shared" si="25"/>
        <v>79.5</v>
      </c>
    </row>
    <row r="363" spans="1:6" x14ac:dyDescent="0.25">
      <c r="A363" s="1" t="s">
        <v>223</v>
      </c>
      <c r="B363" s="1" t="s">
        <v>242</v>
      </c>
      <c r="C363" s="1">
        <v>230</v>
      </c>
      <c r="D363" s="1">
        <v>0.38</v>
      </c>
      <c r="E363" s="3">
        <f t="shared" si="24"/>
        <v>87.4</v>
      </c>
      <c r="F363" s="1">
        <f t="shared" si="25"/>
        <v>121.9</v>
      </c>
    </row>
    <row r="364" spans="1:6" x14ac:dyDescent="0.25">
      <c r="A364" s="1" t="s">
        <v>223</v>
      </c>
      <c r="B364" s="1" t="s">
        <v>243</v>
      </c>
      <c r="C364" s="1">
        <v>456</v>
      </c>
      <c r="D364" s="1">
        <v>0.38</v>
      </c>
      <c r="E364" s="3">
        <f t="shared" si="24"/>
        <v>173.28</v>
      </c>
      <c r="F364" s="1">
        <f t="shared" si="25"/>
        <v>241.68</v>
      </c>
    </row>
    <row r="365" spans="1:6" x14ac:dyDescent="0.25">
      <c r="A365" s="1" t="s">
        <v>223</v>
      </c>
      <c r="B365" s="1" t="s">
        <v>244</v>
      </c>
      <c r="C365" s="1">
        <v>155</v>
      </c>
      <c r="D365" s="1">
        <v>0.38</v>
      </c>
      <c r="E365" s="3">
        <f t="shared" si="24"/>
        <v>58.9</v>
      </c>
      <c r="F365" s="1">
        <f t="shared" si="25"/>
        <v>82.15</v>
      </c>
    </row>
    <row r="366" spans="1:6" x14ac:dyDescent="0.25">
      <c r="A366" s="1" t="s">
        <v>223</v>
      </c>
      <c r="B366" s="1" t="s">
        <v>1352</v>
      </c>
      <c r="C366" s="1">
        <v>225</v>
      </c>
      <c r="D366" s="1">
        <v>0.38</v>
      </c>
      <c r="E366" s="3">
        <f t="shared" ref="E366:E397" si="26">(C366*D366)</f>
        <v>85.5</v>
      </c>
      <c r="F366" s="1">
        <f t="shared" ref="F366:F397" si="27">C366*(D366+0.15)</f>
        <v>119.25</v>
      </c>
    </row>
    <row r="367" spans="1:6" x14ac:dyDescent="0.25">
      <c r="A367" s="1" t="s">
        <v>223</v>
      </c>
      <c r="B367" s="1" t="s">
        <v>1353</v>
      </c>
      <c r="C367" s="1">
        <v>145</v>
      </c>
      <c r="D367" s="1">
        <v>0.38</v>
      </c>
      <c r="E367" s="3">
        <f t="shared" si="26"/>
        <v>55.1</v>
      </c>
      <c r="F367" s="1">
        <f t="shared" si="27"/>
        <v>76.850000000000009</v>
      </c>
    </row>
    <row r="368" spans="1:6" x14ac:dyDescent="0.25">
      <c r="A368" s="1" t="s">
        <v>223</v>
      </c>
      <c r="B368" s="1" t="s">
        <v>245</v>
      </c>
      <c r="C368" s="1">
        <v>217</v>
      </c>
      <c r="D368" s="1">
        <v>0.38</v>
      </c>
      <c r="E368" s="3">
        <f t="shared" si="26"/>
        <v>82.460000000000008</v>
      </c>
      <c r="F368" s="1">
        <f t="shared" si="27"/>
        <v>115.01</v>
      </c>
    </row>
    <row r="369" spans="1:6" x14ac:dyDescent="0.25">
      <c r="A369" s="1" t="s">
        <v>223</v>
      </c>
      <c r="B369" s="1" t="s">
        <v>246</v>
      </c>
      <c r="C369" s="1">
        <v>529</v>
      </c>
      <c r="D369" s="1">
        <v>0.38</v>
      </c>
      <c r="E369" s="3">
        <f t="shared" si="26"/>
        <v>201.02</v>
      </c>
      <c r="F369" s="1">
        <f t="shared" si="27"/>
        <v>280.37</v>
      </c>
    </row>
    <row r="370" spans="1:6" x14ac:dyDescent="0.25">
      <c r="A370" s="1" t="s">
        <v>223</v>
      </c>
      <c r="B370" s="1" t="s">
        <v>247</v>
      </c>
      <c r="C370" s="1">
        <v>49.46</v>
      </c>
      <c r="D370" s="1">
        <v>0.38</v>
      </c>
      <c r="E370" s="3">
        <f t="shared" si="26"/>
        <v>18.794800000000002</v>
      </c>
      <c r="F370" s="1">
        <f t="shared" si="27"/>
        <v>26.213800000000003</v>
      </c>
    </row>
    <row r="371" spans="1:6" x14ac:dyDescent="0.25">
      <c r="A371" s="1" t="s">
        <v>223</v>
      </c>
      <c r="B371" s="1" t="s">
        <v>248</v>
      </c>
      <c r="C371" s="1">
        <v>272</v>
      </c>
      <c r="D371" s="1">
        <v>0.38</v>
      </c>
      <c r="E371" s="3">
        <f t="shared" si="26"/>
        <v>103.36</v>
      </c>
      <c r="F371" s="1">
        <f t="shared" si="27"/>
        <v>144.16</v>
      </c>
    </row>
    <row r="372" spans="1:6" x14ac:dyDescent="0.25">
      <c r="A372" s="1" t="s">
        <v>223</v>
      </c>
      <c r="B372" s="1" t="s">
        <v>249</v>
      </c>
      <c r="C372" s="1">
        <v>460</v>
      </c>
      <c r="D372" s="1">
        <v>0.38</v>
      </c>
      <c r="E372" s="3">
        <f t="shared" si="26"/>
        <v>174.8</v>
      </c>
      <c r="F372" s="1">
        <f t="shared" si="27"/>
        <v>243.8</v>
      </c>
    </row>
    <row r="373" spans="1:6" x14ac:dyDescent="0.25">
      <c r="A373" s="1" t="s">
        <v>223</v>
      </c>
      <c r="B373" s="1" t="s">
        <v>250</v>
      </c>
      <c r="C373" s="1">
        <v>49.23</v>
      </c>
      <c r="D373" s="1">
        <v>0.38</v>
      </c>
      <c r="E373" s="3">
        <f t="shared" si="26"/>
        <v>18.7074</v>
      </c>
      <c r="F373" s="1">
        <f t="shared" si="27"/>
        <v>26.091899999999999</v>
      </c>
    </row>
    <row r="374" spans="1:6" x14ac:dyDescent="0.25">
      <c r="A374" s="1" t="s">
        <v>223</v>
      </c>
      <c r="B374" s="1" t="s">
        <v>251</v>
      </c>
      <c r="C374" s="1">
        <v>149</v>
      </c>
      <c r="D374" s="1">
        <v>0.38</v>
      </c>
      <c r="E374" s="3">
        <f t="shared" si="26"/>
        <v>56.62</v>
      </c>
      <c r="F374" s="1">
        <f t="shared" si="27"/>
        <v>78.97</v>
      </c>
    </row>
    <row r="375" spans="1:6" x14ac:dyDescent="0.25">
      <c r="A375" s="1" t="s">
        <v>223</v>
      </c>
      <c r="B375" s="1" t="s">
        <v>252</v>
      </c>
      <c r="C375" s="1">
        <v>548</v>
      </c>
      <c r="D375" s="1">
        <v>0.38</v>
      </c>
      <c r="E375" s="3">
        <f t="shared" si="26"/>
        <v>208.24</v>
      </c>
      <c r="F375" s="1">
        <f t="shared" si="27"/>
        <v>290.44</v>
      </c>
    </row>
    <row r="376" spans="1:6" x14ac:dyDescent="0.25">
      <c r="A376" s="1" t="s">
        <v>223</v>
      </c>
      <c r="B376" s="1" t="s">
        <v>253</v>
      </c>
      <c r="C376" s="1">
        <v>1128</v>
      </c>
      <c r="D376" s="1">
        <v>0.38</v>
      </c>
      <c r="E376" s="3">
        <f t="shared" si="26"/>
        <v>428.64</v>
      </c>
      <c r="F376" s="1">
        <f t="shared" si="27"/>
        <v>597.84</v>
      </c>
    </row>
    <row r="377" spans="1:6" x14ac:dyDescent="0.25">
      <c r="A377" s="1" t="s">
        <v>1820</v>
      </c>
      <c r="B377" s="1" t="s">
        <v>254</v>
      </c>
      <c r="C377" s="1">
        <v>186</v>
      </c>
      <c r="D377" s="1">
        <v>0.38</v>
      </c>
      <c r="E377" s="3">
        <f t="shared" si="26"/>
        <v>70.680000000000007</v>
      </c>
      <c r="F377" s="1">
        <f t="shared" si="27"/>
        <v>98.58</v>
      </c>
    </row>
    <row r="378" spans="1:6" x14ac:dyDescent="0.25">
      <c r="A378" s="1" t="s">
        <v>1820</v>
      </c>
      <c r="B378" s="1" t="s">
        <v>255</v>
      </c>
      <c r="C378" s="1">
        <v>237</v>
      </c>
      <c r="D378" s="1">
        <v>0.38</v>
      </c>
      <c r="E378" s="3">
        <f t="shared" si="26"/>
        <v>90.06</v>
      </c>
      <c r="F378" s="1">
        <f t="shared" si="27"/>
        <v>125.61</v>
      </c>
    </row>
    <row r="379" spans="1:6" x14ac:dyDescent="0.25">
      <c r="A379" s="1" t="s">
        <v>1820</v>
      </c>
      <c r="B379" s="1" t="s">
        <v>256</v>
      </c>
      <c r="C379" s="1">
        <v>0</v>
      </c>
      <c r="D379" s="1">
        <v>0.38</v>
      </c>
      <c r="E379" s="3">
        <f t="shared" si="26"/>
        <v>0</v>
      </c>
      <c r="F379" s="1">
        <f t="shared" si="27"/>
        <v>0</v>
      </c>
    </row>
    <row r="380" spans="1:6" x14ac:dyDescent="0.25">
      <c r="A380" s="1" t="s">
        <v>1820</v>
      </c>
      <c r="B380" s="1" t="s">
        <v>257</v>
      </c>
      <c r="C380" s="1">
        <v>238</v>
      </c>
      <c r="D380" s="1">
        <v>0.38</v>
      </c>
      <c r="E380" s="3">
        <f t="shared" si="26"/>
        <v>90.44</v>
      </c>
      <c r="F380" s="1">
        <f t="shared" si="27"/>
        <v>126.14</v>
      </c>
    </row>
    <row r="381" spans="1:6" x14ac:dyDescent="0.25">
      <c r="A381" s="1" t="s">
        <v>1820</v>
      </c>
      <c r="B381" s="1" t="s">
        <v>258</v>
      </c>
      <c r="C381" s="1">
        <v>230</v>
      </c>
      <c r="D381" s="1">
        <v>0.38</v>
      </c>
      <c r="E381" s="3">
        <f t="shared" si="26"/>
        <v>87.4</v>
      </c>
      <c r="F381" s="1">
        <f t="shared" si="27"/>
        <v>121.9</v>
      </c>
    </row>
    <row r="382" spans="1:6" x14ac:dyDescent="0.25">
      <c r="A382" s="1" t="s">
        <v>1820</v>
      </c>
      <c r="B382" s="1" t="s">
        <v>259</v>
      </c>
      <c r="C382" s="1">
        <v>160</v>
      </c>
      <c r="D382" s="1">
        <v>0.38</v>
      </c>
      <c r="E382" s="3">
        <f t="shared" si="26"/>
        <v>60.8</v>
      </c>
      <c r="F382" s="1">
        <f t="shared" si="27"/>
        <v>84.800000000000011</v>
      </c>
    </row>
    <row r="383" spans="1:6" x14ac:dyDescent="0.25">
      <c r="A383" s="1" t="s">
        <v>266</v>
      </c>
      <c r="B383" s="1" t="s">
        <v>260</v>
      </c>
      <c r="C383" s="1">
        <v>0</v>
      </c>
      <c r="D383" s="1">
        <v>0.38</v>
      </c>
      <c r="E383" s="3">
        <f t="shared" si="26"/>
        <v>0</v>
      </c>
      <c r="F383" s="1">
        <f t="shared" si="27"/>
        <v>0</v>
      </c>
    </row>
    <row r="384" spans="1:6" x14ac:dyDescent="0.25">
      <c r="A384" s="1" t="s">
        <v>1820</v>
      </c>
      <c r="B384" s="1" t="s">
        <v>1350</v>
      </c>
      <c r="C384" s="1">
        <v>180</v>
      </c>
      <c r="D384" s="1">
        <v>0.38</v>
      </c>
      <c r="E384" s="3">
        <f t="shared" si="26"/>
        <v>68.400000000000006</v>
      </c>
      <c r="F384" s="1">
        <f t="shared" si="27"/>
        <v>95.4</v>
      </c>
    </row>
    <row r="385" spans="1:6" x14ac:dyDescent="0.25">
      <c r="A385" s="1" t="s">
        <v>1820</v>
      </c>
      <c r="B385" s="1" t="s">
        <v>1349</v>
      </c>
      <c r="C385" s="1">
        <v>81</v>
      </c>
      <c r="D385" s="1">
        <v>0.38</v>
      </c>
      <c r="E385" s="3">
        <f t="shared" si="26"/>
        <v>30.78</v>
      </c>
      <c r="F385" s="1">
        <f t="shared" si="27"/>
        <v>42.93</v>
      </c>
    </row>
    <row r="386" spans="1:6" x14ac:dyDescent="0.25">
      <c r="A386" s="1" t="s">
        <v>1820</v>
      </c>
      <c r="B386" s="1" t="s">
        <v>1351</v>
      </c>
      <c r="C386" s="1">
        <v>235</v>
      </c>
      <c r="D386" s="1">
        <v>0.38</v>
      </c>
      <c r="E386" s="3">
        <f t="shared" si="26"/>
        <v>89.3</v>
      </c>
      <c r="F386" s="1">
        <f t="shared" si="27"/>
        <v>124.55000000000001</v>
      </c>
    </row>
    <row r="387" spans="1:6" x14ac:dyDescent="0.25">
      <c r="A387" s="1" t="s">
        <v>1820</v>
      </c>
      <c r="B387" s="1" t="s">
        <v>261</v>
      </c>
      <c r="C387" s="1">
        <v>336</v>
      </c>
      <c r="D387" s="1">
        <v>0.38</v>
      </c>
      <c r="E387" s="3">
        <f t="shared" si="26"/>
        <v>127.68</v>
      </c>
      <c r="F387" s="1">
        <f t="shared" si="27"/>
        <v>178.08</v>
      </c>
    </row>
    <row r="388" spans="1:6" x14ac:dyDescent="0.25">
      <c r="A388" s="1" t="s">
        <v>1820</v>
      </c>
      <c r="B388" s="1" t="s">
        <v>262</v>
      </c>
      <c r="C388" s="1">
        <v>448</v>
      </c>
      <c r="D388" s="1">
        <v>0.38</v>
      </c>
      <c r="E388" s="3">
        <f t="shared" si="26"/>
        <v>170.24</v>
      </c>
      <c r="F388" s="1">
        <f t="shared" si="27"/>
        <v>237.44</v>
      </c>
    </row>
    <row r="389" spans="1:6" x14ac:dyDescent="0.25">
      <c r="A389" s="1" t="s">
        <v>1820</v>
      </c>
      <c r="B389" s="1" t="s">
        <v>1827</v>
      </c>
      <c r="C389" s="1">
        <v>406</v>
      </c>
      <c r="D389" s="1">
        <v>0.38</v>
      </c>
      <c r="E389" s="3">
        <f t="shared" si="26"/>
        <v>154.28</v>
      </c>
      <c r="F389" s="1">
        <f t="shared" si="27"/>
        <v>215.18</v>
      </c>
    </row>
    <row r="390" spans="1:6" x14ac:dyDescent="0.25">
      <c r="A390" s="1" t="s">
        <v>1820</v>
      </c>
      <c r="B390" s="1" t="s">
        <v>263</v>
      </c>
      <c r="C390" s="1">
        <v>182</v>
      </c>
      <c r="D390" s="1">
        <v>0.38</v>
      </c>
      <c r="E390" s="3">
        <f t="shared" si="26"/>
        <v>69.16</v>
      </c>
      <c r="F390" s="1">
        <f t="shared" si="27"/>
        <v>96.460000000000008</v>
      </c>
    </row>
    <row r="391" spans="1:6" x14ac:dyDescent="0.25">
      <c r="A391" s="1" t="s">
        <v>1820</v>
      </c>
      <c r="B391" s="1" t="s">
        <v>264</v>
      </c>
      <c r="C391" s="1">
        <v>325</v>
      </c>
      <c r="D391" s="1">
        <v>0.38</v>
      </c>
      <c r="E391" s="3">
        <f t="shared" si="26"/>
        <v>123.5</v>
      </c>
      <c r="F391" s="1">
        <f t="shared" si="27"/>
        <v>172.25</v>
      </c>
    </row>
    <row r="392" spans="1:6" s="18" customFormat="1" x14ac:dyDescent="0.25">
      <c r="A392" s="1" t="s">
        <v>1820</v>
      </c>
      <c r="B392" s="18" t="s">
        <v>265</v>
      </c>
      <c r="C392" s="18">
        <v>27.6</v>
      </c>
      <c r="D392" s="1">
        <v>0.38</v>
      </c>
      <c r="E392" s="19">
        <f t="shared" si="26"/>
        <v>10.488000000000001</v>
      </c>
      <c r="F392" s="18">
        <f t="shared" si="27"/>
        <v>14.628000000000002</v>
      </c>
    </row>
    <row r="393" spans="1:6" s="18" customFormat="1" x14ac:dyDescent="0.25">
      <c r="A393" s="1" t="s">
        <v>1820</v>
      </c>
      <c r="B393" s="18" t="s">
        <v>1821</v>
      </c>
      <c r="C393" s="18">
        <v>24</v>
      </c>
      <c r="D393" s="1">
        <v>0.38</v>
      </c>
      <c r="E393" s="19">
        <f t="shared" si="26"/>
        <v>9.120000000000001</v>
      </c>
      <c r="F393" s="18">
        <f t="shared" si="27"/>
        <v>12.72</v>
      </c>
    </row>
    <row r="394" spans="1:6" s="18" customFormat="1" x14ac:dyDescent="0.25">
      <c r="A394" s="1" t="s">
        <v>1820</v>
      </c>
      <c r="B394" s="18" t="s">
        <v>1822</v>
      </c>
      <c r="C394" s="18">
        <v>260</v>
      </c>
      <c r="D394" s="1">
        <v>0.38</v>
      </c>
      <c r="E394" s="19">
        <f t="shared" si="26"/>
        <v>98.8</v>
      </c>
      <c r="F394" s="18">
        <f t="shared" si="27"/>
        <v>137.80000000000001</v>
      </c>
    </row>
    <row r="395" spans="1:6" s="18" customFormat="1" x14ac:dyDescent="0.25">
      <c r="A395" s="1" t="s">
        <v>1820</v>
      </c>
      <c r="B395" s="18" t="s">
        <v>1823</v>
      </c>
      <c r="C395" s="18">
        <v>83.83</v>
      </c>
      <c r="D395" s="1">
        <v>0.38</v>
      </c>
      <c r="E395" s="19">
        <f t="shared" si="26"/>
        <v>31.855399999999999</v>
      </c>
      <c r="F395" s="18">
        <f t="shared" si="27"/>
        <v>44.429900000000004</v>
      </c>
    </row>
    <row r="396" spans="1:6" s="18" customFormat="1" x14ac:dyDescent="0.25">
      <c r="A396" s="1" t="s">
        <v>1820</v>
      </c>
      <c r="B396" s="18" t="s">
        <v>1824</v>
      </c>
      <c r="C396" s="18">
        <v>131.41</v>
      </c>
      <c r="D396" s="1">
        <v>0.38</v>
      </c>
      <c r="E396" s="19">
        <f t="shared" si="26"/>
        <v>49.9358</v>
      </c>
      <c r="F396" s="18">
        <f t="shared" si="27"/>
        <v>69.647300000000001</v>
      </c>
    </row>
    <row r="397" spans="1:6" s="18" customFormat="1" x14ac:dyDescent="0.25">
      <c r="A397" s="1" t="s">
        <v>1820</v>
      </c>
      <c r="B397" s="18" t="s">
        <v>1825</v>
      </c>
      <c r="C397" s="18">
        <v>100</v>
      </c>
      <c r="D397" s="1">
        <v>0.38</v>
      </c>
      <c r="E397" s="19">
        <f t="shared" si="26"/>
        <v>38</v>
      </c>
      <c r="F397" s="18">
        <f t="shared" si="27"/>
        <v>53</v>
      </c>
    </row>
    <row r="398" spans="1:6" x14ac:dyDescent="0.25">
      <c r="A398" s="1" t="s">
        <v>266</v>
      </c>
      <c r="B398" s="1" t="s">
        <v>267</v>
      </c>
      <c r="C398" s="1">
        <v>76</v>
      </c>
      <c r="D398" s="1">
        <v>0.38</v>
      </c>
      <c r="E398" s="3">
        <f t="shared" ref="E398:E408" si="28">(C398*D398)</f>
        <v>28.88</v>
      </c>
      <c r="F398" s="1">
        <f t="shared" ref="F398:F408" si="29">C398*(D398+0.15)</f>
        <v>40.28</v>
      </c>
    </row>
    <row r="399" spans="1:6" x14ac:dyDescent="0.25">
      <c r="A399" s="1" t="s">
        <v>266</v>
      </c>
      <c r="B399" s="1" t="s">
        <v>268</v>
      </c>
      <c r="C399" s="1">
        <v>65</v>
      </c>
      <c r="D399" s="1">
        <v>0.38</v>
      </c>
      <c r="E399" s="3">
        <f t="shared" si="28"/>
        <v>24.7</v>
      </c>
      <c r="F399" s="1">
        <f t="shared" si="29"/>
        <v>34.450000000000003</v>
      </c>
    </row>
    <row r="400" spans="1:6" x14ac:dyDescent="0.25">
      <c r="A400" s="1" t="s">
        <v>266</v>
      </c>
      <c r="B400" s="1" t="s">
        <v>269</v>
      </c>
      <c r="C400" s="1">
        <v>70</v>
      </c>
      <c r="D400" s="1">
        <v>0.38</v>
      </c>
      <c r="E400" s="3">
        <f t="shared" si="28"/>
        <v>26.6</v>
      </c>
      <c r="F400" s="1">
        <f t="shared" si="29"/>
        <v>37.1</v>
      </c>
    </row>
    <row r="401" spans="1:6" x14ac:dyDescent="0.25">
      <c r="A401" s="1" t="s">
        <v>266</v>
      </c>
      <c r="B401" s="1" t="s">
        <v>270</v>
      </c>
      <c r="C401" s="1">
        <v>0</v>
      </c>
      <c r="D401" s="1">
        <v>0.38</v>
      </c>
      <c r="E401" s="3">
        <f t="shared" si="28"/>
        <v>0</v>
      </c>
      <c r="F401" s="1">
        <f t="shared" si="29"/>
        <v>0</v>
      </c>
    </row>
    <row r="402" spans="1:6" x14ac:dyDescent="0.25">
      <c r="A402" s="1" t="s">
        <v>266</v>
      </c>
      <c r="B402" s="1" t="s">
        <v>271</v>
      </c>
      <c r="C402" s="1">
        <v>0</v>
      </c>
      <c r="D402" s="1">
        <v>0.38</v>
      </c>
      <c r="E402" s="3">
        <f t="shared" si="28"/>
        <v>0</v>
      </c>
      <c r="F402" s="1">
        <f t="shared" si="29"/>
        <v>0</v>
      </c>
    </row>
    <row r="403" spans="1:6" x14ac:dyDescent="0.25">
      <c r="A403" s="1" t="s">
        <v>266</v>
      </c>
      <c r="B403" s="1" t="s">
        <v>272</v>
      </c>
      <c r="C403" s="1">
        <v>0</v>
      </c>
      <c r="D403" s="1">
        <v>0.38</v>
      </c>
      <c r="E403" s="3">
        <f t="shared" si="28"/>
        <v>0</v>
      </c>
      <c r="F403" s="1">
        <f t="shared" si="29"/>
        <v>0</v>
      </c>
    </row>
    <row r="404" spans="1:6" x14ac:dyDescent="0.25">
      <c r="A404" s="1" t="s">
        <v>266</v>
      </c>
      <c r="B404" s="1" t="s">
        <v>273</v>
      </c>
      <c r="C404" s="1">
        <v>170</v>
      </c>
      <c r="D404" s="1">
        <v>0.38</v>
      </c>
      <c r="E404" s="3">
        <f t="shared" si="28"/>
        <v>64.599999999999994</v>
      </c>
      <c r="F404" s="1">
        <f t="shared" si="29"/>
        <v>90.100000000000009</v>
      </c>
    </row>
    <row r="405" spans="1:6" x14ac:dyDescent="0.25">
      <c r="A405" s="1" t="s">
        <v>266</v>
      </c>
      <c r="B405" s="1" t="s">
        <v>274</v>
      </c>
      <c r="C405" s="1">
        <v>92</v>
      </c>
      <c r="D405" s="1">
        <v>0.38</v>
      </c>
      <c r="E405" s="3">
        <f t="shared" si="28"/>
        <v>34.96</v>
      </c>
      <c r="F405" s="1">
        <f t="shared" si="29"/>
        <v>48.760000000000005</v>
      </c>
    </row>
    <row r="406" spans="1:6" x14ac:dyDescent="0.25">
      <c r="A406" s="1" t="s">
        <v>266</v>
      </c>
      <c r="B406" s="1" t="s">
        <v>275</v>
      </c>
      <c r="C406" s="1">
        <v>133</v>
      </c>
      <c r="D406" s="1">
        <v>0.38</v>
      </c>
      <c r="E406" s="3">
        <f t="shared" si="28"/>
        <v>50.54</v>
      </c>
      <c r="F406" s="1">
        <f t="shared" si="29"/>
        <v>70.490000000000009</v>
      </c>
    </row>
    <row r="407" spans="1:6" x14ac:dyDescent="0.25">
      <c r="A407" s="1" t="s">
        <v>266</v>
      </c>
      <c r="B407" s="1" t="s">
        <v>276</v>
      </c>
      <c r="C407" s="1">
        <v>87</v>
      </c>
      <c r="D407" s="1">
        <v>0.38</v>
      </c>
      <c r="E407" s="3">
        <f t="shared" si="28"/>
        <v>33.06</v>
      </c>
      <c r="F407" s="1">
        <f t="shared" si="29"/>
        <v>46.11</v>
      </c>
    </row>
    <row r="408" spans="1:6" x14ac:dyDescent="0.25">
      <c r="A408" s="1" t="s">
        <v>266</v>
      </c>
      <c r="B408" s="1" t="s">
        <v>277</v>
      </c>
      <c r="C408" s="1">
        <v>99</v>
      </c>
      <c r="D408" s="1">
        <v>0.38</v>
      </c>
      <c r="E408" s="3">
        <f t="shared" si="28"/>
        <v>37.619999999999997</v>
      </c>
      <c r="F408" s="1">
        <f t="shared" si="29"/>
        <v>52.470000000000006</v>
      </c>
    </row>
    <row r="409" spans="1:6" s="17" customFormat="1" x14ac:dyDescent="0.25">
      <c r="A409" s="1" t="s">
        <v>1680</v>
      </c>
      <c r="B409" s="17" t="s">
        <v>278</v>
      </c>
      <c r="C409" s="17">
        <v>289</v>
      </c>
      <c r="D409" s="17">
        <v>0.72</v>
      </c>
      <c r="E409" s="20">
        <f t="shared" ref="E409:E440" si="30">C409*D409</f>
        <v>208.07999999999998</v>
      </c>
      <c r="F409" s="17">
        <f t="shared" ref="F409:F440" si="31">C409*(D409+0.1)</f>
        <v>236.98</v>
      </c>
    </row>
    <row r="410" spans="1:6" x14ac:dyDescent="0.25">
      <c r="A410" s="1" t="s">
        <v>1680</v>
      </c>
      <c r="B410" s="1" t="s">
        <v>279</v>
      </c>
      <c r="C410" s="1">
        <v>157</v>
      </c>
      <c r="D410" s="1">
        <v>0.72</v>
      </c>
      <c r="E410" s="3">
        <f t="shared" si="30"/>
        <v>113.03999999999999</v>
      </c>
      <c r="F410" s="1">
        <f t="shared" si="31"/>
        <v>128.73999999999998</v>
      </c>
    </row>
    <row r="411" spans="1:6" x14ac:dyDescent="0.25">
      <c r="A411" s="1" t="s">
        <v>1680</v>
      </c>
      <c r="B411" s="1" t="s">
        <v>280</v>
      </c>
      <c r="C411" s="1">
        <v>0</v>
      </c>
      <c r="D411" s="1">
        <v>0.72</v>
      </c>
      <c r="E411" s="3">
        <f t="shared" si="30"/>
        <v>0</v>
      </c>
      <c r="F411" s="1">
        <f t="shared" si="31"/>
        <v>0</v>
      </c>
    </row>
    <row r="412" spans="1:6" x14ac:dyDescent="0.25">
      <c r="A412" s="1" t="s">
        <v>1680</v>
      </c>
      <c r="B412" s="1" t="s">
        <v>281</v>
      </c>
      <c r="C412" s="1">
        <v>0</v>
      </c>
      <c r="D412" s="17">
        <v>0.72</v>
      </c>
      <c r="E412" s="3">
        <f t="shared" si="30"/>
        <v>0</v>
      </c>
      <c r="F412" s="1">
        <f t="shared" si="31"/>
        <v>0</v>
      </c>
    </row>
    <row r="413" spans="1:6" x14ac:dyDescent="0.25">
      <c r="A413" s="1" t="s">
        <v>1680</v>
      </c>
      <c r="B413" s="1" t="s">
        <v>282</v>
      </c>
      <c r="C413" s="1">
        <v>0</v>
      </c>
      <c r="D413" s="1">
        <v>0.72</v>
      </c>
      <c r="E413" s="3">
        <f t="shared" si="30"/>
        <v>0</v>
      </c>
      <c r="F413" s="1">
        <f t="shared" si="31"/>
        <v>0</v>
      </c>
    </row>
    <row r="414" spans="1:6" x14ac:dyDescent="0.25">
      <c r="A414" s="1" t="s">
        <v>1680</v>
      </c>
      <c r="B414" s="1" t="s">
        <v>283</v>
      </c>
      <c r="C414" s="1">
        <v>145</v>
      </c>
      <c r="D414" s="1">
        <v>0.72</v>
      </c>
      <c r="E414" s="3">
        <f t="shared" si="30"/>
        <v>104.39999999999999</v>
      </c>
      <c r="F414" s="1">
        <f t="shared" si="31"/>
        <v>118.89999999999999</v>
      </c>
    </row>
    <row r="415" spans="1:6" x14ac:dyDescent="0.25">
      <c r="A415" s="1" t="s">
        <v>1680</v>
      </c>
      <c r="B415" s="1" t="s">
        <v>1682</v>
      </c>
      <c r="C415" s="1">
        <v>875</v>
      </c>
      <c r="D415" s="17">
        <v>0.72</v>
      </c>
      <c r="E415" s="3">
        <f t="shared" si="30"/>
        <v>630</v>
      </c>
      <c r="F415" s="1">
        <f t="shared" si="31"/>
        <v>717.5</v>
      </c>
    </row>
    <row r="416" spans="1:6" x14ac:dyDescent="0.25">
      <c r="A416" s="1" t="s">
        <v>1680</v>
      </c>
      <c r="B416" s="1" t="s">
        <v>284</v>
      </c>
      <c r="C416" s="1">
        <v>288</v>
      </c>
      <c r="D416" s="1">
        <v>0.72</v>
      </c>
      <c r="E416" s="3">
        <f t="shared" si="30"/>
        <v>207.35999999999999</v>
      </c>
      <c r="F416" s="1">
        <f t="shared" si="31"/>
        <v>236.16</v>
      </c>
    </row>
    <row r="417" spans="1:6" ht="15.75" thickBot="1" x14ac:dyDescent="0.3">
      <c r="A417" s="1" t="s">
        <v>1680</v>
      </c>
      <c r="B417" s="9" t="s">
        <v>510</v>
      </c>
      <c r="C417" s="9">
        <v>0</v>
      </c>
      <c r="D417" s="1">
        <v>0.72</v>
      </c>
      <c r="E417" s="3">
        <f t="shared" si="30"/>
        <v>0</v>
      </c>
      <c r="F417" s="1">
        <f t="shared" si="31"/>
        <v>0</v>
      </c>
    </row>
    <row r="418" spans="1:6" x14ac:dyDescent="0.25">
      <c r="A418" s="1" t="s">
        <v>1680</v>
      </c>
      <c r="B418" s="1" t="s">
        <v>496</v>
      </c>
      <c r="C418" s="1">
        <v>0</v>
      </c>
      <c r="D418" s="17">
        <v>0.72</v>
      </c>
      <c r="E418" s="3">
        <f t="shared" si="30"/>
        <v>0</v>
      </c>
      <c r="F418" s="1">
        <f t="shared" si="31"/>
        <v>0</v>
      </c>
    </row>
    <row r="419" spans="1:6" x14ac:dyDescent="0.25">
      <c r="A419" s="1" t="s">
        <v>1680</v>
      </c>
      <c r="B419" s="1" t="s">
        <v>1683</v>
      </c>
      <c r="C419" s="1">
        <v>608</v>
      </c>
      <c r="D419" s="1">
        <v>0.72</v>
      </c>
      <c r="E419" s="3">
        <f t="shared" si="30"/>
        <v>437.76</v>
      </c>
      <c r="F419" s="1">
        <f t="shared" si="31"/>
        <v>498.55999999999995</v>
      </c>
    </row>
    <row r="420" spans="1:6" x14ac:dyDescent="0.25">
      <c r="A420" s="1" t="s">
        <v>1680</v>
      </c>
      <c r="B420" s="1" t="s">
        <v>1684</v>
      </c>
      <c r="C420" s="1">
        <v>1467</v>
      </c>
      <c r="D420" s="1">
        <v>0.72</v>
      </c>
      <c r="E420" s="3">
        <f t="shared" si="30"/>
        <v>1056.24</v>
      </c>
      <c r="F420" s="1">
        <f t="shared" si="31"/>
        <v>1202.9399999999998</v>
      </c>
    </row>
    <row r="421" spans="1:6" x14ac:dyDescent="0.25">
      <c r="A421" s="1" t="s">
        <v>1680</v>
      </c>
      <c r="B421" s="1" t="s">
        <v>285</v>
      </c>
      <c r="C421" s="1">
        <v>843</v>
      </c>
      <c r="D421" s="17">
        <v>0.72</v>
      </c>
      <c r="E421" s="3">
        <f t="shared" si="30"/>
        <v>606.95999999999992</v>
      </c>
      <c r="F421" s="1">
        <f t="shared" si="31"/>
        <v>691.26</v>
      </c>
    </row>
    <row r="422" spans="1:6" x14ac:dyDescent="0.25">
      <c r="A422" s="1" t="s">
        <v>1680</v>
      </c>
      <c r="B422" s="1" t="s">
        <v>286</v>
      </c>
      <c r="C422" s="1">
        <v>0</v>
      </c>
      <c r="D422" s="1">
        <v>0.72</v>
      </c>
      <c r="E422" s="3">
        <f t="shared" si="30"/>
        <v>0</v>
      </c>
      <c r="F422" s="1">
        <f t="shared" si="31"/>
        <v>0</v>
      </c>
    </row>
    <row r="423" spans="1:6" s="9" customFormat="1" ht="15.75" thickBot="1" x14ac:dyDescent="0.3">
      <c r="A423" s="1" t="s">
        <v>1680</v>
      </c>
      <c r="B423" s="9" t="s">
        <v>287</v>
      </c>
      <c r="C423" s="9">
        <v>0</v>
      </c>
      <c r="D423" s="1">
        <v>0.72</v>
      </c>
      <c r="E423" s="11">
        <f t="shared" si="30"/>
        <v>0</v>
      </c>
      <c r="F423" s="9">
        <f t="shared" si="31"/>
        <v>0</v>
      </c>
    </row>
    <row r="424" spans="1:6" s="27" customFormat="1" x14ac:dyDescent="0.25">
      <c r="A424" s="27" t="s">
        <v>288</v>
      </c>
      <c r="B424" s="27" t="s">
        <v>1564</v>
      </c>
      <c r="C424" s="27">
        <v>662</v>
      </c>
      <c r="D424" s="7">
        <v>0.55000000000000004</v>
      </c>
      <c r="E424">
        <f t="shared" si="30"/>
        <v>364.1</v>
      </c>
      <c r="F424" s="7">
        <f t="shared" si="31"/>
        <v>430.3</v>
      </c>
    </row>
    <row r="425" spans="1:6" s="27" customFormat="1" x14ac:dyDescent="0.25">
      <c r="A425" s="27" t="s">
        <v>288</v>
      </c>
      <c r="B425" s="27" t="s">
        <v>1863</v>
      </c>
      <c r="C425" s="27">
        <v>912</v>
      </c>
      <c r="D425" s="7">
        <v>0.55000000000000004</v>
      </c>
      <c r="E425">
        <f t="shared" si="30"/>
        <v>501.6</v>
      </c>
      <c r="F425" s="7">
        <f t="shared" si="31"/>
        <v>592.80000000000007</v>
      </c>
    </row>
    <row r="426" spans="1:6" s="27" customFormat="1" x14ac:dyDescent="0.25">
      <c r="A426" s="27" t="s">
        <v>288</v>
      </c>
      <c r="B426" s="27" t="s">
        <v>1864</v>
      </c>
      <c r="C426" s="27">
        <v>1104</v>
      </c>
      <c r="D426" s="7">
        <v>0.55000000000000004</v>
      </c>
      <c r="E426">
        <f t="shared" si="30"/>
        <v>607.20000000000005</v>
      </c>
      <c r="F426" s="7">
        <f t="shared" si="31"/>
        <v>717.6</v>
      </c>
    </row>
    <row r="427" spans="1:6" s="27" customFormat="1" x14ac:dyDescent="0.25">
      <c r="A427" s="27" t="s">
        <v>288</v>
      </c>
      <c r="B427" s="27" t="s">
        <v>1565</v>
      </c>
      <c r="C427" s="27">
        <v>890</v>
      </c>
      <c r="D427" s="1">
        <v>0.55000000000000004</v>
      </c>
      <c r="E427">
        <f t="shared" si="30"/>
        <v>489.50000000000006</v>
      </c>
      <c r="F427" s="1">
        <f t="shared" si="31"/>
        <v>578.5</v>
      </c>
    </row>
    <row r="428" spans="1:6" s="27" customFormat="1" x14ac:dyDescent="0.25">
      <c r="A428" s="27" t="s">
        <v>288</v>
      </c>
      <c r="B428" s="27" t="s">
        <v>1569</v>
      </c>
      <c r="C428" s="27">
        <v>775</v>
      </c>
      <c r="D428" s="1">
        <v>0.55000000000000004</v>
      </c>
      <c r="E428">
        <f t="shared" si="30"/>
        <v>426.25000000000006</v>
      </c>
      <c r="F428" s="1">
        <f t="shared" si="31"/>
        <v>503.75</v>
      </c>
    </row>
    <row r="429" spans="1:6" s="27" customFormat="1" x14ac:dyDescent="0.25">
      <c r="A429" s="27" t="s">
        <v>288</v>
      </c>
      <c r="B429" s="27" t="s">
        <v>1570</v>
      </c>
      <c r="C429" s="27">
        <v>705</v>
      </c>
      <c r="D429" s="1">
        <v>0.55000000000000004</v>
      </c>
      <c r="E429">
        <f t="shared" si="30"/>
        <v>387.75000000000006</v>
      </c>
      <c r="F429" s="1">
        <f t="shared" si="31"/>
        <v>458.25</v>
      </c>
    </row>
    <row r="430" spans="1:6" s="27" customFormat="1" x14ac:dyDescent="0.25">
      <c r="A430" s="27" t="s">
        <v>288</v>
      </c>
      <c r="B430" s="27" t="s">
        <v>1571</v>
      </c>
      <c r="C430" s="27">
        <v>624</v>
      </c>
      <c r="D430" s="1">
        <v>0.55000000000000004</v>
      </c>
      <c r="E430">
        <f t="shared" si="30"/>
        <v>343.20000000000005</v>
      </c>
      <c r="F430" s="1">
        <f t="shared" si="31"/>
        <v>405.6</v>
      </c>
    </row>
    <row r="431" spans="1:6" s="7" customFormat="1" x14ac:dyDescent="0.25">
      <c r="A431" s="7" t="s">
        <v>288</v>
      </c>
      <c r="B431" s="7" t="s">
        <v>289</v>
      </c>
      <c r="C431" s="7">
        <v>77</v>
      </c>
      <c r="D431" s="1">
        <v>0.45</v>
      </c>
      <c r="E431">
        <f t="shared" si="30"/>
        <v>34.65</v>
      </c>
      <c r="F431" s="1">
        <f t="shared" si="31"/>
        <v>42.35</v>
      </c>
    </row>
    <row r="432" spans="1:6" x14ac:dyDescent="0.25">
      <c r="A432" s="1" t="s">
        <v>288</v>
      </c>
      <c r="B432" s="1" t="s">
        <v>290</v>
      </c>
      <c r="C432" s="1">
        <v>206</v>
      </c>
      <c r="D432" s="1">
        <v>0.46</v>
      </c>
      <c r="E432">
        <f t="shared" si="30"/>
        <v>94.76</v>
      </c>
      <c r="F432" s="1">
        <f t="shared" si="31"/>
        <v>115.36000000000001</v>
      </c>
    </row>
    <row r="433" spans="1:6" x14ac:dyDescent="0.25">
      <c r="A433" s="1" t="s">
        <v>288</v>
      </c>
      <c r="B433" s="1" t="s">
        <v>291</v>
      </c>
      <c r="C433" s="1">
        <v>132</v>
      </c>
      <c r="D433" s="7">
        <v>0.46</v>
      </c>
      <c r="E433">
        <f t="shared" si="30"/>
        <v>60.720000000000006</v>
      </c>
      <c r="F433" s="7">
        <f t="shared" si="31"/>
        <v>73.92</v>
      </c>
    </row>
    <row r="434" spans="1:6" x14ac:dyDescent="0.25">
      <c r="A434" s="27" t="s">
        <v>288</v>
      </c>
      <c r="B434" s="1" t="s">
        <v>1546</v>
      </c>
      <c r="C434" s="1">
        <v>88</v>
      </c>
      <c r="D434" s="1">
        <v>0.46</v>
      </c>
      <c r="E434">
        <f t="shared" si="30"/>
        <v>40.480000000000004</v>
      </c>
      <c r="F434" s="1">
        <f t="shared" si="31"/>
        <v>49.28</v>
      </c>
    </row>
    <row r="435" spans="1:6" x14ac:dyDescent="0.25">
      <c r="A435" s="27" t="s">
        <v>288</v>
      </c>
      <c r="B435" s="1" t="s">
        <v>1547</v>
      </c>
      <c r="C435" s="1">
        <v>116</v>
      </c>
      <c r="D435" s="1">
        <v>0.46</v>
      </c>
      <c r="E435">
        <f t="shared" si="30"/>
        <v>53.36</v>
      </c>
      <c r="F435" s="1">
        <f t="shared" si="31"/>
        <v>64.960000000000008</v>
      </c>
    </row>
    <row r="436" spans="1:6" x14ac:dyDescent="0.25">
      <c r="A436" s="27" t="s">
        <v>288</v>
      </c>
      <c r="B436" s="1" t="s">
        <v>1548</v>
      </c>
      <c r="C436" s="1">
        <v>152</v>
      </c>
      <c r="D436" s="7">
        <v>0.46</v>
      </c>
      <c r="E436">
        <f t="shared" si="30"/>
        <v>69.92</v>
      </c>
      <c r="F436" s="7">
        <f t="shared" si="31"/>
        <v>85.12</v>
      </c>
    </row>
    <row r="437" spans="1:6" x14ac:dyDescent="0.25">
      <c r="A437" s="27" t="s">
        <v>288</v>
      </c>
      <c r="B437" s="1" t="s">
        <v>1568</v>
      </c>
      <c r="C437" s="1">
        <v>248</v>
      </c>
      <c r="D437" s="7">
        <v>0.46</v>
      </c>
      <c r="E437">
        <f t="shared" si="30"/>
        <v>114.08</v>
      </c>
      <c r="F437" s="7">
        <f t="shared" si="31"/>
        <v>138.88000000000002</v>
      </c>
    </row>
    <row r="438" spans="1:6" x14ac:dyDescent="0.25">
      <c r="A438" s="1" t="s">
        <v>288</v>
      </c>
      <c r="B438" s="1" t="s">
        <v>292</v>
      </c>
      <c r="C438" s="1">
        <v>125</v>
      </c>
      <c r="D438" s="1">
        <v>0.46</v>
      </c>
      <c r="E438">
        <f t="shared" si="30"/>
        <v>57.5</v>
      </c>
      <c r="F438" s="1">
        <f t="shared" si="31"/>
        <v>70</v>
      </c>
    </row>
    <row r="439" spans="1:6" x14ac:dyDescent="0.25">
      <c r="A439" s="1" t="s">
        <v>288</v>
      </c>
      <c r="B439" s="1" t="s">
        <v>293</v>
      </c>
      <c r="C439" s="1">
        <v>216</v>
      </c>
      <c r="D439" s="1">
        <v>0.46</v>
      </c>
      <c r="E439">
        <f t="shared" si="30"/>
        <v>99.36</v>
      </c>
      <c r="F439" s="1">
        <f t="shared" si="31"/>
        <v>120.96000000000001</v>
      </c>
    </row>
    <row r="440" spans="1:6" x14ac:dyDescent="0.25">
      <c r="A440" s="27" t="s">
        <v>288</v>
      </c>
      <c r="B440" s="1" t="s">
        <v>1549</v>
      </c>
      <c r="C440" s="1">
        <v>248</v>
      </c>
      <c r="D440" s="7">
        <v>0.46</v>
      </c>
      <c r="E440">
        <f t="shared" si="30"/>
        <v>114.08</v>
      </c>
      <c r="F440" s="7">
        <f t="shared" si="31"/>
        <v>138.88000000000002</v>
      </c>
    </row>
    <row r="441" spans="1:6" x14ac:dyDescent="0.25">
      <c r="A441" s="27" t="s">
        <v>288</v>
      </c>
      <c r="B441" s="1" t="s">
        <v>1550</v>
      </c>
      <c r="C441" s="1">
        <v>420</v>
      </c>
      <c r="D441" s="1">
        <v>0.46</v>
      </c>
      <c r="E441">
        <f t="shared" ref="E441:E472" si="32">C441*D441</f>
        <v>193.20000000000002</v>
      </c>
      <c r="F441" s="1">
        <f t="shared" ref="F441:F472" si="33">C441*(D441+0.1)</f>
        <v>235.20000000000002</v>
      </c>
    </row>
    <row r="442" spans="1:6" x14ac:dyDescent="0.25">
      <c r="A442" s="1" t="s">
        <v>288</v>
      </c>
      <c r="B442" s="1" t="s">
        <v>294</v>
      </c>
      <c r="C442" s="1">
        <v>220</v>
      </c>
      <c r="D442" s="1">
        <v>0.46</v>
      </c>
      <c r="E442">
        <f t="shared" si="32"/>
        <v>101.2</v>
      </c>
      <c r="F442" s="1">
        <f t="shared" si="33"/>
        <v>123.20000000000002</v>
      </c>
    </row>
    <row r="443" spans="1:6" x14ac:dyDescent="0.25">
      <c r="A443" s="1" t="s">
        <v>288</v>
      </c>
      <c r="B443" s="1" t="s">
        <v>295</v>
      </c>
      <c r="C443" s="1">
        <v>12.32</v>
      </c>
      <c r="D443" s="1">
        <v>0.46</v>
      </c>
      <c r="E443">
        <f t="shared" si="32"/>
        <v>5.6672000000000002</v>
      </c>
      <c r="F443" s="1">
        <f t="shared" si="33"/>
        <v>6.8992000000000004</v>
      </c>
    </row>
    <row r="444" spans="1:6" x14ac:dyDescent="0.25">
      <c r="A444" s="27" t="s">
        <v>288</v>
      </c>
      <c r="B444" s="1" t="s">
        <v>1551</v>
      </c>
      <c r="C444" s="1">
        <v>286</v>
      </c>
      <c r="D444" s="7">
        <v>0.46</v>
      </c>
      <c r="E444">
        <f t="shared" si="32"/>
        <v>131.56</v>
      </c>
      <c r="F444" s="7">
        <f t="shared" si="33"/>
        <v>160.16000000000003</v>
      </c>
    </row>
    <row r="445" spans="1:6" x14ac:dyDescent="0.25">
      <c r="A445" s="27" t="s">
        <v>288</v>
      </c>
      <c r="B445" s="1" t="s">
        <v>1552</v>
      </c>
      <c r="C445" s="1">
        <v>1400</v>
      </c>
      <c r="D445" s="1">
        <v>0.46</v>
      </c>
      <c r="E445">
        <f t="shared" si="32"/>
        <v>644</v>
      </c>
      <c r="F445" s="1">
        <f t="shared" si="33"/>
        <v>784.00000000000011</v>
      </c>
    </row>
    <row r="446" spans="1:6" x14ac:dyDescent="0.25">
      <c r="A446" s="27" t="s">
        <v>288</v>
      </c>
      <c r="B446" s="1" t="s">
        <v>1861</v>
      </c>
      <c r="C446" s="1">
        <v>99</v>
      </c>
      <c r="D446" s="7">
        <v>0.46</v>
      </c>
      <c r="E446">
        <f t="shared" si="32"/>
        <v>45.54</v>
      </c>
      <c r="F446" s="7">
        <f t="shared" si="33"/>
        <v>55.440000000000005</v>
      </c>
    </row>
    <row r="447" spans="1:6" x14ac:dyDescent="0.25">
      <c r="A447" s="27" t="s">
        <v>288</v>
      </c>
      <c r="B447" s="1" t="s">
        <v>1862</v>
      </c>
      <c r="C447" s="1">
        <v>128</v>
      </c>
      <c r="D447" s="1">
        <v>0.46</v>
      </c>
      <c r="E447">
        <f t="shared" si="32"/>
        <v>58.88</v>
      </c>
      <c r="F447" s="1">
        <f t="shared" si="33"/>
        <v>71.680000000000007</v>
      </c>
    </row>
    <row r="448" spans="1:6" x14ac:dyDescent="0.25">
      <c r="A448" s="27" t="s">
        <v>288</v>
      </c>
      <c r="B448" s="1" t="s">
        <v>1553</v>
      </c>
      <c r="C448" s="1">
        <v>1639</v>
      </c>
      <c r="D448" s="1">
        <v>0.46</v>
      </c>
      <c r="E448">
        <f t="shared" si="32"/>
        <v>753.94</v>
      </c>
      <c r="F448" s="1">
        <f t="shared" si="33"/>
        <v>917.84</v>
      </c>
    </row>
    <row r="449" spans="1:6" x14ac:dyDescent="0.25">
      <c r="A449" s="27" t="s">
        <v>288</v>
      </c>
      <c r="B449" s="1" t="s">
        <v>1554</v>
      </c>
      <c r="C449" s="1">
        <v>292</v>
      </c>
      <c r="D449" s="7">
        <v>0.46</v>
      </c>
      <c r="E449">
        <f t="shared" si="32"/>
        <v>134.32</v>
      </c>
      <c r="F449" s="7">
        <f t="shared" si="33"/>
        <v>163.52000000000001</v>
      </c>
    </row>
    <row r="450" spans="1:6" x14ac:dyDescent="0.25">
      <c r="A450" s="27" t="s">
        <v>288</v>
      </c>
      <c r="B450" s="1" t="s">
        <v>1567</v>
      </c>
      <c r="C450" s="1">
        <v>95</v>
      </c>
      <c r="D450" s="1">
        <v>0.46</v>
      </c>
      <c r="E450">
        <f t="shared" si="32"/>
        <v>43.7</v>
      </c>
      <c r="F450" s="1">
        <f t="shared" si="33"/>
        <v>53.2</v>
      </c>
    </row>
    <row r="451" spans="1:6" x14ac:dyDescent="0.25">
      <c r="A451" s="27" t="s">
        <v>288</v>
      </c>
      <c r="B451" s="1" t="s">
        <v>1555</v>
      </c>
      <c r="C451" s="1">
        <v>149</v>
      </c>
      <c r="D451" s="1">
        <v>0.46</v>
      </c>
      <c r="E451">
        <f t="shared" si="32"/>
        <v>68.540000000000006</v>
      </c>
      <c r="F451" s="1">
        <f t="shared" si="33"/>
        <v>83.440000000000012</v>
      </c>
    </row>
    <row r="452" spans="1:6" x14ac:dyDescent="0.25">
      <c r="A452" s="27" t="s">
        <v>288</v>
      </c>
      <c r="B452" s="1" t="s">
        <v>1556</v>
      </c>
      <c r="C452" s="1">
        <v>444</v>
      </c>
      <c r="D452" s="1">
        <v>0.46</v>
      </c>
      <c r="E452">
        <f t="shared" si="32"/>
        <v>204.24</v>
      </c>
      <c r="F452" s="1">
        <f t="shared" si="33"/>
        <v>248.64000000000001</v>
      </c>
    </row>
    <row r="453" spans="1:6" x14ac:dyDescent="0.25">
      <c r="A453" s="27" t="s">
        <v>288</v>
      </c>
      <c r="B453" s="1" t="s">
        <v>1557</v>
      </c>
      <c r="C453" s="1">
        <v>222</v>
      </c>
      <c r="D453" s="7">
        <v>0.46</v>
      </c>
      <c r="E453">
        <f t="shared" si="32"/>
        <v>102.12</v>
      </c>
      <c r="F453" s="7">
        <f t="shared" si="33"/>
        <v>124.32000000000001</v>
      </c>
    </row>
    <row r="454" spans="1:6" x14ac:dyDescent="0.25">
      <c r="A454" s="27" t="s">
        <v>288</v>
      </c>
      <c r="B454" s="1" t="s">
        <v>296</v>
      </c>
      <c r="C454" s="1">
        <v>3995</v>
      </c>
      <c r="D454" s="1">
        <v>0.46</v>
      </c>
      <c r="E454">
        <f t="shared" si="32"/>
        <v>1837.7</v>
      </c>
      <c r="F454" s="1">
        <f t="shared" si="33"/>
        <v>2237.2000000000003</v>
      </c>
    </row>
    <row r="455" spans="1:6" x14ac:dyDescent="0.25">
      <c r="A455" s="27" t="s">
        <v>288</v>
      </c>
      <c r="B455" s="1" t="s">
        <v>1558</v>
      </c>
      <c r="C455" s="1">
        <v>75</v>
      </c>
      <c r="D455" s="1">
        <v>0.46</v>
      </c>
      <c r="E455">
        <f t="shared" si="32"/>
        <v>34.5</v>
      </c>
      <c r="F455" s="1">
        <f t="shared" si="33"/>
        <v>42.000000000000007</v>
      </c>
    </row>
    <row r="456" spans="1:6" x14ac:dyDescent="0.25">
      <c r="A456" s="27" t="s">
        <v>288</v>
      </c>
      <c r="B456" s="1" t="s">
        <v>1865</v>
      </c>
      <c r="C456" s="1">
        <v>87</v>
      </c>
      <c r="D456" s="7">
        <v>0.46</v>
      </c>
      <c r="E456">
        <f t="shared" si="32"/>
        <v>40.020000000000003</v>
      </c>
      <c r="F456" s="7">
        <f t="shared" si="33"/>
        <v>48.720000000000006</v>
      </c>
    </row>
    <row r="457" spans="1:6" x14ac:dyDescent="0.25">
      <c r="A457" s="27" t="s">
        <v>288</v>
      </c>
      <c r="B457" s="1" t="s">
        <v>1866</v>
      </c>
      <c r="C457" s="1">
        <v>103</v>
      </c>
      <c r="D457" s="7">
        <v>0.46</v>
      </c>
      <c r="E457">
        <f t="shared" si="32"/>
        <v>47.38</v>
      </c>
      <c r="F457" s="7">
        <f t="shared" si="33"/>
        <v>57.680000000000007</v>
      </c>
    </row>
    <row r="458" spans="1:6" x14ac:dyDescent="0.25">
      <c r="A458" s="1" t="s">
        <v>288</v>
      </c>
      <c r="B458" s="1" t="s">
        <v>1559</v>
      </c>
      <c r="C458" s="1">
        <v>503</v>
      </c>
      <c r="D458" s="1">
        <v>0.46</v>
      </c>
      <c r="E458">
        <f t="shared" si="32"/>
        <v>231.38000000000002</v>
      </c>
      <c r="F458" s="1">
        <f t="shared" si="33"/>
        <v>281.68</v>
      </c>
    </row>
    <row r="459" spans="1:6" x14ac:dyDescent="0.25">
      <c r="A459" s="1" t="s">
        <v>288</v>
      </c>
      <c r="B459" s="1" t="s">
        <v>297</v>
      </c>
      <c r="C459" s="1">
        <v>468</v>
      </c>
      <c r="D459" s="1">
        <v>0.46</v>
      </c>
      <c r="E459">
        <f t="shared" si="32"/>
        <v>215.28</v>
      </c>
      <c r="F459" s="1">
        <f t="shared" si="33"/>
        <v>262.08000000000004</v>
      </c>
    </row>
    <row r="460" spans="1:6" x14ac:dyDescent="0.25">
      <c r="A460" s="1" t="s">
        <v>288</v>
      </c>
      <c r="B460" s="1" t="s">
        <v>298</v>
      </c>
      <c r="C460" s="1">
        <v>171</v>
      </c>
      <c r="D460" s="1">
        <v>0.46</v>
      </c>
      <c r="E460">
        <f t="shared" si="32"/>
        <v>78.66</v>
      </c>
      <c r="F460" s="1">
        <f t="shared" si="33"/>
        <v>95.76</v>
      </c>
    </row>
    <row r="461" spans="1:6" x14ac:dyDescent="0.25">
      <c r="A461" s="1" t="s">
        <v>288</v>
      </c>
      <c r="B461" s="1" t="s">
        <v>299</v>
      </c>
      <c r="C461" s="1">
        <v>1487</v>
      </c>
      <c r="D461" s="1">
        <v>0.46</v>
      </c>
      <c r="E461">
        <f t="shared" si="32"/>
        <v>684.02</v>
      </c>
      <c r="F461" s="1">
        <f t="shared" si="33"/>
        <v>832.72</v>
      </c>
    </row>
    <row r="462" spans="1:6" x14ac:dyDescent="0.25">
      <c r="A462" s="1" t="s">
        <v>288</v>
      </c>
      <c r="B462" s="1" t="s">
        <v>300</v>
      </c>
      <c r="C462" s="1">
        <v>144</v>
      </c>
      <c r="D462" s="1">
        <v>0.46</v>
      </c>
      <c r="E462">
        <f t="shared" si="32"/>
        <v>66.240000000000009</v>
      </c>
      <c r="F462" s="1">
        <f t="shared" si="33"/>
        <v>80.640000000000015</v>
      </c>
    </row>
    <row r="463" spans="1:6" x14ac:dyDescent="0.25">
      <c r="A463" s="1" t="s">
        <v>288</v>
      </c>
      <c r="B463" s="1" t="s">
        <v>301</v>
      </c>
      <c r="C463" s="1">
        <v>88</v>
      </c>
      <c r="D463" s="1">
        <v>0.46</v>
      </c>
      <c r="E463">
        <f t="shared" si="32"/>
        <v>40.480000000000004</v>
      </c>
      <c r="F463" s="1">
        <f t="shared" si="33"/>
        <v>49.28</v>
      </c>
    </row>
    <row r="464" spans="1:6" x14ac:dyDescent="0.25">
      <c r="A464" s="1" t="s">
        <v>288</v>
      </c>
      <c r="B464" s="1" t="s">
        <v>302</v>
      </c>
      <c r="C464" s="1">
        <v>225</v>
      </c>
      <c r="D464" s="7">
        <v>0.46</v>
      </c>
      <c r="E464">
        <f t="shared" si="32"/>
        <v>103.5</v>
      </c>
      <c r="F464" s="7">
        <f t="shared" si="33"/>
        <v>126.00000000000001</v>
      </c>
    </row>
    <row r="465" spans="1:6" x14ac:dyDescent="0.25">
      <c r="A465" s="1" t="s">
        <v>288</v>
      </c>
      <c r="B465" s="1" t="s">
        <v>324</v>
      </c>
      <c r="C465" s="1">
        <v>543</v>
      </c>
      <c r="D465" s="1">
        <v>0.46</v>
      </c>
      <c r="E465">
        <f t="shared" si="32"/>
        <v>249.78</v>
      </c>
      <c r="F465" s="1">
        <f t="shared" si="33"/>
        <v>304.08000000000004</v>
      </c>
    </row>
    <row r="466" spans="1:6" x14ac:dyDescent="0.25">
      <c r="A466" s="1" t="s">
        <v>288</v>
      </c>
      <c r="B466" s="1" t="s">
        <v>1860</v>
      </c>
      <c r="C466" s="1">
        <v>155</v>
      </c>
      <c r="D466" s="7">
        <v>0.46</v>
      </c>
      <c r="E466">
        <f t="shared" si="32"/>
        <v>71.3</v>
      </c>
      <c r="F466" s="7">
        <f t="shared" si="33"/>
        <v>86.800000000000011</v>
      </c>
    </row>
    <row r="467" spans="1:6" x14ac:dyDescent="0.25">
      <c r="A467" s="1" t="s">
        <v>288</v>
      </c>
      <c r="B467" s="1" t="s">
        <v>1560</v>
      </c>
      <c r="C467" s="1">
        <v>149</v>
      </c>
      <c r="D467" s="1">
        <v>0.46</v>
      </c>
      <c r="E467">
        <f t="shared" si="32"/>
        <v>68.540000000000006</v>
      </c>
      <c r="F467" s="1">
        <f t="shared" si="33"/>
        <v>83.440000000000012</v>
      </c>
    </row>
    <row r="468" spans="1:6" x14ac:dyDescent="0.25">
      <c r="A468" s="1" t="s">
        <v>288</v>
      </c>
      <c r="B468" s="1" t="s">
        <v>1561</v>
      </c>
      <c r="C468" s="1">
        <v>222</v>
      </c>
      <c r="D468" s="1">
        <v>0.46</v>
      </c>
      <c r="E468">
        <f t="shared" si="32"/>
        <v>102.12</v>
      </c>
      <c r="F468" s="1">
        <f t="shared" si="33"/>
        <v>124.32000000000001</v>
      </c>
    </row>
    <row r="469" spans="1:6" x14ac:dyDescent="0.25">
      <c r="A469" s="1" t="s">
        <v>288</v>
      </c>
      <c r="B469" s="1" t="s">
        <v>303</v>
      </c>
      <c r="C469" s="1">
        <v>0</v>
      </c>
      <c r="D469" s="1">
        <v>0.46</v>
      </c>
      <c r="E469">
        <f t="shared" si="32"/>
        <v>0</v>
      </c>
      <c r="F469" s="1">
        <f t="shared" si="33"/>
        <v>0</v>
      </c>
    </row>
    <row r="470" spans="1:6" x14ac:dyDescent="0.25">
      <c r="A470" s="1" t="s">
        <v>288</v>
      </c>
      <c r="B470" s="1" t="s">
        <v>304</v>
      </c>
      <c r="C470" s="1">
        <v>0</v>
      </c>
      <c r="D470" s="1">
        <v>0.46</v>
      </c>
      <c r="E470">
        <f t="shared" si="32"/>
        <v>0</v>
      </c>
      <c r="F470" s="1">
        <f t="shared" si="33"/>
        <v>0</v>
      </c>
    </row>
    <row r="471" spans="1:6" x14ac:dyDescent="0.25">
      <c r="A471" s="1" t="s">
        <v>288</v>
      </c>
      <c r="B471" s="1" t="s">
        <v>305</v>
      </c>
      <c r="C471" s="1">
        <v>0</v>
      </c>
      <c r="D471" s="1">
        <v>0.46</v>
      </c>
      <c r="E471">
        <f t="shared" si="32"/>
        <v>0</v>
      </c>
      <c r="F471" s="1">
        <f t="shared" si="33"/>
        <v>0</v>
      </c>
    </row>
    <row r="472" spans="1:6" x14ac:dyDescent="0.25">
      <c r="A472" s="1" t="s">
        <v>288</v>
      </c>
      <c r="B472" s="1" t="s">
        <v>306</v>
      </c>
      <c r="C472" s="1">
        <v>92</v>
      </c>
      <c r="D472" s="1">
        <v>0.46</v>
      </c>
      <c r="E472">
        <f t="shared" si="32"/>
        <v>42.32</v>
      </c>
      <c r="F472" s="1">
        <f t="shared" si="33"/>
        <v>51.52</v>
      </c>
    </row>
    <row r="473" spans="1:6" x14ac:dyDescent="0.25">
      <c r="A473" s="1" t="s">
        <v>288</v>
      </c>
      <c r="B473" s="1" t="s">
        <v>307</v>
      </c>
      <c r="C473" s="1">
        <v>200</v>
      </c>
      <c r="D473" s="1">
        <v>0.46</v>
      </c>
      <c r="E473">
        <f t="shared" ref="E473:E495" si="34">C473*D473</f>
        <v>92</v>
      </c>
      <c r="F473" s="1">
        <f t="shared" ref="F473:F498" si="35">C473*(D473+0.1)</f>
        <v>112.00000000000001</v>
      </c>
    </row>
    <row r="474" spans="1:6" x14ac:dyDescent="0.25">
      <c r="A474" s="1" t="s">
        <v>288</v>
      </c>
      <c r="B474" s="1" t="s">
        <v>308</v>
      </c>
      <c r="C474" s="1">
        <v>0</v>
      </c>
      <c r="D474" s="1">
        <v>0.46</v>
      </c>
      <c r="E474">
        <f t="shared" si="34"/>
        <v>0</v>
      </c>
      <c r="F474" s="1">
        <f t="shared" si="35"/>
        <v>0</v>
      </c>
    </row>
    <row r="475" spans="1:6" x14ac:dyDescent="0.25">
      <c r="A475" s="1" t="s">
        <v>288</v>
      </c>
      <c r="B475" s="1" t="s">
        <v>309</v>
      </c>
      <c r="C475" s="1">
        <v>178</v>
      </c>
      <c r="D475" s="1">
        <v>0.46</v>
      </c>
      <c r="E475">
        <f t="shared" si="34"/>
        <v>81.88000000000001</v>
      </c>
      <c r="F475" s="1">
        <f t="shared" si="35"/>
        <v>99.68</v>
      </c>
    </row>
    <row r="476" spans="1:6" x14ac:dyDescent="0.25">
      <c r="A476" s="1" t="s">
        <v>288</v>
      </c>
      <c r="B476" s="1" t="s">
        <v>310</v>
      </c>
      <c r="C476" s="1">
        <v>0</v>
      </c>
      <c r="D476" s="1">
        <v>0.46</v>
      </c>
      <c r="E476">
        <f t="shared" si="34"/>
        <v>0</v>
      </c>
      <c r="F476" s="1">
        <f t="shared" si="35"/>
        <v>0</v>
      </c>
    </row>
    <row r="477" spans="1:6" x14ac:dyDescent="0.25">
      <c r="A477" s="1" t="s">
        <v>288</v>
      </c>
      <c r="B477" s="1" t="s">
        <v>1562</v>
      </c>
      <c r="C477" s="1">
        <v>121</v>
      </c>
      <c r="D477" s="1">
        <v>0.46</v>
      </c>
      <c r="E477">
        <f t="shared" si="34"/>
        <v>55.660000000000004</v>
      </c>
      <c r="F477" s="1">
        <f t="shared" si="35"/>
        <v>67.760000000000005</v>
      </c>
    </row>
    <row r="478" spans="1:6" x14ac:dyDescent="0.25">
      <c r="A478" s="1" t="s">
        <v>288</v>
      </c>
      <c r="B478" s="1" t="s">
        <v>311</v>
      </c>
      <c r="C478" s="1">
        <v>395</v>
      </c>
      <c r="D478" s="1">
        <v>0.46</v>
      </c>
      <c r="E478">
        <f t="shared" si="34"/>
        <v>181.70000000000002</v>
      </c>
      <c r="F478" s="1">
        <f t="shared" si="35"/>
        <v>221.20000000000002</v>
      </c>
    </row>
    <row r="479" spans="1:6" x14ac:dyDescent="0.25">
      <c r="A479" s="1" t="s">
        <v>288</v>
      </c>
      <c r="B479" s="1" t="s">
        <v>312</v>
      </c>
      <c r="C479" s="1">
        <v>561</v>
      </c>
      <c r="D479" s="1">
        <v>0.46</v>
      </c>
      <c r="E479">
        <f t="shared" si="34"/>
        <v>258.06</v>
      </c>
      <c r="F479" s="1">
        <f t="shared" si="35"/>
        <v>314.16000000000003</v>
      </c>
    </row>
    <row r="480" spans="1:6" x14ac:dyDescent="0.25">
      <c r="A480" s="1" t="s">
        <v>288</v>
      </c>
      <c r="B480" s="1" t="s">
        <v>313</v>
      </c>
      <c r="C480" s="1">
        <v>213</v>
      </c>
      <c r="D480" s="1">
        <v>0.46</v>
      </c>
      <c r="E480">
        <f t="shared" si="34"/>
        <v>97.98</v>
      </c>
      <c r="F480" s="1">
        <f t="shared" si="35"/>
        <v>119.28000000000002</v>
      </c>
    </row>
    <row r="481" spans="1:6" x14ac:dyDescent="0.25">
      <c r="A481" s="1" t="s">
        <v>288</v>
      </c>
      <c r="B481" s="1" t="s">
        <v>314</v>
      </c>
      <c r="C481" s="1">
        <v>0</v>
      </c>
      <c r="D481" s="1">
        <v>0.46</v>
      </c>
      <c r="E481">
        <f t="shared" si="34"/>
        <v>0</v>
      </c>
      <c r="F481" s="1">
        <f t="shared" si="35"/>
        <v>0</v>
      </c>
    </row>
    <row r="482" spans="1:6" x14ac:dyDescent="0.25">
      <c r="A482" s="1" t="s">
        <v>288</v>
      </c>
      <c r="B482" s="1" t="s">
        <v>315</v>
      </c>
      <c r="C482" s="1">
        <v>0</v>
      </c>
      <c r="D482" s="1">
        <v>0.46</v>
      </c>
      <c r="E482">
        <f t="shared" si="34"/>
        <v>0</v>
      </c>
      <c r="F482" s="1">
        <f t="shared" si="35"/>
        <v>0</v>
      </c>
    </row>
    <row r="483" spans="1:6" x14ac:dyDescent="0.25">
      <c r="A483" s="1" t="s">
        <v>288</v>
      </c>
      <c r="B483" s="1" t="s">
        <v>316</v>
      </c>
      <c r="C483" s="1">
        <v>283</v>
      </c>
      <c r="D483" s="1">
        <v>0.46</v>
      </c>
      <c r="E483">
        <f t="shared" si="34"/>
        <v>130.18</v>
      </c>
      <c r="F483" s="1">
        <f t="shared" si="35"/>
        <v>158.48000000000002</v>
      </c>
    </row>
    <row r="484" spans="1:6" x14ac:dyDescent="0.25">
      <c r="A484" s="1" t="s">
        <v>288</v>
      </c>
      <c r="B484" s="1" t="s">
        <v>317</v>
      </c>
      <c r="C484" s="1">
        <v>239</v>
      </c>
      <c r="D484" s="1">
        <v>0.46</v>
      </c>
      <c r="E484">
        <f t="shared" si="34"/>
        <v>109.94</v>
      </c>
      <c r="F484" s="1">
        <f t="shared" si="35"/>
        <v>133.84</v>
      </c>
    </row>
    <row r="485" spans="1:6" x14ac:dyDescent="0.25">
      <c r="A485" s="1" t="s">
        <v>288</v>
      </c>
      <c r="B485" s="1" t="s">
        <v>318</v>
      </c>
      <c r="C485" s="1">
        <v>0</v>
      </c>
      <c r="D485" s="1">
        <v>0.46</v>
      </c>
      <c r="E485">
        <f t="shared" si="34"/>
        <v>0</v>
      </c>
      <c r="F485" s="1">
        <f t="shared" si="35"/>
        <v>0</v>
      </c>
    </row>
    <row r="486" spans="1:6" x14ac:dyDescent="0.25">
      <c r="A486" s="1" t="s">
        <v>288</v>
      </c>
      <c r="B486" s="1" t="s">
        <v>319</v>
      </c>
      <c r="C486" s="1">
        <v>128</v>
      </c>
      <c r="D486" s="1">
        <v>0.46</v>
      </c>
      <c r="E486">
        <f t="shared" si="34"/>
        <v>58.88</v>
      </c>
      <c r="F486" s="1">
        <f t="shared" si="35"/>
        <v>71.680000000000007</v>
      </c>
    </row>
    <row r="487" spans="1:6" x14ac:dyDescent="0.25">
      <c r="A487" s="1" t="s">
        <v>288</v>
      </c>
      <c r="B487" s="1" t="s">
        <v>1566</v>
      </c>
      <c r="C487" s="1">
        <v>120</v>
      </c>
      <c r="D487" s="1">
        <v>0.46</v>
      </c>
      <c r="E487">
        <f t="shared" si="34"/>
        <v>55.2</v>
      </c>
      <c r="F487" s="1">
        <f t="shared" si="35"/>
        <v>67.2</v>
      </c>
    </row>
    <row r="488" spans="1:6" x14ac:dyDescent="0.25">
      <c r="A488" s="1" t="s">
        <v>288</v>
      </c>
      <c r="B488" s="1" t="s">
        <v>1563</v>
      </c>
      <c r="C488" s="1">
        <v>189</v>
      </c>
      <c r="D488" s="1">
        <v>0.46</v>
      </c>
      <c r="E488">
        <f t="shared" si="34"/>
        <v>86.94</v>
      </c>
      <c r="F488" s="1">
        <f t="shared" si="35"/>
        <v>105.84</v>
      </c>
    </row>
    <row r="489" spans="1:6" x14ac:dyDescent="0.25">
      <c r="A489" s="1" t="s">
        <v>288</v>
      </c>
      <c r="B489" s="1" t="s">
        <v>320</v>
      </c>
      <c r="C489" s="1">
        <v>155</v>
      </c>
      <c r="D489" s="1">
        <v>0.46</v>
      </c>
      <c r="E489">
        <f t="shared" si="34"/>
        <v>71.3</v>
      </c>
      <c r="F489" s="1">
        <f t="shared" si="35"/>
        <v>86.800000000000011</v>
      </c>
    </row>
    <row r="490" spans="1:6" x14ac:dyDescent="0.25">
      <c r="A490" s="1" t="s">
        <v>288</v>
      </c>
      <c r="B490" s="1" t="s">
        <v>321</v>
      </c>
      <c r="C490" s="1">
        <v>189</v>
      </c>
      <c r="D490" s="1">
        <v>0.46</v>
      </c>
      <c r="E490">
        <f t="shared" si="34"/>
        <v>86.94</v>
      </c>
      <c r="F490" s="1">
        <f t="shared" si="35"/>
        <v>105.84</v>
      </c>
    </row>
    <row r="491" spans="1:6" x14ac:dyDescent="0.25">
      <c r="A491" s="1" t="s">
        <v>288</v>
      </c>
      <c r="B491" s="1" t="s">
        <v>322</v>
      </c>
      <c r="C491" s="1">
        <v>87</v>
      </c>
      <c r="D491" s="1">
        <v>0.46</v>
      </c>
      <c r="E491">
        <f t="shared" si="34"/>
        <v>40.020000000000003</v>
      </c>
      <c r="F491" s="1">
        <f t="shared" si="35"/>
        <v>48.720000000000006</v>
      </c>
    </row>
    <row r="492" spans="1:6" s="9" customFormat="1" ht="15.75" thickBot="1" x14ac:dyDescent="0.3">
      <c r="A492" s="9" t="s">
        <v>323</v>
      </c>
      <c r="C492" s="9">
        <v>0</v>
      </c>
      <c r="D492" s="9">
        <v>0.46</v>
      </c>
      <c r="E492">
        <f t="shared" si="34"/>
        <v>0</v>
      </c>
      <c r="F492" s="9">
        <f t="shared" si="35"/>
        <v>0</v>
      </c>
    </row>
    <row r="493" spans="1:6" s="17" customFormat="1" x14ac:dyDescent="0.25">
      <c r="A493" s="17" t="s">
        <v>325</v>
      </c>
      <c r="B493" s="17" t="s">
        <v>326</v>
      </c>
      <c r="C493" s="17">
        <v>175</v>
      </c>
      <c r="D493" s="17">
        <v>0.6</v>
      </c>
      <c r="E493" s="20">
        <f t="shared" si="34"/>
        <v>105</v>
      </c>
      <c r="F493" s="17">
        <f t="shared" si="35"/>
        <v>122.49999999999999</v>
      </c>
    </row>
    <row r="494" spans="1:6" x14ac:dyDescent="0.25">
      <c r="A494" s="1" t="s">
        <v>325</v>
      </c>
      <c r="B494" s="1" t="s">
        <v>327</v>
      </c>
      <c r="C494" s="1">
        <v>247</v>
      </c>
      <c r="D494" s="1">
        <v>0.6</v>
      </c>
      <c r="E494" s="3">
        <f t="shared" si="34"/>
        <v>148.19999999999999</v>
      </c>
      <c r="F494" s="1">
        <f t="shared" si="35"/>
        <v>172.89999999999998</v>
      </c>
    </row>
    <row r="495" spans="1:6" s="9" customFormat="1" ht="15.75" thickBot="1" x14ac:dyDescent="0.3">
      <c r="A495" s="9" t="s">
        <v>325</v>
      </c>
      <c r="B495" s="9" t="s">
        <v>328</v>
      </c>
      <c r="C495" s="9">
        <v>180</v>
      </c>
      <c r="D495" s="9">
        <v>0.6</v>
      </c>
      <c r="E495" s="11">
        <f t="shared" si="34"/>
        <v>108</v>
      </c>
      <c r="F495" s="9">
        <f t="shared" si="35"/>
        <v>125.99999999999999</v>
      </c>
    </row>
    <row r="496" spans="1:6" s="7" customFormat="1" x14ac:dyDescent="0.25">
      <c r="A496" s="7" t="s">
        <v>329</v>
      </c>
      <c r="B496" s="7" t="s">
        <v>330</v>
      </c>
      <c r="C496" s="7">
        <v>290</v>
      </c>
      <c r="D496" s="7">
        <v>0.4</v>
      </c>
      <c r="E496" s="8">
        <f>(C496*D496)</f>
        <v>116</v>
      </c>
      <c r="F496" s="7">
        <f t="shared" si="35"/>
        <v>145</v>
      </c>
    </row>
    <row r="497" spans="1:6" x14ac:dyDescent="0.25">
      <c r="A497" s="1" t="s">
        <v>329</v>
      </c>
      <c r="B497" s="1" t="s">
        <v>331</v>
      </c>
      <c r="C497" s="1">
        <v>1030</v>
      </c>
      <c r="D497" s="1">
        <v>0.4</v>
      </c>
      <c r="E497" s="3">
        <f>(C497*D497)</f>
        <v>412</v>
      </c>
      <c r="F497" s="1">
        <f t="shared" si="35"/>
        <v>515</v>
      </c>
    </row>
    <row r="498" spans="1:6" x14ac:dyDescent="0.25">
      <c r="A498" s="1" t="s">
        <v>329</v>
      </c>
      <c r="B498" s="1" t="s">
        <v>332</v>
      </c>
      <c r="C498" s="1">
        <v>534</v>
      </c>
      <c r="D498" s="1">
        <v>0.4</v>
      </c>
      <c r="E498" s="3" t="s">
        <v>333</v>
      </c>
      <c r="F498" s="1">
        <f t="shared" si="35"/>
        <v>267</v>
      </c>
    </row>
    <row r="499" spans="1:6" x14ac:dyDescent="0.25">
      <c r="A499" s="1" t="s">
        <v>329</v>
      </c>
      <c r="B499" s="1" t="s">
        <v>334</v>
      </c>
      <c r="D499" s="1"/>
      <c r="E499" s="3"/>
    </row>
    <row r="500" spans="1:6" x14ac:dyDescent="0.25">
      <c r="A500" s="1" t="s">
        <v>329</v>
      </c>
      <c r="B500" s="1" t="s">
        <v>335</v>
      </c>
      <c r="D500" s="1"/>
      <c r="E500" s="3"/>
    </row>
    <row r="501" spans="1:6" s="21" customFormat="1" ht="15.75" thickBot="1" x14ac:dyDescent="0.3">
      <c r="A501" s="21" t="s">
        <v>329</v>
      </c>
      <c r="B501" s="21" t="s">
        <v>336</v>
      </c>
      <c r="C501" s="21">
        <v>534</v>
      </c>
      <c r="D501" s="21">
        <v>0.4</v>
      </c>
      <c r="E501" s="22" t="s">
        <v>333</v>
      </c>
      <c r="F501" s="21">
        <f t="shared" ref="F501:F532" si="36">C501*(D501+0.1)</f>
        <v>267</v>
      </c>
    </row>
    <row r="502" spans="1:6" s="7" customFormat="1" x14ac:dyDescent="0.25">
      <c r="A502" s="7" t="s">
        <v>337</v>
      </c>
      <c r="B502" s="7" t="s">
        <v>338</v>
      </c>
      <c r="C502" s="7">
        <v>605</v>
      </c>
      <c r="D502" s="7">
        <v>0.5</v>
      </c>
      <c r="E502">
        <f t="shared" ref="E502:E532" si="37">C502*D502</f>
        <v>302.5</v>
      </c>
      <c r="F502" s="7">
        <f t="shared" si="36"/>
        <v>363</v>
      </c>
    </row>
    <row r="503" spans="1:6" x14ac:dyDescent="0.25">
      <c r="A503" s="1" t="s">
        <v>337</v>
      </c>
      <c r="B503" s="1" t="s">
        <v>339</v>
      </c>
      <c r="C503" s="1">
        <v>126</v>
      </c>
      <c r="D503" s="1">
        <v>0.5</v>
      </c>
      <c r="E503">
        <f t="shared" si="37"/>
        <v>63</v>
      </c>
      <c r="F503" s="1">
        <f t="shared" si="36"/>
        <v>75.599999999999994</v>
      </c>
    </row>
    <row r="504" spans="1:6" x14ac:dyDescent="0.25">
      <c r="A504" s="1" t="s">
        <v>337</v>
      </c>
      <c r="B504" s="1" t="s">
        <v>1449</v>
      </c>
      <c r="C504" s="1">
        <v>69</v>
      </c>
      <c r="D504" s="1">
        <v>0.5</v>
      </c>
      <c r="E504">
        <f t="shared" si="37"/>
        <v>34.5</v>
      </c>
      <c r="F504" s="1">
        <f t="shared" si="36"/>
        <v>41.4</v>
      </c>
    </row>
    <row r="505" spans="1:6" x14ac:dyDescent="0.25">
      <c r="A505" s="1" t="s">
        <v>337</v>
      </c>
      <c r="B505" s="1" t="s">
        <v>1448</v>
      </c>
      <c r="C505" s="1">
        <v>84</v>
      </c>
      <c r="D505" s="1">
        <v>0.5</v>
      </c>
      <c r="E505">
        <f t="shared" si="37"/>
        <v>42</v>
      </c>
      <c r="F505" s="1">
        <f t="shared" si="36"/>
        <v>50.4</v>
      </c>
    </row>
    <row r="506" spans="1:6" x14ac:dyDescent="0.25">
      <c r="A506" s="1" t="s">
        <v>337</v>
      </c>
      <c r="B506" s="1" t="s">
        <v>1671</v>
      </c>
      <c r="C506" s="1">
        <v>84</v>
      </c>
      <c r="D506" s="1">
        <v>0.5</v>
      </c>
      <c r="E506">
        <f t="shared" si="37"/>
        <v>42</v>
      </c>
      <c r="F506" s="1">
        <f t="shared" si="36"/>
        <v>50.4</v>
      </c>
    </row>
    <row r="507" spans="1:6" x14ac:dyDescent="0.25">
      <c r="A507" s="1" t="s">
        <v>337</v>
      </c>
      <c r="B507" s="1" t="s">
        <v>1649</v>
      </c>
      <c r="C507" s="1">
        <v>94</v>
      </c>
      <c r="D507" s="1">
        <v>0.5</v>
      </c>
      <c r="E507">
        <f t="shared" si="37"/>
        <v>47</v>
      </c>
      <c r="F507" s="1">
        <f t="shared" si="36"/>
        <v>56.4</v>
      </c>
    </row>
    <row r="508" spans="1:6" x14ac:dyDescent="0.25">
      <c r="A508" s="1" t="s">
        <v>337</v>
      </c>
      <c r="B508" s="1" t="s">
        <v>1650</v>
      </c>
      <c r="C508" s="1">
        <v>255</v>
      </c>
      <c r="D508" s="1">
        <v>0.5</v>
      </c>
      <c r="E508">
        <f t="shared" si="37"/>
        <v>127.5</v>
      </c>
      <c r="F508" s="1">
        <f t="shared" si="36"/>
        <v>153</v>
      </c>
    </row>
    <row r="509" spans="1:6" x14ac:dyDescent="0.25">
      <c r="A509" s="1" t="s">
        <v>337</v>
      </c>
      <c r="B509" s="1" t="s">
        <v>1651</v>
      </c>
      <c r="C509" s="1">
        <v>111.4</v>
      </c>
      <c r="D509" s="1">
        <v>0.5</v>
      </c>
      <c r="E509">
        <f t="shared" si="37"/>
        <v>55.7</v>
      </c>
      <c r="F509" s="1">
        <f t="shared" si="36"/>
        <v>66.84</v>
      </c>
    </row>
    <row r="510" spans="1:6" x14ac:dyDescent="0.25">
      <c r="A510" s="1" t="s">
        <v>337</v>
      </c>
      <c r="C510" s="1">
        <v>84</v>
      </c>
      <c r="D510" s="1">
        <v>0.5</v>
      </c>
      <c r="E510">
        <f t="shared" si="37"/>
        <v>42</v>
      </c>
      <c r="F510" s="1">
        <f t="shared" si="36"/>
        <v>50.4</v>
      </c>
    </row>
    <row r="511" spans="1:6" x14ac:dyDescent="0.25">
      <c r="A511" s="1" t="s">
        <v>337</v>
      </c>
      <c r="B511" s="1" t="s">
        <v>340</v>
      </c>
      <c r="C511" s="1">
        <v>269</v>
      </c>
      <c r="D511" s="1">
        <v>0.5</v>
      </c>
      <c r="E511">
        <f t="shared" si="37"/>
        <v>134.5</v>
      </c>
      <c r="F511" s="1">
        <f t="shared" si="36"/>
        <v>161.4</v>
      </c>
    </row>
    <row r="512" spans="1:6" x14ac:dyDescent="0.25">
      <c r="A512" s="1" t="s">
        <v>337</v>
      </c>
      <c r="B512" s="1" t="s">
        <v>341</v>
      </c>
      <c r="C512" s="1">
        <v>999</v>
      </c>
      <c r="D512" s="1">
        <v>0.5</v>
      </c>
      <c r="E512">
        <f t="shared" si="37"/>
        <v>499.5</v>
      </c>
      <c r="F512" s="1">
        <f t="shared" si="36"/>
        <v>599.4</v>
      </c>
    </row>
    <row r="513" spans="1:6" x14ac:dyDescent="0.25">
      <c r="A513" s="1" t="s">
        <v>337</v>
      </c>
      <c r="B513" s="1" t="s">
        <v>342</v>
      </c>
      <c r="C513" s="1">
        <v>149</v>
      </c>
      <c r="D513" s="1">
        <v>0.5</v>
      </c>
      <c r="E513">
        <f t="shared" si="37"/>
        <v>74.5</v>
      </c>
      <c r="F513" s="1">
        <f t="shared" si="36"/>
        <v>89.399999999999991</v>
      </c>
    </row>
    <row r="514" spans="1:6" x14ac:dyDescent="0.25">
      <c r="A514" s="1" t="s">
        <v>337</v>
      </c>
      <c r="B514" s="1" t="s">
        <v>343</v>
      </c>
      <c r="C514" s="1">
        <v>613</v>
      </c>
      <c r="D514" s="1">
        <v>0.5</v>
      </c>
      <c r="E514">
        <f t="shared" si="37"/>
        <v>306.5</v>
      </c>
      <c r="F514" s="1">
        <f t="shared" si="36"/>
        <v>367.8</v>
      </c>
    </row>
    <row r="515" spans="1:6" x14ac:dyDescent="0.25">
      <c r="A515" s="1" t="s">
        <v>337</v>
      </c>
      <c r="B515" s="1" t="s">
        <v>344</v>
      </c>
      <c r="C515" s="1">
        <v>1049</v>
      </c>
      <c r="D515" s="1">
        <v>0.5</v>
      </c>
      <c r="E515">
        <f t="shared" si="37"/>
        <v>524.5</v>
      </c>
      <c r="F515" s="1">
        <f t="shared" si="36"/>
        <v>629.4</v>
      </c>
    </row>
    <row r="516" spans="1:6" x14ac:dyDescent="0.25">
      <c r="A516" s="1" t="s">
        <v>337</v>
      </c>
      <c r="B516" s="1" t="s">
        <v>345</v>
      </c>
      <c r="C516" s="1">
        <v>339</v>
      </c>
      <c r="D516" s="1">
        <v>0.5</v>
      </c>
      <c r="E516">
        <f t="shared" si="37"/>
        <v>169.5</v>
      </c>
      <c r="F516" s="1">
        <f t="shared" si="36"/>
        <v>203.4</v>
      </c>
    </row>
    <row r="517" spans="1:6" x14ac:dyDescent="0.25">
      <c r="A517" s="1" t="s">
        <v>337</v>
      </c>
      <c r="B517" s="1" t="s">
        <v>1648</v>
      </c>
      <c r="C517" s="1">
        <v>1769</v>
      </c>
      <c r="D517" s="1">
        <v>0.5</v>
      </c>
      <c r="E517">
        <f t="shared" si="37"/>
        <v>884.5</v>
      </c>
      <c r="F517" s="1">
        <f t="shared" si="36"/>
        <v>1061.3999999999999</v>
      </c>
    </row>
    <row r="518" spans="1:6" x14ac:dyDescent="0.25">
      <c r="A518" s="1" t="s">
        <v>337</v>
      </c>
      <c r="B518" s="1" t="s">
        <v>1163</v>
      </c>
      <c r="C518" s="1">
        <v>189</v>
      </c>
      <c r="D518" s="1">
        <v>0.5</v>
      </c>
      <c r="E518">
        <f t="shared" si="37"/>
        <v>94.5</v>
      </c>
      <c r="F518" s="1">
        <f t="shared" si="36"/>
        <v>113.39999999999999</v>
      </c>
    </row>
    <row r="519" spans="1:6" x14ac:dyDescent="0.25">
      <c r="A519" s="1" t="s">
        <v>337</v>
      </c>
      <c r="B519" s="1" t="s">
        <v>346</v>
      </c>
      <c r="C519" s="1">
        <v>529</v>
      </c>
      <c r="D519" s="1">
        <v>0.5</v>
      </c>
      <c r="E519">
        <f t="shared" si="37"/>
        <v>264.5</v>
      </c>
      <c r="F519" s="1">
        <f t="shared" si="36"/>
        <v>317.39999999999998</v>
      </c>
    </row>
    <row r="520" spans="1:6" x14ac:dyDescent="0.25">
      <c r="A520" s="1" t="s">
        <v>337</v>
      </c>
      <c r="B520" s="1" t="s">
        <v>347</v>
      </c>
      <c r="C520" s="1">
        <v>189</v>
      </c>
      <c r="D520" s="1">
        <v>0.5</v>
      </c>
      <c r="E520">
        <f t="shared" si="37"/>
        <v>94.5</v>
      </c>
      <c r="F520" s="1">
        <f t="shared" si="36"/>
        <v>113.39999999999999</v>
      </c>
    </row>
    <row r="521" spans="1:6" x14ac:dyDescent="0.25">
      <c r="A521" s="1" t="s">
        <v>337</v>
      </c>
      <c r="B521" s="1" t="s">
        <v>348</v>
      </c>
      <c r="C521" s="1">
        <v>449</v>
      </c>
      <c r="D521" s="1">
        <v>0.5</v>
      </c>
      <c r="E521">
        <f t="shared" si="37"/>
        <v>224.5</v>
      </c>
      <c r="F521" s="1">
        <f t="shared" si="36"/>
        <v>269.39999999999998</v>
      </c>
    </row>
    <row r="522" spans="1:6" x14ac:dyDescent="0.25">
      <c r="A522" s="1" t="s">
        <v>337</v>
      </c>
      <c r="B522" s="1" t="s">
        <v>349</v>
      </c>
      <c r="C522" s="1">
        <v>159</v>
      </c>
      <c r="D522" s="1">
        <v>0.5</v>
      </c>
      <c r="E522">
        <f t="shared" si="37"/>
        <v>79.5</v>
      </c>
      <c r="F522" s="1">
        <f t="shared" si="36"/>
        <v>95.399999999999991</v>
      </c>
    </row>
    <row r="523" spans="1:6" x14ac:dyDescent="0.25">
      <c r="A523" s="1" t="s">
        <v>337</v>
      </c>
      <c r="B523" s="1" t="s">
        <v>350</v>
      </c>
      <c r="C523" s="1">
        <v>334</v>
      </c>
      <c r="D523" s="1">
        <v>0.45</v>
      </c>
      <c r="E523">
        <f t="shared" si="37"/>
        <v>150.30000000000001</v>
      </c>
      <c r="F523" s="1">
        <f t="shared" si="36"/>
        <v>183.70000000000002</v>
      </c>
    </row>
    <row r="524" spans="1:6" x14ac:dyDescent="0.25">
      <c r="A524" s="1" t="s">
        <v>337</v>
      </c>
      <c r="B524" s="1" t="s">
        <v>351</v>
      </c>
      <c r="C524" s="1">
        <v>529</v>
      </c>
      <c r="D524" s="1">
        <v>0.45</v>
      </c>
      <c r="E524">
        <f t="shared" si="37"/>
        <v>238.05</v>
      </c>
      <c r="F524" s="1">
        <f t="shared" si="36"/>
        <v>290.95000000000005</v>
      </c>
    </row>
    <row r="525" spans="1:6" x14ac:dyDescent="0.25">
      <c r="A525" s="1" t="s">
        <v>337</v>
      </c>
      <c r="B525" s="1" t="s">
        <v>352</v>
      </c>
      <c r="C525" s="1">
        <v>205</v>
      </c>
      <c r="D525" s="1">
        <v>0.45</v>
      </c>
      <c r="E525">
        <f t="shared" si="37"/>
        <v>92.25</v>
      </c>
      <c r="F525" s="1">
        <f t="shared" si="36"/>
        <v>112.75000000000001</v>
      </c>
    </row>
    <row r="526" spans="1:6" x14ac:dyDescent="0.25">
      <c r="A526" s="1" t="s">
        <v>337</v>
      </c>
      <c r="B526" s="1" t="s">
        <v>1450</v>
      </c>
      <c r="C526" s="1">
        <v>92</v>
      </c>
      <c r="D526" s="1">
        <v>0.45</v>
      </c>
      <c r="E526">
        <f t="shared" si="37"/>
        <v>41.4</v>
      </c>
      <c r="F526" s="1">
        <f t="shared" si="36"/>
        <v>50.6</v>
      </c>
    </row>
    <row r="527" spans="1:6" x14ac:dyDescent="0.25">
      <c r="A527" s="1" t="s">
        <v>337</v>
      </c>
      <c r="B527" s="1" t="s">
        <v>1456</v>
      </c>
      <c r="C527" s="1">
        <v>309</v>
      </c>
      <c r="D527" s="1">
        <v>0.5</v>
      </c>
      <c r="E527">
        <f t="shared" si="37"/>
        <v>154.5</v>
      </c>
      <c r="F527" s="1">
        <f t="shared" si="36"/>
        <v>185.4</v>
      </c>
    </row>
    <row r="528" spans="1:6" x14ac:dyDescent="0.25">
      <c r="A528" s="1" t="s">
        <v>337</v>
      </c>
      <c r="B528" s="1" t="s">
        <v>1450</v>
      </c>
      <c r="C528" s="1">
        <v>89</v>
      </c>
      <c r="D528" s="1">
        <v>0.5</v>
      </c>
      <c r="E528" s="3">
        <f t="shared" si="37"/>
        <v>44.5</v>
      </c>
      <c r="F528" s="1">
        <f t="shared" si="36"/>
        <v>53.4</v>
      </c>
    </row>
    <row r="529" spans="1:6" x14ac:dyDescent="0.25">
      <c r="A529" s="1" t="s">
        <v>337</v>
      </c>
      <c r="B529" s="1" t="s">
        <v>353</v>
      </c>
      <c r="C529" s="1">
        <v>425</v>
      </c>
      <c r="D529" s="1">
        <v>0.5</v>
      </c>
      <c r="E529">
        <f t="shared" si="37"/>
        <v>212.5</v>
      </c>
      <c r="F529" s="1">
        <f t="shared" si="36"/>
        <v>255</v>
      </c>
    </row>
    <row r="530" spans="1:6" x14ac:dyDescent="0.25">
      <c r="A530" s="1" t="s">
        <v>337</v>
      </c>
      <c r="B530" s="1" t="s">
        <v>354</v>
      </c>
      <c r="C530" s="1">
        <v>824</v>
      </c>
      <c r="D530" s="1">
        <v>0.5</v>
      </c>
      <c r="E530">
        <f t="shared" si="37"/>
        <v>412</v>
      </c>
      <c r="F530" s="1">
        <f t="shared" si="36"/>
        <v>494.4</v>
      </c>
    </row>
    <row r="531" spans="1:6" x14ac:dyDescent="0.25">
      <c r="A531" s="1" t="s">
        <v>337</v>
      </c>
      <c r="B531" s="1" t="s">
        <v>355</v>
      </c>
      <c r="C531" s="1">
        <v>199</v>
      </c>
      <c r="D531" s="1">
        <v>0.5</v>
      </c>
      <c r="E531">
        <f t="shared" si="37"/>
        <v>99.5</v>
      </c>
      <c r="F531" s="1">
        <f t="shared" si="36"/>
        <v>119.39999999999999</v>
      </c>
    </row>
    <row r="532" spans="1:6" x14ac:dyDescent="0.25">
      <c r="A532" s="1" t="s">
        <v>337</v>
      </c>
      <c r="B532" s="1" t="s">
        <v>1446</v>
      </c>
      <c r="C532" s="1">
        <v>445</v>
      </c>
      <c r="D532" s="1">
        <v>0.5</v>
      </c>
      <c r="E532">
        <f t="shared" si="37"/>
        <v>222.5</v>
      </c>
      <c r="F532" s="1">
        <f t="shared" si="36"/>
        <v>267</v>
      </c>
    </row>
    <row r="533" spans="1:6" x14ac:dyDescent="0.25">
      <c r="A533" s="1" t="s">
        <v>337</v>
      </c>
      <c r="B533" s="1" t="s">
        <v>1672</v>
      </c>
      <c r="C533" s="1">
        <v>1499</v>
      </c>
      <c r="D533" s="1"/>
    </row>
    <row r="534" spans="1:6" x14ac:dyDescent="0.25">
      <c r="A534" s="1" t="s">
        <v>337</v>
      </c>
      <c r="B534" s="1" t="s">
        <v>1452</v>
      </c>
      <c r="C534" s="1">
        <v>249</v>
      </c>
      <c r="D534" s="1">
        <v>0.5</v>
      </c>
      <c r="E534">
        <f t="shared" ref="E534:E551" si="38">C534*D534</f>
        <v>124.5</v>
      </c>
      <c r="F534" s="1">
        <f t="shared" ref="F534:F551" si="39">C534*(D534+0.1)</f>
        <v>149.4</v>
      </c>
    </row>
    <row r="535" spans="1:6" x14ac:dyDescent="0.25">
      <c r="A535" s="1" t="s">
        <v>337</v>
      </c>
      <c r="B535" s="1" t="s">
        <v>1453</v>
      </c>
      <c r="C535" s="1">
        <v>159</v>
      </c>
      <c r="D535" s="1">
        <v>0.5</v>
      </c>
      <c r="E535">
        <f t="shared" si="38"/>
        <v>79.5</v>
      </c>
      <c r="F535" s="1">
        <f t="shared" si="39"/>
        <v>95.399999999999991</v>
      </c>
    </row>
    <row r="536" spans="1:6" x14ac:dyDescent="0.25">
      <c r="A536" s="1" t="s">
        <v>337</v>
      </c>
      <c r="B536" s="1" t="s">
        <v>1652</v>
      </c>
      <c r="C536" s="1">
        <v>339</v>
      </c>
      <c r="D536" s="1">
        <v>0.5</v>
      </c>
      <c r="E536">
        <f t="shared" si="38"/>
        <v>169.5</v>
      </c>
      <c r="F536" s="1">
        <f t="shared" si="39"/>
        <v>203.4</v>
      </c>
    </row>
    <row r="537" spans="1:6" x14ac:dyDescent="0.25">
      <c r="A537" s="1" t="s">
        <v>337</v>
      </c>
      <c r="B537" s="1" t="s">
        <v>1653</v>
      </c>
      <c r="C537" s="1">
        <v>569</v>
      </c>
      <c r="D537" s="1">
        <v>0.5</v>
      </c>
      <c r="E537">
        <f t="shared" si="38"/>
        <v>284.5</v>
      </c>
      <c r="F537" s="1">
        <f t="shared" si="39"/>
        <v>341.4</v>
      </c>
    </row>
    <row r="538" spans="1:6" x14ac:dyDescent="0.25">
      <c r="A538" s="1" t="s">
        <v>337</v>
      </c>
      <c r="B538" s="1" t="s">
        <v>1654</v>
      </c>
      <c r="C538" s="1">
        <v>1059</v>
      </c>
      <c r="D538" s="1">
        <v>0.5</v>
      </c>
      <c r="E538">
        <f t="shared" si="38"/>
        <v>529.5</v>
      </c>
      <c r="F538" s="1">
        <f t="shared" si="39"/>
        <v>635.4</v>
      </c>
    </row>
    <row r="539" spans="1:6" x14ac:dyDescent="0.25">
      <c r="A539" s="1" t="s">
        <v>337</v>
      </c>
      <c r="B539" s="1" t="s">
        <v>1451</v>
      </c>
      <c r="C539" s="1">
        <v>119</v>
      </c>
      <c r="D539" s="1">
        <v>0.5</v>
      </c>
      <c r="E539">
        <f t="shared" si="38"/>
        <v>59.5</v>
      </c>
      <c r="F539" s="1">
        <f t="shared" si="39"/>
        <v>71.399999999999991</v>
      </c>
    </row>
    <row r="540" spans="1:6" x14ac:dyDescent="0.25">
      <c r="A540" s="1" t="s">
        <v>337</v>
      </c>
      <c r="B540" s="1" t="s">
        <v>1867</v>
      </c>
      <c r="C540" s="1">
        <v>21</v>
      </c>
      <c r="D540" s="1">
        <v>0.5</v>
      </c>
      <c r="E540">
        <f t="shared" si="38"/>
        <v>10.5</v>
      </c>
      <c r="F540" s="1">
        <f t="shared" si="39"/>
        <v>12.6</v>
      </c>
    </row>
    <row r="541" spans="1:6" x14ac:dyDescent="0.25">
      <c r="A541" s="1" t="s">
        <v>337</v>
      </c>
      <c r="B541" s="1" t="s">
        <v>1868</v>
      </c>
      <c r="C541" s="1">
        <v>38.83</v>
      </c>
      <c r="D541" s="1">
        <v>0.5</v>
      </c>
      <c r="E541">
        <f t="shared" si="38"/>
        <v>19.414999999999999</v>
      </c>
      <c r="F541" s="1">
        <f t="shared" si="39"/>
        <v>23.297999999999998</v>
      </c>
    </row>
    <row r="542" spans="1:6" x14ac:dyDescent="0.25">
      <c r="A542" s="1" t="s">
        <v>337</v>
      </c>
      <c r="B542" s="1" t="s">
        <v>1869</v>
      </c>
      <c r="C542" s="1">
        <v>77</v>
      </c>
      <c r="D542" s="1">
        <v>0.5</v>
      </c>
      <c r="E542">
        <f t="shared" si="38"/>
        <v>38.5</v>
      </c>
      <c r="F542" s="1">
        <f t="shared" si="39"/>
        <v>46.199999999999996</v>
      </c>
    </row>
    <row r="543" spans="1:6" x14ac:dyDescent="0.25">
      <c r="A543" s="1" t="s">
        <v>337</v>
      </c>
      <c r="B543" s="1" t="s">
        <v>1454</v>
      </c>
      <c r="C543" s="1">
        <v>205</v>
      </c>
      <c r="D543" s="1">
        <v>0.5</v>
      </c>
      <c r="E543">
        <f t="shared" si="38"/>
        <v>102.5</v>
      </c>
      <c r="F543" s="1">
        <f t="shared" si="39"/>
        <v>123</v>
      </c>
    </row>
    <row r="544" spans="1:6" x14ac:dyDescent="0.25">
      <c r="A544" s="1" t="s">
        <v>337</v>
      </c>
      <c r="B544" s="1" t="s">
        <v>1162</v>
      </c>
      <c r="C544" s="1">
        <v>166</v>
      </c>
      <c r="D544" s="1">
        <v>0.5</v>
      </c>
      <c r="E544">
        <f t="shared" si="38"/>
        <v>83</v>
      </c>
      <c r="F544" s="1">
        <f t="shared" si="39"/>
        <v>99.6</v>
      </c>
    </row>
    <row r="545" spans="1:6" x14ac:dyDescent="0.25">
      <c r="A545" s="1" t="s">
        <v>337</v>
      </c>
      <c r="B545" s="1" t="s">
        <v>1447</v>
      </c>
      <c r="C545" s="1">
        <v>154</v>
      </c>
      <c r="D545" s="1">
        <v>0.5</v>
      </c>
      <c r="E545">
        <f t="shared" si="38"/>
        <v>77</v>
      </c>
      <c r="F545" s="1">
        <f t="shared" si="39"/>
        <v>92.399999999999991</v>
      </c>
    </row>
    <row r="546" spans="1:6" x14ac:dyDescent="0.25">
      <c r="A546" s="1" t="s">
        <v>337</v>
      </c>
      <c r="B546" s="1" t="s">
        <v>356</v>
      </c>
      <c r="C546" s="1">
        <v>55</v>
      </c>
      <c r="D546" s="1">
        <v>0.5</v>
      </c>
      <c r="E546">
        <f t="shared" si="38"/>
        <v>27.5</v>
      </c>
      <c r="F546" s="1">
        <f t="shared" si="39"/>
        <v>33</v>
      </c>
    </row>
    <row r="547" spans="1:6" x14ac:dyDescent="0.25">
      <c r="A547" s="1" t="s">
        <v>337</v>
      </c>
      <c r="B547" s="1" t="s">
        <v>357</v>
      </c>
      <c r="C547" s="1">
        <v>102</v>
      </c>
      <c r="D547" s="1">
        <v>0.5</v>
      </c>
      <c r="E547">
        <f t="shared" si="38"/>
        <v>51</v>
      </c>
      <c r="F547" s="1">
        <f t="shared" si="39"/>
        <v>61.199999999999996</v>
      </c>
    </row>
    <row r="548" spans="1:6" x14ac:dyDescent="0.25">
      <c r="A548" s="1" t="s">
        <v>337</v>
      </c>
      <c r="B548" s="1" t="s">
        <v>358</v>
      </c>
      <c r="C548" s="1">
        <v>139</v>
      </c>
      <c r="D548" s="1">
        <v>0.5</v>
      </c>
      <c r="E548">
        <f t="shared" si="38"/>
        <v>69.5</v>
      </c>
      <c r="F548" s="1">
        <f t="shared" si="39"/>
        <v>83.399999999999991</v>
      </c>
    </row>
    <row r="549" spans="1:6" x14ac:dyDescent="0.25">
      <c r="A549" s="1" t="s">
        <v>337</v>
      </c>
      <c r="B549" s="1" t="s">
        <v>359</v>
      </c>
      <c r="C549" s="1">
        <v>239</v>
      </c>
      <c r="D549" s="1">
        <v>0.5</v>
      </c>
      <c r="E549">
        <f t="shared" si="38"/>
        <v>119.5</v>
      </c>
      <c r="F549" s="1">
        <f t="shared" si="39"/>
        <v>143.4</v>
      </c>
    </row>
    <row r="550" spans="1:6" s="9" customFormat="1" ht="15.75" thickBot="1" x14ac:dyDescent="0.3">
      <c r="A550" s="9" t="s">
        <v>337</v>
      </c>
      <c r="B550" s="9" t="s">
        <v>360</v>
      </c>
      <c r="C550" s="9">
        <v>399</v>
      </c>
      <c r="D550" s="9">
        <v>0.5</v>
      </c>
      <c r="E550">
        <f t="shared" si="38"/>
        <v>199.5</v>
      </c>
      <c r="F550" s="9">
        <f t="shared" si="39"/>
        <v>239.39999999999998</v>
      </c>
    </row>
    <row r="551" spans="1:6" s="7" customFormat="1" x14ac:dyDescent="0.25">
      <c r="A551" s="7" t="s">
        <v>361</v>
      </c>
      <c r="B551" s="7" t="s">
        <v>362</v>
      </c>
      <c r="C551" s="7">
        <v>60</v>
      </c>
      <c r="D551" s="7">
        <v>0.5</v>
      </c>
      <c r="E551" s="8">
        <f t="shared" si="38"/>
        <v>30</v>
      </c>
      <c r="F551" s="7">
        <f t="shared" si="39"/>
        <v>36</v>
      </c>
    </row>
    <row r="552" spans="1:6" x14ac:dyDescent="0.25">
      <c r="A552" s="1" t="s">
        <v>361</v>
      </c>
      <c r="B552" s="1" t="s">
        <v>363</v>
      </c>
      <c r="C552" s="1">
        <v>600</v>
      </c>
      <c r="D552" s="1"/>
      <c r="E552" s="3"/>
    </row>
    <row r="553" spans="1:6" s="18" customFormat="1" x14ac:dyDescent="0.25">
      <c r="A553" s="18" t="s">
        <v>361</v>
      </c>
      <c r="B553" s="18" t="s">
        <v>364</v>
      </c>
      <c r="C553" s="18">
        <v>390</v>
      </c>
      <c r="D553" s="18">
        <v>0.5</v>
      </c>
      <c r="E553" s="19">
        <f>C553*D553</f>
        <v>195</v>
      </c>
      <c r="F553" s="18">
        <f>C553*(D553+0.1)</f>
        <v>234</v>
      </c>
    </row>
    <row r="554" spans="1:6" s="18" customFormat="1" x14ac:dyDescent="0.25">
      <c r="A554" s="18" t="s">
        <v>361</v>
      </c>
      <c r="B554" s="18" t="s">
        <v>365</v>
      </c>
      <c r="C554" s="18">
        <v>825</v>
      </c>
      <c r="D554" s="18">
        <v>0.5</v>
      </c>
      <c r="E554" s="19">
        <f>C554*D554</f>
        <v>412.5</v>
      </c>
      <c r="F554" s="18">
        <f>C554*(D554+0.1)</f>
        <v>495</v>
      </c>
    </row>
    <row r="555" spans="1:6" x14ac:dyDescent="0.25">
      <c r="A555" s="1" t="s">
        <v>361</v>
      </c>
      <c r="B555" s="1" t="s">
        <v>366</v>
      </c>
      <c r="C555" s="1">
        <v>160</v>
      </c>
      <c r="D555" s="1"/>
      <c r="E555" s="3"/>
    </row>
    <row r="556" spans="1:6" x14ac:dyDescent="0.25">
      <c r="A556" s="1" t="s">
        <v>361</v>
      </c>
      <c r="B556" s="1" t="s">
        <v>367</v>
      </c>
      <c r="C556" s="1">
        <v>325</v>
      </c>
      <c r="D556" s="1">
        <v>0.5</v>
      </c>
      <c r="E556" s="3">
        <f t="shared" ref="E556:E572" si="40">C556*D556</f>
        <v>162.5</v>
      </c>
      <c r="F556" s="1">
        <f t="shared" ref="F556:F572" si="41">C556*(D556+0.1)</f>
        <v>195</v>
      </c>
    </row>
    <row r="557" spans="1:6" x14ac:dyDescent="0.25">
      <c r="A557" s="1" t="s">
        <v>361</v>
      </c>
      <c r="B557" s="1" t="s">
        <v>368</v>
      </c>
      <c r="C557" s="1">
        <v>600</v>
      </c>
      <c r="D557" s="2">
        <v>0.47</v>
      </c>
      <c r="E557" s="3">
        <f t="shared" si="40"/>
        <v>282</v>
      </c>
      <c r="F557" s="1">
        <f t="shared" si="41"/>
        <v>341.99999999999994</v>
      </c>
    </row>
    <row r="558" spans="1:6" x14ac:dyDescent="0.25">
      <c r="A558" s="1" t="s">
        <v>361</v>
      </c>
      <c r="B558" s="1" t="s">
        <v>369</v>
      </c>
      <c r="C558" s="1">
        <v>390</v>
      </c>
      <c r="D558" s="2">
        <v>0.47</v>
      </c>
      <c r="E558" s="3">
        <f t="shared" si="40"/>
        <v>183.29999999999998</v>
      </c>
      <c r="F558" s="1">
        <f t="shared" si="41"/>
        <v>222.29999999999998</v>
      </c>
    </row>
    <row r="559" spans="1:6" x14ac:dyDescent="0.25">
      <c r="A559" s="1" t="s">
        <v>361</v>
      </c>
      <c r="B559" s="1" t="s">
        <v>370</v>
      </c>
      <c r="C559" s="1">
        <v>825</v>
      </c>
      <c r="D559" s="2">
        <v>0.41</v>
      </c>
      <c r="E559" s="3">
        <f t="shared" si="40"/>
        <v>338.25</v>
      </c>
      <c r="F559" s="1">
        <f t="shared" si="41"/>
        <v>420.75</v>
      </c>
    </row>
    <row r="560" spans="1:6" x14ac:dyDescent="0.25">
      <c r="A560" s="1" t="s">
        <v>361</v>
      </c>
      <c r="B560" s="1" t="s">
        <v>371</v>
      </c>
      <c r="C560" s="1">
        <v>1080</v>
      </c>
      <c r="D560" s="2">
        <v>0.49</v>
      </c>
      <c r="E560" s="3">
        <f t="shared" si="40"/>
        <v>529.20000000000005</v>
      </c>
      <c r="F560" s="1">
        <f t="shared" si="41"/>
        <v>637.19999999999993</v>
      </c>
    </row>
    <row r="561" spans="1:6" x14ac:dyDescent="0.25">
      <c r="A561" s="1" t="s">
        <v>361</v>
      </c>
      <c r="B561" s="1" t="s">
        <v>372</v>
      </c>
      <c r="C561" s="1">
        <v>160</v>
      </c>
      <c r="D561" s="2">
        <v>0.6</v>
      </c>
      <c r="E561" s="3">
        <f t="shared" si="40"/>
        <v>96</v>
      </c>
      <c r="F561" s="1">
        <f t="shared" si="41"/>
        <v>112</v>
      </c>
    </row>
    <row r="562" spans="1:6" x14ac:dyDescent="0.25">
      <c r="A562" s="1" t="s">
        <v>361</v>
      </c>
      <c r="B562" s="1" t="s">
        <v>373</v>
      </c>
      <c r="C562" s="1">
        <v>325</v>
      </c>
      <c r="D562" s="2">
        <v>0.57999999999999996</v>
      </c>
      <c r="E562" s="3">
        <f t="shared" si="40"/>
        <v>188.5</v>
      </c>
      <c r="F562" s="1">
        <f t="shared" si="41"/>
        <v>220.99999999999997</v>
      </c>
    </row>
    <row r="563" spans="1:6" s="21" customFormat="1" ht="15.75" thickBot="1" x14ac:dyDescent="0.3">
      <c r="A563" s="21" t="s">
        <v>361</v>
      </c>
      <c r="B563" s="21" t="s">
        <v>374</v>
      </c>
      <c r="C563" s="21">
        <v>60</v>
      </c>
      <c r="D563" s="23">
        <v>0.49</v>
      </c>
      <c r="E563" s="22">
        <f t="shared" si="40"/>
        <v>29.4</v>
      </c>
      <c r="F563" s="21">
        <f t="shared" si="41"/>
        <v>35.4</v>
      </c>
    </row>
    <row r="564" spans="1:6" s="17" customFormat="1" x14ac:dyDescent="0.25">
      <c r="A564" s="17" t="s">
        <v>375</v>
      </c>
      <c r="B564" s="17" t="s">
        <v>376</v>
      </c>
      <c r="C564" s="17">
        <v>38</v>
      </c>
      <c r="D564" s="17">
        <v>0.6</v>
      </c>
      <c r="E564" s="20">
        <f t="shared" si="40"/>
        <v>22.8</v>
      </c>
      <c r="F564" s="17">
        <f t="shared" si="41"/>
        <v>26.599999999999998</v>
      </c>
    </row>
    <row r="565" spans="1:6" x14ac:dyDescent="0.25">
      <c r="A565" s="1" t="s">
        <v>375</v>
      </c>
      <c r="B565" s="1" t="s">
        <v>377</v>
      </c>
      <c r="C565" s="1">
        <v>40</v>
      </c>
      <c r="D565" s="1">
        <v>0.65</v>
      </c>
      <c r="E565" s="3">
        <f t="shared" si="40"/>
        <v>26</v>
      </c>
      <c r="F565" s="1">
        <f t="shared" si="41"/>
        <v>30</v>
      </c>
    </row>
    <row r="566" spans="1:6" x14ac:dyDescent="0.25">
      <c r="A566" s="1" t="s">
        <v>375</v>
      </c>
      <c r="B566" s="1" t="s">
        <v>378</v>
      </c>
      <c r="C566" s="1">
        <v>66</v>
      </c>
      <c r="D566" s="1">
        <v>0.65</v>
      </c>
      <c r="E566" s="3">
        <f t="shared" si="40"/>
        <v>42.9</v>
      </c>
      <c r="F566" s="1">
        <f t="shared" si="41"/>
        <v>49.5</v>
      </c>
    </row>
    <row r="567" spans="1:6" x14ac:dyDescent="0.25">
      <c r="A567" s="1" t="s">
        <v>375</v>
      </c>
      <c r="B567" s="1" t="s">
        <v>379</v>
      </c>
      <c r="C567" s="1">
        <v>5</v>
      </c>
      <c r="D567" s="1">
        <v>0.65</v>
      </c>
      <c r="E567" s="3">
        <f t="shared" si="40"/>
        <v>3.25</v>
      </c>
      <c r="F567" s="1">
        <f t="shared" si="41"/>
        <v>3.75</v>
      </c>
    </row>
    <row r="568" spans="1:6" s="9" customFormat="1" ht="15.75" thickBot="1" x14ac:dyDescent="0.3">
      <c r="A568" s="9" t="s">
        <v>375</v>
      </c>
      <c r="B568" s="9" t="s">
        <v>380</v>
      </c>
      <c r="C568" s="9">
        <v>42</v>
      </c>
      <c r="D568" s="9">
        <v>0.6</v>
      </c>
      <c r="E568" s="11">
        <f t="shared" si="40"/>
        <v>25.2</v>
      </c>
      <c r="F568" s="9">
        <f t="shared" si="41"/>
        <v>29.4</v>
      </c>
    </row>
    <row r="569" spans="1:6" s="7" customFormat="1" x14ac:dyDescent="0.25">
      <c r="A569" s="7" t="s">
        <v>381</v>
      </c>
      <c r="B569" s="7" t="s">
        <v>382</v>
      </c>
      <c r="E569" s="8">
        <f t="shared" si="40"/>
        <v>0</v>
      </c>
      <c r="F569" s="7">
        <f t="shared" si="41"/>
        <v>0</v>
      </c>
    </row>
    <row r="570" spans="1:6" x14ac:dyDescent="0.25">
      <c r="A570" s="1" t="s">
        <v>381</v>
      </c>
      <c r="B570" s="1" t="s">
        <v>383</v>
      </c>
      <c r="D570" s="1"/>
      <c r="E570" s="3">
        <f t="shared" si="40"/>
        <v>0</v>
      </c>
      <c r="F570" s="1">
        <f t="shared" si="41"/>
        <v>0</v>
      </c>
    </row>
    <row r="571" spans="1:6" x14ac:dyDescent="0.25">
      <c r="A571" s="1" t="s">
        <v>381</v>
      </c>
      <c r="B571" s="1" t="s">
        <v>384</v>
      </c>
      <c r="D571" s="1"/>
      <c r="E571" s="3">
        <f t="shared" si="40"/>
        <v>0</v>
      </c>
      <c r="F571" s="1">
        <f t="shared" si="41"/>
        <v>0</v>
      </c>
    </row>
    <row r="572" spans="1:6" s="9" customFormat="1" ht="15.75" thickBot="1" x14ac:dyDescent="0.3">
      <c r="A572" s="9" t="s">
        <v>381</v>
      </c>
      <c r="B572" s="9" t="s">
        <v>385</v>
      </c>
      <c r="E572" s="11">
        <f t="shared" si="40"/>
        <v>0</v>
      </c>
      <c r="F572" s="9">
        <f t="shared" si="41"/>
        <v>0</v>
      </c>
    </row>
    <row r="573" spans="1:6" s="27" customFormat="1" x14ac:dyDescent="0.25">
      <c r="A573" s="27" t="s">
        <v>386</v>
      </c>
      <c r="B573" s="27" t="s">
        <v>1168</v>
      </c>
      <c r="C573" s="27">
        <v>820</v>
      </c>
      <c r="D573" s="27">
        <v>0.45</v>
      </c>
      <c r="E573" s="28"/>
    </row>
    <row r="574" spans="1:6" s="7" customFormat="1" x14ac:dyDescent="0.25">
      <c r="A574" s="7" t="s">
        <v>386</v>
      </c>
      <c r="B574" s="7" t="s">
        <v>387</v>
      </c>
      <c r="C574" s="7">
        <v>400</v>
      </c>
      <c r="D574" s="7">
        <v>0.45</v>
      </c>
      <c r="E574" s="8">
        <f t="shared" ref="E574:E598" si="42">C574*D574</f>
        <v>180</v>
      </c>
      <c r="F574" s="7">
        <f t="shared" ref="F574:F598" si="43">C574*(D574+0.1)</f>
        <v>220.00000000000003</v>
      </c>
    </row>
    <row r="575" spans="1:6" x14ac:dyDescent="0.25">
      <c r="A575" s="1" t="s">
        <v>386</v>
      </c>
      <c r="B575" s="1" t="s">
        <v>388</v>
      </c>
      <c r="C575" s="1">
        <v>730</v>
      </c>
      <c r="D575" s="1">
        <v>0.45</v>
      </c>
      <c r="E575" s="3">
        <f t="shared" si="42"/>
        <v>328.5</v>
      </c>
      <c r="F575" s="1">
        <f t="shared" si="43"/>
        <v>401.50000000000006</v>
      </c>
    </row>
    <row r="576" spans="1:6" x14ac:dyDescent="0.25">
      <c r="A576" s="1" t="s">
        <v>386</v>
      </c>
      <c r="B576" s="1" t="s">
        <v>389</v>
      </c>
      <c r="C576" s="1">
        <v>570</v>
      </c>
      <c r="D576" s="1">
        <v>0.45</v>
      </c>
      <c r="E576" s="3">
        <f t="shared" si="42"/>
        <v>256.5</v>
      </c>
      <c r="F576" s="1">
        <f t="shared" si="43"/>
        <v>313.5</v>
      </c>
    </row>
    <row r="577" spans="1:6" x14ac:dyDescent="0.25">
      <c r="A577" s="1" t="s">
        <v>386</v>
      </c>
      <c r="B577" s="1" t="s">
        <v>390</v>
      </c>
      <c r="C577" s="1">
        <v>1150</v>
      </c>
      <c r="D577" s="1">
        <v>0.45</v>
      </c>
      <c r="E577" s="3">
        <f t="shared" si="42"/>
        <v>517.5</v>
      </c>
      <c r="F577" s="1">
        <f t="shared" si="43"/>
        <v>632.5</v>
      </c>
    </row>
    <row r="578" spans="1:6" x14ac:dyDescent="0.25">
      <c r="A578" s="1" t="s">
        <v>386</v>
      </c>
      <c r="B578" s="1" t="s">
        <v>1169</v>
      </c>
      <c r="C578" s="1">
        <v>210</v>
      </c>
      <c r="D578" s="1">
        <v>0.45</v>
      </c>
      <c r="E578" s="3">
        <f t="shared" si="42"/>
        <v>94.5</v>
      </c>
      <c r="F578" s="1">
        <f t="shared" si="43"/>
        <v>115.50000000000001</v>
      </c>
    </row>
    <row r="579" spans="1:6" x14ac:dyDescent="0.25">
      <c r="A579" s="1" t="s">
        <v>386</v>
      </c>
      <c r="B579" s="1" t="s">
        <v>1170</v>
      </c>
      <c r="C579" s="1">
        <v>440</v>
      </c>
      <c r="D579" s="1">
        <v>0.45</v>
      </c>
      <c r="E579" s="3">
        <f t="shared" si="42"/>
        <v>198</v>
      </c>
      <c r="F579" s="1">
        <f t="shared" si="43"/>
        <v>242.00000000000003</v>
      </c>
    </row>
    <row r="580" spans="1:6" x14ac:dyDescent="0.25">
      <c r="A580" s="1" t="s">
        <v>386</v>
      </c>
      <c r="B580" s="1" t="s">
        <v>1181</v>
      </c>
      <c r="C580" s="1">
        <v>190</v>
      </c>
      <c r="D580" s="1">
        <v>0.45</v>
      </c>
      <c r="E580" s="3">
        <f t="shared" si="42"/>
        <v>85.5</v>
      </c>
      <c r="F580" s="1">
        <f t="shared" si="43"/>
        <v>104.50000000000001</v>
      </c>
    </row>
    <row r="581" spans="1:6" x14ac:dyDescent="0.25">
      <c r="A581" s="1" t="s">
        <v>386</v>
      </c>
      <c r="B581" s="1" t="s">
        <v>1180</v>
      </c>
      <c r="C581" s="1">
        <v>350</v>
      </c>
      <c r="D581" s="1">
        <v>0.45</v>
      </c>
      <c r="E581" s="3">
        <f t="shared" si="42"/>
        <v>157.5</v>
      </c>
      <c r="F581" s="1">
        <f t="shared" si="43"/>
        <v>192.50000000000003</v>
      </c>
    </row>
    <row r="582" spans="1:6" x14ac:dyDescent="0.25">
      <c r="A582" s="1" t="s">
        <v>386</v>
      </c>
      <c r="B582" s="1" t="s">
        <v>1173</v>
      </c>
      <c r="C582" s="1">
        <v>180</v>
      </c>
      <c r="D582" s="1">
        <v>0.45</v>
      </c>
      <c r="E582" s="3">
        <f t="shared" si="42"/>
        <v>81</v>
      </c>
      <c r="F582" s="1">
        <f t="shared" si="43"/>
        <v>99.000000000000014</v>
      </c>
    </row>
    <row r="583" spans="1:6" x14ac:dyDescent="0.25">
      <c r="A583" s="1" t="s">
        <v>386</v>
      </c>
      <c r="B583" s="1" t="s">
        <v>1174</v>
      </c>
      <c r="C583" s="1">
        <v>310</v>
      </c>
      <c r="D583" s="1">
        <v>0.45</v>
      </c>
      <c r="E583" s="3">
        <f t="shared" si="42"/>
        <v>139.5</v>
      </c>
      <c r="F583" s="1">
        <f t="shared" si="43"/>
        <v>170.5</v>
      </c>
    </row>
    <row r="584" spans="1:6" x14ac:dyDescent="0.25">
      <c r="A584" s="1" t="s">
        <v>386</v>
      </c>
      <c r="B584" s="1" t="s">
        <v>1172</v>
      </c>
      <c r="C584" s="1">
        <v>30</v>
      </c>
      <c r="D584" s="1">
        <v>0.45</v>
      </c>
      <c r="E584" s="3">
        <f t="shared" si="42"/>
        <v>13.5</v>
      </c>
      <c r="F584" s="1">
        <f t="shared" si="43"/>
        <v>16.5</v>
      </c>
    </row>
    <row r="585" spans="1:6" x14ac:dyDescent="0.25">
      <c r="A585" s="1" t="s">
        <v>386</v>
      </c>
      <c r="B585" s="1" t="s">
        <v>1171</v>
      </c>
      <c r="C585" s="1">
        <v>58</v>
      </c>
      <c r="D585" s="1">
        <v>0.45</v>
      </c>
      <c r="E585" s="3">
        <f t="shared" si="42"/>
        <v>26.1</v>
      </c>
      <c r="F585" s="1">
        <f t="shared" si="43"/>
        <v>31.900000000000002</v>
      </c>
    </row>
    <row r="586" spans="1:6" x14ac:dyDescent="0.25">
      <c r="A586" s="1" t="s">
        <v>386</v>
      </c>
      <c r="B586" s="1" t="s">
        <v>1177</v>
      </c>
      <c r="C586" s="1">
        <v>200</v>
      </c>
      <c r="D586" s="1">
        <v>0.45</v>
      </c>
      <c r="E586" s="3">
        <f t="shared" si="42"/>
        <v>90</v>
      </c>
      <c r="F586" s="1">
        <f t="shared" si="43"/>
        <v>110.00000000000001</v>
      </c>
    </row>
    <row r="587" spans="1:6" x14ac:dyDescent="0.25">
      <c r="A587" s="1" t="s">
        <v>386</v>
      </c>
      <c r="B587" s="1" t="s">
        <v>1178</v>
      </c>
      <c r="C587" s="1">
        <v>390</v>
      </c>
      <c r="D587" s="1">
        <v>0.45</v>
      </c>
      <c r="E587" s="3">
        <f t="shared" si="42"/>
        <v>175.5</v>
      </c>
      <c r="F587" s="1">
        <f t="shared" si="43"/>
        <v>214.50000000000003</v>
      </c>
    </row>
    <row r="588" spans="1:6" x14ac:dyDescent="0.25">
      <c r="A588" s="1" t="s">
        <v>386</v>
      </c>
      <c r="B588" s="1" t="s">
        <v>1179</v>
      </c>
      <c r="C588" s="1">
        <v>140</v>
      </c>
      <c r="D588" s="1">
        <v>0.45</v>
      </c>
      <c r="E588" s="3">
        <f t="shared" si="42"/>
        <v>63</v>
      </c>
      <c r="F588" s="1">
        <f t="shared" si="43"/>
        <v>77</v>
      </c>
    </row>
    <row r="589" spans="1:6" x14ac:dyDescent="0.25">
      <c r="A589" s="1" t="s">
        <v>386</v>
      </c>
      <c r="B589" s="1" t="s">
        <v>394</v>
      </c>
      <c r="C589" s="1">
        <v>48</v>
      </c>
      <c r="D589" s="1">
        <v>0.45</v>
      </c>
      <c r="E589" s="3">
        <f t="shared" si="42"/>
        <v>21.6</v>
      </c>
      <c r="F589" s="1">
        <f t="shared" si="43"/>
        <v>26.400000000000002</v>
      </c>
    </row>
    <row r="590" spans="1:6" x14ac:dyDescent="0.25">
      <c r="A590" s="1" t="s">
        <v>386</v>
      </c>
      <c r="B590" s="1" t="s">
        <v>395</v>
      </c>
      <c r="C590" s="1">
        <v>140</v>
      </c>
      <c r="D590" s="1">
        <v>0.45</v>
      </c>
      <c r="E590" s="3">
        <f t="shared" si="42"/>
        <v>63</v>
      </c>
      <c r="F590" s="1">
        <f t="shared" si="43"/>
        <v>77</v>
      </c>
    </row>
    <row r="591" spans="1:6" x14ac:dyDescent="0.25">
      <c r="A591" s="1" t="s">
        <v>386</v>
      </c>
      <c r="B591" s="1" t="s">
        <v>396</v>
      </c>
      <c r="C591" s="1">
        <v>220</v>
      </c>
      <c r="D591" s="1">
        <v>0.45</v>
      </c>
      <c r="E591" s="3">
        <f t="shared" si="42"/>
        <v>99</v>
      </c>
      <c r="F591" s="1">
        <f t="shared" si="43"/>
        <v>121.00000000000001</v>
      </c>
    </row>
    <row r="592" spans="1:6" x14ac:dyDescent="0.25">
      <c r="A592" s="1" t="s">
        <v>386</v>
      </c>
      <c r="B592" s="1" t="s">
        <v>397</v>
      </c>
      <c r="C592" s="1">
        <v>200</v>
      </c>
      <c r="D592" s="1">
        <v>0.45</v>
      </c>
      <c r="E592" s="3">
        <f t="shared" si="42"/>
        <v>90</v>
      </c>
      <c r="F592" s="1">
        <f t="shared" si="43"/>
        <v>110.00000000000001</v>
      </c>
    </row>
    <row r="593" spans="1:6" s="26" customFormat="1" ht="15.75" thickBot="1" x14ac:dyDescent="0.3">
      <c r="A593" s="9" t="s">
        <v>386</v>
      </c>
      <c r="B593" s="9" t="s">
        <v>398</v>
      </c>
      <c r="C593" s="9">
        <v>350</v>
      </c>
      <c r="D593" s="9">
        <v>0.45</v>
      </c>
      <c r="E593" s="11">
        <f t="shared" si="42"/>
        <v>157.5</v>
      </c>
      <c r="F593" s="9">
        <f t="shared" si="43"/>
        <v>192.50000000000003</v>
      </c>
    </row>
    <row r="594" spans="1:6" s="26" customFormat="1" x14ac:dyDescent="0.25">
      <c r="A594" s="26" t="s">
        <v>386</v>
      </c>
      <c r="B594" s="26" t="s">
        <v>1175</v>
      </c>
      <c r="C594" s="26">
        <v>49</v>
      </c>
      <c r="D594" s="26">
        <v>0.45</v>
      </c>
      <c r="E594" s="29">
        <f t="shared" si="42"/>
        <v>22.05</v>
      </c>
      <c r="F594" s="26">
        <f t="shared" si="43"/>
        <v>26.950000000000003</v>
      </c>
    </row>
    <row r="595" spans="1:6" s="26" customFormat="1" x14ac:dyDescent="0.25">
      <c r="A595" s="26" t="s">
        <v>386</v>
      </c>
      <c r="B595" s="26" t="s">
        <v>1176</v>
      </c>
      <c r="C595" s="26">
        <v>240</v>
      </c>
      <c r="D595" s="26">
        <v>0.45</v>
      </c>
      <c r="E595" s="29">
        <f t="shared" si="42"/>
        <v>108</v>
      </c>
      <c r="F595" s="26">
        <f t="shared" si="43"/>
        <v>132</v>
      </c>
    </row>
    <row r="596" spans="1:6" s="26" customFormat="1" x14ac:dyDescent="0.25">
      <c r="A596" s="1" t="s">
        <v>386</v>
      </c>
      <c r="B596" s="1" t="s">
        <v>391</v>
      </c>
      <c r="C596" s="1">
        <v>200</v>
      </c>
      <c r="D596" s="1">
        <v>0.45</v>
      </c>
      <c r="E596" s="3">
        <f t="shared" si="42"/>
        <v>90</v>
      </c>
      <c r="F596" s="1">
        <f t="shared" si="43"/>
        <v>110.00000000000001</v>
      </c>
    </row>
    <row r="597" spans="1:6" s="26" customFormat="1" x14ac:dyDescent="0.25">
      <c r="A597" s="1" t="s">
        <v>386</v>
      </c>
      <c r="B597" s="1" t="s">
        <v>392</v>
      </c>
      <c r="C597" s="1">
        <v>1100</v>
      </c>
      <c r="D597" s="1">
        <v>0.45</v>
      </c>
      <c r="E597" s="3">
        <f t="shared" si="42"/>
        <v>495</v>
      </c>
      <c r="F597" s="1">
        <f t="shared" si="43"/>
        <v>605</v>
      </c>
    </row>
    <row r="598" spans="1:6" s="26" customFormat="1" x14ac:dyDescent="0.25">
      <c r="A598" s="1" t="s">
        <v>386</v>
      </c>
      <c r="B598" s="1" t="s">
        <v>393</v>
      </c>
      <c r="C598" s="1">
        <v>480</v>
      </c>
      <c r="D598" s="1">
        <v>0.45</v>
      </c>
      <c r="E598" s="3">
        <f t="shared" si="42"/>
        <v>216</v>
      </c>
      <c r="F598" s="1">
        <f t="shared" si="43"/>
        <v>264</v>
      </c>
    </row>
    <row r="599" spans="1:6" s="7" customFormat="1" x14ac:dyDescent="0.25">
      <c r="A599" s="7" t="s">
        <v>399</v>
      </c>
      <c r="B599" s="7" t="s">
        <v>400</v>
      </c>
      <c r="E599" s="8">
        <v>95</v>
      </c>
    </row>
    <row r="600" spans="1:6" s="9" customFormat="1" ht="15.75" thickBot="1" x14ac:dyDescent="0.3">
      <c r="A600" s="9" t="s">
        <v>399</v>
      </c>
      <c r="B600" s="9" t="s">
        <v>401</v>
      </c>
      <c r="E600" s="11">
        <v>470</v>
      </c>
      <c r="F600" s="9">
        <f t="shared" ref="F600:F612" si="44">C600*(D600+0.1)</f>
        <v>0</v>
      </c>
    </row>
    <row r="601" spans="1:6" s="13" customFormat="1" ht="15.75" thickBot="1" x14ac:dyDescent="0.3">
      <c r="A601" s="13" t="s">
        <v>402</v>
      </c>
      <c r="B601" s="13" t="s">
        <v>403</v>
      </c>
      <c r="C601" s="13">
        <v>90</v>
      </c>
      <c r="D601" s="13">
        <v>0.5</v>
      </c>
      <c r="E601" s="15">
        <f t="shared" ref="E601:E612" si="45">C601*D601</f>
        <v>45</v>
      </c>
      <c r="F601" s="13">
        <f t="shared" si="44"/>
        <v>54</v>
      </c>
    </row>
    <row r="602" spans="1:6" s="7" customFormat="1" x14ac:dyDescent="0.25">
      <c r="A602" s="7" t="s">
        <v>404</v>
      </c>
      <c r="B602" s="7" t="s">
        <v>405</v>
      </c>
      <c r="C602" s="7">
        <v>220</v>
      </c>
      <c r="D602" s="7">
        <v>0.5</v>
      </c>
      <c r="E602" s="8">
        <f t="shared" si="45"/>
        <v>110</v>
      </c>
      <c r="F602" s="7">
        <f t="shared" si="44"/>
        <v>132</v>
      </c>
    </row>
    <row r="603" spans="1:6" x14ac:dyDescent="0.25">
      <c r="A603" s="1" t="s">
        <v>404</v>
      </c>
      <c r="B603" s="1" t="s">
        <v>406</v>
      </c>
      <c r="C603" s="1">
        <v>450</v>
      </c>
      <c r="D603" s="1">
        <v>0.5</v>
      </c>
      <c r="E603" s="3">
        <f t="shared" si="45"/>
        <v>225</v>
      </c>
      <c r="F603" s="1">
        <f t="shared" si="44"/>
        <v>270</v>
      </c>
    </row>
    <row r="604" spans="1:6" s="9" customFormat="1" ht="15.75" thickBot="1" x14ac:dyDescent="0.3">
      <c r="A604" s="9" t="s">
        <v>404</v>
      </c>
      <c r="B604" s="9" t="s">
        <v>407</v>
      </c>
      <c r="C604" s="9">
        <v>104</v>
      </c>
      <c r="D604" s="9">
        <v>0.5</v>
      </c>
      <c r="E604" s="11">
        <f t="shared" si="45"/>
        <v>52</v>
      </c>
      <c r="F604" s="9">
        <f t="shared" si="44"/>
        <v>62.4</v>
      </c>
    </row>
    <row r="605" spans="1:6" s="7" customFormat="1" x14ac:dyDescent="0.25">
      <c r="A605" s="7" t="s">
        <v>408</v>
      </c>
      <c r="B605" s="7" t="s">
        <v>409</v>
      </c>
      <c r="C605" s="7">
        <v>487.5</v>
      </c>
      <c r="D605" s="7">
        <v>0.5</v>
      </c>
      <c r="E605" s="8">
        <f t="shared" si="45"/>
        <v>243.75</v>
      </c>
      <c r="F605" s="7">
        <f t="shared" si="44"/>
        <v>292.5</v>
      </c>
    </row>
    <row r="606" spans="1:6" x14ac:dyDescent="0.25">
      <c r="A606" s="1" t="s">
        <v>408</v>
      </c>
      <c r="B606" s="1" t="s">
        <v>410</v>
      </c>
      <c r="C606" s="1">
        <v>250</v>
      </c>
      <c r="D606" s="1">
        <v>0.5</v>
      </c>
      <c r="E606" s="3">
        <f t="shared" si="45"/>
        <v>125</v>
      </c>
      <c r="F606" s="1">
        <f t="shared" si="44"/>
        <v>150</v>
      </c>
    </row>
    <row r="607" spans="1:6" x14ac:dyDescent="0.25">
      <c r="A607" s="1" t="s">
        <v>408</v>
      </c>
      <c r="B607" s="1" t="s">
        <v>411</v>
      </c>
      <c r="C607" s="1">
        <v>89</v>
      </c>
      <c r="D607" s="1">
        <v>0.5</v>
      </c>
      <c r="E607" s="3">
        <f t="shared" si="45"/>
        <v>44.5</v>
      </c>
      <c r="F607" s="1">
        <f t="shared" si="44"/>
        <v>53.4</v>
      </c>
    </row>
    <row r="608" spans="1:6" x14ac:dyDescent="0.25">
      <c r="A608" s="1" t="s">
        <v>408</v>
      </c>
      <c r="B608" s="1" t="s">
        <v>412</v>
      </c>
      <c r="C608" s="1">
        <v>114.5</v>
      </c>
      <c r="D608" s="1">
        <v>0.5</v>
      </c>
      <c r="E608" s="3">
        <f t="shared" si="45"/>
        <v>57.25</v>
      </c>
      <c r="F608" s="1">
        <f t="shared" si="44"/>
        <v>68.7</v>
      </c>
    </row>
    <row r="609" spans="1:6" x14ac:dyDescent="0.25">
      <c r="A609" s="1" t="s">
        <v>408</v>
      </c>
      <c r="B609" s="1" t="s">
        <v>413</v>
      </c>
      <c r="C609" s="1">
        <v>190.5</v>
      </c>
      <c r="D609" s="1">
        <v>0.5</v>
      </c>
      <c r="E609" s="3">
        <f t="shared" si="45"/>
        <v>95.25</v>
      </c>
      <c r="F609" s="1">
        <f t="shared" si="44"/>
        <v>114.3</v>
      </c>
    </row>
    <row r="610" spans="1:6" x14ac:dyDescent="0.25">
      <c r="A610" s="1" t="s">
        <v>408</v>
      </c>
      <c r="B610" s="1" t="s">
        <v>414</v>
      </c>
      <c r="C610" s="1">
        <v>672.5</v>
      </c>
      <c r="D610" s="1">
        <v>0.5</v>
      </c>
      <c r="E610" s="3">
        <f t="shared" si="45"/>
        <v>336.25</v>
      </c>
      <c r="F610" s="1">
        <f t="shared" si="44"/>
        <v>403.5</v>
      </c>
    </row>
    <row r="611" spans="1:6" s="9" customFormat="1" ht="15.75" thickBot="1" x14ac:dyDescent="0.3">
      <c r="A611" s="9" t="s">
        <v>408</v>
      </c>
      <c r="B611" s="9" t="s">
        <v>415</v>
      </c>
      <c r="C611" s="9">
        <v>117</v>
      </c>
      <c r="D611" s="9">
        <v>0.5</v>
      </c>
      <c r="E611" s="11">
        <f t="shared" si="45"/>
        <v>58.5</v>
      </c>
      <c r="F611" s="9">
        <f t="shared" si="44"/>
        <v>70.2</v>
      </c>
    </row>
    <row r="612" spans="1:6" s="7" customFormat="1" x14ac:dyDescent="0.25">
      <c r="A612" s="7" t="s">
        <v>416</v>
      </c>
      <c r="B612" s="7" t="s">
        <v>417</v>
      </c>
      <c r="C612" s="7">
        <v>120</v>
      </c>
      <c r="D612" s="7">
        <v>0.5</v>
      </c>
      <c r="E612" s="8">
        <f t="shared" si="45"/>
        <v>60</v>
      </c>
      <c r="F612" s="7">
        <f t="shared" si="44"/>
        <v>72</v>
      </c>
    </row>
    <row r="613" spans="1:6" x14ac:dyDescent="0.25">
      <c r="A613" s="1" t="s">
        <v>416</v>
      </c>
      <c r="B613" s="1" t="s">
        <v>418</v>
      </c>
      <c r="D613" s="1"/>
      <c r="E613" s="3"/>
    </row>
    <row r="614" spans="1:6" s="9" customFormat="1" ht="15.75" thickBot="1" x14ac:dyDescent="0.3">
      <c r="A614" s="9" t="s">
        <v>416</v>
      </c>
      <c r="B614" s="9" t="s">
        <v>419</v>
      </c>
      <c r="E614" s="11"/>
    </row>
    <row r="615" spans="1:6" s="7" customFormat="1" x14ac:dyDescent="0.25">
      <c r="A615" s="7" t="s">
        <v>420</v>
      </c>
      <c r="B615" s="7" t="s">
        <v>421</v>
      </c>
      <c r="C615" s="7">
        <v>84</v>
      </c>
      <c r="D615" s="7">
        <v>0.32</v>
      </c>
      <c r="E615" s="3">
        <f t="shared" ref="E615:E644" si="46">C615*D615</f>
        <v>26.88</v>
      </c>
      <c r="F615" s="1">
        <f t="shared" ref="F615:F650" si="47">C615*(D615+0.1)</f>
        <v>35.28</v>
      </c>
    </row>
    <row r="616" spans="1:6" s="7" customFormat="1" x14ac:dyDescent="0.25">
      <c r="A616" s="7" t="s">
        <v>420</v>
      </c>
      <c r="B616" s="7" t="s">
        <v>1545</v>
      </c>
      <c r="C616" s="7">
        <v>181</v>
      </c>
      <c r="D616" s="7">
        <v>0.32</v>
      </c>
      <c r="E616" s="3">
        <f t="shared" si="46"/>
        <v>57.92</v>
      </c>
      <c r="F616" s="1">
        <f t="shared" si="47"/>
        <v>76.02000000000001</v>
      </c>
    </row>
    <row r="617" spans="1:6" s="7" customFormat="1" x14ac:dyDescent="0.25">
      <c r="A617" s="7" t="s">
        <v>420</v>
      </c>
      <c r="B617" s="7" t="s">
        <v>1529</v>
      </c>
      <c r="C617" s="7">
        <v>126.14</v>
      </c>
      <c r="D617" s="7">
        <v>0.32</v>
      </c>
      <c r="E617" s="3">
        <f t="shared" si="46"/>
        <v>40.364800000000002</v>
      </c>
      <c r="F617" s="1">
        <f t="shared" si="47"/>
        <v>52.978800000000007</v>
      </c>
    </row>
    <row r="618" spans="1:6" s="7" customFormat="1" x14ac:dyDescent="0.25">
      <c r="A618" s="7" t="s">
        <v>420</v>
      </c>
      <c r="B618" s="7" t="s">
        <v>423</v>
      </c>
      <c r="C618" s="7">
        <v>154.74</v>
      </c>
      <c r="D618" s="32">
        <v>0.32</v>
      </c>
      <c r="E618" s="3">
        <f t="shared" si="46"/>
        <v>49.516800000000003</v>
      </c>
      <c r="F618" s="1">
        <f t="shared" si="47"/>
        <v>64.990800000000007</v>
      </c>
    </row>
    <row r="619" spans="1:6" s="7" customFormat="1" x14ac:dyDescent="0.25">
      <c r="A619" s="7" t="s">
        <v>420</v>
      </c>
      <c r="B619" s="7" t="s">
        <v>1526</v>
      </c>
      <c r="C619" s="7">
        <v>106</v>
      </c>
      <c r="D619" s="32">
        <v>0.32</v>
      </c>
      <c r="E619" s="3">
        <f t="shared" si="46"/>
        <v>33.92</v>
      </c>
      <c r="F619" s="1">
        <f t="shared" si="47"/>
        <v>44.52</v>
      </c>
    </row>
    <row r="620" spans="1:6" s="7" customFormat="1" x14ac:dyDescent="0.25">
      <c r="A620" s="7" t="s">
        <v>420</v>
      </c>
      <c r="B620" s="7" t="s">
        <v>1527</v>
      </c>
      <c r="C620" s="7">
        <v>207.73</v>
      </c>
      <c r="D620" s="32">
        <v>0.32</v>
      </c>
      <c r="E620" s="3">
        <f t="shared" si="46"/>
        <v>66.473600000000005</v>
      </c>
      <c r="F620" s="1">
        <f t="shared" si="47"/>
        <v>87.246600000000001</v>
      </c>
    </row>
    <row r="621" spans="1:6" s="30" customFormat="1" x14ac:dyDescent="0.25">
      <c r="A621" s="7" t="s">
        <v>420</v>
      </c>
      <c r="B621" s="33" t="s">
        <v>1528</v>
      </c>
      <c r="C621" s="7">
        <v>360.4</v>
      </c>
      <c r="D621">
        <v>0.32</v>
      </c>
      <c r="E621" s="3">
        <f t="shared" si="46"/>
        <v>115.32799999999999</v>
      </c>
      <c r="F621" s="1">
        <f t="shared" si="47"/>
        <v>151.36799999999999</v>
      </c>
    </row>
    <row r="622" spans="1:6" s="30" customFormat="1" x14ac:dyDescent="0.25">
      <c r="A622" s="7" t="s">
        <v>420</v>
      </c>
      <c r="B622" s="33" t="s">
        <v>422</v>
      </c>
      <c r="C622" s="7">
        <v>656.14</v>
      </c>
      <c r="D622">
        <v>0.32</v>
      </c>
      <c r="E622" s="3">
        <f t="shared" si="46"/>
        <v>209.9648</v>
      </c>
      <c r="F622" s="1">
        <f t="shared" si="47"/>
        <v>275.5788</v>
      </c>
    </row>
    <row r="623" spans="1:6" s="30" customFormat="1" x14ac:dyDescent="0.25">
      <c r="A623" s="7" t="s">
        <v>420</v>
      </c>
      <c r="B623" s="33" t="s">
        <v>1530</v>
      </c>
      <c r="C623" s="7">
        <v>113</v>
      </c>
      <c r="D623">
        <v>0.32</v>
      </c>
      <c r="E623" s="3">
        <f t="shared" si="46"/>
        <v>36.160000000000004</v>
      </c>
      <c r="F623" s="1">
        <f t="shared" si="47"/>
        <v>47.460000000000008</v>
      </c>
    </row>
    <row r="624" spans="1:6" s="30" customFormat="1" x14ac:dyDescent="0.25">
      <c r="A624" s="7" t="s">
        <v>420</v>
      </c>
      <c r="B624" s="33" t="s">
        <v>1543</v>
      </c>
      <c r="C624" s="7">
        <v>209</v>
      </c>
      <c r="D624">
        <v>0.32</v>
      </c>
      <c r="E624" s="3">
        <f t="shared" si="46"/>
        <v>66.88</v>
      </c>
      <c r="F624" s="1">
        <f t="shared" si="47"/>
        <v>87.780000000000015</v>
      </c>
    </row>
    <row r="625" spans="1:6" s="30" customFormat="1" x14ac:dyDescent="0.25">
      <c r="A625" s="7" t="s">
        <v>420</v>
      </c>
      <c r="B625" s="33" t="s">
        <v>1531</v>
      </c>
      <c r="C625" s="7">
        <v>989</v>
      </c>
      <c r="D625">
        <v>0.32</v>
      </c>
      <c r="E625" s="3">
        <f t="shared" si="46"/>
        <v>316.48</v>
      </c>
      <c r="F625" s="1">
        <f t="shared" si="47"/>
        <v>415.38000000000005</v>
      </c>
    </row>
    <row r="626" spans="1:6" s="30" customFormat="1" x14ac:dyDescent="0.25">
      <c r="A626" s="7" t="s">
        <v>420</v>
      </c>
      <c r="B626" s="33" t="s">
        <v>1532</v>
      </c>
      <c r="C626" s="7">
        <v>418</v>
      </c>
      <c r="D626">
        <v>0.32</v>
      </c>
      <c r="E626" s="3">
        <f t="shared" si="46"/>
        <v>133.76</v>
      </c>
      <c r="F626" s="1">
        <f t="shared" si="47"/>
        <v>175.56000000000003</v>
      </c>
    </row>
    <row r="627" spans="1:6" s="30" customFormat="1" x14ac:dyDescent="0.25">
      <c r="A627" s="7" t="s">
        <v>420</v>
      </c>
      <c r="B627" s="33" t="s">
        <v>1535</v>
      </c>
      <c r="C627" s="7">
        <v>30</v>
      </c>
      <c r="D627">
        <v>0.32</v>
      </c>
      <c r="E627" s="3">
        <f t="shared" si="46"/>
        <v>9.6</v>
      </c>
      <c r="F627" s="1">
        <f t="shared" si="47"/>
        <v>12.600000000000001</v>
      </c>
    </row>
    <row r="628" spans="1:6" s="30" customFormat="1" x14ac:dyDescent="0.25">
      <c r="A628" s="7" t="s">
        <v>420</v>
      </c>
      <c r="B628" s="33" t="s">
        <v>1533</v>
      </c>
      <c r="C628" s="7">
        <v>63</v>
      </c>
      <c r="D628">
        <v>0.32</v>
      </c>
      <c r="E628" s="3">
        <f t="shared" si="46"/>
        <v>20.16</v>
      </c>
      <c r="F628" s="1">
        <f t="shared" si="47"/>
        <v>26.46</v>
      </c>
    </row>
    <row r="629" spans="1:6" s="30" customFormat="1" x14ac:dyDescent="0.25">
      <c r="A629" s="7" t="s">
        <v>420</v>
      </c>
      <c r="B629" s="33" t="s">
        <v>1534</v>
      </c>
      <c r="C629" s="7">
        <v>202</v>
      </c>
      <c r="D629">
        <v>0.32</v>
      </c>
      <c r="E629" s="3">
        <f t="shared" si="46"/>
        <v>64.64</v>
      </c>
      <c r="F629" s="1">
        <f t="shared" si="47"/>
        <v>84.84</v>
      </c>
    </row>
    <row r="630" spans="1:6" s="30" customFormat="1" x14ac:dyDescent="0.25">
      <c r="A630" s="7" t="s">
        <v>420</v>
      </c>
      <c r="B630" s="33" t="s">
        <v>424</v>
      </c>
      <c r="C630" s="7">
        <v>239</v>
      </c>
      <c r="D630">
        <v>0.32</v>
      </c>
      <c r="E630" s="3">
        <f t="shared" si="46"/>
        <v>76.48</v>
      </c>
      <c r="F630" s="1">
        <f t="shared" si="47"/>
        <v>100.38000000000001</v>
      </c>
    </row>
    <row r="631" spans="1:6" s="30" customFormat="1" x14ac:dyDescent="0.25">
      <c r="A631" s="7" t="s">
        <v>420</v>
      </c>
      <c r="B631" s="33" t="s">
        <v>1536</v>
      </c>
      <c r="C631" s="7">
        <v>191</v>
      </c>
      <c r="D631">
        <v>0.32</v>
      </c>
      <c r="E631" s="3">
        <f t="shared" si="46"/>
        <v>61.120000000000005</v>
      </c>
      <c r="F631" s="1">
        <f t="shared" si="47"/>
        <v>80.220000000000013</v>
      </c>
    </row>
    <row r="632" spans="1:6" s="30" customFormat="1" x14ac:dyDescent="0.25">
      <c r="A632" s="7" t="s">
        <v>420</v>
      </c>
      <c r="B632" s="33" t="s">
        <v>425</v>
      </c>
      <c r="C632" s="7">
        <v>144</v>
      </c>
      <c r="D632">
        <v>0.32</v>
      </c>
      <c r="E632" s="3">
        <f t="shared" si="46"/>
        <v>46.08</v>
      </c>
      <c r="F632" s="1">
        <f t="shared" si="47"/>
        <v>60.480000000000004</v>
      </c>
    </row>
    <row r="633" spans="1:6" s="30" customFormat="1" x14ac:dyDescent="0.25">
      <c r="A633" s="7" t="s">
        <v>420</v>
      </c>
      <c r="B633" s="33" t="s">
        <v>426</v>
      </c>
      <c r="C633" s="7">
        <v>146</v>
      </c>
      <c r="D633">
        <v>0.32</v>
      </c>
      <c r="E633" s="3">
        <f t="shared" si="46"/>
        <v>46.72</v>
      </c>
      <c r="F633" s="1">
        <f t="shared" si="47"/>
        <v>61.320000000000007</v>
      </c>
    </row>
    <row r="634" spans="1:6" s="30" customFormat="1" x14ac:dyDescent="0.25">
      <c r="A634" s="7" t="s">
        <v>420</v>
      </c>
      <c r="B634" s="33" t="s">
        <v>1537</v>
      </c>
      <c r="C634" s="7">
        <v>173</v>
      </c>
      <c r="D634">
        <v>0.32</v>
      </c>
      <c r="E634" s="3">
        <f t="shared" si="46"/>
        <v>55.36</v>
      </c>
      <c r="F634" s="1">
        <f t="shared" si="47"/>
        <v>72.660000000000011</v>
      </c>
    </row>
    <row r="635" spans="1:6" s="30" customFormat="1" x14ac:dyDescent="0.25">
      <c r="A635" s="7" t="s">
        <v>420</v>
      </c>
      <c r="B635" s="33" t="s">
        <v>1544</v>
      </c>
      <c r="C635" s="7">
        <v>233</v>
      </c>
      <c r="D635">
        <v>0.32</v>
      </c>
      <c r="E635" s="3">
        <f t="shared" si="46"/>
        <v>74.56</v>
      </c>
      <c r="F635" s="1">
        <f t="shared" si="47"/>
        <v>97.860000000000014</v>
      </c>
    </row>
    <row r="636" spans="1:6" s="30" customFormat="1" x14ac:dyDescent="0.25">
      <c r="A636" s="7" t="s">
        <v>420</v>
      </c>
      <c r="B636" s="33" t="s">
        <v>1538</v>
      </c>
      <c r="C636" s="7">
        <v>0</v>
      </c>
      <c r="D636">
        <v>0.32</v>
      </c>
      <c r="E636" s="3">
        <f t="shared" si="46"/>
        <v>0</v>
      </c>
      <c r="F636" s="1">
        <f t="shared" si="47"/>
        <v>0</v>
      </c>
    </row>
    <row r="637" spans="1:6" s="30" customFormat="1" x14ac:dyDescent="0.25">
      <c r="A637" s="7" t="s">
        <v>420</v>
      </c>
      <c r="B637" s="33" t="s">
        <v>1539</v>
      </c>
      <c r="C637" s="7">
        <v>63</v>
      </c>
      <c r="D637">
        <v>0.32</v>
      </c>
      <c r="E637" s="3">
        <f t="shared" si="46"/>
        <v>20.16</v>
      </c>
      <c r="F637" s="1">
        <f t="shared" si="47"/>
        <v>26.46</v>
      </c>
    </row>
    <row r="638" spans="1:6" s="24" customFormat="1" x14ac:dyDescent="0.25">
      <c r="A638" s="7" t="s">
        <v>420</v>
      </c>
      <c r="B638" s="34" t="s">
        <v>427</v>
      </c>
      <c r="C638" s="24">
        <v>92</v>
      </c>
      <c r="D638" s="24">
        <v>0.32</v>
      </c>
      <c r="E638" s="3">
        <f t="shared" si="46"/>
        <v>29.44</v>
      </c>
      <c r="F638" s="1">
        <f t="shared" si="47"/>
        <v>38.64</v>
      </c>
    </row>
    <row r="639" spans="1:6" s="24" customFormat="1" x14ac:dyDescent="0.25">
      <c r="A639" s="24" t="s">
        <v>420</v>
      </c>
      <c r="B639" s="34" t="s">
        <v>428</v>
      </c>
      <c r="C639" s="24">
        <v>144</v>
      </c>
      <c r="D639" s="24">
        <v>0.32</v>
      </c>
      <c r="E639" s="3">
        <f t="shared" si="46"/>
        <v>46.08</v>
      </c>
      <c r="F639" s="1">
        <f t="shared" si="47"/>
        <v>60.480000000000004</v>
      </c>
    </row>
    <row r="640" spans="1:6" s="24" customFormat="1" ht="15.75" thickBot="1" x14ac:dyDescent="0.3">
      <c r="A640" s="7" t="s">
        <v>420</v>
      </c>
      <c r="B640" s="35" t="s">
        <v>429</v>
      </c>
      <c r="C640" s="25">
        <v>372</v>
      </c>
      <c r="D640" s="24">
        <v>0.32</v>
      </c>
      <c r="E640" s="3">
        <f t="shared" si="46"/>
        <v>119.04</v>
      </c>
      <c r="F640" s="1">
        <f t="shared" si="47"/>
        <v>156.24</v>
      </c>
    </row>
    <row r="641" spans="1:6" s="24" customFormat="1" x14ac:dyDescent="0.25">
      <c r="A641" s="7" t="s">
        <v>420</v>
      </c>
      <c r="B641" s="34" t="s">
        <v>1540</v>
      </c>
      <c r="C641" s="24">
        <v>144</v>
      </c>
      <c r="D641" s="24">
        <v>0.32</v>
      </c>
      <c r="E641" s="3">
        <f t="shared" si="46"/>
        <v>46.08</v>
      </c>
      <c r="F641" s="1">
        <f t="shared" si="47"/>
        <v>60.480000000000004</v>
      </c>
    </row>
    <row r="642" spans="1:6" s="31" customFormat="1" x14ac:dyDescent="0.25">
      <c r="A642" s="7" t="s">
        <v>420</v>
      </c>
      <c r="B642" s="36" t="s">
        <v>1541</v>
      </c>
      <c r="C642" s="31">
        <v>217</v>
      </c>
      <c r="D642" s="31">
        <v>0.32</v>
      </c>
      <c r="E642" s="3">
        <f t="shared" si="46"/>
        <v>69.44</v>
      </c>
      <c r="F642" s="1">
        <f t="shared" si="47"/>
        <v>91.140000000000015</v>
      </c>
    </row>
    <row r="643" spans="1:6" s="31" customFormat="1" x14ac:dyDescent="0.25">
      <c r="A643" s="7" t="s">
        <v>420</v>
      </c>
      <c r="B643" s="36" t="s">
        <v>1542</v>
      </c>
      <c r="C643" s="31">
        <v>268</v>
      </c>
      <c r="D643" s="31">
        <v>0.32</v>
      </c>
      <c r="E643" s="3">
        <f t="shared" si="46"/>
        <v>85.76</v>
      </c>
      <c r="F643" s="1">
        <f t="shared" si="47"/>
        <v>112.56000000000002</v>
      </c>
    </row>
    <row r="644" spans="1:6" s="25" customFormat="1" ht="15.75" thickBot="1" x14ac:dyDescent="0.3">
      <c r="A644" s="25" t="s">
        <v>420</v>
      </c>
      <c r="C644" s="25">
        <v>372</v>
      </c>
      <c r="D644" s="25">
        <v>0</v>
      </c>
      <c r="E644" s="3">
        <f t="shared" si="46"/>
        <v>0</v>
      </c>
      <c r="F644" s="1">
        <f t="shared" si="47"/>
        <v>37.200000000000003</v>
      </c>
    </row>
    <row r="645" spans="1:6" s="7" customFormat="1" x14ac:dyDescent="0.25">
      <c r="A645" s="7" t="s">
        <v>430</v>
      </c>
      <c r="B645" s="7" t="s">
        <v>431</v>
      </c>
      <c r="E645" s="8">
        <v>370</v>
      </c>
      <c r="F645" s="7">
        <f t="shared" si="47"/>
        <v>0</v>
      </c>
    </row>
    <row r="646" spans="1:6" x14ac:dyDescent="0.25">
      <c r="A646" s="1" t="s">
        <v>430</v>
      </c>
      <c r="B646" s="1" t="s">
        <v>432</v>
      </c>
      <c r="D646" s="1"/>
      <c r="E646" s="3">
        <v>31</v>
      </c>
      <c r="F646" s="1">
        <f t="shared" si="47"/>
        <v>0</v>
      </c>
    </row>
    <row r="647" spans="1:6" x14ac:dyDescent="0.25">
      <c r="A647" s="1" t="s">
        <v>430</v>
      </c>
      <c r="B647" s="1" t="s">
        <v>433</v>
      </c>
      <c r="D647" s="1"/>
      <c r="E647" s="3">
        <v>425</v>
      </c>
      <c r="F647" s="1">
        <f t="shared" si="47"/>
        <v>0</v>
      </c>
    </row>
    <row r="648" spans="1:6" x14ac:dyDescent="0.25">
      <c r="A648" s="1" t="s">
        <v>430</v>
      </c>
      <c r="B648" s="1" t="s">
        <v>434</v>
      </c>
      <c r="D648" s="1"/>
      <c r="E648" s="3">
        <v>65</v>
      </c>
      <c r="F648" s="1">
        <f t="shared" si="47"/>
        <v>0</v>
      </c>
    </row>
    <row r="649" spans="1:6" s="9" customFormat="1" ht="15.75" thickBot="1" x14ac:dyDescent="0.3">
      <c r="A649" s="9" t="s">
        <v>430</v>
      </c>
      <c r="B649" s="9" t="s">
        <v>220</v>
      </c>
      <c r="E649" s="11" t="e">
        <f>#REF!*D649</f>
        <v>#REF!</v>
      </c>
      <c r="F649" s="9">
        <f t="shared" si="47"/>
        <v>0</v>
      </c>
    </row>
    <row r="650" spans="1:6" s="7" customFormat="1" x14ac:dyDescent="0.25">
      <c r="A650" s="7" t="s">
        <v>435</v>
      </c>
      <c r="B650" s="7" t="s">
        <v>1395</v>
      </c>
      <c r="C650" s="7">
        <v>225</v>
      </c>
      <c r="D650" s="7">
        <v>0.7</v>
      </c>
      <c r="E650" s="8" t="e">
        <f>#REF!*D650</f>
        <v>#REF!</v>
      </c>
      <c r="F650" s="7">
        <f t="shared" si="47"/>
        <v>179.99999999999997</v>
      </c>
    </row>
    <row r="651" spans="1:6" s="7" customFormat="1" x14ac:dyDescent="0.25">
      <c r="A651" s="7" t="s">
        <v>435</v>
      </c>
      <c r="B651" s="7" t="s">
        <v>1394</v>
      </c>
      <c r="E651" s="8"/>
    </row>
    <row r="652" spans="1:6" x14ac:dyDescent="0.25">
      <c r="A652" s="1" t="s">
        <v>435</v>
      </c>
      <c r="B652" s="1" t="s">
        <v>436</v>
      </c>
      <c r="C652" s="1">
        <v>1206</v>
      </c>
      <c r="D652" s="1">
        <v>0.7</v>
      </c>
      <c r="E652" s="3" t="e">
        <f>#REF!*D652</f>
        <v>#REF!</v>
      </c>
      <c r="F652" s="1">
        <f>C652*(D652+0.1)</f>
        <v>964.8</v>
      </c>
    </row>
    <row r="653" spans="1:6" x14ac:dyDescent="0.25">
      <c r="A653" s="1" t="s">
        <v>435</v>
      </c>
      <c r="B653" s="1" t="s">
        <v>437</v>
      </c>
      <c r="C653" s="1">
        <v>208</v>
      </c>
      <c r="D653" s="1">
        <v>0.7</v>
      </c>
      <c r="E653" s="3" t="e">
        <f>#REF!*D653</f>
        <v>#REF!</v>
      </c>
      <c r="F653" s="1">
        <f>C653*(D653+0.1)</f>
        <v>166.39999999999998</v>
      </c>
    </row>
    <row r="654" spans="1:6" x14ac:dyDescent="0.25">
      <c r="A654" s="1" t="s">
        <v>435</v>
      </c>
      <c r="B654" s="1" t="s">
        <v>1396</v>
      </c>
      <c r="D654" s="1"/>
      <c r="E654" s="3"/>
    </row>
    <row r="655" spans="1:6" x14ac:dyDescent="0.25">
      <c r="A655" s="1" t="s">
        <v>435</v>
      </c>
      <c r="B655" s="1" t="s">
        <v>1397</v>
      </c>
      <c r="D655" s="1"/>
      <c r="E655" s="3"/>
    </row>
    <row r="656" spans="1:6" x14ac:dyDescent="0.25">
      <c r="D656" s="1"/>
      <c r="E656" s="3"/>
    </row>
    <row r="657" spans="1:6" x14ac:dyDescent="0.25">
      <c r="A657" s="1" t="s">
        <v>435</v>
      </c>
      <c r="B657" s="1" t="s">
        <v>438</v>
      </c>
      <c r="C657" s="1">
        <v>249</v>
      </c>
      <c r="D657" s="1">
        <v>0.7</v>
      </c>
      <c r="E657" s="3" t="e">
        <f>#REF!*D657</f>
        <v>#REF!</v>
      </c>
      <c r="F657" s="1">
        <f t="shared" ref="F657:F688" si="48">C657*(D657+0.1)</f>
        <v>199.2</v>
      </c>
    </row>
    <row r="658" spans="1:6" x14ac:dyDescent="0.25">
      <c r="A658" s="1" t="s">
        <v>435</v>
      </c>
      <c r="B658" s="1" t="s">
        <v>439</v>
      </c>
      <c r="C658" s="1">
        <v>122</v>
      </c>
      <c r="D658" s="1">
        <v>0.5</v>
      </c>
      <c r="E658" s="3" t="e">
        <f>#REF!*D658</f>
        <v>#REF!</v>
      </c>
      <c r="F658" s="1">
        <f t="shared" si="48"/>
        <v>73.2</v>
      </c>
    </row>
    <row r="659" spans="1:6" x14ac:dyDescent="0.25">
      <c r="A659" s="1" t="s">
        <v>435</v>
      </c>
      <c r="B659" s="1" t="s">
        <v>440</v>
      </c>
      <c r="C659" s="1">
        <v>92.4</v>
      </c>
      <c r="D659" s="1">
        <v>0.5</v>
      </c>
      <c r="E659" s="3" t="e">
        <f>#REF!*D659</f>
        <v>#REF!</v>
      </c>
      <c r="F659" s="1">
        <f t="shared" si="48"/>
        <v>55.440000000000005</v>
      </c>
    </row>
    <row r="660" spans="1:6" x14ac:dyDescent="0.25">
      <c r="A660" s="1" t="s">
        <v>435</v>
      </c>
      <c r="B660" s="1" t="s">
        <v>441</v>
      </c>
      <c r="C660" s="1">
        <v>150</v>
      </c>
      <c r="D660" s="1">
        <v>0.5</v>
      </c>
      <c r="E660" s="3" t="e">
        <f>#REF!*D660</f>
        <v>#REF!</v>
      </c>
      <c r="F660" s="1">
        <f t="shared" si="48"/>
        <v>90</v>
      </c>
    </row>
    <row r="661" spans="1:6" x14ac:dyDescent="0.25">
      <c r="A661" s="1" t="s">
        <v>435</v>
      </c>
      <c r="B661" s="1" t="s">
        <v>442</v>
      </c>
      <c r="C661" s="1">
        <v>123</v>
      </c>
      <c r="D661" s="1">
        <v>0.5</v>
      </c>
      <c r="E661" s="3" t="e">
        <f>#REF!*D661</f>
        <v>#REF!</v>
      </c>
      <c r="F661" s="1">
        <f t="shared" si="48"/>
        <v>73.8</v>
      </c>
    </row>
    <row r="662" spans="1:6" x14ac:dyDescent="0.25">
      <c r="A662" s="1" t="s">
        <v>435</v>
      </c>
      <c r="B662" s="1" t="s">
        <v>443</v>
      </c>
      <c r="C662" s="1">
        <v>159</v>
      </c>
      <c r="D662" s="1">
        <v>0.5</v>
      </c>
      <c r="E662" s="3" t="e">
        <f>#REF!*D662</f>
        <v>#REF!</v>
      </c>
      <c r="F662" s="1">
        <f t="shared" si="48"/>
        <v>95.399999999999991</v>
      </c>
    </row>
    <row r="663" spans="1:6" x14ac:dyDescent="0.25">
      <c r="A663" s="1" t="s">
        <v>435</v>
      </c>
      <c r="B663" s="1" t="s">
        <v>444</v>
      </c>
      <c r="C663" s="1">
        <v>44.5</v>
      </c>
      <c r="D663" s="1">
        <v>0.5</v>
      </c>
      <c r="E663" s="3" t="e">
        <f>#REF!*D663</f>
        <v>#REF!</v>
      </c>
      <c r="F663" s="1">
        <f t="shared" si="48"/>
        <v>26.7</v>
      </c>
    </row>
    <row r="664" spans="1:6" x14ac:dyDescent="0.25">
      <c r="A664" s="1" t="s">
        <v>435</v>
      </c>
      <c r="B664" s="1" t="s">
        <v>445</v>
      </c>
      <c r="C664" s="1">
        <v>245</v>
      </c>
      <c r="D664" s="1">
        <v>0.5</v>
      </c>
      <c r="E664" s="3" t="e">
        <f>#REF!*D664</f>
        <v>#REF!</v>
      </c>
      <c r="F664" s="1">
        <f t="shared" si="48"/>
        <v>147</v>
      </c>
    </row>
    <row r="665" spans="1:6" x14ac:dyDescent="0.25">
      <c r="A665" s="1" t="s">
        <v>435</v>
      </c>
      <c r="B665" s="1" t="s">
        <v>446</v>
      </c>
      <c r="C665" s="1">
        <v>85</v>
      </c>
      <c r="D665" s="1">
        <v>0.5</v>
      </c>
      <c r="E665" s="3" t="e">
        <f>#REF!*D665</f>
        <v>#REF!</v>
      </c>
      <c r="F665" s="1">
        <f t="shared" si="48"/>
        <v>51</v>
      </c>
    </row>
    <row r="666" spans="1:6" x14ac:dyDescent="0.25">
      <c r="A666" s="1" t="s">
        <v>435</v>
      </c>
      <c r="B666" s="1" t="s">
        <v>447</v>
      </c>
      <c r="C666" s="1">
        <v>101</v>
      </c>
      <c r="D666" s="1">
        <v>0.5</v>
      </c>
      <c r="E666" s="3" t="e">
        <f>#REF!*D666</f>
        <v>#REF!</v>
      </c>
      <c r="F666" s="1">
        <f t="shared" si="48"/>
        <v>60.599999999999994</v>
      </c>
    </row>
    <row r="667" spans="1:6" x14ac:dyDescent="0.25">
      <c r="A667" s="1" t="s">
        <v>435</v>
      </c>
      <c r="B667" s="1" t="s">
        <v>448</v>
      </c>
      <c r="C667" s="1">
        <v>166.6</v>
      </c>
      <c r="D667" s="1">
        <v>0.5</v>
      </c>
      <c r="E667" s="3" t="e">
        <f>#REF!*D667</f>
        <v>#REF!</v>
      </c>
      <c r="F667" s="1">
        <f t="shared" si="48"/>
        <v>99.96</v>
      </c>
    </row>
    <row r="668" spans="1:6" x14ac:dyDescent="0.25">
      <c r="A668" s="1" t="s">
        <v>435</v>
      </c>
      <c r="B668" s="1" t="s">
        <v>449</v>
      </c>
      <c r="C668" s="1">
        <v>95.4</v>
      </c>
      <c r="D668" s="1">
        <v>0.5</v>
      </c>
      <c r="E668" s="3" t="e">
        <f>#REF!*D668</f>
        <v>#REF!</v>
      </c>
      <c r="F668" s="1">
        <f t="shared" si="48"/>
        <v>57.24</v>
      </c>
    </row>
    <row r="669" spans="1:6" s="9" customFormat="1" ht="15.75" thickBot="1" x14ac:dyDescent="0.3">
      <c r="A669" s="9" t="s">
        <v>435</v>
      </c>
      <c r="B669" s="9" t="s">
        <v>450</v>
      </c>
      <c r="C669" s="9">
        <v>196</v>
      </c>
      <c r="D669" s="9">
        <v>0.5</v>
      </c>
      <c r="E669" s="11" t="e">
        <f>#REF!*D669</f>
        <v>#REF!</v>
      </c>
      <c r="F669" s="9">
        <f t="shared" si="48"/>
        <v>117.6</v>
      </c>
    </row>
    <row r="670" spans="1:6" s="7" customFormat="1" x14ac:dyDescent="0.25">
      <c r="A670" s="7" t="s">
        <v>451</v>
      </c>
      <c r="B670" s="7" t="s">
        <v>452</v>
      </c>
      <c r="C670" s="7">
        <v>172</v>
      </c>
      <c r="D670" s="7">
        <v>0.52</v>
      </c>
      <c r="E670" s="8">
        <f t="shared" ref="E670:E714" si="49">C670*D670</f>
        <v>89.44</v>
      </c>
      <c r="F670" s="7">
        <f t="shared" si="48"/>
        <v>106.64</v>
      </c>
    </row>
    <row r="671" spans="1:6" x14ac:dyDescent="0.25">
      <c r="A671" s="1" t="s">
        <v>451</v>
      </c>
      <c r="B671" s="1" t="s">
        <v>453</v>
      </c>
      <c r="C671" s="1">
        <v>363</v>
      </c>
      <c r="D671" s="1">
        <v>0.52</v>
      </c>
      <c r="E671" s="3">
        <f t="shared" si="49"/>
        <v>188.76000000000002</v>
      </c>
      <c r="F671" s="1">
        <f t="shared" si="48"/>
        <v>225.06</v>
      </c>
    </row>
    <row r="672" spans="1:6" x14ac:dyDescent="0.25">
      <c r="A672" s="1" t="s">
        <v>451</v>
      </c>
      <c r="B672" s="1" t="s">
        <v>454</v>
      </c>
      <c r="C672" s="1">
        <v>136</v>
      </c>
      <c r="D672" s="1">
        <v>0.52</v>
      </c>
      <c r="E672" s="3">
        <f t="shared" si="49"/>
        <v>70.72</v>
      </c>
      <c r="F672" s="1">
        <f t="shared" si="48"/>
        <v>84.32</v>
      </c>
    </row>
    <row r="673" spans="1:6" x14ac:dyDescent="0.25">
      <c r="A673" s="1" t="s">
        <v>451</v>
      </c>
      <c r="B673" s="1" t="s">
        <v>455</v>
      </c>
      <c r="C673" s="1">
        <v>182</v>
      </c>
      <c r="D673" s="1">
        <v>0.52</v>
      </c>
      <c r="E673" s="3">
        <f t="shared" si="49"/>
        <v>94.64</v>
      </c>
      <c r="F673" s="1">
        <f t="shared" si="48"/>
        <v>112.84</v>
      </c>
    </row>
    <row r="674" spans="1:6" x14ac:dyDescent="0.25">
      <c r="A674" s="1" t="s">
        <v>451</v>
      </c>
      <c r="B674" s="1" t="s">
        <v>456</v>
      </c>
      <c r="C674" s="1">
        <v>420</v>
      </c>
      <c r="D674" s="1">
        <v>0.52</v>
      </c>
      <c r="E674" s="3">
        <f t="shared" si="49"/>
        <v>218.4</v>
      </c>
      <c r="F674" s="1">
        <f t="shared" si="48"/>
        <v>260.39999999999998</v>
      </c>
    </row>
    <row r="675" spans="1:6" s="9" customFormat="1" ht="15.75" thickBot="1" x14ac:dyDescent="0.3">
      <c r="A675" s="9" t="s">
        <v>451</v>
      </c>
      <c r="B675" s="9" t="s">
        <v>457</v>
      </c>
      <c r="C675" s="9">
        <v>112</v>
      </c>
      <c r="D675" s="9">
        <v>0.52</v>
      </c>
      <c r="E675" s="11">
        <f t="shared" si="49"/>
        <v>58.24</v>
      </c>
      <c r="F675" s="9">
        <f t="shared" si="48"/>
        <v>69.44</v>
      </c>
    </row>
    <row r="676" spans="1:6" s="27" customFormat="1" ht="15.75" thickBot="1" x14ac:dyDescent="0.3">
      <c r="A676" s="27" t="s">
        <v>1658</v>
      </c>
      <c r="B676" s="26" t="s">
        <v>1276</v>
      </c>
      <c r="C676" s="9">
        <v>240.9</v>
      </c>
      <c r="D676" s="9">
        <v>0.5</v>
      </c>
      <c r="E676" s="8">
        <f t="shared" si="49"/>
        <v>120.45</v>
      </c>
      <c r="F676" s="7">
        <f t="shared" si="48"/>
        <v>144.54</v>
      </c>
    </row>
    <row r="677" spans="1:6" s="27" customFormat="1" ht="15.75" thickBot="1" x14ac:dyDescent="0.3">
      <c r="A677" s="27" t="s">
        <v>1658</v>
      </c>
      <c r="B677" s="26" t="s">
        <v>1278</v>
      </c>
      <c r="C677" s="9">
        <v>407</v>
      </c>
      <c r="D677" s="9">
        <v>0.5</v>
      </c>
      <c r="E677" s="3">
        <f t="shared" si="49"/>
        <v>203.5</v>
      </c>
      <c r="F677" s="1">
        <f t="shared" si="48"/>
        <v>244.2</v>
      </c>
    </row>
    <row r="678" spans="1:6" s="27" customFormat="1" ht="15.75" thickBot="1" x14ac:dyDescent="0.3">
      <c r="A678" s="27" t="s">
        <v>1658</v>
      </c>
      <c r="B678" s="27" t="s">
        <v>1277</v>
      </c>
      <c r="C678" s="27">
        <v>240.98</v>
      </c>
      <c r="D678" s="9">
        <v>0.5</v>
      </c>
      <c r="E678" s="3">
        <f t="shared" si="49"/>
        <v>120.49</v>
      </c>
      <c r="F678" s="1">
        <f t="shared" si="48"/>
        <v>144.58799999999999</v>
      </c>
    </row>
    <row r="679" spans="1:6" s="27" customFormat="1" ht="15.75" thickBot="1" x14ac:dyDescent="0.3">
      <c r="A679" s="27" t="s">
        <v>1658</v>
      </c>
      <c r="B679" s="27" t="s">
        <v>1659</v>
      </c>
      <c r="C679" s="27">
        <v>295.89999999999998</v>
      </c>
      <c r="D679" s="9">
        <v>0.5</v>
      </c>
      <c r="E679" s="3">
        <f t="shared" si="49"/>
        <v>147.94999999999999</v>
      </c>
      <c r="F679" s="1">
        <f t="shared" si="48"/>
        <v>177.54</v>
      </c>
    </row>
    <row r="680" spans="1:6" s="27" customFormat="1" ht="15.75" thickBot="1" x14ac:dyDescent="0.3">
      <c r="A680" s="27" t="s">
        <v>1658</v>
      </c>
      <c r="B680" s="27" t="s">
        <v>1523</v>
      </c>
      <c r="C680" s="27">
        <v>204.6</v>
      </c>
      <c r="D680" s="9">
        <v>0.5</v>
      </c>
      <c r="E680" s="3">
        <f t="shared" si="49"/>
        <v>102.3</v>
      </c>
      <c r="F680" s="1">
        <f t="shared" si="48"/>
        <v>122.75999999999999</v>
      </c>
    </row>
    <row r="681" spans="1:6" s="27" customFormat="1" ht="15.75" thickBot="1" x14ac:dyDescent="0.3">
      <c r="A681" s="27" t="s">
        <v>1658</v>
      </c>
      <c r="B681" s="1" t="s">
        <v>1522</v>
      </c>
      <c r="C681" s="1">
        <v>265</v>
      </c>
      <c r="D681" s="9">
        <v>0.5</v>
      </c>
      <c r="E681" s="3">
        <f t="shared" si="49"/>
        <v>132.5</v>
      </c>
      <c r="F681" s="1">
        <f t="shared" si="48"/>
        <v>159</v>
      </c>
    </row>
    <row r="682" spans="1:6" s="27" customFormat="1" ht="15.75" thickBot="1" x14ac:dyDescent="0.3">
      <c r="A682" s="27" t="s">
        <v>1658</v>
      </c>
      <c r="B682" s="27" t="s">
        <v>1660</v>
      </c>
      <c r="C682" s="27">
        <v>515.9</v>
      </c>
      <c r="D682" s="9">
        <v>0.5</v>
      </c>
      <c r="E682" s="3">
        <f t="shared" si="49"/>
        <v>257.95</v>
      </c>
      <c r="F682" s="1">
        <f t="shared" si="48"/>
        <v>309.53999999999996</v>
      </c>
    </row>
    <row r="683" spans="1:6" s="27" customFormat="1" ht="15.75" thickBot="1" x14ac:dyDescent="0.3">
      <c r="A683" s="27" t="s">
        <v>1658</v>
      </c>
      <c r="B683" s="27" t="s">
        <v>1661</v>
      </c>
      <c r="C683" s="27">
        <v>267.68</v>
      </c>
      <c r="D683" s="9">
        <v>0.5</v>
      </c>
      <c r="E683" s="3">
        <f t="shared" si="49"/>
        <v>133.84</v>
      </c>
      <c r="F683" s="1">
        <f t="shared" si="48"/>
        <v>160.608</v>
      </c>
    </row>
    <row r="684" spans="1:6" s="27" customFormat="1" ht="15.75" thickBot="1" x14ac:dyDescent="0.3">
      <c r="A684" s="27" t="s">
        <v>1658</v>
      </c>
      <c r="B684" s="27" t="s">
        <v>1662</v>
      </c>
      <c r="C684" s="27">
        <v>301.27999999999997</v>
      </c>
      <c r="D684" s="9">
        <v>0.5</v>
      </c>
      <c r="E684" s="3">
        <f t="shared" si="49"/>
        <v>150.63999999999999</v>
      </c>
      <c r="F684" s="1">
        <f t="shared" si="48"/>
        <v>180.76799999999997</v>
      </c>
    </row>
    <row r="685" spans="1:6" s="27" customFormat="1" ht="15.75" thickBot="1" x14ac:dyDescent="0.3">
      <c r="A685" s="27" t="s">
        <v>1658</v>
      </c>
      <c r="B685" s="27" t="s">
        <v>1663</v>
      </c>
      <c r="C685" s="27">
        <v>240.9</v>
      </c>
      <c r="D685" s="9">
        <v>0.5</v>
      </c>
      <c r="E685" s="3">
        <f t="shared" si="49"/>
        <v>120.45</v>
      </c>
      <c r="F685" s="1">
        <f t="shared" si="48"/>
        <v>144.54</v>
      </c>
    </row>
    <row r="686" spans="1:6" s="27" customFormat="1" ht="15.75" thickBot="1" x14ac:dyDescent="0.3">
      <c r="A686" s="27" t="s">
        <v>1658</v>
      </c>
      <c r="B686" s="27" t="s">
        <v>1524</v>
      </c>
      <c r="C686" s="27">
        <v>350.9</v>
      </c>
      <c r="D686" s="9">
        <v>0.5</v>
      </c>
      <c r="E686" s="3">
        <f t="shared" si="49"/>
        <v>175.45</v>
      </c>
      <c r="F686" s="1">
        <f t="shared" si="48"/>
        <v>210.54</v>
      </c>
    </row>
    <row r="687" spans="1:6" s="27" customFormat="1" ht="15.75" thickBot="1" x14ac:dyDescent="0.3">
      <c r="A687" s="27" t="s">
        <v>1658</v>
      </c>
      <c r="B687" s="27" t="s">
        <v>1525</v>
      </c>
      <c r="C687" s="27">
        <v>1155</v>
      </c>
      <c r="D687" s="9">
        <v>0.5</v>
      </c>
      <c r="E687" s="3">
        <f t="shared" si="49"/>
        <v>577.5</v>
      </c>
      <c r="F687" s="1">
        <f t="shared" si="48"/>
        <v>693</v>
      </c>
    </row>
    <row r="688" spans="1:6" s="7" customFormat="1" x14ac:dyDescent="0.25">
      <c r="A688" s="7" t="s">
        <v>458</v>
      </c>
      <c r="B688" s="7" t="s">
        <v>459</v>
      </c>
      <c r="C688" s="7">
        <v>195</v>
      </c>
      <c r="D688" s="7">
        <v>0.4</v>
      </c>
      <c r="E688" s="3">
        <f t="shared" si="49"/>
        <v>78</v>
      </c>
      <c r="F688" s="1">
        <f t="shared" si="48"/>
        <v>97.5</v>
      </c>
    </row>
    <row r="689" spans="1:6" x14ac:dyDescent="0.25">
      <c r="A689" s="1" t="s">
        <v>458</v>
      </c>
      <c r="B689" s="1" t="s">
        <v>460</v>
      </c>
      <c r="C689" s="1">
        <v>350.41</v>
      </c>
      <c r="D689" s="1">
        <v>0.4</v>
      </c>
      <c r="E689" s="3">
        <f t="shared" si="49"/>
        <v>140.16400000000002</v>
      </c>
      <c r="F689" s="1">
        <f t="shared" ref="F689:F714" si="50">C689*(D689+0.1)</f>
        <v>175.20500000000001</v>
      </c>
    </row>
    <row r="690" spans="1:6" x14ac:dyDescent="0.25">
      <c r="A690" s="1" t="s">
        <v>458</v>
      </c>
      <c r="B690" s="1" t="s">
        <v>461</v>
      </c>
      <c r="C690" s="1">
        <v>248.5</v>
      </c>
      <c r="D690" s="1">
        <v>0.4</v>
      </c>
      <c r="E690" s="3">
        <f t="shared" si="49"/>
        <v>99.4</v>
      </c>
      <c r="F690" s="1">
        <f t="shared" si="50"/>
        <v>124.25</v>
      </c>
    </row>
    <row r="691" spans="1:6" x14ac:dyDescent="0.25">
      <c r="A691" s="1" t="s">
        <v>458</v>
      </c>
      <c r="B691" s="1" t="s">
        <v>462</v>
      </c>
      <c r="C691" s="1">
        <v>864</v>
      </c>
      <c r="D691" s="1">
        <v>0.4</v>
      </c>
      <c r="E691" s="3">
        <f t="shared" si="49"/>
        <v>345.6</v>
      </c>
      <c r="F691" s="1">
        <f t="shared" si="50"/>
        <v>432</v>
      </c>
    </row>
    <row r="692" spans="1:6" x14ac:dyDescent="0.25">
      <c r="A692" s="1" t="s">
        <v>458</v>
      </c>
      <c r="B692" s="1" t="s">
        <v>463</v>
      </c>
      <c r="C692" s="1">
        <v>1</v>
      </c>
      <c r="D692" s="1">
        <v>0.4</v>
      </c>
      <c r="E692" s="3">
        <f t="shared" si="49"/>
        <v>0.4</v>
      </c>
      <c r="F692" s="1">
        <f t="shared" si="50"/>
        <v>0.5</v>
      </c>
    </row>
    <row r="693" spans="1:6" x14ac:dyDescent="0.25">
      <c r="A693" s="1" t="s">
        <v>458</v>
      </c>
      <c r="B693" s="1" t="s">
        <v>464</v>
      </c>
      <c r="C693" s="1">
        <v>97.19</v>
      </c>
      <c r="D693" s="1">
        <v>0.4</v>
      </c>
      <c r="E693" s="3">
        <f t="shared" si="49"/>
        <v>38.876000000000005</v>
      </c>
      <c r="F693" s="1">
        <f t="shared" si="50"/>
        <v>48.594999999999999</v>
      </c>
    </row>
    <row r="694" spans="1:6" x14ac:dyDescent="0.25">
      <c r="A694" s="1" t="s">
        <v>458</v>
      </c>
      <c r="B694" s="1" t="s">
        <v>465</v>
      </c>
      <c r="C694" s="1">
        <v>257.54000000000002</v>
      </c>
      <c r="D694" s="1">
        <v>0.4</v>
      </c>
      <c r="E694" s="3">
        <f t="shared" si="49"/>
        <v>103.01600000000002</v>
      </c>
      <c r="F694" s="1">
        <f t="shared" si="50"/>
        <v>128.77000000000001</v>
      </c>
    </row>
    <row r="695" spans="1:6" x14ac:dyDescent="0.25">
      <c r="A695" s="1" t="s">
        <v>458</v>
      </c>
      <c r="B695" s="1" t="s">
        <v>466</v>
      </c>
      <c r="C695" s="1">
        <v>988.9</v>
      </c>
      <c r="D695" s="1">
        <v>0.4</v>
      </c>
      <c r="E695" s="3">
        <f t="shared" si="49"/>
        <v>395.56</v>
      </c>
      <c r="F695" s="1">
        <f t="shared" si="50"/>
        <v>494.45</v>
      </c>
    </row>
    <row r="696" spans="1:6" x14ac:dyDescent="0.25">
      <c r="A696" s="1" t="s">
        <v>458</v>
      </c>
      <c r="B696" s="1" t="s">
        <v>467</v>
      </c>
      <c r="C696" s="1">
        <v>373</v>
      </c>
      <c r="D696" s="1">
        <v>0.4</v>
      </c>
      <c r="E696" s="3">
        <f t="shared" si="49"/>
        <v>149.20000000000002</v>
      </c>
      <c r="F696" s="1">
        <f t="shared" si="50"/>
        <v>186.5</v>
      </c>
    </row>
    <row r="697" spans="1:6" x14ac:dyDescent="0.25">
      <c r="A697" s="1" t="s">
        <v>458</v>
      </c>
      <c r="B697" s="1" t="s">
        <v>468</v>
      </c>
      <c r="C697" s="1">
        <v>15.84</v>
      </c>
      <c r="D697" s="1">
        <v>0.4</v>
      </c>
      <c r="E697" s="3">
        <f t="shared" si="49"/>
        <v>6.3360000000000003</v>
      </c>
      <c r="F697" s="1">
        <f t="shared" si="50"/>
        <v>7.92</v>
      </c>
    </row>
    <row r="698" spans="1:6" x14ac:dyDescent="0.25">
      <c r="A698" s="1" t="s">
        <v>458</v>
      </c>
      <c r="B698" s="1" t="s">
        <v>1655</v>
      </c>
      <c r="C698" s="1">
        <v>247.32</v>
      </c>
      <c r="D698" s="1">
        <v>0.4</v>
      </c>
      <c r="E698" s="3">
        <f t="shared" si="49"/>
        <v>98.927999999999997</v>
      </c>
      <c r="F698" s="1">
        <f t="shared" si="50"/>
        <v>123.66</v>
      </c>
    </row>
    <row r="699" spans="1:6" x14ac:dyDescent="0.25">
      <c r="A699" s="1" t="s">
        <v>458</v>
      </c>
      <c r="B699" s="1" t="s">
        <v>1657</v>
      </c>
      <c r="C699" s="1">
        <v>804</v>
      </c>
      <c r="D699" s="1">
        <v>0.4</v>
      </c>
      <c r="E699" s="3">
        <f t="shared" si="49"/>
        <v>321.60000000000002</v>
      </c>
      <c r="F699" s="1">
        <f t="shared" si="50"/>
        <v>402</v>
      </c>
    </row>
    <row r="700" spans="1:6" x14ac:dyDescent="0.25">
      <c r="A700" s="1" t="s">
        <v>458</v>
      </c>
      <c r="B700" s="1" t="s">
        <v>469</v>
      </c>
      <c r="C700" s="1">
        <v>299</v>
      </c>
      <c r="D700" s="1">
        <v>0.4</v>
      </c>
      <c r="E700" s="3">
        <f t="shared" si="49"/>
        <v>119.60000000000001</v>
      </c>
      <c r="F700" s="1">
        <f t="shared" si="50"/>
        <v>149.5</v>
      </c>
    </row>
    <row r="701" spans="1:6" x14ac:dyDescent="0.25">
      <c r="A701" s="1" t="s">
        <v>458</v>
      </c>
      <c r="B701" s="1" t="s">
        <v>470</v>
      </c>
      <c r="C701" s="1">
        <v>460</v>
      </c>
      <c r="D701" s="1">
        <v>0.4</v>
      </c>
      <c r="E701" s="3">
        <f t="shared" si="49"/>
        <v>184</v>
      </c>
      <c r="F701" s="1">
        <f t="shared" si="50"/>
        <v>230</v>
      </c>
    </row>
    <row r="702" spans="1:6" x14ac:dyDescent="0.25">
      <c r="A702" s="1" t="s">
        <v>458</v>
      </c>
      <c r="B702" s="1" t="s">
        <v>471</v>
      </c>
      <c r="C702" s="1">
        <v>52.64</v>
      </c>
      <c r="D702" s="1">
        <v>0.4</v>
      </c>
      <c r="E702" s="3">
        <f t="shared" si="49"/>
        <v>21.056000000000001</v>
      </c>
      <c r="F702" s="1">
        <f t="shared" si="50"/>
        <v>26.32</v>
      </c>
    </row>
    <row r="703" spans="1:6" x14ac:dyDescent="0.25">
      <c r="A703" s="1" t="s">
        <v>458</v>
      </c>
      <c r="B703" s="1" t="s">
        <v>1161</v>
      </c>
      <c r="C703" s="1">
        <v>305</v>
      </c>
      <c r="D703" s="1">
        <v>0.4</v>
      </c>
      <c r="E703" s="3">
        <f t="shared" si="49"/>
        <v>122</v>
      </c>
      <c r="F703" s="1">
        <f t="shared" si="50"/>
        <v>152.5</v>
      </c>
    </row>
    <row r="704" spans="1:6" x14ac:dyDescent="0.25">
      <c r="A704" s="1" t="s">
        <v>458</v>
      </c>
      <c r="B704" s="1" t="s">
        <v>1128</v>
      </c>
      <c r="C704" s="1">
        <v>600</v>
      </c>
      <c r="D704" s="1">
        <v>0.4</v>
      </c>
      <c r="E704" s="3">
        <f t="shared" si="49"/>
        <v>240</v>
      </c>
      <c r="F704" s="1">
        <f t="shared" si="50"/>
        <v>300</v>
      </c>
    </row>
    <row r="705" spans="1:6" x14ac:dyDescent="0.25">
      <c r="A705" s="1" t="s">
        <v>458</v>
      </c>
      <c r="B705" s="1" t="s">
        <v>472</v>
      </c>
      <c r="C705" s="1">
        <v>396</v>
      </c>
      <c r="D705" s="1">
        <v>0.4</v>
      </c>
      <c r="E705" s="3">
        <f t="shared" si="49"/>
        <v>158.4</v>
      </c>
      <c r="F705" s="1">
        <f t="shared" si="50"/>
        <v>198</v>
      </c>
    </row>
    <row r="706" spans="1:6" x14ac:dyDescent="0.25">
      <c r="A706" s="1" t="s">
        <v>458</v>
      </c>
      <c r="B706" s="1" t="s">
        <v>473</v>
      </c>
      <c r="C706" s="1">
        <v>59.47</v>
      </c>
      <c r="D706" s="1">
        <v>0.4</v>
      </c>
      <c r="E706" s="3">
        <f t="shared" si="49"/>
        <v>23.788</v>
      </c>
      <c r="F706" s="1">
        <f t="shared" si="50"/>
        <v>29.734999999999999</v>
      </c>
    </row>
    <row r="707" spans="1:6" x14ac:dyDescent="0.25">
      <c r="A707" s="1" t="s">
        <v>458</v>
      </c>
      <c r="B707" s="1" t="s">
        <v>474</v>
      </c>
      <c r="C707" s="1">
        <v>100.5</v>
      </c>
      <c r="D707" s="1">
        <v>0.4</v>
      </c>
      <c r="E707" s="3">
        <f t="shared" si="49"/>
        <v>40.200000000000003</v>
      </c>
      <c r="F707" s="1">
        <f t="shared" si="50"/>
        <v>50.25</v>
      </c>
    </row>
    <row r="708" spans="1:6" x14ac:dyDescent="0.25">
      <c r="A708" s="1" t="s">
        <v>458</v>
      </c>
      <c r="B708" s="1" t="s">
        <v>475</v>
      </c>
      <c r="C708" s="1">
        <v>507</v>
      </c>
      <c r="D708" s="1">
        <v>0.4</v>
      </c>
      <c r="E708" s="3">
        <f t="shared" si="49"/>
        <v>202.8</v>
      </c>
      <c r="F708" s="1">
        <f t="shared" si="50"/>
        <v>253.5</v>
      </c>
    </row>
    <row r="709" spans="1:6" x14ac:dyDescent="0.25">
      <c r="A709" s="1" t="s">
        <v>458</v>
      </c>
      <c r="B709" s="1" t="s">
        <v>476</v>
      </c>
      <c r="C709" s="1">
        <v>330.62</v>
      </c>
      <c r="D709" s="1">
        <v>0.4</v>
      </c>
      <c r="E709" s="3">
        <f t="shared" si="49"/>
        <v>132.24800000000002</v>
      </c>
      <c r="F709" s="1">
        <f t="shared" si="50"/>
        <v>165.31</v>
      </c>
    </row>
    <row r="710" spans="1:6" x14ac:dyDescent="0.25">
      <c r="A710" s="1" t="s">
        <v>458</v>
      </c>
      <c r="B710" s="1" t="s">
        <v>477</v>
      </c>
      <c r="C710" s="1">
        <v>140.38999999999999</v>
      </c>
      <c r="D710" s="1">
        <v>0.4</v>
      </c>
      <c r="E710" s="3">
        <f t="shared" si="49"/>
        <v>56.155999999999999</v>
      </c>
      <c r="F710" s="1">
        <f t="shared" si="50"/>
        <v>70.194999999999993</v>
      </c>
    </row>
    <row r="711" spans="1:6" s="26" customFormat="1" ht="15.75" thickBot="1" x14ac:dyDescent="0.3">
      <c r="A711" s="9" t="s">
        <v>458</v>
      </c>
      <c r="B711" s="9" t="s">
        <v>478</v>
      </c>
      <c r="C711" s="9">
        <v>436.63</v>
      </c>
      <c r="D711" s="9">
        <v>0.4</v>
      </c>
      <c r="E711" s="11">
        <f t="shared" si="49"/>
        <v>174.65200000000002</v>
      </c>
      <c r="F711" s="9">
        <f t="shared" si="50"/>
        <v>218.315</v>
      </c>
    </row>
    <row r="712" spans="1:6" s="26" customFormat="1" ht="15.75" thickBot="1" x14ac:dyDescent="0.3">
      <c r="A712" s="9" t="s">
        <v>458</v>
      </c>
      <c r="B712" s="9" t="s">
        <v>1274</v>
      </c>
      <c r="C712" s="9">
        <v>299</v>
      </c>
      <c r="D712" s="9">
        <v>0.4</v>
      </c>
      <c r="E712" s="11">
        <f t="shared" si="49"/>
        <v>119.60000000000001</v>
      </c>
      <c r="F712" s="9">
        <f t="shared" si="50"/>
        <v>149.5</v>
      </c>
    </row>
    <row r="713" spans="1:6" s="26" customFormat="1" ht="15.75" thickBot="1" x14ac:dyDescent="0.3">
      <c r="A713" s="9" t="s">
        <v>458</v>
      </c>
      <c r="B713" s="9" t="s">
        <v>1656</v>
      </c>
      <c r="C713" s="9">
        <v>888.2</v>
      </c>
      <c r="D713" s="9">
        <v>0.4</v>
      </c>
      <c r="E713" s="11">
        <f t="shared" si="49"/>
        <v>355.28000000000003</v>
      </c>
      <c r="F713" s="9">
        <f t="shared" si="50"/>
        <v>444.1</v>
      </c>
    </row>
    <row r="714" spans="1:6" s="26" customFormat="1" ht="15.75" thickBot="1" x14ac:dyDescent="0.3">
      <c r="A714" s="9" t="s">
        <v>458</v>
      </c>
      <c r="B714" s="1" t="s">
        <v>1275</v>
      </c>
      <c r="C714" s="9">
        <v>483</v>
      </c>
      <c r="D714" s="9">
        <v>0.4</v>
      </c>
      <c r="E714" s="11">
        <f t="shared" si="49"/>
        <v>193.20000000000002</v>
      </c>
      <c r="F714" s="9">
        <f t="shared" si="50"/>
        <v>241.5</v>
      </c>
    </row>
    <row r="715" spans="1:6" s="26" customFormat="1" ht="15.75" thickBot="1" x14ac:dyDescent="0.3">
      <c r="A715" s="9"/>
      <c r="B715" s="1"/>
      <c r="C715" s="9"/>
      <c r="D715" s="9"/>
      <c r="E715" s="11"/>
      <c r="F715" s="9"/>
    </row>
    <row r="716" spans="1:6" s="26" customFormat="1" ht="15.75" thickBot="1" x14ac:dyDescent="0.3">
      <c r="A716" s="9"/>
      <c r="B716" s="1"/>
      <c r="C716" s="9"/>
      <c r="D716" s="9"/>
      <c r="E716" s="11"/>
      <c r="F716" s="9"/>
    </row>
    <row r="717" spans="1:6" s="26" customFormat="1" ht="15.75" thickBot="1" x14ac:dyDescent="0.3">
      <c r="A717" s="9"/>
      <c r="B717" s="1"/>
      <c r="C717" s="9"/>
      <c r="D717" s="9"/>
      <c r="E717" s="11"/>
      <c r="F717" s="9"/>
    </row>
    <row r="718" spans="1:6" s="7" customFormat="1" x14ac:dyDescent="0.25">
      <c r="A718" s="7" t="s">
        <v>479</v>
      </c>
      <c r="B718" s="7" t="s">
        <v>480</v>
      </c>
      <c r="C718" s="7">
        <v>639.5</v>
      </c>
      <c r="D718" s="7">
        <v>0.55000000000000004</v>
      </c>
      <c r="E718" s="8">
        <f t="shared" ref="E718:E749" si="51">C718*D718</f>
        <v>351.72500000000002</v>
      </c>
      <c r="F718" s="7">
        <f t="shared" ref="F718:F749" si="52">C718*(D718+0.1)</f>
        <v>415.67500000000001</v>
      </c>
    </row>
    <row r="719" spans="1:6" x14ac:dyDescent="0.25">
      <c r="A719" s="1" t="s">
        <v>479</v>
      </c>
      <c r="B719" s="1" t="s">
        <v>481</v>
      </c>
      <c r="C719" s="1">
        <v>300</v>
      </c>
      <c r="D719" s="1">
        <v>0.55000000000000004</v>
      </c>
      <c r="E719" s="3">
        <f t="shared" si="51"/>
        <v>165</v>
      </c>
      <c r="F719" s="1">
        <f t="shared" si="52"/>
        <v>195</v>
      </c>
    </row>
    <row r="720" spans="1:6" x14ac:dyDescent="0.25">
      <c r="A720" s="1" t="s">
        <v>479</v>
      </c>
      <c r="B720" s="1" t="s">
        <v>482</v>
      </c>
      <c r="C720" s="1">
        <v>38</v>
      </c>
      <c r="D720" s="1">
        <v>0.55000000000000004</v>
      </c>
      <c r="E720" s="3">
        <f t="shared" si="51"/>
        <v>20.900000000000002</v>
      </c>
      <c r="F720" s="1">
        <f t="shared" si="52"/>
        <v>24.7</v>
      </c>
    </row>
    <row r="721" spans="1:6" x14ac:dyDescent="0.25">
      <c r="A721" s="1" t="s">
        <v>479</v>
      </c>
      <c r="B721" s="1" t="s">
        <v>483</v>
      </c>
      <c r="C721" s="1">
        <v>673</v>
      </c>
      <c r="D721" s="1">
        <v>0.55000000000000004</v>
      </c>
      <c r="E721" s="3">
        <f t="shared" si="51"/>
        <v>370.15000000000003</v>
      </c>
      <c r="F721" s="1">
        <f t="shared" si="52"/>
        <v>437.45</v>
      </c>
    </row>
    <row r="722" spans="1:6" x14ac:dyDescent="0.25">
      <c r="A722" s="1" t="s">
        <v>479</v>
      </c>
      <c r="B722" s="1" t="s">
        <v>484</v>
      </c>
      <c r="C722" s="1">
        <v>200</v>
      </c>
      <c r="D722" s="1">
        <v>0.55000000000000004</v>
      </c>
      <c r="E722" s="3">
        <f t="shared" si="51"/>
        <v>110.00000000000001</v>
      </c>
      <c r="F722" s="1">
        <f t="shared" si="52"/>
        <v>130</v>
      </c>
    </row>
    <row r="723" spans="1:6" x14ac:dyDescent="0.25">
      <c r="A723" s="1" t="s">
        <v>479</v>
      </c>
      <c r="B723" s="1" t="s">
        <v>485</v>
      </c>
      <c r="C723" s="1">
        <v>164</v>
      </c>
      <c r="D723" s="1">
        <v>0.55000000000000004</v>
      </c>
      <c r="E723" s="3">
        <f t="shared" si="51"/>
        <v>90.2</v>
      </c>
      <c r="F723" s="1">
        <f t="shared" si="52"/>
        <v>106.60000000000001</v>
      </c>
    </row>
    <row r="724" spans="1:6" x14ac:dyDescent="0.25">
      <c r="A724" s="1" t="s">
        <v>479</v>
      </c>
      <c r="B724" s="1" t="s">
        <v>486</v>
      </c>
      <c r="C724" s="1">
        <v>85</v>
      </c>
      <c r="D724" s="1">
        <v>0.55000000000000004</v>
      </c>
      <c r="E724" s="3">
        <f t="shared" si="51"/>
        <v>46.750000000000007</v>
      </c>
      <c r="F724" s="1">
        <f t="shared" si="52"/>
        <v>55.25</v>
      </c>
    </row>
    <row r="725" spans="1:6" x14ac:dyDescent="0.25">
      <c r="A725" s="1" t="s">
        <v>479</v>
      </c>
      <c r="B725" s="1" t="s">
        <v>487</v>
      </c>
      <c r="C725" s="1">
        <v>39</v>
      </c>
      <c r="D725" s="1">
        <v>0.55000000000000004</v>
      </c>
      <c r="E725" s="3">
        <f t="shared" si="51"/>
        <v>21.450000000000003</v>
      </c>
      <c r="F725" s="1">
        <f t="shared" si="52"/>
        <v>25.35</v>
      </c>
    </row>
    <row r="726" spans="1:6" x14ac:dyDescent="0.25">
      <c r="A726" s="1" t="s">
        <v>479</v>
      </c>
      <c r="B726" s="1" t="s">
        <v>488</v>
      </c>
      <c r="C726" s="1">
        <v>43</v>
      </c>
      <c r="D726" s="1">
        <v>0.55000000000000004</v>
      </c>
      <c r="E726" s="3">
        <f t="shared" si="51"/>
        <v>23.650000000000002</v>
      </c>
      <c r="F726" s="1">
        <f t="shared" si="52"/>
        <v>27.95</v>
      </c>
    </row>
    <row r="727" spans="1:6" x14ac:dyDescent="0.25">
      <c r="A727" s="1" t="s">
        <v>479</v>
      </c>
      <c r="B727" s="1" t="s">
        <v>489</v>
      </c>
      <c r="C727" s="1">
        <v>48</v>
      </c>
      <c r="D727" s="1">
        <v>0.55000000000000004</v>
      </c>
      <c r="E727" s="3">
        <f t="shared" si="51"/>
        <v>26.400000000000002</v>
      </c>
      <c r="F727" s="1">
        <f t="shared" si="52"/>
        <v>31.200000000000003</v>
      </c>
    </row>
    <row r="728" spans="1:6" x14ac:dyDescent="0.25">
      <c r="A728" s="1" t="s">
        <v>479</v>
      </c>
      <c r="B728" s="1" t="s">
        <v>490</v>
      </c>
      <c r="C728" s="1">
        <v>62</v>
      </c>
      <c r="D728" s="1">
        <v>0.55000000000000004</v>
      </c>
      <c r="E728" s="3">
        <f t="shared" si="51"/>
        <v>34.1</v>
      </c>
      <c r="F728" s="1">
        <f t="shared" si="52"/>
        <v>40.300000000000004</v>
      </c>
    </row>
    <row r="729" spans="1:6" x14ac:dyDescent="0.25">
      <c r="A729" s="1" t="s">
        <v>479</v>
      </c>
      <c r="B729" s="1" t="s">
        <v>491</v>
      </c>
      <c r="C729" s="1">
        <v>68</v>
      </c>
      <c r="D729" s="1">
        <v>0.55000000000000004</v>
      </c>
      <c r="E729" s="3">
        <f t="shared" si="51"/>
        <v>37.400000000000006</v>
      </c>
      <c r="F729" s="1">
        <f t="shared" si="52"/>
        <v>44.2</v>
      </c>
    </row>
    <row r="730" spans="1:6" x14ac:dyDescent="0.25">
      <c r="A730" s="1" t="s">
        <v>479</v>
      </c>
      <c r="B730" s="1" t="s">
        <v>492</v>
      </c>
      <c r="C730" s="1">
        <v>1175</v>
      </c>
      <c r="D730" s="1">
        <v>0.6</v>
      </c>
      <c r="E730" s="3">
        <f t="shared" si="51"/>
        <v>705</v>
      </c>
      <c r="F730" s="1">
        <f t="shared" si="52"/>
        <v>822.5</v>
      </c>
    </row>
    <row r="731" spans="1:6" x14ac:dyDescent="0.25">
      <c r="A731" s="1" t="s">
        <v>479</v>
      </c>
      <c r="B731" s="1" t="s">
        <v>493</v>
      </c>
      <c r="C731" s="1">
        <v>89</v>
      </c>
      <c r="D731" s="1">
        <v>0.55000000000000004</v>
      </c>
      <c r="E731" s="3">
        <f t="shared" si="51"/>
        <v>48.95</v>
      </c>
      <c r="F731" s="1">
        <f t="shared" si="52"/>
        <v>57.85</v>
      </c>
    </row>
    <row r="732" spans="1:6" x14ac:dyDescent="0.25">
      <c r="A732" s="1" t="s">
        <v>479</v>
      </c>
      <c r="B732" s="1" t="s">
        <v>494</v>
      </c>
      <c r="C732" s="1">
        <v>167</v>
      </c>
      <c r="D732" s="1">
        <v>0.55000000000000004</v>
      </c>
      <c r="E732" s="3">
        <f t="shared" si="51"/>
        <v>91.850000000000009</v>
      </c>
      <c r="F732" s="1">
        <f t="shared" si="52"/>
        <v>108.55</v>
      </c>
    </row>
    <row r="733" spans="1:6" s="9" customFormat="1" ht="15.75" thickBot="1" x14ac:dyDescent="0.3">
      <c r="A733" s="9" t="s">
        <v>479</v>
      </c>
      <c r="B733" s="9" t="s">
        <v>495</v>
      </c>
      <c r="C733" s="9">
        <v>36</v>
      </c>
      <c r="D733" s="9">
        <v>0.55000000000000004</v>
      </c>
      <c r="E733" s="11">
        <f t="shared" si="51"/>
        <v>19.8</v>
      </c>
      <c r="F733" s="9">
        <f t="shared" si="52"/>
        <v>23.400000000000002</v>
      </c>
    </row>
    <row r="734" spans="1:6" s="7" customFormat="1" x14ac:dyDescent="0.25">
      <c r="A734" s="1" t="s">
        <v>1680</v>
      </c>
      <c r="B734" s="7" t="s">
        <v>496</v>
      </c>
      <c r="C734" s="7">
        <v>0</v>
      </c>
      <c r="D734" s="1">
        <v>0.72</v>
      </c>
      <c r="E734" s="8">
        <f t="shared" si="51"/>
        <v>0</v>
      </c>
      <c r="F734" s="7">
        <f t="shared" si="52"/>
        <v>0</v>
      </c>
    </row>
    <row r="735" spans="1:6" x14ac:dyDescent="0.25">
      <c r="A735" s="1" t="s">
        <v>1680</v>
      </c>
      <c r="B735" s="1" t="s">
        <v>497</v>
      </c>
      <c r="C735" s="1">
        <v>172</v>
      </c>
      <c r="D735" s="1">
        <v>0.72</v>
      </c>
      <c r="E735" s="3">
        <f t="shared" si="51"/>
        <v>123.83999999999999</v>
      </c>
      <c r="F735" s="1">
        <f t="shared" si="52"/>
        <v>141.04</v>
      </c>
    </row>
    <row r="736" spans="1:6" x14ac:dyDescent="0.25">
      <c r="A736" s="1" t="s">
        <v>1681</v>
      </c>
      <c r="B736" s="1" t="s">
        <v>1673</v>
      </c>
      <c r="C736" s="1">
        <v>279.23599999999999</v>
      </c>
      <c r="D736" s="1">
        <v>0.435</v>
      </c>
      <c r="E736" s="3">
        <f t="shared" si="51"/>
        <v>121.46766</v>
      </c>
      <c r="F736" s="1">
        <f t="shared" si="52"/>
        <v>149.39126000000002</v>
      </c>
    </row>
    <row r="737" spans="1:6" x14ac:dyDescent="0.25">
      <c r="A737" s="1" t="s">
        <v>1681</v>
      </c>
      <c r="B737" s="1" t="s">
        <v>1674</v>
      </c>
      <c r="C737" s="1">
        <v>299.17</v>
      </c>
      <c r="D737" s="1">
        <v>0.435</v>
      </c>
      <c r="E737" s="3">
        <f t="shared" si="51"/>
        <v>130.13894999999999</v>
      </c>
      <c r="F737" s="1">
        <f t="shared" si="52"/>
        <v>160.05595000000002</v>
      </c>
    </row>
    <row r="738" spans="1:6" x14ac:dyDescent="0.25">
      <c r="A738" s="1" t="s">
        <v>1681</v>
      </c>
      <c r="B738" s="1" t="s">
        <v>502</v>
      </c>
      <c r="C738" s="1">
        <v>200.27</v>
      </c>
      <c r="D738" s="1">
        <v>0.435</v>
      </c>
      <c r="E738" s="3">
        <f t="shared" si="51"/>
        <v>87.117450000000005</v>
      </c>
      <c r="F738" s="1">
        <f t="shared" si="52"/>
        <v>107.14445000000001</v>
      </c>
    </row>
    <row r="739" spans="1:6" x14ac:dyDescent="0.25">
      <c r="A739" s="1" t="s">
        <v>1681</v>
      </c>
      <c r="B739" s="1" t="s">
        <v>503</v>
      </c>
      <c r="C739" s="1">
        <v>237.34</v>
      </c>
      <c r="D739" s="1">
        <v>0.435</v>
      </c>
      <c r="E739" s="3">
        <f t="shared" si="51"/>
        <v>103.24290000000001</v>
      </c>
      <c r="F739" s="1">
        <f t="shared" si="52"/>
        <v>126.97690000000001</v>
      </c>
    </row>
    <row r="740" spans="1:6" x14ac:dyDescent="0.25">
      <c r="A740" s="1" t="s">
        <v>1681</v>
      </c>
      <c r="B740" s="1" t="s">
        <v>498</v>
      </c>
      <c r="C740" s="1">
        <v>246.67</v>
      </c>
      <c r="D740" s="1">
        <v>0.435</v>
      </c>
      <c r="E740" s="3">
        <f t="shared" si="51"/>
        <v>107.30144999999999</v>
      </c>
      <c r="F740" s="1">
        <f t="shared" si="52"/>
        <v>131.96844999999999</v>
      </c>
    </row>
    <row r="741" spans="1:6" x14ac:dyDescent="0.25">
      <c r="A741" s="1" t="s">
        <v>1681</v>
      </c>
      <c r="B741" s="1" t="s">
        <v>499</v>
      </c>
      <c r="C741" s="1">
        <v>251.34</v>
      </c>
      <c r="D741" s="1">
        <v>0.435</v>
      </c>
      <c r="E741" s="3">
        <f t="shared" si="51"/>
        <v>109.3329</v>
      </c>
      <c r="F741" s="1">
        <f t="shared" si="52"/>
        <v>134.46690000000001</v>
      </c>
    </row>
    <row r="742" spans="1:6" x14ac:dyDescent="0.25">
      <c r="A742" s="1" t="s">
        <v>1681</v>
      </c>
      <c r="B742" s="1" t="s">
        <v>500</v>
      </c>
      <c r="C742" s="1">
        <v>257</v>
      </c>
      <c r="D742" s="1">
        <v>0.435</v>
      </c>
      <c r="E742" s="3">
        <f t="shared" si="51"/>
        <v>111.795</v>
      </c>
      <c r="F742" s="1">
        <f t="shared" si="52"/>
        <v>137.495</v>
      </c>
    </row>
    <row r="743" spans="1:6" x14ac:dyDescent="0.25">
      <c r="A743" s="1" t="s">
        <v>1681</v>
      </c>
      <c r="B743" s="1" t="s">
        <v>1388</v>
      </c>
      <c r="C743" s="1">
        <v>389.34</v>
      </c>
      <c r="D743" s="1">
        <v>0.435</v>
      </c>
      <c r="E743" s="3">
        <f t="shared" si="51"/>
        <v>169.3629</v>
      </c>
      <c r="F743" s="1">
        <f t="shared" si="52"/>
        <v>208.29689999999999</v>
      </c>
    </row>
    <row r="744" spans="1:6" x14ac:dyDescent="0.25">
      <c r="A744" s="1" t="s">
        <v>1681</v>
      </c>
      <c r="B744" s="1" t="s">
        <v>501</v>
      </c>
      <c r="C744" s="1">
        <v>634.52</v>
      </c>
      <c r="D744" s="1">
        <v>0.435</v>
      </c>
      <c r="E744" s="3">
        <f t="shared" si="51"/>
        <v>276.01619999999997</v>
      </c>
      <c r="F744" s="1">
        <f t="shared" si="52"/>
        <v>339.46820000000002</v>
      </c>
    </row>
    <row r="745" spans="1:6" x14ac:dyDescent="0.25">
      <c r="A745" s="1" t="s">
        <v>1681</v>
      </c>
      <c r="B745" s="1" t="s">
        <v>1675</v>
      </c>
      <c r="C745" s="1">
        <v>74.17</v>
      </c>
      <c r="D745" s="1">
        <v>0.435</v>
      </c>
      <c r="E745" s="3">
        <f t="shared" si="51"/>
        <v>32.263950000000001</v>
      </c>
      <c r="F745" s="1">
        <f t="shared" si="52"/>
        <v>39.680950000000003</v>
      </c>
    </row>
    <row r="746" spans="1:6" x14ac:dyDescent="0.25">
      <c r="A746" s="1" t="s">
        <v>1681</v>
      </c>
      <c r="B746" s="1" t="s">
        <v>1676</v>
      </c>
      <c r="C746" s="1">
        <v>86.17</v>
      </c>
      <c r="D746" s="1">
        <v>0.435</v>
      </c>
      <c r="E746" s="3">
        <f t="shared" si="51"/>
        <v>37.48395</v>
      </c>
      <c r="F746" s="1">
        <f t="shared" si="52"/>
        <v>46.100950000000005</v>
      </c>
    </row>
    <row r="747" spans="1:6" x14ac:dyDescent="0.25">
      <c r="A747" s="1" t="s">
        <v>1681</v>
      </c>
      <c r="B747" s="1" t="s">
        <v>1677</v>
      </c>
      <c r="C747" s="1">
        <v>123.81</v>
      </c>
      <c r="D747" s="1">
        <v>0.435</v>
      </c>
      <c r="E747" s="3">
        <f t="shared" si="51"/>
        <v>53.857350000000004</v>
      </c>
      <c r="F747" s="1">
        <f t="shared" si="52"/>
        <v>66.238350000000011</v>
      </c>
    </row>
    <row r="748" spans="1:6" x14ac:dyDescent="0.25">
      <c r="A748" s="1" t="s">
        <v>1681</v>
      </c>
      <c r="B748" s="1" t="s">
        <v>1678</v>
      </c>
      <c r="C748" s="1">
        <v>171.28</v>
      </c>
      <c r="D748" s="1">
        <v>0.435</v>
      </c>
      <c r="E748" s="3">
        <f t="shared" si="51"/>
        <v>74.506799999999998</v>
      </c>
      <c r="F748" s="1">
        <f t="shared" si="52"/>
        <v>91.634800000000013</v>
      </c>
    </row>
    <row r="749" spans="1:6" x14ac:dyDescent="0.25">
      <c r="A749" s="1" t="s">
        <v>1681</v>
      </c>
      <c r="B749" s="1" t="s">
        <v>1392</v>
      </c>
      <c r="C749" s="1">
        <v>179.88</v>
      </c>
      <c r="D749" s="1">
        <v>0.435</v>
      </c>
      <c r="E749" s="3">
        <f t="shared" si="51"/>
        <v>78.247799999999998</v>
      </c>
      <c r="F749" s="1">
        <f t="shared" si="52"/>
        <v>96.235799999999998</v>
      </c>
    </row>
    <row r="750" spans="1:6" x14ac:dyDescent="0.25">
      <c r="A750" s="1" t="s">
        <v>1681</v>
      </c>
      <c r="B750" s="1" t="s">
        <v>1393</v>
      </c>
      <c r="C750" s="1">
        <v>187.4</v>
      </c>
      <c r="D750" s="1">
        <v>0.435</v>
      </c>
      <c r="E750" s="3">
        <f t="shared" ref="E750:E779" si="53">C750*D750</f>
        <v>81.519000000000005</v>
      </c>
      <c r="F750" s="1">
        <f t="shared" ref="F750:F779" si="54">C750*(D750+0.1)</f>
        <v>100.25900000000001</v>
      </c>
    </row>
    <row r="751" spans="1:6" x14ac:dyDescent="0.25">
      <c r="A751" s="1" t="s">
        <v>1680</v>
      </c>
      <c r="B751" s="1" t="s">
        <v>1685</v>
      </c>
      <c r="C751" s="1">
        <v>194.7</v>
      </c>
      <c r="D751" s="1">
        <v>0.72</v>
      </c>
      <c r="E751" s="3">
        <f t="shared" si="53"/>
        <v>140.184</v>
      </c>
      <c r="F751" s="1">
        <f t="shared" si="54"/>
        <v>159.65399999999997</v>
      </c>
    </row>
    <row r="752" spans="1:6" x14ac:dyDescent="0.25">
      <c r="A752" s="1" t="s">
        <v>1680</v>
      </c>
      <c r="B752" s="1" t="s">
        <v>1686</v>
      </c>
      <c r="C752" s="1">
        <v>222</v>
      </c>
      <c r="D752" s="1">
        <v>0.72</v>
      </c>
      <c r="E752" s="3">
        <f t="shared" si="53"/>
        <v>159.84</v>
      </c>
      <c r="F752" s="1">
        <f t="shared" si="54"/>
        <v>182.04</v>
      </c>
    </row>
    <row r="753" spans="1:6" x14ac:dyDescent="0.25">
      <c r="A753" s="1" t="s">
        <v>1680</v>
      </c>
      <c r="B753" s="1" t="s">
        <v>1687</v>
      </c>
      <c r="C753" s="1">
        <v>640</v>
      </c>
      <c r="D753" s="1">
        <v>0.72</v>
      </c>
      <c r="E753" s="3">
        <f t="shared" si="53"/>
        <v>460.79999999999995</v>
      </c>
      <c r="F753" s="1">
        <f t="shared" si="54"/>
        <v>524.79999999999995</v>
      </c>
    </row>
    <row r="754" spans="1:6" x14ac:dyDescent="0.25">
      <c r="A754" s="1" t="s">
        <v>1680</v>
      </c>
      <c r="B754" s="1" t="s">
        <v>504</v>
      </c>
      <c r="C754" s="1">
        <v>1119</v>
      </c>
      <c r="D754" s="1">
        <v>0.72</v>
      </c>
      <c r="E754" s="3">
        <f t="shared" si="53"/>
        <v>805.68</v>
      </c>
      <c r="F754" s="1">
        <f t="shared" si="54"/>
        <v>917.57999999999993</v>
      </c>
    </row>
    <row r="755" spans="1:6" x14ac:dyDescent="0.25">
      <c r="A755" s="1" t="s">
        <v>1680</v>
      </c>
      <c r="B755" s="1" t="s">
        <v>506</v>
      </c>
      <c r="C755" s="1">
        <v>374</v>
      </c>
      <c r="D755" s="1">
        <v>0.72</v>
      </c>
      <c r="E755" s="3">
        <f t="shared" si="53"/>
        <v>269.27999999999997</v>
      </c>
      <c r="F755" s="1">
        <f t="shared" si="54"/>
        <v>306.68</v>
      </c>
    </row>
    <row r="756" spans="1:6" x14ac:dyDescent="0.25">
      <c r="A756" s="1" t="s">
        <v>1680</v>
      </c>
      <c r="B756" s="1" t="s">
        <v>505</v>
      </c>
      <c r="C756" s="1">
        <v>1136</v>
      </c>
      <c r="D756" s="1">
        <v>0.72</v>
      </c>
      <c r="E756" s="3">
        <f t="shared" si="53"/>
        <v>817.92</v>
      </c>
      <c r="F756" s="1">
        <f t="shared" si="54"/>
        <v>931.52</v>
      </c>
    </row>
    <row r="757" spans="1:6" x14ac:dyDescent="0.25">
      <c r="A757" s="1" t="s">
        <v>1680</v>
      </c>
      <c r="B757" s="1" t="s">
        <v>507</v>
      </c>
      <c r="C757" s="1">
        <v>2323</v>
      </c>
      <c r="D757" s="1">
        <v>0.72</v>
      </c>
      <c r="E757" s="3">
        <f t="shared" si="53"/>
        <v>1672.56</v>
      </c>
      <c r="F757" s="1">
        <f t="shared" si="54"/>
        <v>1904.86</v>
      </c>
    </row>
    <row r="758" spans="1:6" x14ac:dyDescent="0.25">
      <c r="A758" s="1" t="s">
        <v>1681</v>
      </c>
      <c r="B758" s="1" t="s">
        <v>1679</v>
      </c>
      <c r="C758" s="1">
        <v>487.27</v>
      </c>
      <c r="D758" s="1">
        <v>0.435</v>
      </c>
      <c r="E758" s="3">
        <f t="shared" si="53"/>
        <v>211.96244999999999</v>
      </c>
      <c r="F758" s="1">
        <f t="shared" si="54"/>
        <v>260.68945000000002</v>
      </c>
    </row>
    <row r="759" spans="1:6" x14ac:dyDescent="0.25">
      <c r="A759" s="1" t="s">
        <v>1681</v>
      </c>
      <c r="B759" s="1" t="s">
        <v>1383</v>
      </c>
      <c r="C759" s="1">
        <v>262.67</v>
      </c>
      <c r="D759" s="1">
        <v>0.435</v>
      </c>
      <c r="E759" s="3">
        <f t="shared" si="53"/>
        <v>114.26145000000001</v>
      </c>
      <c r="F759" s="1">
        <f t="shared" si="54"/>
        <v>140.52845000000002</v>
      </c>
    </row>
    <row r="760" spans="1:6" x14ac:dyDescent="0.25">
      <c r="A760" s="1" t="s">
        <v>1681</v>
      </c>
      <c r="B760" s="1" t="s">
        <v>1384</v>
      </c>
      <c r="C760" s="1">
        <v>278</v>
      </c>
      <c r="D760" s="1">
        <v>0.435</v>
      </c>
      <c r="E760" s="3">
        <f t="shared" si="53"/>
        <v>120.92999999999999</v>
      </c>
      <c r="F760" s="1">
        <f t="shared" si="54"/>
        <v>148.73000000000002</v>
      </c>
    </row>
    <row r="761" spans="1:6" x14ac:dyDescent="0.25">
      <c r="A761" s="1" t="s">
        <v>1681</v>
      </c>
      <c r="B761" s="1" t="s">
        <v>1385</v>
      </c>
      <c r="C761" s="1">
        <v>296.7</v>
      </c>
      <c r="D761" s="1">
        <v>0.435</v>
      </c>
      <c r="E761" s="3">
        <f t="shared" si="53"/>
        <v>129.06449999999998</v>
      </c>
      <c r="F761" s="1">
        <f t="shared" si="54"/>
        <v>158.7345</v>
      </c>
    </row>
    <row r="762" spans="1:6" x14ac:dyDescent="0.25">
      <c r="A762" s="1" t="s">
        <v>1681</v>
      </c>
      <c r="B762" s="1" t="s">
        <v>1387</v>
      </c>
      <c r="C762" s="1">
        <v>313.33999999999997</v>
      </c>
      <c r="D762" s="1">
        <v>0.435</v>
      </c>
      <c r="E762" s="3">
        <f t="shared" si="53"/>
        <v>136.30289999999999</v>
      </c>
      <c r="F762" s="1">
        <f t="shared" si="54"/>
        <v>167.6369</v>
      </c>
    </row>
    <row r="763" spans="1:6" x14ac:dyDescent="0.25">
      <c r="A763" s="1" t="s">
        <v>1681</v>
      </c>
      <c r="B763" s="1" t="s">
        <v>1386</v>
      </c>
      <c r="C763" s="1">
        <v>361</v>
      </c>
      <c r="D763" s="1">
        <v>0.435</v>
      </c>
      <c r="E763" s="3">
        <f t="shared" si="53"/>
        <v>157.035</v>
      </c>
      <c r="F763" s="1">
        <f t="shared" si="54"/>
        <v>193.13500000000002</v>
      </c>
    </row>
    <row r="764" spans="1:6" x14ac:dyDescent="0.25">
      <c r="A764" s="1" t="s">
        <v>1680</v>
      </c>
      <c r="B764" s="1" t="s">
        <v>1688</v>
      </c>
      <c r="C764" s="1">
        <v>2913</v>
      </c>
      <c r="D764" s="1">
        <v>0.72</v>
      </c>
      <c r="E764" s="3">
        <f t="shared" si="53"/>
        <v>2097.36</v>
      </c>
      <c r="F764" s="1">
        <f t="shared" si="54"/>
        <v>2388.66</v>
      </c>
    </row>
    <row r="765" spans="1:6" x14ac:dyDescent="0.25">
      <c r="A765" s="1" t="s">
        <v>1680</v>
      </c>
      <c r="B765" s="1" t="s">
        <v>1693</v>
      </c>
      <c r="C765" s="1">
        <v>324</v>
      </c>
      <c r="D765" s="1">
        <v>0.72</v>
      </c>
      <c r="E765" s="3">
        <f t="shared" si="53"/>
        <v>233.28</v>
      </c>
      <c r="F765" s="1">
        <f t="shared" si="54"/>
        <v>265.68</v>
      </c>
    </row>
    <row r="766" spans="1:6" x14ac:dyDescent="0.25">
      <c r="A766" s="1" t="s">
        <v>1680</v>
      </c>
      <c r="B766" s="1" t="s">
        <v>1855</v>
      </c>
      <c r="C766" s="1">
        <v>1275</v>
      </c>
      <c r="D766" s="1">
        <v>0.72</v>
      </c>
      <c r="E766" s="3">
        <f t="shared" si="53"/>
        <v>918</v>
      </c>
      <c r="F766" s="1">
        <f t="shared" si="54"/>
        <v>1045.5</v>
      </c>
    </row>
    <row r="767" spans="1:6" x14ac:dyDescent="0.25">
      <c r="A767" s="1" t="s">
        <v>1680</v>
      </c>
      <c r="B767" s="1" t="s">
        <v>1689</v>
      </c>
      <c r="C767" s="1">
        <v>0</v>
      </c>
      <c r="D767" s="1">
        <v>0.72</v>
      </c>
      <c r="E767" s="3">
        <f t="shared" si="53"/>
        <v>0</v>
      </c>
      <c r="F767" s="1">
        <f t="shared" si="54"/>
        <v>0</v>
      </c>
    </row>
    <row r="768" spans="1:6" x14ac:dyDescent="0.25">
      <c r="A768" s="1" t="s">
        <v>1680</v>
      </c>
      <c r="B768" s="1" t="s">
        <v>1690</v>
      </c>
      <c r="C768" s="1">
        <v>217</v>
      </c>
      <c r="D768" s="1">
        <v>0.72</v>
      </c>
      <c r="E768" s="3">
        <f t="shared" si="53"/>
        <v>156.23999999999998</v>
      </c>
      <c r="F768" s="1">
        <f t="shared" si="54"/>
        <v>177.94</v>
      </c>
    </row>
    <row r="769" spans="1:6" x14ac:dyDescent="0.25">
      <c r="A769" s="1" t="s">
        <v>1680</v>
      </c>
      <c r="B769" s="1" t="s">
        <v>508</v>
      </c>
      <c r="C769" s="1">
        <v>0</v>
      </c>
      <c r="D769" s="1">
        <v>0.72</v>
      </c>
      <c r="E769" s="3">
        <f t="shared" si="53"/>
        <v>0</v>
      </c>
      <c r="F769" s="1">
        <f t="shared" si="54"/>
        <v>0</v>
      </c>
    </row>
    <row r="770" spans="1:6" x14ac:dyDescent="0.25">
      <c r="A770" s="1" t="s">
        <v>1680</v>
      </c>
      <c r="B770" s="1" t="s">
        <v>509</v>
      </c>
      <c r="C770" s="1">
        <v>178</v>
      </c>
      <c r="D770" s="1">
        <v>0.72</v>
      </c>
      <c r="E770" s="3">
        <f t="shared" si="53"/>
        <v>128.16</v>
      </c>
      <c r="F770" s="1">
        <f t="shared" si="54"/>
        <v>145.95999999999998</v>
      </c>
    </row>
    <row r="771" spans="1:6" x14ac:dyDescent="0.25">
      <c r="A771" s="1" t="s">
        <v>1680</v>
      </c>
      <c r="B771" s="1" t="s">
        <v>1854</v>
      </c>
      <c r="C771" s="1">
        <v>1127</v>
      </c>
      <c r="D771" s="1">
        <v>0.72</v>
      </c>
      <c r="E771" s="3">
        <f t="shared" si="53"/>
        <v>811.43999999999994</v>
      </c>
      <c r="F771" s="1">
        <f t="shared" si="54"/>
        <v>924.14</v>
      </c>
    </row>
    <row r="772" spans="1:6" s="26" customFormat="1" x14ac:dyDescent="0.25">
      <c r="A772" s="1" t="s">
        <v>1680</v>
      </c>
      <c r="B772" s="26" t="s">
        <v>1691</v>
      </c>
      <c r="C772" s="26">
        <v>5166</v>
      </c>
      <c r="D772" s="1">
        <v>0.72</v>
      </c>
      <c r="E772" s="29">
        <f t="shared" si="53"/>
        <v>3719.52</v>
      </c>
      <c r="F772" s="26">
        <f t="shared" si="54"/>
        <v>4236.12</v>
      </c>
    </row>
    <row r="773" spans="1:6" s="9" customFormat="1" ht="15.75" thickBot="1" x14ac:dyDescent="0.3">
      <c r="A773" s="1" t="s">
        <v>1680</v>
      </c>
      <c r="B773" s="9" t="s">
        <v>1692</v>
      </c>
      <c r="C773" s="9">
        <v>5064</v>
      </c>
      <c r="D773" s="1">
        <v>0.72</v>
      </c>
      <c r="E773" s="11">
        <f t="shared" si="53"/>
        <v>3646.08</v>
      </c>
      <c r="F773" s="9">
        <f t="shared" si="54"/>
        <v>4152.4799999999996</v>
      </c>
    </row>
    <row r="774" spans="1:6" s="13" customFormat="1" ht="15.75" thickBot="1" x14ac:dyDescent="0.3">
      <c r="A774" s="13" t="s">
        <v>511</v>
      </c>
      <c r="B774" s="13" t="s">
        <v>512</v>
      </c>
      <c r="C774" s="13">
        <v>170</v>
      </c>
      <c r="D774" s="13">
        <v>0.43</v>
      </c>
      <c r="E774" s="15">
        <f t="shared" si="53"/>
        <v>73.099999999999994</v>
      </c>
      <c r="F774" s="13">
        <f t="shared" si="54"/>
        <v>90.100000000000009</v>
      </c>
    </row>
    <row r="775" spans="1:6" s="7" customFormat="1" x14ac:dyDescent="0.25">
      <c r="A775" s="7" t="s">
        <v>513</v>
      </c>
      <c r="B775" s="7" t="s">
        <v>514</v>
      </c>
      <c r="C775" s="7">
        <v>254</v>
      </c>
      <c r="D775" s="7">
        <v>0.6</v>
      </c>
      <c r="E775" s="8">
        <f t="shared" si="53"/>
        <v>152.4</v>
      </c>
      <c r="F775" s="7">
        <f t="shared" si="54"/>
        <v>177.79999999999998</v>
      </c>
    </row>
    <row r="776" spans="1:6" x14ac:dyDescent="0.25">
      <c r="A776" s="1" t="s">
        <v>513</v>
      </c>
      <c r="B776" s="1" t="s">
        <v>515</v>
      </c>
      <c r="C776" s="1">
        <v>90</v>
      </c>
      <c r="D776" s="1">
        <v>0.6</v>
      </c>
      <c r="E776" s="3">
        <f t="shared" si="53"/>
        <v>54</v>
      </c>
      <c r="F776" s="1">
        <f t="shared" si="54"/>
        <v>62.999999999999993</v>
      </c>
    </row>
    <row r="777" spans="1:6" x14ac:dyDescent="0.25">
      <c r="A777" s="1" t="s">
        <v>513</v>
      </c>
      <c r="B777" s="1" t="s">
        <v>516</v>
      </c>
      <c r="C777" s="1">
        <v>292</v>
      </c>
      <c r="D777" s="1">
        <v>0.6</v>
      </c>
      <c r="E777" s="3">
        <f t="shared" si="53"/>
        <v>175.2</v>
      </c>
      <c r="F777" s="1">
        <f t="shared" si="54"/>
        <v>204.39999999999998</v>
      </c>
    </row>
    <row r="778" spans="1:6" x14ac:dyDescent="0.25">
      <c r="A778" s="1" t="s">
        <v>513</v>
      </c>
      <c r="B778" s="1" t="s">
        <v>517</v>
      </c>
      <c r="C778" s="1">
        <v>97</v>
      </c>
      <c r="D778" s="1">
        <v>0.6</v>
      </c>
      <c r="E778" s="3">
        <f t="shared" si="53"/>
        <v>58.199999999999996</v>
      </c>
      <c r="F778" s="1">
        <f t="shared" si="54"/>
        <v>67.899999999999991</v>
      </c>
    </row>
    <row r="779" spans="1:6" x14ac:dyDescent="0.25">
      <c r="A779" s="1" t="s">
        <v>513</v>
      </c>
      <c r="B779" s="1" t="s">
        <v>518</v>
      </c>
      <c r="C779" s="1">
        <v>282</v>
      </c>
      <c r="D779" s="1">
        <v>0.6</v>
      </c>
      <c r="E779" s="3">
        <f t="shared" si="53"/>
        <v>169.2</v>
      </c>
      <c r="F779" s="1">
        <f t="shared" si="54"/>
        <v>197.39999999999998</v>
      </c>
    </row>
    <row r="780" spans="1:6" x14ac:dyDescent="0.25">
      <c r="A780" s="1" t="s">
        <v>513</v>
      </c>
      <c r="B780" s="1" t="s">
        <v>519</v>
      </c>
      <c r="D780" s="1"/>
      <c r="E780" s="3"/>
    </row>
    <row r="781" spans="1:6" x14ac:dyDescent="0.25">
      <c r="A781" s="1" t="s">
        <v>513</v>
      </c>
      <c r="B781" s="1" t="s">
        <v>520</v>
      </c>
      <c r="C781" s="1">
        <v>99</v>
      </c>
      <c r="D781" s="1">
        <v>0.6</v>
      </c>
      <c r="E781" s="3">
        <f t="shared" ref="E781:E805" si="55">C781*D781</f>
        <v>59.4</v>
      </c>
      <c r="F781" s="1">
        <f t="shared" ref="F781:F805" si="56">C781*(D781+0.1)</f>
        <v>69.3</v>
      </c>
    </row>
    <row r="782" spans="1:6" x14ac:dyDescent="0.25">
      <c r="A782" s="1" t="s">
        <v>513</v>
      </c>
      <c r="B782" s="1" t="s">
        <v>521</v>
      </c>
      <c r="C782" s="1">
        <v>471</v>
      </c>
      <c r="D782" s="1">
        <v>0.6</v>
      </c>
      <c r="E782" s="3">
        <f t="shared" si="55"/>
        <v>282.59999999999997</v>
      </c>
      <c r="F782" s="1">
        <f t="shared" si="56"/>
        <v>329.7</v>
      </c>
    </row>
    <row r="783" spans="1:6" x14ac:dyDescent="0.25">
      <c r="A783" s="1" t="s">
        <v>513</v>
      </c>
      <c r="B783" s="1" t="s">
        <v>522</v>
      </c>
      <c r="C783" s="1">
        <v>227</v>
      </c>
      <c r="D783" s="1">
        <v>0.6</v>
      </c>
      <c r="E783" s="3">
        <f t="shared" si="55"/>
        <v>136.19999999999999</v>
      </c>
      <c r="F783" s="1">
        <f t="shared" si="56"/>
        <v>158.89999999999998</v>
      </c>
    </row>
    <row r="784" spans="1:6" x14ac:dyDescent="0.25">
      <c r="A784" s="1" t="s">
        <v>513</v>
      </c>
      <c r="B784" s="1" t="s">
        <v>523</v>
      </c>
      <c r="C784" s="1">
        <v>173.8</v>
      </c>
      <c r="D784" s="1">
        <v>0.65</v>
      </c>
      <c r="E784" s="3">
        <f t="shared" si="55"/>
        <v>112.97000000000001</v>
      </c>
      <c r="F784" s="1">
        <f t="shared" si="56"/>
        <v>130.35000000000002</v>
      </c>
    </row>
    <row r="785" spans="1:6" x14ac:dyDescent="0.25">
      <c r="A785" s="1" t="s">
        <v>513</v>
      </c>
      <c r="B785" s="1" t="s">
        <v>524</v>
      </c>
      <c r="C785" s="1">
        <v>730</v>
      </c>
      <c r="D785" s="1">
        <v>0.6</v>
      </c>
      <c r="E785" s="3">
        <f t="shared" si="55"/>
        <v>438</v>
      </c>
      <c r="F785" s="1">
        <f t="shared" si="56"/>
        <v>510.99999999999994</v>
      </c>
    </row>
    <row r="786" spans="1:6" x14ac:dyDescent="0.25">
      <c r="A786" s="1" t="s">
        <v>513</v>
      </c>
      <c r="B786" s="1" t="s">
        <v>525</v>
      </c>
      <c r="C786" s="1">
        <v>114.7</v>
      </c>
      <c r="D786" s="1">
        <v>0.65</v>
      </c>
      <c r="E786" s="3">
        <f t="shared" si="55"/>
        <v>74.555000000000007</v>
      </c>
      <c r="F786" s="1">
        <f t="shared" si="56"/>
        <v>86.025000000000006</v>
      </c>
    </row>
    <row r="787" spans="1:6" x14ac:dyDescent="0.25">
      <c r="A787" s="1" t="s">
        <v>513</v>
      </c>
      <c r="B787" s="1" t="s">
        <v>526</v>
      </c>
      <c r="C787" s="1">
        <v>49.27</v>
      </c>
      <c r="D787" s="1">
        <v>0.6</v>
      </c>
      <c r="E787" s="3">
        <f t="shared" si="55"/>
        <v>29.562000000000001</v>
      </c>
      <c r="F787" s="1">
        <f t="shared" si="56"/>
        <v>34.488999999999997</v>
      </c>
    </row>
    <row r="788" spans="1:6" x14ac:dyDescent="0.25">
      <c r="A788" s="1" t="s">
        <v>513</v>
      </c>
      <c r="B788" s="1" t="s">
        <v>527</v>
      </c>
      <c r="C788" s="1">
        <v>187.5</v>
      </c>
      <c r="D788" s="1">
        <v>0.65</v>
      </c>
      <c r="E788" s="3">
        <f t="shared" si="55"/>
        <v>121.875</v>
      </c>
      <c r="F788" s="1">
        <f t="shared" si="56"/>
        <v>140.625</v>
      </c>
    </row>
    <row r="789" spans="1:6" x14ac:dyDescent="0.25">
      <c r="A789" s="1" t="s">
        <v>513</v>
      </c>
      <c r="B789" s="1" t="s">
        <v>528</v>
      </c>
      <c r="C789" s="1">
        <v>242</v>
      </c>
      <c r="D789" s="1">
        <v>0.6</v>
      </c>
      <c r="E789" s="3">
        <f t="shared" si="55"/>
        <v>145.19999999999999</v>
      </c>
      <c r="F789" s="1">
        <f t="shared" si="56"/>
        <v>169.39999999999998</v>
      </c>
    </row>
    <row r="790" spans="1:6" x14ac:dyDescent="0.25">
      <c r="A790" s="1" t="s">
        <v>513</v>
      </c>
      <c r="B790" s="1" t="s">
        <v>529</v>
      </c>
      <c r="C790" s="1">
        <v>84.8</v>
      </c>
      <c r="D790" s="1">
        <v>0.6</v>
      </c>
      <c r="E790" s="3">
        <f t="shared" si="55"/>
        <v>50.879999999999995</v>
      </c>
      <c r="F790" s="1">
        <f t="shared" si="56"/>
        <v>59.359999999999992</v>
      </c>
    </row>
    <row r="791" spans="1:6" x14ac:dyDescent="0.25">
      <c r="A791" s="1" t="s">
        <v>513</v>
      </c>
      <c r="B791" s="1" t="s">
        <v>530</v>
      </c>
      <c r="C791" s="1">
        <v>32.659999999999997</v>
      </c>
      <c r="D791" s="1">
        <v>0.6</v>
      </c>
      <c r="E791" s="3">
        <f t="shared" si="55"/>
        <v>19.595999999999997</v>
      </c>
      <c r="F791" s="1">
        <f t="shared" si="56"/>
        <v>22.861999999999995</v>
      </c>
    </row>
    <row r="792" spans="1:6" x14ac:dyDescent="0.25">
      <c r="A792" s="1" t="s">
        <v>513</v>
      </c>
      <c r="B792" s="1" t="s">
        <v>531</v>
      </c>
      <c r="C792" s="1">
        <v>151.5</v>
      </c>
      <c r="D792" s="1">
        <v>0.65</v>
      </c>
      <c r="E792" s="3">
        <f t="shared" si="55"/>
        <v>98.475000000000009</v>
      </c>
      <c r="F792" s="1">
        <f t="shared" si="56"/>
        <v>113.625</v>
      </c>
    </row>
    <row r="793" spans="1:6" x14ac:dyDescent="0.25">
      <c r="A793" s="1" t="s">
        <v>513</v>
      </c>
      <c r="B793" s="1" t="s">
        <v>532</v>
      </c>
      <c r="C793" s="1">
        <v>142</v>
      </c>
      <c r="D793" s="1">
        <v>0.6</v>
      </c>
      <c r="E793" s="3">
        <f t="shared" si="55"/>
        <v>85.2</v>
      </c>
      <c r="F793" s="1">
        <f t="shared" si="56"/>
        <v>99.399999999999991</v>
      </c>
    </row>
    <row r="794" spans="1:6" x14ac:dyDescent="0.25">
      <c r="A794" s="1" t="s">
        <v>513</v>
      </c>
      <c r="B794" s="1" t="s">
        <v>533</v>
      </c>
      <c r="C794" s="1">
        <v>481</v>
      </c>
      <c r="D794" s="1">
        <v>0.6</v>
      </c>
      <c r="E794" s="3">
        <f t="shared" si="55"/>
        <v>288.59999999999997</v>
      </c>
      <c r="F794" s="1">
        <f t="shared" si="56"/>
        <v>336.7</v>
      </c>
    </row>
    <row r="795" spans="1:6" x14ac:dyDescent="0.25">
      <c r="A795" s="1" t="s">
        <v>513</v>
      </c>
      <c r="B795" s="1" t="s">
        <v>534</v>
      </c>
      <c r="C795" s="1">
        <v>337</v>
      </c>
      <c r="D795" s="1">
        <v>0.57999999999999996</v>
      </c>
      <c r="E795" s="3">
        <f t="shared" si="55"/>
        <v>195.45999999999998</v>
      </c>
      <c r="F795" s="1">
        <f t="shared" si="56"/>
        <v>229.15999999999997</v>
      </c>
    </row>
    <row r="796" spans="1:6" x14ac:dyDescent="0.25">
      <c r="A796" s="1" t="s">
        <v>513</v>
      </c>
      <c r="B796" s="1" t="s">
        <v>535</v>
      </c>
      <c r="C796" s="1">
        <v>1257</v>
      </c>
      <c r="D796" s="1">
        <v>0.57999999999999996</v>
      </c>
      <c r="E796" s="3">
        <f t="shared" si="55"/>
        <v>729.06</v>
      </c>
      <c r="F796" s="1">
        <f t="shared" si="56"/>
        <v>854.75999999999988</v>
      </c>
    </row>
    <row r="797" spans="1:6" x14ac:dyDescent="0.25">
      <c r="A797" s="1" t="s">
        <v>513</v>
      </c>
      <c r="B797" s="1" t="s">
        <v>536</v>
      </c>
      <c r="C797" s="1">
        <v>446</v>
      </c>
      <c r="D797" s="1">
        <v>0.57999999999999996</v>
      </c>
      <c r="E797" s="3">
        <f t="shared" si="55"/>
        <v>258.68</v>
      </c>
      <c r="F797" s="1">
        <f t="shared" si="56"/>
        <v>303.27999999999997</v>
      </c>
    </row>
    <row r="798" spans="1:6" x14ac:dyDescent="0.25">
      <c r="A798" s="1" t="s">
        <v>513</v>
      </c>
      <c r="B798" s="1" t="s">
        <v>537</v>
      </c>
      <c r="C798" s="1">
        <v>279</v>
      </c>
      <c r="D798" s="1">
        <v>0.57999999999999996</v>
      </c>
      <c r="E798" s="3">
        <f t="shared" si="55"/>
        <v>161.82</v>
      </c>
      <c r="F798" s="1">
        <f t="shared" si="56"/>
        <v>189.71999999999997</v>
      </c>
    </row>
    <row r="799" spans="1:6" x14ac:dyDescent="0.25">
      <c r="A799" s="1" t="s">
        <v>513</v>
      </c>
      <c r="B799" s="1" t="s">
        <v>538</v>
      </c>
      <c r="C799" s="1">
        <v>197</v>
      </c>
      <c r="D799" s="1">
        <v>0.57999999999999996</v>
      </c>
      <c r="E799" s="3">
        <f t="shared" si="55"/>
        <v>114.25999999999999</v>
      </c>
      <c r="F799" s="1">
        <f t="shared" si="56"/>
        <v>133.95999999999998</v>
      </c>
    </row>
    <row r="800" spans="1:6" x14ac:dyDescent="0.25">
      <c r="A800" s="1" t="s">
        <v>513</v>
      </c>
      <c r="B800" s="1" t="s">
        <v>539</v>
      </c>
      <c r="C800" s="1">
        <v>235</v>
      </c>
      <c r="D800" s="1">
        <v>0.65</v>
      </c>
      <c r="E800" s="3">
        <f t="shared" si="55"/>
        <v>152.75</v>
      </c>
      <c r="F800" s="1">
        <f t="shared" si="56"/>
        <v>176.25</v>
      </c>
    </row>
    <row r="801" spans="1:6" x14ac:dyDescent="0.25">
      <c r="A801" s="1" t="s">
        <v>513</v>
      </c>
      <c r="B801" s="1" t="s">
        <v>540</v>
      </c>
      <c r="C801" s="1">
        <v>28.33</v>
      </c>
      <c r="D801" s="1">
        <v>0.6</v>
      </c>
      <c r="E801" s="3">
        <f t="shared" si="55"/>
        <v>16.997999999999998</v>
      </c>
      <c r="F801" s="1">
        <f t="shared" si="56"/>
        <v>19.830999999999996</v>
      </c>
    </row>
    <row r="802" spans="1:6" x14ac:dyDescent="0.25">
      <c r="A802" s="1" t="s">
        <v>513</v>
      </c>
      <c r="B802" s="1" t="s">
        <v>541</v>
      </c>
      <c r="C802" s="1">
        <v>121.12</v>
      </c>
      <c r="D802" s="1">
        <v>0.6</v>
      </c>
      <c r="E802" s="3">
        <f t="shared" si="55"/>
        <v>72.671999999999997</v>
      </c>
      <c r="F802" s="1">
        <f t="shared" si="56"/>
        <v>84.783999999999992</v>
      </c>
    </row>
    <row r="803" spans="1:6" x14ac:dyDescent="0.25">
      <c r="A803" s="1" t="s">
        <v>513</v>
      </c>
      <c r="B803" s="1" t="s">
        <v>542</v>
      </c>
      <c r="C803" s="1">
        <v>420</v>
      </c>
      <c r="D803" s="1">
        <v>0.6</v>
      </c>
      <c r="E803" s="3">
        <f t="shared" si="55"/>
        <v>252</v>
      </c>
      <c r="F803" s="1">
        <f t="shared" si="56"/>
        <v>294</v>
      </c>
    </row>
    <row r="804" spans="1:6" x14ac:dyDescent="0.25">
      <c r="A804" s="1" t="s">
        <v>513</v>
      </c>
      <c r="B804" s="1" t="s">
        <v>543</v>
      </c>
      <c r="C804" s="1">
        <v>1306</v>
      </c>
      <c r="D804" s="1">
        <v>0.6</v>
      </c>
      <c r="E804" s="3">
        <f t="shared" si="55"/>
        <v>783.6</v>
      </c>
      <c r="F804" s="1">
        <f t="shared" si="56"/>
        <v>914.19999999999993</v>
      </c>
    </row>
    <row r="805" spans="1:6" x14ac:dyDescent="0.25">
      <c r="A805" s="1" t="s">
        <v>513</v>
      </c>
      <c r="B805" s="1" t="s">
        <v>544</v>
      </c>
      <c r="C805" s="1">
        <v>318</v>
      </c>
      <c r="D805" s="1">
        <v>0.6</v>
      </c>
      <c r="E805" s="3">
        <f t="shared" si="55"/>
        <v>190.79999999999998</v>
      </c>
      <c r="F805" s="1">
        <f t="shared" si="56"/>
        <v>222.6</v>
      </c>
    </row>
    <row r="806" spans="1:6" x14ac:dyDescent="0.25">
      <c r="A806" s="1" t="s">
        <v>513</v>
      </c>
      <c r="B806" s="1" t="s">
        <v>545</v>
      </c>
      <c r="C806" s="1">
        <v>723</v>
      </c>
      <c r="D806" s="1"/>
      <c r="E806" s="3"/>
    </row>
    <row r="807" spans="1:6" s="9" customFormat="1" ht="15.75" thickBot="1" x14ac:dyDescent="0.3">
      <c r="A807" s="9" t="s">
        <v>513</v>
      </c>
      <c r="B807" s="9" t="s">
        <v>546</v>
      </c>
      <c r="C807" s="9">
        <v>696.5</v>
      </c>
      <c r="D807" s="9">
        <v>0.6</v>
      </c>
      <c r="E807" s="11">
        <f t="shared" ref="E807:E838" si="57">C807*D807</f>
        <v>417.9</v>
      </c>
      <c r="F807" s="9">
        <f t="shared" ref="F807:F838" si="58">C807*(D807+0.1)</f>
        <v>487.54999999999995</v>
      </c>
    </row>
    <row r="808" spans="1:6" s="27" customFormat="1" x14ac:dyDescent="0.25">
      <c r="A808" s="27" t="s">
        <v>1182</v>
      </c>
      <c r="B808" s="27" t="s">
        <v>1189</v>
      </c>
      <c r="C808" s="27">
        <v>36.630000000000003</v>
      </c>
      <c r="D808" s="27">
        <v>0.44</v>
      </c>
      <c r="E808" s="3">
        <f t="shared" si="57"/>
        <v>16.1172</v>
      </c>
      <c r="F808" s="1">
        <f t="shared" si="58"/>
        <v>19.780200000000004</v>
      </c>
    </row>
    <row r="809" spans="1:6" s="27" customFormat="1" x14ac:dyDescent="0.25">
      <c r="A809" s="27" t="s">
        <v>1182</v>
      </c>
      <c r="B809" s="27" t="s">
        <v>1190</v>
      </c>
      <c r="C809" s="27">
        <v>27.5</v>
      </c>
      <c r="D809" s="27">
        <v>0.44</v>
      </c>
      <c r="E809" s="3">
        <f t="shared" si="57"/>
        <v>12.1</v>
      </c>
      <c r="F809" s="1">
        <f t="shared" si="58"/>
        <v>14.850000000000001</v>
      </c>
    </row>
    <row r="810" spans="1:6" s="27" customFormat="1" x14ac:dyDescent="0.25">
      <c r="A810" s="27" t="s">
        <v>1182</v>
      </c>
      <c r="B810" s="27" t="s">
        <v>1183</v>
      </c>
      <c r="C810" s="27">
        <v>1049</v>
      </c>
      <c r="D810" s="27">
        <v>0.44</v>
      </c>
      <c r="E810" s="3">
        <f t="shared" si="57"/>
        <v>461.56</v>
      </c>
      <c r="F810" s="1">
        <f t="shared" si="58"/>
        <v>566.46</v>
      </c>
    </row>
    <row r="811" spans="1:6" s="27" customFormat="1" x14ac:dyDescent="0.25">
      <c r="A811" s="27" t="s">
        <v>1182</v>
      </c>
      <c r="B811" s="27" t="s">
        <v>1188</v>
      </c>
      <c r="C811" s="27">
        <v>429</v>
      </c>
      <c r="D811" s="27">
        <v>0.44</v>
      </c>
      <c r="E811" s="3">
        <f t="shared" si="57"/>
        <v>188.76</v>
      </c>
      <c r="F811" s="1">
        <f t="shared" si="58"/>
        <v>231.66000000000003</v>
      </c>
    </row>
    <row r="812" spans="1:6" s="27" customFormat="1" x14ac:dyDescent="0.25">
      <c r="A812" s="27" t="s">
        <v>1182</v>
      </c>
      <c r="B812" s="27" t="s">
        <v>1187</v>
      </c>
      <c r="C812" s="27">
        <v>599</v>
      </c>
      <c r="D812" s="27">
        <v>0.44</v>
      </c>
      <c r="E812" s="3">
        <f t="shared" si="57"/>
        <v>263.56</v>
      </c>
      <c r="F812" s="1">
        <f t="shared" si="58"/>
        <v>323.46000000000004</v>
      </c>
    </row>
    <row r="813" spans="1:6" s="27" customFormat="1" x14ac:dyDescent="0.25">
      <c r="A813" s="27" t="s">
        <v>1182</v>
      </c>
      <c r="B813" s="27" t="s">
        <v>1211</v>
      </c>
      <c r="C813" s="27">
        <v>119</v>
      </c>
      <c r="E813" s="3">
        <f t="shared" si="57"/>
        <v>0</v>
      </c>
      <c r="F813" s="1">
        <f t="shared" si="58"/>
        <v>11.9</v>
      </c>
    </row>
    <row r="814" spans="1:6" s="27" customFormat="1" x14ac:dyDescent="0.25">
      <c r="A814" s="27" t="s">
        <v>1182</v>
      </c>
      <c r="B814" s="27" t="s">
        <v>1212</v>
      </c>
      <c r="C814" s="27">
        <v>169</v>
      </c>
      <c r="E814" s="3">
        <f t="shared" si="57"/>
        <v>0</v>
      </c>
      <c r="F814" s="1">
        <f t="shared" si="58"/>
        <v>16.900000000000002</v>
      </c>
    </row>
    <row r="815" spans="1:6" s="27" customFormat="1" x14ac:dyDescent="0.25">
      <c r="A815" s="27" t="s">
        <v>1182</v>
      </c>
      <c r="B815" s="27" t="s">
        <v>1585</v>
      </c>
      <c r="C815" s="27">
        <v>139</v>
      </c>
      <c r="D815" s="27">
        <v>0.44</v>
      </c>
      <c r="E815" s="3">
        <f t="shared" si="57"/>
        <v>61.160000000000004</v>
      </c>
      <c r="F815" s="1">
        <f t="shared" si="58"/>
        <v>75.06</v>
      </c>
    </row>
    <row r="816" spans="1:6" s="27" customFormat="1" x14ac:dyDescent="0.25">
      <c r="A816" s="27" t="s">
        <v>1182</v>
      </c>
      <c r="B816" s="27" t="s">
        <v>1586</v>
      </c>
      <c r="C816" s="27">
        <v>209</v>
      </c>
      <c r="D816" s="27">
        <v>0.44</v>
      </c>
      <c r="E816" s="3">
        <f t="shared" si="57"/>
        <v>91.96</v>
      </c>
      <c r="F816" s="1">
        <f t="shared" si="58"/>
        <v>112.86000000000001</v>
      </c>
    </row>
    <row r="817" spans="1:6" s="27" customFormat="1" x14ac:dyDescent="0.25">
      <c r="A817" s="27" t="s">
        <v>1182</v>
      </c>
      <c r="B817" s="27" t="s">
        <v>1184</v>
      </c>
      <c r="C817" s="27">
        <v>329</v>
      </c>
      <c r="D817" s="27">
        <v>0.44</v>
      </c>
      <c r="E817" s="3">
        <f t="shared" si="57"/>
        <v>144.76</v>
      </c>
      <c r="F817" s="1">
        <f t="shared" si="58"/>
        <v>177.66000000000003</v>
      </c>
    </row>
    <row r="818" spans="1:6" s="27" customFormat="1" ht="15.75" thickBot="1" x14ac:dyDescent="0.3">
      <c r="A818" s="27" t="s">
        <v>1182</v>
      </c>
      <c r="B818" s="27" t="s">
        <v>1185</v>
      </c>
      <c r="C818" s="27">
        <v>329</v>
      </c>
      <c r="D818" s="27">
        <v>0.44</v>
      </c>
      <c r="E818" s="11">
        <f t="shared" si="57"/>
        <v>144.76</v>
      </c>
      <c r="F818" s="9">
        <f t="shared" si="58"/>
        <v>177.66000000000003</v>
      </c>
    </row>
    <row r="819" spans="1:6" s="27" customFormat="1" x14ac:dyDescent="0.25">
      <c r="A819" s="27" t="s">
        <v>1182</v>
      </c>
      <c r="B819" s="27" t="s">
        <v>1186</v>
      </c>
      <c r="C819" s="27">
        <v>569</v>
      </c>
      <c r="D819" s="27">
        <v>0.44</v>
      </c>
      <c r="E819" s="3">
        <f t="shared" si="57"/>
        <v>250.36</v>
      </c>
      <c r="F819" s="1">
        <f t="shared" si="58"/>
        <v>307.26000000000005</v>
      </c>
    </row>
    <row r="820" spans="1:6" s="27" customFormat="1" x14ac:dyDescent="0.25">
      <c r="A820" s="27" t="s">
        <v>1182</v>
      </c>
      <c r="B820" s="27" t="s">
        <v>1191</v>
      </c>
      <c r="C820" s="27">
        <v>239</v>
      </c>
      <c r="D820" s="27">
        <v>0.44</v>
      </c>
      <c r="E820" s="3">
        <f t="shared" si="57"/>
        <v>105.16</v>
      </c>
      <c r="F820" s="1">
        <f t="shared" si="58"/>
        <v>129.06</v>
      </c>
    </row>
    <row r="821" spans="1:6" s="27" customFormat="1" x14ac:dyDescent="0.25">
      <c r="A821" s="27" t="s">
        <v>1182</v>
      </c>
      <c r="B821" s="27" t="s">
        <v>1587</v>
      </c>
      <c r="C821" s="27">
        <v>239</v>
      </c>
      <c r="D821" s="27">
        <v>0.44</v>
      </c>
      <c r="E821" s="3">
        <f t="shared" si="57"/>
        <v>105.16</v>
      </c>
      <c r="F821" s="1">
        <f t="shared" si="58"/>
        <v>129.06</v>
      </c>
    </row>
    <row r="822" spans="1:6" s="27" customFormat="1" x14ac:dyDescent="0.25">
      <c r="A822" s="27" t="s">
        <v>1182</v>
      </c>
      <c r="B822" s="27" t="s">
        <v>1577</v>
      </c>
      <c r="C822" s="27">
        <v>499</v>
      </c>
      <c r="D822" s="27">
        <v>0.44</v>
      </c>
      <c r="E822" s="3">
        <f t="shared" si="57"/>
        <v>219.56</v>
      </c>
      <c r="F822" s="1">
        <f t="shared" si="58"/>
        <v>269.46000000000004</v>
      </c>
    </row>
    <row r="823" spans="1:6" s="27" customFormat="1" x14ac:dyDescent="0.25">
      <c r="A823" s="27" t="s">
        <v>1182</v>
      </c>
      <c r="B823" s="27" t="s">
        <v>1192</v>
      </c>
      <c r="C823" s="27">
        <v>139</v>
      </c>
      <c r="D823" s="27">
        <v>0.44</v>
      </c>
      <c r="E823" s="3">
        <f t="shared" si="57"/>
        <v>61.160000000000004</v>
      </c>
      <c r="F823" s="1">
        <f t="shared" si="58"/>
        <v>75.06</v>
      </c>
    </row>
    <row r="824" spans="1:6" s="27" customFormat="1" x14ac:dyDescent="0.25">
      <c r="A824" s="27" t="s">
        <v>1182</v>
      </c>
      <c r="B824" s="27" t="s">
        <v>1572</v>
      </c>
      <c r="C824" s="27">
        <v>249</v>
      </c>
      <c r="D824" s="27">
        <v>0.44</v>
      </c>
      <c r="E824" s="3">
        <f t="shared" si="57"/>
        <v>109.56</v>
      </c>
      <c r="F824" s="1">
        <f t="shared" si="58"/>
        <v>134.46</v>
      </c>
    </row>
    <row r="825" spans="1:6" s="27" customFormat="1" x14ac:dyDescent="0.25">
      <c r="A825" s="27" t="s">
        <v>1182</v>
      </c>
      <c r="B825" s="27" t="s">
        <v>1193</v>
      </c>
      <c r="C825" s="27">
        <v>239</v>
      </c>
      <c r="D825" s="27">
        <v>0.44</v>
      </c>
      <c r="E825" s="3">
        <f t="shared" si="57"/>
        <v>105.16</v>
      </c>
      <c r="F825" s="1">
        <f t="shared" si="58"/>
        <v>129.06</v>
      </c>
    </row>
    <row r="826" spans="1:6" s="27" customFormat="1" x14ac:dyDescent="0.25">
      <c r="A826" s="27" t="s">
        <v>1182</v>
      </c>
      <c r="B826" s="27" t="s">
        <v>1591</v>
      </c>
      <c r="C826" s="27">
        <v>439</v>
      </c>
      <c r="D826" s="27">
        <v>0.44</v>
      </c>
      <c r="E826" s="3">
        <f t="shared" si="57"/>
        <v>193.16</v>
      </c>
      <c r="F826" s="1">
        <f t="shared" si="58"/>
        <v>237.06</v>
      </c>
    </row>
    <row r="827" spans="1:6" s="27" customFormat="1" x14ac:dyDescent="0.25">
      <c r="A827" s="27" t="s">
        <v>1182</v>
      </c>
      <c r="B827" s="27" t="s">
        <v>1589</v>
      </c>
      <c r="C827" s="27">
        <v>409</v>
      </c>
      <c r="D827" s="27">
        <v>0.44</v>
      </c>
      <c r="E827" s="3">
        <f t="shared" si="57"/>
        <v>179.96</v>
      </c>
      <c r="F827" s="1">
        <f t="shared" si="58"/>
        <v>220.86</v>
      </c>
    </row>
    <row r="828" spans="1:6" s="27" customFormat="1" x14ac:dyDescent="0.25">
      <c r="A828" s="7" t="s">
        <v>1182</v>
      </c>
      <c r="B828" s="33" t="s">
        <v>1573</v>
      </c>
      <c r="C828" s="7">
        <v>229</v>
      </c>
      <c r="D828">
        <v>0.44</v>
      </c>
      <c r="E828" s="3">
        <f t="shared" si="57"/>
        <v>100.76</v>
      </c>
      <c r="F828" s="1">
        <f t="shared" si="58"/>
        <v>123.66000000000001</v>
      </c>
    </row>
    <row r="829" spans="1:6" s="27" customFormat="1" x14ac:dyDescent="0.25">
      <c r="A829" s="27" t="s">
        <v>1182</v>
      </c>
      <c r="B829" s="27" t="s">
        <v>1194</v>
      </c>
      <c r="C829" s="27">
        <v>239</v>
      </c>
      <c r="D829" s="27">
        <v>0.44</v>
      </c>
      <c r="E829" s="3">
        <f t="shared" si="57"/>
        <v>105.16</v>
      </c>
      <c r="F829" s="1">
        <f t="shared" si="58"/>
        <v>129.06</v>
      </c>
    </row>
    <row r="830" spans="1:6" s="27" customFormat="1" ht="15.75" thickBot="1" x14ac:dyDescent="0.3">
      <c r="A830" s="27" t="s">
        <v>1182</v>
      </c>
      <c r="B830" s="27" t="s">
        <v>1195</v>
      </c>
      <c r="C830" s="27">
        <v>329</v>
      </c>
      <c r="D830" s="27">
        <v>0.44</v>
      </c>
      <c r="E830" s="11">
        <f t="shared" si="57"/>
        <v>144.76</v>
      </c>
      <c r="F830" s="9">
        <f t="shared" si="58"/>
        <v>177.66000000000003</v>
      </c>
    </row>
    <row r="831" spans="1:6" s="27" customFormat="1" x14ac:dyDescent="0.25">
      <c r="A831" s="27" t="s">
        <v>1182</v>
      </c>
      <c r="B831" s="27" t="s">
        <v>1196</v>
      </c>
      <c r="C831" s="27">
        <v>649</v>
      </c>
      <c r="D831" s="27">
        <v>0.44</v>
      </c>
      <c r="E831" s="3">
        <f t="shared" si="57"/>
        <v>285.56</v>
      </c>
      <c r="F831" s="1">
        <f t="shared" si="58"/>
        <v>350.46000000000004</v>
      </c>
    </row>
    <row r="832" spans="1:6" s="27" customFormat="1" x14ac:dyDescent="0.25">
      <c r="A832" s="27" t="s">
        <v>1182</v>
      </c>
      <c r="B832" s="27" t="s">
        <v>1588</v>
      </c>
      <c r="C832" s="27">
        <v>129</v>
      </c>
      <c r="D832" s="27">
        <v>0.44</v>
      </c>
      <c r="E832" s="3">
        <f t="shared" si="57"/>
        <v>56.76</v>
      </c>
      <c r="F832" s="1">
        <f t="shared" si="58"/>
        <v>69.660000000000011</v>
      </c>
    </row>
    <row r="833" spans="1:6" s="27" customFormat="1" x14ac:dyDescent="0.25">
      <c r="A833" s="27" t="s">
        <v>1182</v>
      </c>
      <c r="B833" s="27" t="s">
        <v>1197</v>
      </c>
      <c r="C833" s="27">
        <v>219</v>
      </c>
      <c r="D833" s="27">
        <v>0.44</v>
      </c>
      <c r="E833" s="3">
        <f t="shared" si="57"/>
        <v>96.36</v>
      </c>
      <c r="F833" s="1">
        <f t="shared" si="58"/>
        <v>118.26</v>
      </c>
    </row>
    <row r="834" spans="1:6" s="27" customFormat="1" ht="15.75" thickBot="1" x14ac:dyDescent="0.3">
      <c r="A834" s="27" t="s">
        <v>1182</v>
      </c>
      <c r="B834" s="33" t="s">
        <v>1574</v>
      </c>
      <c r="C834" s="7">
        <v>1399</v>
      </c>
      <c r="D834" s="27">
        <v>0.44</v>
      </c>
      <c r="E834" s="11">
        <f t="shared" si="57"/>
        <v>615.56000000000006</v>
      </c>
      <c r="F834" s="9">
        <f t="shared" si="58"/>
        <v>755.46</v>
      </c>
    </row>
    <row r="835" spans="1:6" s="27" customFormat="1" x14ac:dyDescent="0.25">
      <c r="A835" s="27" t="s">
        <v>1182</v>
      </c>
      <c r="B835" s="33" t="s">
        <v>1575</v>
      </c>
      <c r="C835" s="7">
        <v>639</v>
      </c>
      <c r="D835" s="27">
        <v>0.44</v>
      </c>
      <c r="E835" s="3">
        <f t="shared" si="57"/>
        <v>281.16000000000003</v>
      </c>
      <c r="F835" s="1">
        <f t="shared" si="58"/>
        <v>345.06</v>
      </c>
    </row>
    <row r="836" spans="1:6" s="27" customFormat="1" x14ac:dyDescent="0.25">
      <c r="A836" s="27" t="s">
        <v>1182</v>
      </c>
      <c r="B836" s="33" t="s">
        <v>1595</v>
      </c>
      <c r="C836" s="7">
        <v>209</v>
      </c>
      <c r="D836" s="27">
        <v>0.44</v>
      </c>
      <c r="E836" s="3">
        <f t="shared" si="57"/>
        <v>91.96</v>
      </c>
      <c r="F836" s="1">
        <f t="shared" si="58"/>
        <v>112.86000000000001</v>
      </c>
    </row>
    <row r="837" spans="1:6" s="27" customFormat="1" x14ac:dyDescent="0.25">
      <c r="A837" s="27" t="s">
        <v>1182</v>
      </c>
      <c r="B837" s="33" t="s">
        <v>1576</v>
      </c>
      <c r="C837" s="7">
        <v>1759</v>
      </c>
      <c r="D837" s="27">
        <v>0.44</v>
      </c>
      <c r="E837" s="3">
        <f t="shared" si="57"/>
        <v>773.96</v>
      </c>
      <c r="F837" s="1">
        <f t="shared" si="58"/>
        <v>949.86</v>
      </c>
    </row>
    <row r="838" spans="1:6" s="27" customFormat="1" x14ac:dyDescent="0.25">
      <c r="A838" s="27" t="s">
        <v>1182</v>
      </c>
      <c r="B838" s="27" t="s">
        <v>1209</v>
      </c>
      <c r="C838" s="27">
        <v>49</v>
      </c>
      <c r="D838" s="27">
        <v>0.44</v>
      </c>
      <c r="E838" s="3">
        <f t="shared" si="57"/>
        <v>21.56</v>
      </c>
      <c r="F838" s="1">
        <f t="shared" si="58"/>
        <v>26.46</v>
      </c>
    </row>
    <row r="839" spans="1:6" s="27" customFormat="1" x14ac:dyDescent="0.25">
      <c r="A839" s="27" t="s">
        <v>1182</v>
      </c>
      <c r="B839" s="27" t="s">
        <v>1210</v>
      </c>
      <c r="C839" s="27">
        <v>169</v>
      </c>
      <c r="D839" s="27">
        <v>0.44</v>
      </c>
      <c r="E839" s="3">
        <f t="shared" ref="E839:E870" si="59">C839*D839</f>
        <v>74.36</v>
      </c>
      <c r="F839" s="1">
        <f t="shared" ref="F839:F870" si="60">C839*(D839+0.1)</f>
        <v>91.26</v>
      </c>
    </row>
    <row r="840" spans="1:6" s="27" customFormat="1" x14ac:dyDescent="0.25">
      <c r="A840" s="27" t="s">
        <v>1182</v>
      </c>
      <c r="B840" s="27" t="s">
        <v>1592</v>
      </c>
      <c r="C840" s="27">
        <v>89</v>
      </c>
      <c r="D840" s="27">
        <v>0.44</v>
      </c>
      <c r="E840" s="3">
        <f t="shared" si="59"/>
        <v>39.160000000000004</v>
      </c>
      <c r="F840" s="1">
        <f t="shared" si="60"/>
        <v>48.06</v>
      </c>
    </row>
    <row r="841" spans="1:6" s="27" customFormat="1" x14ac:dyDescent="0.25">
      <c r="A841" s="27" t="s">
        <v>1182</v>
      </c>
      <c r="B841" s="27" t="s">
        <v>1578</v>
      </c>
      <c r="C841" s="27">
        <v>109</v>
      </c>
      <c r="D841" s="27">
        <v>0.44</v>
      </c>
      <c r="E841" s="3">
        <f t="shared" si="59"/>
        <v>47.96</v>
      </c>
      <c r="F841" s="1">
        <f t="shared" si="60"/>
        <v>58.860000000000007</v>
      </c>
    </row>
    <row r="842" spans="1:6" s="27" customFormat="1" x14ac:dyDescent="0.25">
      <c r="A842" s="27" t="s">
        <v>1182</v>
      </c>
      <c r="B842" s="27" t="s">
        <v>1198</v>
      </c>
      <c r="C842" s="27">
        <v>509</v>
      </c>
      <c r="D842" s="27">
        <v>0.44</v>
      </c>
      <c r="E842" s="3">
        <f t="shared" si="59"/>
        <v>223.96</v>
      </c>
      <c r="F842" s="1">
        <f t="shared" si="60"/>
        <v>274.86</v>
      </c>
    </row>
    <row r="843" spans="1:6" s="27" customFormat="1" x14ac:dyDescent="0.25">
      <c r="A843" s="27" t="s">
        <v>1182</v>
      </c>
      <c r="B843" s="27" t="s">
        <v>1205</v>
      </c>
      <c r="C843" s="27">
        <v>139</v>
      </c>
      <c r="D843" s="27">
        <v>0.44</v>
      </c>
      <c r="E843" s="3">
        <f t="shared" si="59"/>
        <v>61.160000000000004</v>
      </c>
      <c r="F843" s="1">
        <f t="shared" si="60"/>
        <v>75.06</v>
      </c>
    </row>
    <row r="844" spans="1:6" s="27" customFormat="1" x14ac:dyDescent="0.25">
      <c r="A844" s="27" t="s">
        <v>1182</v>
      </c>
      <c r="B844" s="27" t="s">
        <v>1590</v>
      </c>
      <c r="C844" s="27">
        <v>109</v>
      </c>
      <c r="D844" s="27">
        <v>0.44</v>
      </c>
      <c r="E844" s="3">
        <f t="shared" si="59"/>
        <v>47.96</v>
      </c>
      <c r="F844" s="1">
        <f t="shared" si="60"/>
        <v>58.860000000000007</v>
      </c>
    </row>
    <row r="845" spans="1:6" s="27" customFormat="1" x14ac:dyDescent="0.25">
      <c r="A845" s="27" t="s">
        <v>1182</v>
      </c>
      <c r="B845" s="27" t="s">
        <v>1199</v>
      </c>
      <c r="C845" s="27">
        <v>349</v>
      </c>
      <c r="D845" s="27">
        <v>0.44</v>
      </c>
      <c r="E845" s="3">
        <f t="shared" si="59"/>
        <v>153.56</v>
      </c>
      <c r="F845" s="1">
        <f t="shared" si="60"/>
        <v>188.46</v>
      </c>
    </row>
    <row r="846" spans="1:6" s="27" customFormat="1" x14ac:dyDescent="0.25">
      <c r="A846" s="27" t="s">
        <v>1182</v>
      </c>
      <c r="B846" s="27" t="s">
        <v>1579</v>
      </c>
      <c r="C846" s="27">
        <v>129</v>
      </c>
      <c r="D846" s="27">
        <v>0.44</v>
      </c>
      <c r="E846" s="3">
        <f t="shared" si="59"/>
        <v>56.76</v>
      </c>
      <c r="F846" s="1">
        <f t="shared" si="60"/>
        <v>69.660000000000011</v>
      </c>
    </row>
    <row r="847" spans="1:6" s="27" customFormat="1" x14ac:dyDescent="0.25">
      <c r="A847" s="27" t="s">
        <v>1182</v>
      </c>
      <c r="B847" s="27" t="s">
        <v>1580</v>
      </c>
      <c r="C847" s="27">
        <v>159</v>
      </c>
      <c r="D847" s="27">
        <v>0.44</v>
      </c>
      <c r="E847" s="3">
        <f t="shared" si="59"/>
        <v>69.959999999999994</v>
      </c>
      <c r="F847" s="1">
        <f t="shared" si="60"/>
        <v>85.86</v>
      </c>
    </row>
    <row r="848" spans="1:6" s="27" customFormat="1" x14ac:dyDescent="0.25">
      <c r="A848" s="27" t="s">
        <v>1182</v>
      </c>
      <c r="B848" s="27" t="s">
        <v>1200</v>
      </c>
      <c r="C848" s="27">
        <v>349</v>
      </c>
      <c r="D848" s="27">
        <v>0.44</v>
      </c>
      <c r="E848" s="3">
        <f t="shared" si="59"/>
        <v>153.56</v>
      </c>
      <c r="F848" s="1">
        <f t="shared" si="60"/>
        <v>188.46</v>
      </c>
    </row>
    <row r="849" spans="1:6" s="27" customFormat="1" x14ac:dyDescent="0.25">
      <c r="A849" s="27" t="s">
        <v>1182</v>
      </c>
      <c r="B849" s="27" t="s">
        <v>1208</v>
      </c>
      <c r="C849" s="27">
        <v>249</v>
      </c>
      <c r="D849" s="27">
        <v>0.44</v>
      </c>
      <c r="E849" s="3">
        <f t="shared" si="59"/>
        <v>109.56</v>
      </c>
      <c r="F849" s="1">
        <f t="shared" si="60"/>
        <v>134.46</v>
      </c>
    </row>
    <row r="850" spans="1:6" s="27" customFormat="1" x14ac:dyDescent="0.25">
      <c r="A850" s="27" t="s">
        <v>1182</v>
      </c>
      <c r="B850" s="27" t="s">
        <v>1201</v>
      </c>
      <c r="C850" s="27">
        <v>289</v>
      </c>
      <c r="D850" s="27">
        <v>0.44</v>
      </c>
      <c r="E850" s="3">
        <f t="shared" si="59"/>
        <v>127.16</v>
      </c>
      <c r="F850" s="1">
        <f t="shared" si="60"/>
        <v>156.06</v>
      </c>
    </row>
    <row r="851" spans="1:6" s="27" customFormat="1" ht="15.75" thickBot="1" x14ac:dyDescent="0.3">
      <c r="A851" s="27" t="s">
        <v>1182</v>
      </c>
      <c r="B851" s="27" t="s">
        <v>1202</v>
      </c>
      <c r="C851" s="27">
        <v>419</v>
      </c>
      <c r="D851" s="27">
        <v>0.44</v>
      </c>
      <c r="E851" s="11">
        <f t="shared" si="59"/>
        <v>184.36</v>
      </c>
      <c r="F851" s="9">
        <f t="shared" si="60"/>
        <v>226.26000000000002</v>
      </c>
    </row>
    <row r="852" spans="1:6" s="27" customFormat="1" x14ac:dyDescent="0.25">
      <c r="A852" s="27" t="s">
        <v>1182</v>
      </c>
      <c r="B852" s="27" t="s">
        <v>1206</v>
      </c>
      <c r="C852" s="27">
        <v>109</v>
      </c>
      <c r="D852" s="27">
        <v>0.44</v>
      </c>
      <c r="E852" s="3">
        <f t="shared" si="59"/>
        <v>47.96</v>
      </c>
      <c r="F852" s="1">
        <f t="shared" si="60"/>
        <v>58.860000000000007</v>
      </c>
    </row>
    <row r="853" spans="1:6" s="27" customFormat="1" x14ac:dyDescent="0.25">
      <c r="A853" s="27" t="s">
        <v>1182</v>
      </c>
      <c r="B853" s="27" t="s">
        <v>1207</v>
      </c>
      <c r="C853" s="27">
        <v>249</v>
      </c>
      <c r="D853" s="27">
        <v>0.44</v>
      </c>
      <c r="E853" s="3">
        <f t="shared" si="59"/>
        <v>109.56</v>
      </c>
      <c r="F853" s="1">
        <f t="shared" si="60"/>
        <v>134.46</v>
      </c>
    </row>
    <row r="854" spans="1:6" s="27" customFormat="1" x14ac:dyDescent="0.25">
      <c r="A854" s="27" t="s">
        <v>1182</v>
      </c>
      <c r="B854" s="27" t="s">
        <v>1203</v>
      </c>
      <c r="C854" s="27">
        <v>219</v>
      </c>
      <c r="D854" s="27">
        <v>0.44</v>
      </c>
      <c r="E854" s="3">
        <f t="shared" si="59"/>
        <v>96.36</v>
      </c>
      <c r="F854" s="1">
        <f t="shared" si="60"/>
        <v>118.26</v>
      </c>
    </row>
    <row r="855" spans="1:6" s="27" customFormat="1" x14ac:dyDescent="0.25">
      <c r="A855" s="27" t="s">
        <v>1182</v>
      </c>
      <c r="B855" s="27" t="s">
        <v>1581</v>
      </c>
      <c r="C855" s="27">
        <v>159</v>
      </c>
      <c r="D855" s="27">
        <v>0.44</v>
      </c>
      <c r="E855" s="3">
        <f t="shared" si="59"/>
        <v>69.959999999999994</v>
      </c>
      <c r="F855" s="1">
        <f t="shared" si="60"/>
        <v>85.86</v>
      </c>
    </row>
    <row r="856" spans="1:6" s="27" customFormat="1" x14ac:dyDescent="0.25">
      <c r="A856" s="27" t="s">
        <v>1182</v>
      </c>
      <c r="B856" s="27" t="s">
        <v>1594</v>
      </c>
      <c r="C856" s="27">
        <v>219</v>
      </c>
      <c r="D856" s="27">
        <v>0.44</v>
      </c>
      <c r="E856" s="3">
        <f t="shared" si="59"/>
        <v>96.36</v>
      </c>
      <c r="F856" s="1">
        <f t="shared" si="60"/>
        <v>118.26</v>
      </c>
    </row>
    <row r="857" spans="1:6" s="27" customFormat="1" x14ac:dyDescent="0.25">
      <c r="A857" s="27" t="s">
        <v>1182</v>
      </c>
      <c r="B857" s="27" t="s">
        <v>1593</v>
      </c>
      <c r="C857" s="27">
        <v>399</v>
      </c>
      <c r="D857" s="27">
        <v>0.44</v>
      </c>
      <c r="E857" s="3">
        <f t="shared" si="59"/>
        <v>175.56</v>
      </c>
      <c r="F857" s="1">
        <f t="shared" si="60"/>
        <v>215.46</v>
      </c>
    </row>
    <row r="858" spans="1:6" s="27" customFormat="1" x14ac:dyDescent="0.25">
      <c r="A858" s="27" t="s">
        <v>1182</v>
      </c>
      <c r="B858" s="27" t="s">
        <v>1583</v>
      </c>
      <c r="C858" s="27">
        <v>119</v>
      </c>
      <c r="D858" s="27">
        <v>0.44</v>
      </c>
      <c r="E858" s="3">
        <f t="shared" si="59"/>
        <v>52.36</v>
      </c>
      <c r="F858" s="1">
        <f t="shared" si="60"/>
        <v>64.260000000000005</v>
      </c>
    </row>
    <row r="859" spans="1:6" s="27" customFormat="1" x14ac:dyDescent="0.25">
      <c r="A859" s="27" t="s">
        <v>1182</v>
      </c>
      <c r="B859" s="27" t="s">
        <v>1204</v>
      </c>
      <c r="C859" s="27">
        <v>129</v>
      </c>
      <c r="D859" s="27">
        <v>0.44</v>
      </c>
      <c r="E859" s="3">
        <f t="shared" si="59"/>
        <v>56.76</v>
      </c>
      <c r="F859" s="1">
        <f t="shared" si="60"/>
        <v>69.660000000000011</v>
      </c>
    </row>
    <row r="860" spans="1:6" s="27" customFormat="1" x14ac:dyDescent="0.25">
      <c r="A860" s="27" t="s">
        <v>1182</v>
      </c>
      <c r="B860" s="27" t="s">
        <v>1582</v>
      </c>
      <c r="C860" s="27">
        <v>119</v>
      </c>
      <c r="D860" s="27">
        <v>0.44</v>
      </c>
      <c r="E860" s="3">
        <f t="shared" si="59"/>
        <v>52.36</v>
      </c>
      <c r="F860" s="1">
        <f t="shared" si="60"/>
        <v>64.260000000000005</v>
      </c>
    </row>
    <row r="861" spans="1:6" s="27" customFormat="1" x14ac:dyDescent="0.25">
      <c r="A861" s="27" t="s">
        <v>1182</v>
      </c>
      <c r="B861" s="27" t="s">
        <v>1584</v>
      </c>
      <c r="C861" s="27">
        <v>69</v>
      </c>
      <c r="D861" s="27">
        <v>0.44</v>
      </c>
      <c r="E861" s="3">
        <f t="shared" si="59"/>
        <v>30.36</v>
      </c>
      <c r="F861" s="1">
        <f t="shared" si="60"/>
        <v>37.260000000000005</v>
      </c>
    </row>
    <row r="862" spans="1:6" s="27" customFormat="1" x14ac:dyDescent="0.25">
      <c r="A862" s="7" t="s">
        <v>547</v>
      </c>
      <c r="B862" s="27" t="s">
        <v>1668</v>
      </c>
      <c r="C862" s="27">
        <v>124</v>
      </c>
      <c r="D862" s="7">
        <v>0.43</v>
      </c>
      <c r="E862" s="8">
        <f t="shared" si="59"/>
        <v>53.32</v>
      </c>
      <c r="F862" s="7">
        <f t="shared" si="60"/>
        <v>65.72</v>
      </c>
    </row>
    <row r="863" spans="1:6" s="27" customFormat="1" x14ac:dyDescent="0.25">
      <c r="A863" s="1" t="s">
        <v>547</v>
      </c>
      <c r="B863" s="27" t="s">
        <v>1669</v>
      </c>
      <c r="C863" s="27">
        <v>60</v>
      </c>
      <c r="D863" s="1">
        <v>0.43</v>
      </c>
      <c r="E863" s="8">
        <f t="shared" si="59"/>
        <v>25.8</v>
      </c>
      <c r="F863" s="7">
        <f t="shared" si="60"/>
        <v>31.8</v>
      </c>
    </row>
    <row r="864" spans="1:6" s="27" customFormat="1" x14ac:dyDescent="0.25">
      <c r="A864" s="1" t="s">
        <v>547</v>
      </c>
      <c r="B864" s="27" t="s">
        <v>1670</v>
      </c>
      <c r="C864" s="27">
        <v>82</v>
      </c>
      <c r="D864" s="1">
        <v>0.43</v>
      </c>
      <c r="E864" s="8">
        <f t="shared" si="59"/>
        <v>35.26</v>
      </c>
      <c r="F864" s="7">
        <f t="shared" si="60"/>
        <v>43.46</v>
      </c>
    </row>
    <row r="865" spans="1:6" s="7" customFormat="1" x14ac:dyDescent="0.25">
      <c r="A865" s="7" t="s">
        <v>547</v>
      </c>
      <c r="B865" s="7" t="s">
        <v>548</v>
      </c>
      <c r="C865" s="7">
        <v>210</v>
      </c>
      <c r="D865" s="7">
        <v>0.43</v>
      </c>
      <c r="E865" s="8">
        <f t="shared" si="59"/>
        <v>90.3</v>
      </c>
      <c r="F865" s="7">
        <f t="shared" si="60"/>
        <v>111.30000000000001</v>
      </c>
    </row>
    <row r="866" spans="1:6" x14ac:dyDescent="0.25">
      <c r="A866" s="1" t="s">
        <v>547</v>
      </c>
      <c r="B866" s="1" t="s">
        <v>549</v>
      </c>
      <c r="C866" s="1">
        <v>71.7</v>
      </c>
      <c r="D866" s="1">
        <v>0.43</v>
      </c>
      <c r="E866" s="8">
        <f t="shared" si="59"/>
        <v>30.831</v>
      </c>
      <c r="F866" s="7">
        <f t="shared" si="60"/>
        <v>38.001000000000005</v>
      </c>
    </row>
    <row r="867" spans="1:6" x14ac:dyDescent="0.25">
      <c r="A867" s="1" t="s">
        <v>547</v>
      </c>
      <c r="B867" s="1" t="s">
        <v>550</v>
      </c>
      <c r="C867" s="1">
        <v>139</v>
      </c>
      <c r="D867" s="1">
        <v>0.43</v>
      </c>
      <c r="E867" s="8">
        <f t="shared" si="59"/>
        <v>59.769999999999996</v>
      </c>
      <c r="F867" s="7">
        <f t="shared" si="60"/>
        <v>73.67</v>
      </c>
    </row>
    <row r="868" spans="1:6" s="9" customFormat="1" ht="15.75" thickBot="1" x14ac:dyDescent="0.3">
      <c r="A868" s="9" t="s">
        <v>547</v>
      </c>
      <c r="B868" s="9" t="s">
        <v>551</v>
      </c>
      <c r="C868" s="9">
        <v>229</v>
      </c>
      <c r="D868" s="1">
        <v>0.43</v>
      </c>
      <c r="E868" s="8">
        <f t="shared" si="59"/>
        <v>98.47</v>
      </c>
      <c r="F868" s="7">
        <f t="shared" si="60"/>
        <v>121.37</v>
      </c>
    </row>
    <row r="869" spans="1:6" s="7" customFormat="1" x14ac:dyDescent="0.25">
      <c r="A869" s="7" t="s">
        <v>1731</v>
      </c>
      <c r="B869" s="7" t="s">
        <v>1625</v>
      </c>
      <c r="C869" s="7">
        <v>155</v>
      </c>
      <c r="D869" s="7">
        <v>0.47</v>
      </c>
      <c r="E869" s="8">
        <f t="shared" si="59"/>
        <v>72.849999999999994</v>
      </c>
      <c r="F869" s="7">
        <f t="shared" si="60"/>
        <v>88.35</v>
      </c>
    </row>
    <row r="870" spans="1:6" s="7" customFormat="1" x14ac:dyDescent="0.25">
      <c r="A870" s="7" t="s">
        <v>1731</v>
      </c>
      <c r="B870" s="7" t="s">
        <v>1628</v>
      </c>
      <c r="C870" s="7">
        <v>155</v>
      </c>
      <c r="D870" s="7">
        <v>0.47</v>
      </c>
      <c r="E870" s="8">
        <f t="shared" si="59"/>
        <v>72.849999999999994</v>
      </c>
      <c r="F870" s="7">
        <f t="shared" si="60"/>
        <v>88.35</v>
      </c>
    </row>
    <row r="871" spans="1:6" s="7" customFormat="1" x14ac:dyDescent="0.25">
      <c r="A871" s="7" t="s">
        <v>1731</v>
      </c>
      <c r="B871" s="7" t="s">
        <v>19</v>
      </c>
      <c r="E871" s="8"/>
    </row>
    <row r="872" spans="1:6" s="7" customFormat="1" x14ac:dyDescent="0.25">
      <c r="A872" s="7" t="s">
        <v>1732</v>
      </c>
      <c r="B872" s="7" t="s">
        <v>1626</v>
      </c>
      <c r="C872" s="7">
        <v>155</v>
      </c>
      <c r="D872" s="7">
        <v>0.47</v>
      </c>
      <c r="E872" s="8">
        <f t="shared" ref="E872:E903" si="61">C872*D872</f>
        <v>72.849999999999994</v>
      </c>
      <c r="F872" s="7">
        <f t="shared" ref="F872:F903" si="62">C872*(D872+0.1)</f>
        <v>88.35</v>
      </c>
    </row>
    <row r="873" spans="1:6" s="7" customFormat="1" x14ac:dyDescent="0.25">
      <c r="A873" s="7" t="s">
        <v>552</v>
      </c>
      <c r="B873" s="7" t="s">
        <v>1741</v>
      </c>
      <c r="C873" s="7">
        <v>1079</v>
      </c>
      <c r="D873" s="7">
        <v>0.5</v>
      </c>
      <c r="E873" s="8">
        <f t="shared" si="61"/>
        <v>539.5</v>
      </c>
      <c r="F873" s="7">
        <f t="shared" si="62"/>
        <v>647.4</v>
      </c>
    </row>
    <row r="874" spans="1:6" s="7" customFormat="1" x14ac:dyDescent="0.25">
      <c r="A874" s="7" t="s">
        <v>552</v>
      </c>
      <c r="B874" s="7" t="s">
        <v>1627</v>
      </c>
      <c r="C874" s="7">
        <v>2024</v>
      </c>
      <c r="D874" s="7">
        <v>0.55000000000000004</v>
      </c>
      <c r="E874" s="8">
        <f t="shared" si="61"/>
        <v>1113.2</v>
      </c>
      <c r="F874" s="7">
        <f t="shared" si="62"/>
        <v>1315.6000000000001</v>
      </c>
    </row>
    <row r="875" spans="1:6" s="7" customFormat="1" x14ac:dyDescent="0.25">
      <c r="A875" s="7" t="s">
        <v>552</v>
      </c>
      <c r="B875" s="7" t="s">
        <v>1628</v>
      </c>
      <c r="C875" s="7">
        <v>53</v>
      </c>
      <c r="D875" s="7">
        <v>0.47</v>
      </c>
      <c r="E875" s="8">
        <f t="shared" si="61"/>
        <v>24.91</v>
      </c>
      <c r="F875" s="7">
        <f t="shared" si="62"/>
        <v>30.209999999999997</v>
      </c>
    </row>
    <row r="876" spans="1:6" s="7" customFormat="1" x14ac:dyDescent="0.25">
      <c r="A876" s="7" t="s">
        <v>1731</v>
      </c>
      <c r="B876" s="7" t="s">
        <v>1734</v>
      </c>
      <c r="C876" s="7">
        <v>160</v>
      </c>
      <c r="D876" s="7">
        <v>0.47</v>
      </c>
      <c r="E876" s="8">
        <f t="shared" si="61"/>
        <v>75.199999999999989</v>
      </c>
      <c r="F876" s="7">
        <f t="shared" si="62"/>
        <v>91.199999999999989</v>
      </c>
    </row>
    <row r="877" spans="1:6" s="7" customFormat="1" x14ac:dyDescent="0.25">
      <c r="A877" s="7" t="s">
        <v>552</v>
      </c>
      <c r="B877" s="7" t="s">
        <v>1629</v>
      </c>
      <c r="C877" s="7">
        <v>93</v>
      </c>
      <c r="D877" s="7">
        <v>0.47</v>
      </c>
      <c r="E877" s="8">
        <f t="shared" si="61"/>
        <v>43.71</v>
      </c>
      <c r="F877" s="7">
        <f t="shared" si="62"/>
        <v>53.01</v>
      </c>
    </row>
    <row r="878" spans="1:6" s="7" customFormat="1" x14ac:dyDescent="0.25">
      <c r="A878" s="7" t="s">
        <v>552</v>
      </c>
      <c r="B878" s="7" t="s">
        <v>1630</v>
      </c>
      <c r="C878" s="7">
        <v>155</v>
      </c>
      <c r="D878" s="7">
        <v>0.47</v>
      </c>
      <c r="E878" s="8">
        <f t="shared" si="61"/>
        <v>72.849999999999994</v>
      </c>
      <c r="F878" s="7">
        <f t="shared" si="62"/>
        <v>88.35</v>
      </c>
    </row>
    <row r="879" spans="1:6" s="7" customFormat="1" x14ac:dyDescent="0.25">
      <c r="A879" s="7" t="s">
        <v>552</v>
      </c>
      <c r="B879" s="7" t="s">
        <v>1635</v>
      </c>
      <c r="C879" s="7">
        <v>188</v>
      </c>
      <c r="D879" s="7">
        <v>0.47</v>
      </c>
      <c r="E879" s="8">
        <f t="shared" si="61"/>
        <v>88.36</v>
      </c>
      <c r="F879" s="7">
        <f t="shared" si="62"/>
        <v>107.16</v>
      </c>
    </row>
    <row r="880" spans="1:6" s="7" customFormat="1" x14ac:dyDescent="0.25">
      <c r="A880" s="7" t="s">
        <v>552</v>
      </c>
      <c r="B880" s="7" t="s">
        <v>1636</v>
      </c>
      <c r="C880" s="7">
        <v>266</v>
      </c>
      <c r="D880" s="7">
        <v>0.47</v>
      </c>
      <c r="E880" s="8">
        <f t="shared" si="61"/>
        <v>125.02</v>
      </c>
      <c r="F880" s="7">
        <f t="shared" si="62"/>
        <v>151.61999999999998</v>
      </c>
    </row>
    <row r="881" spans="1:6" s="7" customFormat="1" x14ac:dyDescent="0.25">
      <c r="A881" s="1" t="s">
        <v>552</v>
      </c>
      <c r="B881" s="1" t="s">
        <v>553</v>
      </c>
      <c r="C881" s="1">
        <v>327</v>
      </c>
      <c r="D881" s="7">
        <v>0.47</v>
      </c>
      <c r="E881" s="3">
        <f t="shared" si="61"/>
        <v>153.69</v>
      </c>
      <c r="F881" s="1">
        <f t="shared" si="62"/>
        <v>186.39</v>
      </c>
    </row>
    <row r="882" spans="1:6" s="7" customFormat="1" x14ac:dyDescent="0.25">
      <c r="A882" s="7" t="s">
        <v>552</v>
      </c>
      <c r="B882" s="1" t="s">
        <v>1634</v>
      </c>
      <c r="C882" s="7">
        <v>663</v>
      </c>
      <c r="D882" s="7">
        <v>0.47</v>
      </c>
      <c r="E882" s="8">
        <f t="shared" si="61"/>
        <v>311.60999999999996</v>
      </c>
      <c r="F882" s="7">
        <f t="shared" si="62"/>
        <v>377.90999999999997</v>
      </c>
    </row>
    <row r="883" spans="1:6" s="7" customFormat="1" x14ac:dyDescent="0.25">
      <c r="A883" s="7" t="s">
        <v>552</v>
      </c>
      <c r="B883" s="7" t="s">
        <v>1637</v>
      </c>
      <c r="C883" s="7">
        <v>105</v>
      </c>
      <c r="D883" s="7">
        <v>0.47</v>
      </c>
      <c r="E883" s="8">
        <f t="shared" si="61"/>
        <v>49.349999999999994</v>
      </c>
      <c r="F883" s="7">
        <f t="shared" si="62"/>
        <v>59.849999999999994</v>
      </c>
    </row>
    <row r="884" spans="1:6" s="7" customFormat="1" x14ac:dyDescent="0.25">
      <c r="B884" s="7" t="s">
        <v>1736</v>
      </c>
      <c r="C884" s="7">
        <v>101</v>
      </c>
      <c r="D884" s="7">
        <v>0.47</v>
      </c>
      <c r="E884" s="8">
        <f t="shared" si="61"/>
        <v>47.47</v>
      </c>
      <c r="F884" s="7">
        <f t="shared" si="62"/>
        <v>57.569999999999993</v>
      </c>
    </row>
    <row r="885" spans="1:6" s="7" customFormat="1" x14ac:dyDescent="0.25">
      <c r="A885" s="7" t="s">
        <v>552</v>
      </c>
      <c r="B885" s="7" t="s">
        <v>1763</v>
      </c>
      <c r="C885" s="7">
        <v>101</v>
      </c>
      <c r="D885" s="7">
        <v>0.47</v>
      </c>
      <c r="E885" s="8">
        <f t="shared" si="61"/>
        <v>47.47</v>
      </c>
      <c r="F885" s="7">
        <f t="shared" si="62"/>
        <v>57.569999999999993</v>
      </c>
    </row>
    <row r="886" spans="1:6" s="7" customFormat="1" x14ac:dyDescent="0.25">
      <c r="A886" s="7" t="s">
        <v>552</v>
      </c>
      <c r="B886" s="7" t="s">
        <v>1762</v>
      </c>
      <c r="C886" s="7">
        <v>142</v>
      </c>
      <c r="D886" s="7">
        <v>0.47</v>
      </c>
      <c r="E886" s="8">
        <f t="shared" si="61"/>
        <v>66.739999999999995</v>
      </c>
      <c r="F886" s="7">
        <f t="shared" si="62"/>
        <v>80.94</v>
      </c>
    </row>
    <row r="887" spans="1:6" x14ac:dyDescent="0.25">
      <c r="A887" s="1" t="s">
        <v>552</v>
      </c>
      <c r="B887" s="1" t="s">
        <v>1764</v>
      </c>
      <c r="C887" s="1">
        <v>466</v>
      </c>
      <c r="D887" s="7">
        <v>0.47</v>
      </c>
      <c r="E887" s="8">
        <f t="shared" si="61"/>
        <v>219.01999999999998</v>
      </c>
      <c r="F887" s="7">
        <f t="shared" si="62"/>
        <v>265.62</v>
      </c>
    </row>
    <row r="888" spans="1:6" x14ac:dyDescent="0.25">
      <c r="A888" s="7" t="s">
        <v>552</v>
      </c>
      <c r="B888" s="1" t="s">
        <v>1765</v>
      </c>
      <c r="C888" s="1">
        <v>369</v>
      </c>
      <c r="D888" s="7">
        <v>0.47</v>
      </c>
      <c r="E888" s="8">
        <f t="shared" si="61"/>
        <v>173.42999999999998</v>
      </c>
      <c r="F888" s="7">
        <f t="shared" si="62"/>
        <v>210.32999999999998</v>
      </c>
    </row>
    <row r="889" spans="1:6" x14ac:dyDescent="0.25">
      <c r="A889" s="7" t="s">
        <v>552</v>
      </c>
      <c r="B889" s="1" t="s">
        <v>1766</v>
      </c>
      <c r="C889" s="1">
        <v>515</v>
      </c>
      <c r="D889" s="7">
        <v>0.47</v>
      </c>
      <c r="E889" s="8">
        <f t="shared" si="61"/>
        <v>242.04999999999998</v>
      </c>
      <c r="F889" s="7">
        <f t="shared" si="62"/>
        <v>293.54999999999995</v>
      </c>
    </row>
    <row r="890" spans="1:6" x14ac:dyDescent="0.25">
      <c r="A890" s="1" t="s">
        <v>552</v>
      </c>
      <c r="B890" s="1" t="s">
        <v>1767</v>
      </c>
      <c r="C890" s="1">
        <v>669</v>
      </c>
      <c r="D890" s="7">
        <v>0.47</v>
      </c>
      <c r="E890" s="8">
        <f t="shared" si="61"/>
        <v>314.43</v>
      </c>
      <c r="F890" s="7">
        <f t="shared" si="62"/>
        <v>381.33</v>
      </c>
    </row>
    <row r="891" spans="1:6" x14ac:dyDescent="0.25">
      <c r="A891" s="7" t="s">
        <v>552</v>
      </c>
      <c r="B891" s="1" t="s">
        <v>1768</v>
      </c>
      <c r="C891" s="1">
        <v>208</v>
      </c>
      <c r="D891" s="7">
        <v>0.47</v>
      </c>
      <c r="E891" s="8">
        <f t="shared" si="61"/>
        <v>97.759999999999991</v>
      </c>
      <c r="F891" s="7">
        <f t="shared" si="62"/>
        <v>118.55999999999999</v>
      </c>
    </row>
    <row r="892" spans="1:6" x14ac:dyDescent="0.25">
      <c r="A892" s="7" t="s">
        <v>552</v>
      </c>
      <c r="B892" s="1" t="s">
        <v>1737</v>
      </c>
      <c r="C892" s="1">
        <v>441</v>
      </c>
      <c r="D892" s="7">
        <v>0.47</v>
      </c>
      <c r="E892" s="8">
        <f t="shared" si="61"/>
        <v>207.26999999999998</v>
      </c>
      <c r="F892" s="7">
        <f t="shared" si="62"/>
        <v>251.36999999999998</v>
      </c>
    </row>
    <row r="893" spans="1:6" x14ac:dyDescent="0.25">
      <c r="A893" s="7" t="s">
        <v>552</v>
      </c>
      <c r="B893" s="1" t="s">
        <v>1769</v>
      </c>
      <c r="C893" s="1">
        <v>717</v>
      </c>
      <c r="D893" s="7">
        <v>0.47</v>
      </c>
      <c r="E893" s="8">
        <f t="shared" si="61"/>
        <v>336.99</v>
      </c>
      <c r="F893" s="7">
        <f t="shared" si="62"/>
        <v>408.68999999999994</v>
      </c>
    </row>
    <row r="894" spans="1:6" x14ac:dyDescent="0.25">
      <c r="A894" s="7" t="s">
        <v>552</v>
      </c>
      <c r="B894" s="1" t="s">
        <v>1770</v>
      </c>
      <c r="C894" s="1">
        <v>397</v>
      </c>
      <c r="D894" s="7">
        <v>0.47</v>
      </c>
      <c r="E894" s="8">
        <f t="shared" si="61"/>
        <v>186.59</v>
      </c>
      <c r="F894" s="7">
        <f t="shared" si="62"/>
        <v>226.29</v>
      </c>
    </row>
    <row r="895" spans="1:6" x14ac:dyDescent="0.25">
      <c r="A895" s="7" t="s">
        <v>552</v>
      </c>
      <c r="B895" s="1" t="s">
        <v>1771</v>
      </c>
      <c r="C895" s="1">
        <v>662</v>
      </c>
      <c r="D895" s="7">
        <v>0.47</v>
      </c>
      <c r="E895" s="8">
        <f t="shared" si="61"/>
        <v>311.14</v>
      </c>
      <c r="F895" s="7">
        <f t="shared" si="62"/>
        <v>377.34</v>
      </c>
    </row>
    <row r="896" spans="1:6" x14ac:dyDescent="0.25">
      <c r="A896" s="7" t="s">
        <v>552</v>
      </c>
      <c r="B896" s="1" t="s">
        <v>1739</v>
      </c>
      <c r="C896" s="1">
        <v>280</v>
      </c>
      <c r="D896" s="7">
        <v>0.47</v>
      </c>
      <c r="E896" s="8">
        <f t="shared" si="61"/>
        <v>131.6</v>
      </c>
      <c r="F896" s="7">
        <f t="shared" si="62"/>
        <v>159.6</v>
      </c>
    </row>
    <row r="897" spans="1:6" x14ac:dyDescent="0.25">
      <c r="A897" s="7" t="s">
        <v>552</v>
      </c>
      <c r="B897" s="1" t="s">
        <v>1740</v>
      </c>
      <c r="C897" s="1">
        <v>444</v>
      </c>
      <c r="D897" s="7">
        <v>0.47</v>
      </c>
      <c r="E897" s="8">
        <f t="shared" si="61"/>
        <v>208.67999999999998</v>
      </c>
      <c r="F897" s="7">
        <f t="shared" si="62"/>
        <v>253.07999999999998</v>
      </c>
    </row>
    <row r="898" spans="1:6" x14ac:dyDescent="0.25">
      <c r="A898" s="7" t="s">
        <v>552</v>
      </c>
      <c r="B898" s="1" t="s">
        <v>1738</v>
      </c>
      <c r="C898" s="1">
        <v>701</v>
      </c>
      <c r="D898" s="7">
        <v>0.47</v>
      </c>
      <c r="E898" s="8">
        <f t="shared" si="61"/>
        <v>329.46999999999997</v>
      </c>
      <c r="F898" s="7">
        <f t="shared" si="62"/>
        <v>399.57</v>
      </c>
    </row>
    <row r="899" spans="1:6" x14ac:dyDescent="0.25">
      <c r="A899" s="1" t="s">
        <v>552</v>
      </c>
      <c r="B899" s="1" t="s">
        <v>1742</v>
      </c>
      <c r="C899" s="1">
        <v>436</v>
      </c>
      <c r="D899" s="7">
        <v>0.47</v>
      </c>
      <c r="E899" s="8">
        <f t="shared" si="61"/>
        <v>204.92</v>
      </c>
      <c r="F899" s="7">
        <f t="shared" si="62"/>
        <v>248.51999999999998</v>
      </c>
    </row>
    <row r="900" spans="1:6" x14ac:dyDescent="0.25">
      <c r="A900" s="7" t="s">
        <v>552</v>
      </c>
      <c r="B900" s="1" t="s">
        <v>1743</v>
      </c>
      <c r="C900" s="1">
        <v>768</v>
      </c>
      <c r="D900" s="7">
        <v>0.47</v>
      </c>
      <c r="E900" s="8">
        <f t="shared" si="61"/>
        <v>360.96</v>
      </c>
      <c r="F900" s="7">
        <f t="shared" si="62"/>
        <v>437.76</v>
      </c>
    </row>
    <row r="901" spans="1:6" x14ac:dyDescent="0.25">
      <c r="A901" s="7" t="s">
        <v>552</v>
      </c>
      <c r="B901" s="1" t="s">
        <v>1744</v>
      </c>
      <c r="C901" s="1">
        <v>369</v>
      </c>
      <c r="D901" s="7">
        <v>0.47</v>
      </c>
      <c r="E901" s="8">
        <f t="shared" si="61"/>
        <v>173.42999999999998</v>
      </c>
      <c r="F901" s="7">
        <f t="shared" si="62"/>
        <v>210.32999999999998</v>
      </c>
    </row>
    <row r="902" spans="1:6" x14ac:dyDescent="0.25">
      <c r="A902" s="7" t="s">
        <v>552</v>
      </c>
      <c r="B902" s="1" t="s">
        <v>1745</v>
      </c>
      <c r="C902" s="1">
        <v>515</v>
      </c>
      <c r="D902" s="7">
        <v>0.47</v>
      </c>
      <c r="E902" s="8">
        <f t="shared" si="61"/>
        <v>242.04999999999998</v>
      </c>
      <c r="F902" s="7">
        <f t="shared" si="62"/>
        <v>293.54999999999995</v>
      </c>
    </row>
    <row r="903" spans="1:6" x14ac:dyDescent="0.25">
      <c r="A903" s="7" t="s">
        <v>552</v>
      </c>
      <c r="B903" s="1" t="s">
        <v>1746</v>
      </c>
      <c r="C903" s="1">
        <v>625</v>
      </c>
      <c r="D903" s="7">
        <v>0.47</v>
      </c>
      <c r="E903" s="8">
        <f t="shared" si="61"/>
        <v>293.75</v>
      </c>
      <c r="F903" s="7">
        <f t="shared" si="62"/>
        <v>356.24999999999994</v>
      </c>
    </row>
    <row r="904" spans="1:6" x14ac:dyDescent="0.25">
      <c r="A904" s="7" t="s">
        <v>552</v>
      </c>
      <c r="B904" s="1" t="s">
        <v>1747</v>
      </c>
      <c r="C904" s="1">
        <v>103</v>
      </c>
      <c r="D904" s="7">
        <v>0.47</v>
      </c>
      <c r="E904" s="8">
        <f t="shared" ref="E904:E928" si="63">C904*D904</f>
        <v>48.41</v>
      </c>
      <c r="F904" s="7">
        <f t="shared" ref="F904:F928" si="64">C904*(D904+0.1)</f>
        <v>58.709999999999994</v>
      </c>
    </row>
    <row r="905" spans="1:6" x14ac:dyDescent="0.25">
      <c r="A905" s="7" t="s">
        <v>552</v>
      </c>
      <c r="B905" s="1" t="s">
        <v>1748</v>
      </c>
      <c r="C905" s="1">
        <v>117</v>
      </c>
      <c r="D905" s="7">
        <v>0.47</v>
      </c>
      <c r="E905" s="8">
        <f t="shared" si="63"/>
        <v>54.989999999999995</v>
      </c>
      <c r="F905" s="7">
        <f t="shared" si="64"/>
        <v>66.69</v>
      </c>
    </row>
    <row r="906" spans="1:6" x14ac:dyDescent="0.25">
      <c r="A906" s="7" t="s">
        <v>552</v>
      </c>
      <c r="B906" s="1" t="s">
        <v>1749</v>
      </c>
      <c r="C906" s="1">
        <v>140</v>
      </c>
      <c r="D906" s="7">
        <v>0.47</v>
      </c>
      <c r="E906" s="8">
        <f t="shared" si="63"/>
        <v>65.8</v>
      </c>
      <c r="F906" s="7">
        <f t="shared" si="64"/>
        <v>79.8</v>
      </c>
    </row>
    <row r="907" spans="1:6" x14ac:dyDescent="0.25">
      <c r="A907" s="1" t="s">
        <v>552</v>
      </c>
      <c r="B907" s="1" t="s">
        <v>1750</v>
      </c>
      <c r="C907" s="1">
        <v>168</v>
      </c>
      <c r="D907" s="7">
        <v>0.47</v>
      </c>
      <c r="E907" s="8">
        <f t="shared" si="63"/>
        <v>78.959999999999994</v>
      </c>
      <c r="F907" s="7">
        <f t="shared" si="64"/>
        <v>95.759999999999991</v>
      </c>
    </row>
    <row r="908" spans="1:6" x14ac:dyDescent="0.25">
      <c r="A908" s="7" t="s">
        <v>552</v>
      </c>
      <c r="B908" s="1" t="s">
        <v>1751</v>
      </c>
      <c r="C908" s="1">
        <v>196</v>
      </c>
      <c r="D908" s="7">
        <v>0.47</v>
      </c>
      <c r="E908" s="8">
        <f t="shared" si="63"/>
        <v>92.11999999999999</v>
      </c>
      <c r="F908" s="7">
        <f t="shared" si="64"/>
        <v>111.71999999999998</v>
      </c>
    </row>
    <row r="909" spans="1:6" x14ac:dyDescent="0.25">
      <c r="A909" s="7" t="s">
        <v>552</v>
      </c>
      <c r="B909" s="1" t="s">
        <v>1752</v>
      </c>
      <c r="C909" s="1">
        <v>294</v>
      </c>
      <c r="D909" s="7">
        <v>0.47</v>
      </c>
      <c r="E909" s="8">
        <f t="shared" si="63"/>
        <v>138.17999999999998</v>
      </c>
      <c r="F909" s="7">
        <f t="shared" si="64"/>
        <v>167.57999999999998</v>
      </c>
    </row>
    <row r="910" spans="1:6" x14ac:dyDescent="0.25">
      <c r="A910" s="7" t="s">
        <v>552</v>
      </c>
      <c r="B910" s="1" t="s">
        <v>1753</v>
      </c>
      <c r="C910" s="1">
        <v>428</v>
      </c>
      <c r="D910" s="7">
        <v>0.47</v>
      </c>
      <c r="E910" s="8">
        <f t="shared" si="63"/>
        <v>201.16</v>
      </c>
      <c r="F910" s="7">
        <f t="shared" si="64"/>
        <v>243.95999999999998</v>
      </c>
    </row>
    <row r="911" spans="1:6" x14ac:dyDescent="0.25">
      <c r="A911" s="7" t="s">
        <v>552</v>
      </c>
      <c r="B911" s="1" t="s">
        <v>1633</v>
      </c>
      <c r="C911" s="1">
        <v>79</v>
      </c>
      <c r="D911" s="7">
        <v>0.47</v>
      </c>
      <c r="E911" s="8">
        <f t="shared" si="63"/>
        <v>37.129999999999995</v>
      </c>
      <c r="F911" s="7">
        <f t="shared" si="64"/>
        <v>45.029999999999994</v>
      </c>
    </row>
    <row r="912" spans="1:6" x14ac:dyDescent="0.25">
      <c r="A912" s="1" t="s">
        <v>552</v>
      </c>
      <c r="B912" s="1" t="s">
        <v>1754</v>
      </c>
      <c r="C912" s="1">
        <v>896</v>
      </c>
      <c r="D912" s="7">
        <v>0.47</v>
      </c>
      <c r="E912" s="8">
        <f t="shared" si="63"/>
        <v>421.12</v>
      </c>
      <c r="F912" s="7">
        <f t="shared" si="64"/>
        <v>510.71999999999997</v>
      </c>
    </row>
    <row r="913" spans="1:6" x14ac:dyDescent="0.25">
      <c r="A913" s="7" t="s">
        <v>552</v>
      </c>
      <c r="B913" s="1" t="s">
        <v>1755</v>
      </c>
      <c r="C913" s="1">
        <v>188</v>
      </c>
      <c r="D913" s="7">
        <v>0.47</v>
      </c>
      <c r="E913" s="8">
        <f t="shared" si="63"/>
        <v>88.36</v>
      </c>
      <c r="F913" s="7">
        <f t="shared" si="64"/>
        <v>107.16</v>
      </c>
    </row>
    <row r="914" spans="1:6" x14ac:dyDescent="0.25">
      <c r="A914" s="7" t="s">
        <v>552</v>
      </c>
      <c r="B914" s="1" t="s">
        <v>1756</v>
      </c>
      <c r="C914" s="1">
        <v>188</v>
      </c>
      <c r="D914" s="7">
        <v>0.47</v>
      </c>
      <c r="E914" s="8">
        <f t="shared" si="63"/>
        <v>88.36</v>
      </c>
      <c r="F914" s="7">
        <f t="shared" si="64"/>
        <v>107.16</v>
      </c>
    </row>
    <row r="915" spans="1:6" x14ac:dyDescent="0.25">
      <c r="A915" s="7" t="s">
        <v>552</v>
      </c>
      <c r="B915" s="1" t="s">
        <v>1757</v>
      </c>
      <c r="C915" s="1">
        <v>246</v>
      </c>
      <c r="D915" s="7">
        <v>0.47</v>
      </c>
      <c r="E915" s="8">
        <f t="shared" si="63"/>
        <v>115.61999999999999</v>
      </c>
      <c r="F915" s="7">
        <f t="shared" si="64"/>
        <v>140.22</v>
      </c>
    </row>
    <row r="916" spans="1:6" x14ac:dyDescent="0.25">
      <c r="A916" s="7" t="s">
        <v>552</v>
      </c>
      <c r="B916" s="1" t="s">
        <v>1758</v>
      </c>
      <c r="C916" s="1">
        <v>148</v>
      </c>
      <c r="D916" s="7">
        <v>0.47</v>
      </c>
      <c r="E916" s="8">
        <f t="shared" si="63"/>
        <v>69.56</v>
      </c>
      <c r="F916" s="7">
        <f t="shared" si="64"/>
        <v>84.36</v>
      </c>
    </row>
    <row r="917" spans="1:6" x14ac:dyDescent="0.25">
      <c r="A917" s="7" t="s">
        <v>552</v>
      </c>
      <c r="B917" s="1" t="s">
        <v>1759</v>
      </c>
      <c r="C917" s="1">
        <v>148</v>
      </c>
      <c r="D917" s="7">
        <v>0.47</v>
      </c>
      <c r="E917" s="8">
        <f t="shared" si="63"/>
        <v>69.56</v>
      </c>
      <c r="F917" s="7">
        <f t="shared" si="64"/>
        <v>84.36</v>
      </c>
    </row>
    <row r="918" spans="1:6" x14ac:dyDescent="0.25">
      <c r="A918" s="7" t="s">
        <v>552</v>
      </c>
      <c r="B918" s="1" t="s">
        <v>1760</v>
      </c>
      <c r="C918" s="1">
        <v>123</v>
      </c>
      <c r="D918" s="7">
        <v>0.47</v>
      </c>
      <c r="E918" s="8">
        <f t="shared" si="63"/>
        <v>57.809999999999995</v>
      </c>
      <c r="F918" s="7">
        <f t="shared" si="64"/>
        <v>70.11</v>
      </c>
    </row>
    <row r="919" spans="1:6" x14ac:dyDescent="0.25">
      <c r="A919" s="7" t="s">
        <v>552</v>
      </c>
      <c r="B919" s="1" t="s">
        <v>1761</v>
      </c>
      <c r="C919" s="1">
        <v>117</v>
      </c>
      <c r="D919" s="7">
        <v>0.47</v>
      </c>
      <c r="E919" s="8">
        <f t="shared" si="63"/>
        <v>54.989999999999995</v>
      </c>
      <c r="F919" s="7">
        <f t="shared" si="64"/>
        <v>66.69</v>
      </c>
    </row>
    <row r="920" spans="1:6" x14ac:dyDescent="0.25">
      <c r="D920" s="7"/>
      <c r="E920" s="3">
        <f t="shared" si="63"/>
        <v>0</v>
      </c>
      <c r="F920" s="1">
        <f t="shared" si="64"/>
        <v>0</v>
      </c>
    </row>
    <row r="921" spans="1:6" x14ac:dyDescent="0.25">
      <c r="A921" s="1" t="s">
        <v>1731</v>
      </c>
      <c r="B921" s="1" t="s">
        <v>1735</v>
      </c>
      <c r="C921" s="1">
        <v>188</v>
      </c>
      <c r="D921" s="1">
        <v>0.47</v>
      </c>
      <c r="E921" s="3">
        <f t="shared" si="63"/>
        <v>88.36</v>
      </c>
      <c r="F921" s="1">
        <f t="shared" si="64"/>
        <v>107.16</v>
      </c>
    </row>
    <row r="922" spans="1:6" s="9" customFormat="1" ht="15.75" thickBot="1" x14ac:dyDescent="0.3">
      <c r="A922" s="9" t="s">
        <v>1731</v>
      </c>
      <c r="B922" s="9" t="s">
        <v>1733</v>
      </c>
      <c r="C922" s="9">
        <v>246</v>
      </c>
      <c r="D922" s="9">
        <v>0.47</v>
      </c>
      <c r="E922" s="11">
        <f t="shared" si="63"/>
        <v>115.61999999999999</v>
      </c>
      <c r="F922" s="9">
        <f t="shared" si="64"/>
        <v>140.22</v>
      </c>
    </row>
    <row r="923" spans="1:6" s="7" customFormat="1" x14ac:dyDescent="0.25">
      <c r="A923" s="7" t="s">
        <v>554</v>
      </c>
      <c r="B923" s="7" t="s">
        <v>555</v>
      </c>
      <c r="C923" s="7">
        <v>1336</v>
      </c>
      <c r="D923" s="7">
        <v>0.55000000000000004</v>
      </c>
      <c r="E923" s="8">
        <f t="shared" si="63"/>
        <v>734.80000000000007</v>
      </c>
      <c r="F923" s="7">
        <f t="shared" si="64"/>
        <v>868.4</v>
      </c>
    </row>
    <row r="924" spans="1:6" x14ac:dyDescent="0.25">
      <c r="A924" s="1" t="s">
        <v>554</v>
      </c>
      <c r="B924" s="1" t="s">
        <v>556</v>
      </c>
      <c r="C924" s="1">
        <v>145</v>
      </c>
      <c r="D924" s="1">
        <v>0.55000000000000004</v>
      </c>
      <c r="E924" s="3">
        <f t="shared" si="63"/>
        <v>79.75</v>
      </c>
      <c r="F924" s="1">
        <f t="shared" si="64"/>
        <v>94.25</v>
      </c>
    </row>
    <row r="925" spans="1:6" x14ac:dyDescent="0.25">
      <c r="A925" s="1" t="s">
        <v>554</v>
      </c>
      <c r="B925" s="1" t="s">
        <v>557</v>
      </c>
      <c r="C925" s="1">
        <v>42.4</v>
      </c>
      <c r="D925" s="1">
        <v>0.55000000000000004</v>
      </c>
      <c r="E925" s="3">
        <f t="shared" si="63"/>
        <v>23.32</v>
      </c>
      <c r="F925" s="1">
        <f t="shared" si="64"/>
        <v>27.56</v>
      </c>
    </row>
    <row r="926" spans="1:6" x14ac:dyDescent="0.25">
      <c r="A926" s="1" t="s">
        <v>554</v>
      </c>
      <c r="B926" s="1" t="s">
        <v>558</v>
      </c>
      <c r="C926" s="1">
        <v>145</v>
      </c>
      <c r="D926" s="1">
        <v>0.55000000000000004</v>
      </c>
      <c r="E926" s="3">
        <f t="shared" si="63"/>
        <v>79.75</v>
      </c>
      <c r="F926" s="1">
        <f t="shared" si="64"/>
        <v>94.25</v>
      </c>
    </row>
    <row r="927" spans="1:6" x14ac:dyDescent="0.25">
      <c r="A927" s="1" t="s">
        <v>554</v>
      </c>
      <c r="B927" s="1" t="s">
        <v>559</v>
      </c>
      <c r="C927" s="1">
        <v>254</v>
      </c>
      <c r="D927" s="1">
        <v>0.6</v>
      </c>
      <c r="E927" s="3">
        <f t="shared" si="63"/>
        <v>152.4</v>
      </c>
      <c r="F927" s="1">
        <f t="shared" si="64"/>
        <v>177.79999999999998</v>
      </c>
    </row>
    <row r="928" spans="1:6" x14ac:dyDescent="0.25">
      <c r="A928" s="1" t="s">
        <v>554</v>
      </c>
      <c r="B928" s="1" t="s">
        <v>560</v>
      </c>
      <c r="C928" s="1">
        <v>409</v>
      </c>
      <c r="D928" s="1">
        <v>0.65</v>
      </c>
      <c r="E928" s="3">
        <f t="shared" si="63"/>
        <v>265.85000000000002</v>
      </c>
      <c r="F928" s="1">
        <f t="shared" si="64"/>
        <v>306.75</v>
      </c>
    </row>
    <row r="929" spans="1:6" x14ac:dyDescent="0.25">
      <c r="A929" s="1" t="s">
        <v>554</v>
      </c>
      <c r="B929" s="1" t="s">
        <v>561</v>
      </c>
      <c r="C929" s="1">
        <v>16.3</v>
      </c>
      <c r="D929" s="1"/>
      <c r="E929" s="3"/>
    </row>
    <row r="930" spans="1:6" s="9" customFormat="1" ht="15.75" thickBot="1" x14ac:dyDescent="0.3">
      <c r="A930" s="9" t="s">
        <v>554</v>
      </c>
      <c r="B930" s="9" t="s">
        <v>562</v>
      </c>
      <c r="C930" s="9">
        <v>330</v>
      </c>
      <c r="D930" s="9">
        <v>0.6</v>
      </c>
      <c r="E930" s="11">
        <f>C930*D930</f>
        <v>198</v>
      </c>
      <c r="F930" s="9">
        <f>C930*(D930+0.1)</f>
        <v>230.99999999999997</v>
      </c>
    </row>
    <row r="931" spans="1:6" s="7" customFormat="1" x14ac:dyDescent="0.25">
      <c r="A931" s="7" t="s">
        <v>563</v>
      </c>
      <c r="B931" s="7" t="s">
        <v>564</v>
      </c>
      <c r="D931" s="12"/>
      <c r="E931" s="8"/>
    </row>
    <row r="932" spans="1:6" x14ac:dyDescent="0.25">
      <c r="A932" s="1" t="s">
        <v>563</v>
      </c>
      <c r="B932" s="1" t="s">
        <v>566</v>
      </c>
      <c r="E932" s="3"/>
    </row>
    <row r="933" spans="1:6" x14ac:dyDescent="0.25">
      <c r="A933" s="1" t="s">
        <v>563</v>
      </c>
      <c r="B933" s="1" t="s">
        <v>568</v>
      </c>
      <c r="E933" s="3"/>
    </row>
    <row r="934" spans="1:6" x14ac:dyDescent="0.25">
      <c r="A934" s="1" t="s">
        <v>563</v>
      </c>
      <c r="B934" s="1" t="s">
        <v>569</v>
      </c>
      <c r="E934" s="3"/>
    </row>
    <row r="935" spans="1:6" x14ac:dyDescent="0.25">
      <c r="A935" s="1" t="s">
        <v>563</v>
      </c>
      <c r="B935" s="1" t="s">
        <v>570</v>
      </c>
      <c r="E935" s="3"/>
    </row>
    <row r="936" spans="1:6" x14ac:dyDescent="0.25">
      <c r="A936" s="1" t="s">
        <v>563</v>
      </c>
      <c r="B936" s="1" t="s">
        <v>571</v>
      </c>
      <c r="E936" s="3"/>
    </row>
    <row r="937" spans="1:6" s="9" customFormat="1" ht="15.75" thickBot="1" x14ac:dyDescent="0.3">
      <c r="A937" s="9" t="s">
        <v>563</v>
      </c>
      <c r="B937" s="9" t="s">
        <v>572</v>
      </c>
      <c r="D937" s="10"/>
      <c r="E937" s="11"/>
    </row>
    <row r="938" spans="1:6" s="7" customFormat="1" x14ac:dyDescent="0.25">
      <c r="A938" s="7" t="s">
        <v>573</v>
      </c>
      <c r="B938" s="7" t="s">
        <v>574</v>
      </c>
      <c r="C938" s="7">
        <v>80</v>
      </c>
      <c r="D938" s="7">
        <v>0.72</v>
      </c>
      <c r="E938" s="8">
        <f t="shared" ref="E938:E969" si="65">C938*D938</f>
        <v>57.599999999999994</v>
      </c>
      <c r="F938" s="7">
        <f t="shared" ref="F938:F969" si="66">C938*(D938+0.1)</f>
        <v>65.599999999999994</v>
      </c>
    </row>
    <row r="939" spans="1:6" x14ac:dyDescent="0.25">
      <c r="A939" s="1" t="s">
        <v>573</v>
      </c>
      <c r="B939" s="1" t="s">
        <v>575</v>
      </c>
      <c r="C939" s="1">
        <v>225</v>
      </c>
      <c r="D939" s="1">
        <v>0.72</v>
      </c>
      <c r="E939" s="3">
        <f t="shared" si="65"/>
        <v>162</v>
      </c>
      <c r="F939" s="1">
        <f t="shared" si="66"/>
        <v>184.5</v>
      </c>
    </row>
    <row r="940" spans="1:6" s="9" customFormat="1" ht="15.75" thickBot="1" x14ac:dyDescent="0.3">
      <c r="A940" s="9" t="s">
        <v>573</v>
      </c>
      <c r="B940" s="9" t="s">
        <v>576</v>
      </c>
      <c r="C940" s="9">
        <v>135</v>
      </c>
      <c r="D940" s="9">
        <v>0.72</v>
      </c>
      <c r="E940" s="11">
        <f t="shared" si="65"/>
        <v>97.2</v>
      </c>
      <c r="F940" s="9">
        <f t="shared" si="66"/>
        <v>110.69999999999999</v>
      </c>
    </row>
    <row r="941" spans="1:6" s="7" customFormat="1" x14ac:dyDescent="0.25">
      <c r="A941" s="7" t="s">
        <v>577</v>
      </c>
      <c r="B941" s="7" t="s">
        <v>578</v>
      </c>
      <c r="C941" s="7">
        <v>358</v>
      </c>
      <c r="D941" s="7">
        <v>0.5</v>
      </c>
      <c r="E941" s="8">
        <f t="shared" si="65"/>
        <v>179</v>
      </c>
      <c r="F941" s="7">
        <f t="shared" si="66"/>
        <v>214.79999999999998</v>
      </c>
    </row>
    <row r="942" spans="1:6" x14ac:dyDescent="0.25">
      <c r="A942" s="1" t="s">
        <v>577</v>
      </c>
      <c r="B942" s="1" t="s">
        <v>579</v>
      </c>
      <c r="C942" s="1">
        <v>613</v>
      </c>
      <c r="D942" s="1">
        <v>0.5</v>
      </c>
      <c r="E942" s="8">
        <f t="shared" si="65"/>
        <v>306.5</v>
      </c>
      <c r="F942" s="7">
        <f t="shared" si="66"/>
        <v>367.8</v>
      </c>
    </row>
    <row r="943" spans="1:6" x14ac:dyDescent="0.25">
      <c r="A943" s="7" t="s">
        <v>577</v>
      </c>
      <c r="B943" s="1" t="s">
        <v>1664</v>
      </c>
      <c r="C943" s="1">
        <v>371</v>
      </c>
      <c r="D943" s="1">
        <v>0.34</v>
      </c>
      <c r="E943" s="8">
        <f t="shared" si="65"/>
        <v>126.14000000000001</v>
      </c>
      <c r="F943" s="7">
        <f t="shared" si="66"/>
        <v>163.24</v>
      </c>
    </row>
    <row r="944" spans="1:6" x14ac:dyDescent="0.25">
      <c r="A944" s="1" t="s">
        <v>577</v>
      </c>
      <c r="B944" s="1" t="s">
        <v>1665</v>
      </c>
      <c r="C944" s="1">
        <v>168</v>
      </c>
      <c r="D944" s="1">
        <v>0.34</v>
      </c>
      <c r="E944" s="8">
        <f t="shared" si="65"/>
        <v>57.120000000000005</v>
      </c>
      <c r="F944" s="7">
        <f t="shared" si="66"/>
        <v>73.920000000000016</v>
      </c>
    </row>
    <row r="945" spans="1:6" x14ac:dyDescent="0.25">
      <c r="A945" s="1" t="s">
        <v>577</v>
      </c>
      <c r="B945" s="1" t="s">
        <v>1666</v>
      </c>
      <c r="C945" s="1">
        <v>310</v>
      </c>
      <c r="D945" s="1">
        <v>0.34</v>
      </c>
      <c r="E945" s="8">
        <f t="shared" si="65"/>
        <v>105.4</v>
      </c>
      <c r="F945" s="7">
        <f t="shared" si="66"/>
        <v>136.4</v>
      </c>
    </row>
    <row r="946" spans="1:6" x14ac:dyDescent="0.25">
      <c r="A946" s="1" t="s">
        <v>577</v>
      </c>
      <c r="B946" s="1" t="s">
        <v>580</v>
      </c>
      <c r="C946" s="1">
        <v>424</v>
      </c>
      <c r="D946" s="1">
        <v>0.34</v>
      </c>
      <c r="E946" s="8">
        <f t="shared" si="65"/>
        <v>144.16</v>
      </c>
      <c r="F946" s="7">
        <f t="shared" si="66"/>
        <v>186.56000000000003</v>
      </c>
    </row>
    <row r="947" spans="1:6" x14ac:dyDescent="0.25">
      <c r="A947" s="1" t="s">
        <v>577</v>
      </c>
      <c r="B947" s="1" t="s">
        <v>581</v>
      </c>
      <c r="C947" s="1">
        <v>655</v>
      </c>
      <c r="D947" s="1">
        <v>0.5</v>
      </c>
      <c r="E947" s="8">
        <f t="shared" si="65"/>
        <v>327.5</v>
      </c>
      <c r="F947" s="7">
        <f t="shared" si="66"/>
        <v>393</v>
      </c>
    </row>
    <row r="948" spans="1:6" x14ac:dyDescent="0.25">
      <c r="A948" s="1" t="s">
        <v>577</v>
      </c>
      <c r="B948" s="1" t="s">
        <v>582</v>
      </c>
      <c r="C948" s="1">
        <v>143.35</v>
      </c>
      <c r="D948" s="1">
        <v>0.5</v>
      </c>
      <c r="E948" s="3">
        <f t="shared" si="65"/>
        <v>71.674999999999997</v>
      </c>
      <c r="F948" s="1">
        <f t="shared" si="66"/>
        <v>86.009999999999991</v>
      </c>
    </row>
    <row r="949" spans="1:6" ht="15.75" thickBot="1" x14ac:dyDescent="0.3">
      <c r="A949" s="9" t="s">
        <v>577</v>
      </c>
      <c r="B949" s="9" t="s">
        <v>1165</v>
      </c>
      <c r="C949" s="9">
        <v>3810</v>
      </c>
      <c r="D949" s="9">
        <v>0.5</v>
      </c>
      <c r="E949" s="11">
        <f t="shared" si="65"/>
        <v>1905</v>
      </c>
      <c r="F949" s="9">
        <f t="shared" si="66"/>
        <v>2286</v>
      </c>
    </row>
    <row r="950" spans="1:6" x14ac:dyDescent="0.25">
      <c r="A950" s="1" t="s">
        <v>577</v>
      </c>
      <c r="B950" s="1" t="s">
        <v>583</v>
      </c>
      <c r="C950" s="1">
        <v>250</v>
      </c>
      <c r="D950" s="1">
        <v>0.5</v>
      </c>
      <c r="E950" s="3">
        <f t="shared" si="65"/>
        <v>125</v>
      </c>
      <c r="F950" s="1">
        <f t="shared" si="66"/>
        <v>150</v>
      </c>
    </row>
    <row r="951" spans="1:6" s="9" customFormat="1" ht="15.75" thickBot="1" x14ac:dyDescent="0.3">
      <c r="A951" s="9" t="s">
        <v>577</v>
      </c>
      <c r="B951" s="9" t="s">
        <v>1667</v>
      </c>
      <c r="C951" s="9">
        <v>1474</v>
      </c>
      <c r="D951" s="9">
        <v>0.5</v>
      </c>
      <c r="E951" s="11">
        <f t="shared" si="65"/>
        <v>737</v>
      </c>
      <c r="F951" s="9">
        <f t="shared" si="66"/>
        <v>884.4</v>
      </c>
    </row>
    <row r="952" spans="1:6" s="7" customFormat="1" x14ac:dyDescent="0.25">
      <c r="A952" s="7" t="s">
        <v>584</v>
      </c>
      <c r="B952" s="7" t="s">
        <v>585</v>
      </c>
      <c r="C952" s="7">
        <v>179</v>
      </c>
      <c r="D952" s="7">
        <v>0.42</v>
      </c>
      <c r="E952" s="8">
        <f t="shared" si="65"/>
        <v>75.179999999999993</v>
      </c>
      <c r="F952" s="7">
        <f t="shared" si="66"/>
        <v>93.08</v>
      </c>
    </row>
    <row r="953" spans="1:6" x14ac:dyDescent="0.25">
      <c r="A953" s="1" t="s">
        <v>584</v>
      </c>
      <c r="B953" s="1" t="s">
        <v>586</v>
      </c>
      <c r="C953" s="1">
        <v>277</v>
      </c>
      <c r="D953" s="1">
        <v>0.42</v>
      </c>
      <c r="E953" s="3">
        <f t="shared" si="65"/>
        <v>116.33999999999999</v>
      </c>
      <c r="F953" s="1">
        <f t="shared" si="66"/>
        <v>144.04</v>
      </c>
    </row>
    <row r="954" spans="1:6" x14ac:dyDescent="0.25">
      <c r="A954" s="1" t="s">
        <v>584</v>
      </c>
      <c r="B954" s="1" t="s">
        <v>1505</v>
      </c>
      <c r="C954" s="1">
        <v>328</v>
      </c>
      <c r="D954" s="1">
        <v>0.42</v>
      </c>
      <c r="E954" s="3">
        <f t="shared" si="65"/>
        <v>137.76</v>
      </c>
      <c r="F954" s="1">
        <f t="shared" si="66"/>
        <v>170.56</v>
      </c>
    </row>
    <row r="955" spans="1:6" x14ac:dyDescent="0.25">
      <c r="A955" s="1" t="s">
        <v>584</v>
      </c>
      <c r="B955" s="1" t="s">
        <v>587</v>
      </c>
      <c r="C955" s="1">
        <v>55.96</v>
      </c>
      <c r="D955" s="1">
        <v>0.42</v>
      </c>
      <c r="E955" s="3">
        <f t="shared" si="65"/>
        <v>23.5032</v>
      </c>
      <c r="F955" s="1">
        <f t="shared" si="66"/>
        <v>29.0992</v>
      </c>
    </row>
    <row r="956" spans="1:6" x14ac:dyDescent="0.25">
      <c r="A956" s="1" t="s">
        <v>584</v>
      </c>
      <c r="B956" s="1" t="s">
        <v>588</v>
      </c>
      <c r="C956" s="1">
        <v>104</v>
      </c>
      <c r="D956" s="1">
        <v>0.42</v>
      </c>
      <c r="E956" s="3">
        <f t="shared" si="65"/>
        <v>43.68</v>
      </c>
      <c r="F956" s="1">
        <f t="shared" si="66"/>
        <v>54.08</v>
      </c>
    </row>
    <row r="957" spans="1:6" x14ac:dyDescent="0.25">
      <c r="A957" s="1" t="s">
        <v>584</v>
      </c>
      <c r="B957" s="1" t="s">
        <v>589</v>
      </c>
      <c r="C957" s="1">
        <v>242</v>
      </c>
      <c r="D957" s="1">
        <v>0.42</v>
      </c>
      <c r="E957" s="3">
        <f t="shared" si="65"/>
        <v>101.64</v>
      </c>
      <c r="F957" s="1">
        <f t="shared" si="66"/>
        <v>125.84</v>
      </c>
    </row>
    <row r="958" spans="1:6" x14ac:dyDescent="0.25">
      <c r="A958" s="1" t="s">
        <v>584</v>
      </c>
      <c r="B958" s="1" t="s">
        <v>590</v>
      </c>
      <c r="C958" s="1">
        <v>141</v>
      </c>
      <c r="D958" s="1">
        <v>0.42</v>
      </c>
      <c r="E958" s="3">
        <f t="shared" si="65"/>
        <v>59.22</v>
      </c>
      <c r="F958" s="1">
        <f t="shared" si="66"/>
        <v>73.320000000000007</v>
      </c>
    </row>
    <row r="959" spans="1:6" x14ac:dyDescent="0.25">
      <c r="A959" s="1" t="s">
        <v>584</v>
      </c>
      <c r="B959" s="1" t="s">
        <v>591</v>
      </c>
      <c r="C959" s="1">
        <v>355</v>
      </c>
      <c r="D959" s="1">
        <v>0.42</v>
      </c>
      <c r="E959" s="3">
        <f t="shared" si="65"/>
        <v>149.1</v>
      </c>
      <c r="F959" s="1">
        <f t="shared" si="66"/>
        <v>184.6</v>
      </c>
    </row>
    <row r="960" spans="1:6" x14ac:dyDescent="0.25">
      <c r="A960" s="1" t="s">
        <v>584</v>
      </c>
      <c r="B960" s="1" t="s">
        <v>592</v>
      </c>
      <c r="C960" s="1">
        <v>39.4</v>
      </c>
      <c r="D960" s="1">
        <v>0.42</v>
      </c>
      <c r="E960" s="3">
        <f t="shared" si="65"/>
        <v>16.547999999999998</v>
      </c>
      <c r="F960" s="1">
        <f t="shared" si="66"/>
        <v>20.488</v>
      </c>
    </row>
    <row r="961" spans="1:6" x14ac:dyDescent="0.25">
      <c r="A961" s="1" t="s">
        <v>584</v>
      </c>
      <c r="B961" s="1" t="s">
        <v>593</v>
      </c>
      <c r="C961" s="1">
        <v>370</v>
      </c>
      <c r="D961" s="1">
        <v>0.42</v>
      </c>
      <c r="E961" s="3">
        <f t="shared" si="65"/>
        <v>155.4</v>
      </c>
      <c r="F961" s="1">
        <f t="shared" si="66"/>
        <v>192.4</v>
      </c>
    </row>
    <row r="962" spans="1:6" x14ac:dyDescent="0.25">
      <c r="A962" s="1" t="s">
        <v>584</v>
      </c>
      <c r="B962" s="1" t="s">
        <v>1507</v>
      </c>
      <c r="C962" s="1">
        <v>600</v>
      </c>
      <c r="D962" s="1">
        <v>0.42</v>
      </c>
      <c r="E962" s="3">
        <f t="shared" si="65"/>
        <v>252</v>
      </c>
      <c r="F962" s="1">
        <f t="shared" si="66"/>
        <v>312</v>
      </c>
    </row>
    <row r="963" spans="1:6" x14ac:dyDescent="0.25">
      <c r="A963" s="1" t="s">
        <v>584</v>
      </c>
      <c r="B963" s="1" t="s">
        <v>594</v>
      </c>
      <c r="C963" s="1">
        <v>926</v>
      </c>
      <c r="D963" s="1">
        <v>0.42</v>
      </c>
      <c r="E963" s="3">
        <f t="shared" si="65"/>
        <v>388.91999999999996</v>
      </c>
      <c r="F963" s="1">
        <f t="shared" si="66"/>
        <v>481.52000000000004</v>
      </c>
    </row>
    <row r="964" spans="1:6" x14ac:dyDescent="0.25">
      <c r="A964" s="1" t="s">
        <v>584</v>
      </c>
      <c r="B964" s="1" t="s">
        <v>1506</v>
      </c>
      <c r="C964" s="1">
        <v>117</v>
      </c>
      <c r="D964" s="1">
        <v>0.42</v>
      </c>
      <c r="E964" s="3">
        <f t="shared" si="65"/>
        <v>49.14</v>
      </c>
      <c r="F964" s="1">
        <f t="shared" si="66"/>
        <v>60.84</v>
      </c>
    </row>
    <row r="965" spans="1:6" x14ac:dyDescent="0.25">
      <c r="A965" s="1" t="s">
        <v>584</v>
      </c>
      <c r="B965" s="1" t="s">
        <v>595</v>
      </c>
      <c r="C965" s="1">
        <v>167</v>
      </c>
      <c r="D965" s="1">
        <v>0.42</v>
      </c>
      <c r="E965" s="3">
        <f t="shared" si="65"/>
        <v>70.14</v>
      </c>
      <c r="F965" s="1">
        <f t="shared" si="66"/>
        <v>86.84</v>
      </c>
    </row>
    <row r="966" spans="1:6" x14ac:dyDescent="0.25">
      <c r="A966" s="1" t="s">
        <v>584</v>
      </c>
      <c r="B966" s="1" t="s">
        <v>596</v>
      </c>
      <c r="C966" s="1">
        <v>106</v>
      </c>
      <c r="D966" s="1">
        <v>0.42</v>
      </c>
      <c r="E966" s="3">
        <f t="shared" si="65"/>
        <v>44.519999999999996</v>
      </c>
      <c r="F966" s="1">
        <f t="shared" si="66"/>
        <v>55.120000000000005</v>
      </c>
    </row>
    <row r="967" spans="1:6" x14ac:dyDescent="0.25">
      <c r="A967" s="1" t="s">
        <v>584</v>
      </c>
      <c r="B967" s="1" t="s">
        <v>597</v>
      </c>
      <c r="C967" s="1">
        <v>145</v>
      </c>
      <c r="D967" s="1">
        <v>0.42</v>
      </c>
      <c r="E967" s="3">
        <f t="shared" si="65"/>
        <v>60.9</v>
      </c>
      <c r="F967" s="1">
        <f t="shared" si="66"/>
        <v>75.400000000000006</v>
      </c>
    </row>
    <row r="968" spans="1:6" x14ac:dyDescent="0.25">
      <c r="A968" s="1" t="s">
        <v>584</v>
      </c>
      <c r="B968" s="1" t="s">
        <v>1508</v>
      </c>
      <c r="C968" s="1">
        <v>316</v>
      </c>
      <c r="D968" s="1">
        <v>0.42</v>
      </c>
      <c r="E968" s="3">
        <f t="shared" si="65"/>
        <v>132.72</v>
      </c>
      <c r="F968" s="1">
        <f t="shared" si="66"/>
        <v>164.32</v>
      </c>
    </row>
    <row r="969" spans="1:6" x14ac:dyDescent="0.25">
      <c r="A969" s="1" t="s">
        <v>584</v>
      </c>
      <c r="B969" s="1" t="s">
        <v>1518</v>
      </c>
      <c r="C969" s="1">
        <v>231</v>
      </c>
      <c r="D969" s="1">
        <v>0.42</v>
      </c>
      <c r="E969" s="3">
        <f t="shared" si="65"/>
        <v>97.02</v>
      </c>
      <c r="F969" s="1">
        <f t="shared" si="66"/>
        <v>120.12</v>
      </c>
    </row>
    <row r="970" spans="1:6" x14ac:dyDescent="0.25">
      <c r="A970" s="1" t="s">
        <v>584</v>
      </c>
      <c r="B970" s="1" t="s">
        <v>598</v>
      </c>
      <c r="C970" s="1">
        <v>251</v>
      </c>
      <c r="D970" s="1">
        <v>0.42</v>
      </c>
      <c r="E970" s="3">
        <f t="shared" ref="E970:E1001" si="67">C970*D970</f>
        <v>105.42</v>
      </c>
      <c r="F970" s="1">
        <f t="shared" ref="F970:F1002" si="68">C970*(D970+0.1)</f>
        <v>130.52000000000001</v>
      </c>
    </row>
    <row r="971" spans="1:6" x14ac:dyDescent="0.25">
      <c r="A971" s="1" t="s">
        <v>584</v>
      </c>
      <c r="B971" s="1" t="s">
        <v>599</v>
      </c>
      <c r="C971" s="1">
        <v>118</v>
      </c>
      <c r="D971" s="1">
        <v>0.42</v>
      </c>
      <c r="E971" s="3">
        <f t="shared" si="67"/>
        <v>49.559999999999995</v>
      </c>
      <c r="F971" s="1">
        <f t="shared" si="68"/>
        <v>61.36</v>
      </c>
    </row>
    <row r="972" spans="1:6" x14ac:dyDescent="0.25">
      <c r="A972" s="1" t="s">
        <v>584</v>
      </c>
      <c r="B972" s="1" t="s">
        <v>600</v>
      </c>
      <c r="C972" s="1">
        <v>72.25</v>
      </c>
      <c r="D972" s="1">
        <v>0.42</v>
      </c>
      <c r="E972" s="3">
        <f t="shared" si="67"/>
        <v>30.344999999999999</v>
      </c>
      <c r="F972" s="1">
        <f t="shared" si="68"/>
        <v>37.57</v>
      </c>
    </row>
    <row r="973" spans="1:6" x14ac:dyDescent="0.25">
      <c r="A973" s="1" t="s">
        <v>584</v>
      </c>
      <c r="B973" s="1" t="s">
        <v>601</v>
      </c>
      <c r="C973" s="1">
        <v>45.95</v>
      </c>
      <c r="D973" s="1">
        <v>0.42</v>
      </c>
      <c r="E973" s="3">
        <f t="shared" si="67"/>
        <v>19.298999999999999</v>
      </c>
      <c r="F973" s="1">
        <f t="shared" si="68"/>
        <v>23.894000000000002</v>
      </c>
    </row>
    <row r="974" spans="1:6" x14ac:dyDescent="0.25">
      <c r="A974" s="1" t="s">
        <v>584</v>
      </c>
      <c r="B974" s="1" t="s">
        <v>602</v>
      </c>
      <c r="C974" s="1">
        <v>46.9</v>
      </c>
      <c r="D974" s="1">
        <v>0.42</v>
      </c>
      <c r="E974" s="3">
        <f t="shared" si="67"/>
        <v>19.698</v>
      </c>
      <c r="F974" s="1">
        <f t="shared" si="68"/>
        <v>24.388000000000002</v>
      </c>
    </row>
    <row r="975" spans="1:6" x14ac:dyDescent="0.25">
      <c r="A975" s="1" t="s">
        <v>584</v>
      </c>
      <c r="B975" s="1" t="s">
        <v>1517</v>
      </c>
      <c r="C975" s="1">
        <v>428</v>
      </c>
      <c r="D975" s="1">
        <v>0.42</v>
      </c>
      <c r="E975" s="3">
        <f t="shared" si="67"/>
        <v>179.76</v>
      </c>
      <c r="F975" s="1">
        <f t="shared" si="68"/>
        <v>222.56</v>
      </c>
    </row>
    <row r="976" spans="1:6" x14ac:dyDescent="0.25">
      <c r="A976" s="1" t="s">
        <v>584</v>
      </c>
      <c r="B976" s="1" t="s">
        <v>603</v>
      </c>
      <c r="C976" s="1">
        <v>231</v>
      </c>
      <c r="D976" s="1">
        <v>0.42</v>
      </c>
      <c r="E976" s="3">
        <f t="shared" si="67"/>
        <v>97.02</v>
      </c>
      <c r="F976" s="1">
        <f t="shared" si="68"/>
        <v>120.12</v>
      </c>
    </row>
    <row r="977" spans="1:6" x14ac:dyDescent="0.25">
      <c r="A977" s="1" t="s">
        <v>584</v>
      </c>
      <c r="B977" s="1" t="s">
        <v>604</v>
      </c>
      <c r="C977" s="1">
        <v>57.7</v>
      </c>
      <c r="D977" s="1">
        <v>0.42</v>
      </c>
      <c r="E977" s="3">
        <f t="shared" si="67"/>
        <v>24.234000000000002</v>
      </c>
      <c r="F977" s="1">
        <f t="shared" si="68"/>
        <v>30.004000000000001</v>
      </c>
    </row>
    <row r="978" spans="1:6" x14ac:dyDescent="0.25">
      <c r="A978" s="1" t="s">
        <v>584</v>
      </c>
      <c r="B978" s="1" t="s">
        <v>607</v>
      </c>
      <c r="C978" s="1">
        <v>88</v>
      </c>
      <c r="D978" s="1">
        <v>0.45</v>
      </c>
      <c r="E978" s="3">
        <f t="shared" si="67"/>
        <v>39.6</v>
      </c>
      <c r="F978" s="1">
        <f t="shared" si="68"/>
        <v>48.400000000000006</v>
      </c>
    </row>
    <row r="979" spans="1:6" x14ac:dyDescent="0.25">
      <c r="A979" s="1" t="s">
        <v>584</v>
      </c>
      <c r="B979" s="1" t="s">
        <v>606</v>
      </c>
      <c r="C979" s="1">
        <v>344</v>
      </c>
      <c r="D979" s="1">
        <v>0.45</v>
      </c>
      <c r="E979" s="3">
        <f t="shared" si="67"/>
        <v>154.80000000000001</v>
      </c>
      <c r="F979" s="1">
        <f t="shared" si="68"/>
        <v>189.20000000000002</v>
      </c>
    </row>
    <row r="980" spans="1:6" x14ac:dyDescent="0.25">
      <c r="A980" s="1" t="s">
        <v>584</v>
      </c>
      <c r="B980" s="1" t="s">
        <v>1509</v>
      </c>
      <c r="C980" s="1">
        <v>1449</v>
      </c>
      <c r="D980" s="1">
        <v>0.45</v>
      </c>
      <c r="E980" s="3">
        <f t="shared" si="67"/>
        <v>652.05000000000007</v>
      </c>
      <c r="F980" s="1">
        <f t="shared" si="68"/>
        <v>796.95</v>
      </c>
    </row>
    <row r="981" spans="1:6" x14ac:dyDescent="0.25">
      <c r="A981" s="1" t="s">
        <v>584</v>
      </c>
      <c r="B981" s="1" t="s">
        <v>605</v>
      </c>
      <c r="C981" s="1">
        <v>137</v>
      </c>
      <c r="D981" s="1">
        <v>0.42</v>
      </c>
      <c r="E981" s="3">
        <f t="shared" si="67"/>
        <v>57.54</v>
      </c>
      <c r="F981" s="1">
        <f t="shared" si="68"/>
        <v>71.240000000000009</v>
      </c>
    </row>
    <row r="982" spans="1:6" x14ac:dyDescent="0.25">
      <c r="A982" s="1" t="s">
        <v>584</v>
      </c>
      <c r="B982" s="1" t="s">
        <v>608</v>
      </c>
      <c r="C982" s="1">
        <v>229</v>
      </c>
      <c r="D982" s="1">
        <v>0.42</v>
      </c>
      <c r="E982" s="3">
        <f t="shared" si="67"/>
        <v>96.179999999999993</v>
      </c>
      <c r="F982" s="1">
        <f t="shared" si="68"/>
        <v>119.08</v>
      </c>
    </row>
    <row r="983" spans="1:6" x14ac:dyDescent="0.25">
      <c r="A983" s="1" t="s">
        <v>584</v>
      </c>
      <c r="B983" s="1" t="s">
        <v>609</v>
      </c>
      <c r="C983" s="1">
        <v>153</v>
      </c>
      <c r="D983" s="1">
        <v>0.42</v>
      </c>
      <c r="E983" s="3">
        <f t="shared" si="67"/>
        <v>64.259999999999991</v>
      </c>
      <c r="F983" s="1">
        <f t="shared" si="68"/>
        <v>79.56</v>
      </c>
    </row>
    <row r="984" spans="1:6" x14ac:dyDescent="0.25">
      <c r="A984" s="1" t="s">
        <v>584</v>
      </c>
      <c r="B984" s="1" t="s">
        <v>610</v>
      </c>
      <c r="C984" s="1">
        <v>14.36</v>
      </c>
      <c r="D984" s="1">
        <v>0.42</v>
      </c>
      <c r="E984" s="3">
        <f t="shared" si="67"/>
        <v>6.0311999999999992</v>
      </c>
      <c r="F984" s="1">
        <f t="shared" si="68"/>
        <v>7.4672000000000001</v>
      </c>
    </row>
    <row r="985" spans="1:6" x14ac:dyDescent="0.25">
      <c r="A985" s="1" t="s">
        <v>584</v>
      </c>
      <c r="B985" s="1" t="s">
        <v>611</v>
      </c>
      <c r="C985" s="1">
        <v>17.64</v>
      </c>
      <c r="D985" s="1">
        <v>0.42</v>
      </c>
      <c r="E985" s="3">
        <f t="shared" si="67"/>
        <v>7.4088000000000003</v>
      </c>
      <c r="F985" s="1">
        <f t="shared" si="68"/>
        <v>9.1728000000000005</v>
      </c>
    </row>
    <row r="986" spans="1:6" x14ac:dyDescent="0.25">
      <c r="A986" s="1" t="s">
        <v>584</v>
      </c>
      <c r="B986" s="1" t="s">
        <v>612</v>
      </c>
      <c r="C986" s="1">
        <v>57.8</v>
      </c>
      <c r="D986" s="1">
        <v>0.42</v>
      </c>
      <c r="E986" s="3">
        <f t="shared" si="67"/>
        <v>24.275999999999996</v>
      </c>
      <c r="F986" s="1">
        <f t="shared" si="68"/>
        <v>30.056000000000001</v>
      </c>
    </row>
    <row r="987" spans="1:6" x14ac:dyDescent="0.25">
      <c r="A987" s="1" t="s">
        <v>584</v>
      </c>
      <c r="B987" s="1" t="s">
        <v>1514</v>
      </c>
      <c r="C987" s="1">
        <v>69</v>
      </c>
      <c r="D987" s="1">
        <v>0.45</v>
      </c>
      <c r="E987" s="3">
        <f t="shared" si="67"/>
        <v>31.05</v>
      </c>
      <c r="F987" s="1">
        <f t="shared" si="68"/>
        <v>37.950000000000003</v>
      </c>
    </row>
    <row r="988" spans="1:6" x14ac:dyDescent="0.25">
      <c r="A988" s="1" t="s">
        <v>584</v>
      </c>
      <c r="B988" s="1" t="s">
        <v>1515</v>
      </c>
      <c r="C988" s="1">
        <v>284</v>
      </c>
      <c r="D988" s="1">
        <v>0.45</v>
      </c>
      <c r="E988" s="3">
        <f t="shared" si="67"/>
        <v>127.8</v>
      </c>
      <c r="F988" s="1">
        <f t="shared" si="68"/>
        <v>156.20000000000002</v>
      </c>
    </row>
    <row r="989" spans="1:6" x14ac:dyDescent="0.25">
      <c r="A989" s="1" t="s">
        <v>584</v>
      </c>
      <c r="B989" s="1" t="s">
        <v>1516</v>
      </c>
      <c r="C989" s="1">
        <v>1114</v>
      </c>
      <c r="D989" s="1">
        <v>0.45</v>
      </c>
      <c r="E989" s="3">
        <f t="shared" si="67"/>
        <v>501.3</v>
      </c>
      <c r="F989" s="1">
        <f t="shared" si="68"/>
        <v>612.70000000000005</v>
      </c>
    </row>
    <row r="990" spans="1:6" x14ac:dyDescent="0.25">
      <c r="A990" s="1" t="s">
        <v>584</v>
      </c>
      <c r="B990" s="1" t="s">
        <v>613</v>
      </c>
      <c r="C990" s="1">
        <v>11.33</v>
      </c>
      <c r="D990" s="1">
        <v>0.45</v>
      </c>
      <c r="E990" s="3">
        <f t="shared" si="67"/>
        <v>5.0985000000000005</v>
      </c>
      <c r="F990" s="1">
        <f t="shared" si="68"/>
        <v>6.2315000000000005</v>
      </c>
    </row>
    <row r="991" spans="1:6" x14ac:dyDescent="0.25">
      <c r="A991" s="1" t="s">
        <v>584</v>
      </c>
      <c r="B991" s="1" t="s">
        <v>614</v>
      </c>
      <c r="C991" s="1">
        <v>67.400000000000006</v>
      </c>
      <c r="D991" s="1">
        <v>0.45</v>
      </c>
      <c r="E991" s="3">
        <f t="shared" si="67"/>
        <v>30.330000000000002</v>
      </c>
      <c r="F991" s="1">
        <f t="shared" si="68"/>
        <v>37.070000000000007</v>
      </c>
    </row>
    <row r="992" spans="1:6" x14ac:dyDescent="0.25">
      <c r="A992" s="1" t="s">
        <v>584</v>
      </c>
      <c r="B992" s="1" t="s">
        <v>615</v>
      </c>
      <c r="C992" s="1">
        <v>180.67</v>
      </c>
      <c r="D992" s="1">
        <v>0.45</v>
      </c>
      <c r="E992" s="3">
        <f t="shared" si="67"/>
        <v>81.30149999999999</v>
      </c>
      <c r="F992" s="1">
        <f t="shared" si="68"/>
        <v>99.368499999999997</v>
      </c>
    </row>
    <row r="993" spans="1:6" x14ac:dyDescent="0.25">
      <c r="A993" s="1" t="s">
        <v>584</v>
      </c>
      <c r="B993" s="1" t="s">
        <v>616</v>
      </c>
      <c r="C993" s="1">
        <v>357</v>
      </c>
      <c r="D993" s="1">
        <v>0.45</v>
      </c>
      <c r="E993" s="3">
        <f t="shared" si="67"/>
        <v>160.65</v>
      </c>
      <c r="F993" s="1">
        <f t="shared" si="68"/>
        <v>196.35000000000002</v>
      </c>
    </row>
    <row r="994" spans="1:6" x14ac:dyDescent="0.25">
      <c r="A994" s="1" t="s">
        <v>584</v>
      </c>
      <c r="B994" s="1" t="s">
        <v>618</v>
      </c>
      <c r="C994" s="1">
        <v>528</v>
      </c>
      <c r="D994" s="1">
        <v>0.45</v>
      </c>
      <c r="E994" s="3">
        <f t="shared" si="67"/>
        <v>237.6</v>
      </c>
      <c r="F994" s="1">
        <f t="shared" si="68"/>
        <v>290.40000000000003</v>
      </c>
    </row>
    <row r="995" spans="1:6" s="26" customFormat="1" ht="15.75" thickBot="1" x14ac:dyDescent="0.3">
      <c r="A995" s="9" t="s">
        <v>584</v>
      </c>
      <c r="B995" s="9" t="s">
        <v>619</v>
      </c>
      <c r="C995" s="9">
        <v>85.4</v>
      </c>
      <c r="D995" s="9">
        <v>0.45</v>
      </c>
      <c r="E995" s="11">
        <f t="shared" si="67"/>
        <v>38.430000000000007</v>
      </c>
      <c r="F995" s="9">
        <f t="shared" si="68"/>
        <v>46.970000000000006</v>
      </c>
    </row>
    <row r="996" spans="1:6" s="26" customFormat="1" ht="15.75" thickBot="1" x14ac:dyDescent="0.3">
      <c r="A996" s="9" t="s">
        <v>584</v>
      </c>
      <c r="B996" s="9" t="s">
        <v>1510</v>
      </c>
      <c r="C996" s="9">
        <v>49.5</v>
      </c>
      <c r="D996" s="9">
        <v>0.45</v>
      </c>
      <c r="E996" s="11">
        <f t="shared" si="67"/>
        <v>22.275000000000002</v>
      </c>
      <c r="F996" s="9">
        <f t="shared" si="68"/>
        <v>27.225000000000001</v>
      </c>
    </row>
    <row r="997" spans="1:6" s="26" customFormat="1" ht="15.75" thickBot="1" x14ac:dyDescent="0.3">
      <c r="A997" s="9" t="s">
        <v>584</v>
      </c>
      <c r="B997" s="9" t="s">
        <v>1511</v>
      </c>
      <c r="C997" s="9">
        <v>156.57</v>
      </c>
      <c r="D997" s="9">
        <v>0.45</v>
      </c>
      <c r="E997" s="11">
        <f t="shared" si="67"/>
        <v>70.456500000000005</v>
      </c>
      <c r="F997" s="9">
        <f t="shared" si="68"/>
        <v>86.113500000000002</v>
      </c>
    </row>
    <row r="998" spans="1:6" s="26" customFormat="1" ht="15.75" thickBot="1" x14ac:dyDescent="0.3">
      <c r="A998" s="9" t="s">
        <v>584</v>
      </c>
      <c r="B998" s="9" t="s">
        <v>617</v>
      </c>
      <c r="C998" s="9">
        <v>8.39</v>
      </c>
      <c r="D998" s="9">
        <v>0.45</v>
      </c>
      <c r="E998" s="11">
        <f t="shared" si="67"/>
        <v>3.7755000000000005</v>
      </c>
      <c r="F998" s="9">
        <f t="shared" si="68"/>
        <v>4.6145000000000005</v>
      </c>
    </row>
    <row r="999" spans="1:6" s="26" customFormat="1" ht="15.75" thickBot="1" x14ac:dyDescent="0.3">
      <c r="A999" s="9" t="s">
        <v>584</v>
      </c>
      <c r="B999" s="9" t="s">
        <v>1512</v>
      </c>
      <c r="C999" s="9">
        <v>43.33</v>
      </c>
      <c r="D999" s="9">
        <v>0.45</v>
      </c>
      <c r="E999" s="11">
        <f t="shared" si="67"/>
        <v>19.4985</v>
      </c>
      <c r="F999" s="9">
        <f t="shared" si="68"/>
        <v>23.831500000000002</v>
      </c>
    </row>
    <row r="1000" spans="1:6" s="9" customFormat="1" ht="15.75" thickBot="1" x14ac:dyDescent="0.3">
      <c r="A1000" s="9" t="s">
        <v>584</v>
      </c>
      <c r="B1000" s="9" t="s">
        <v>1513</v>
      </c>
      <c r="C1000" s="9">
        <v>135.16999999999999</v>
      </c>
      <c r="D1000" s="9">
        <v>0.45</v>
      </c>
      <c r="E1000" s="11">
        <f t="shared" si="67"/>
        <v>60.826499999999996</v>
      </c>
      <c r="F1000" s="9">
        <f t="shared" si="68"/>
        <v>74.343500000000006</v>
      </c>
    </row>
    <row r="1001" spans="1:6" s="7" customFormat="1" x14ac:dyDescent="0.25">
      <c r="A1001" s="7" t="s">
        <v>620</v>
      </c>
      <c r="B1001" s="7" t="s">
        <v>621</v>
      </c>
      <c r="C1001" s="7">
        <v>275</v>
      </c>
      <c r="E1001" s="8">
        <f t="shared" si="67"/>
        <v>0</v>
      </c>
      <c r="F1001" s="7">
        <f t="shared" si="68"/>
        <v>27.5</v>
      </c>
    </row>
    <row r="1002" spans="1:6" s="9" customFormat="1" ht="15.75" thickBot="1" x14ac:dyDescent="0.3">
      <c r="A1002" s="9" t="s">
        <v>620</v>
      </c>
      <c r="B1002" s="9" t="s">
        <v>622</v>
      </c>
      <c r="C1002" s="9">
        <v>250</v>
      </c>
      <c r="E1002" s="11">
        <f t="shared" ref="E1002" si="69">C1002*D1002</f>
        <v>0</v>
      </c>
      <c r="F1002" s="9">
        <f t="shared" si="68"/>
        <v>25</v>
      </c>
    </row>
    <row r="1003" spans="1:6" s="7" customFormat="1" x14ac:dyDescent="0.25">
      <c r="A1003" s="7" t="s">
        <v>623</v>
      </c>
      <c r="B1003" s="7" t="s">
        <v>520</v>
      </c>
      <c r="C1003" s="7">
        <v>88</v>
      </c>
      <c r="D1003" s="7">
        <v>0.65</v>
      </c>
      <c r="E1003" s="8">
        <f t="shared" ref="E1003:E1020" si="70">(C1003*D1003)/1.5</f>
        <v>38.133333333333333</v>
      </c>
      <c r="F1003" s="7">
        <f t="shared" ref="F1003:F1020" si="71">(C1003*(D1003+0.1))/1.5</f>
        <v>44</v>
      </c>
    </row>
    <row r="1004" spans="1:6" s="7" customFormat="1" x14ac:dyDescent="0.25">
      <c r="A1004" s="7" t="s">
        <v>623</v>
      </c>
      <c r="B1004" s="7" t="s">
        <v>1631</v>
      </c>
      <c r="C1004" s="7">
        <v>149</v>
      </c>
      <c r="D1004" s="7">
        <v>0.65</v>
      </c>
      <c r="E1004" s="8">
        <f t="shared" si="70"/>
        <v>64.566666666666677</v>
      </c>
      <c r="F1004" s="7">
        <f t="shared" si="71"/>
        <v>74.5</v>
      </c>
    </row>
    <row r="1005" spans="1:6" s="7" customFormat="1" x14ac:dyDescent="0.25">
      <c r="A1005" s="7" t="s">
        <v>623</v>
      </c>
      <c r="B1005" s="7" t="s">
        <v>518</v>
      </c>
      <c r="C1005" s="7">
        <v>205.5</v>
      </c>
      <c r="D1005" s="7">
        <v>0.65</v>
      </c>
      <c r="E1005" s="8">
        <f t="shared" si="70"/>
        <v>89.050000000000011</v>
      </c>
      <c r="F1005" s="7">
        <f t="shared" si="71"/>
        <v>102.75</v>
      </c>
    </row>
    <row r="1006" spans="1:6" s="7" customFormat="1" x14ac:dyDescent="0.25">
      <c r="A1006" s="7" t="s">
        <v>623</v>
      </c>
      <c r="B1006" s="7" t="s">
        <v>624</v>
      </c>
      <c r="C1006" s="7">
        <v>132.5</v>
      </c>
      <c r="D1006" s="7">
        <v>0.65</v>
      </c>
      <c r="E1006" s="8">
        <f t="shared" si="70"/>
        <v>57.416666666666664</v>
      </c>
      <c r="F1006" s="7">
        <f t="shared" si="71"/>
        <v>66.25</v>
      </c>
    </row>
    <row r="1007" spans="1:6" s="7" customFormat="1" x14ac:dyDescent="0.25">
      <c r="A1007" s="7" t="s">
        <v>623</v>
      </c>
      <c r="B1007" s="7" t="s">
        <v>1232</v>
      </c>
      <c r="C1007" s="7">
        <v>550.5</v>
      </c>
      <c r="D1007" s="7">
        <v>0.65</v>
      </c>
      <c r="E1007" s="8">
        <f t="shared" si="70"/>
        <v>238.54999999999998</v>
      </c>
      <c r="F1007" s="7">
        <f t="shared" si="71"/>
        <v>275.25</v>
      </c>
    </row>
    <row r="1008" spans="1:6" s="7" customFormat="1" x14ac:dyDescent="0.25">
      <c r="A1008" s="7" t="s">
        <v>623</v>
      </c>
      <c r="B1008" s="7" t="s">
        <v>1233</v>
      </c>
      <c r="C1008" s="7">
        <v>1202.5</v>
      </c>
      <c r="D1008" s="7">
        <v>0.65</v>
      </c>
      <c r="E1008" s="8">
        <f t="shared" si="70"/>
        <v>521.08333333333337</v>
      </c>
      <c r="F1008" s="7">
        <f t="shared" si="71"/>
        <v>601.25</v>
      </c>
    </row>
    <row r="1009" spans="1:6" s="7" customFormat="1" x14ac:dyDescent="0.25">
      <c r="A1009" s="7" t="s">
        <v>623</v>
      </c>
      <c r="B1009" s="7" t="s">
        <v>1234</v>
      </c>
      <c r="C1009" s="7">
        <v>2272.5</v>
      </c>
      <c r="D1009" s="7">
        <v>0.65</v>
      </c>
      <c r="E1009" s="8">
        <f t="shared" si="70"/>
        <v>984.75</v>
      </c>
      <c r="F1009" s="7">
        <f t="shared" si="71"/>
        <v>1136.25</v>
      </c>
    </row>
    <row r="1010" spans="1:6" x14ac:dyDescent="0.25">
      <c r="A1010" s="1" t="s">
        <v>623</v>
      </c>
      <c r="B1010" s="1" t="s">
        <v>625</v>
      </c>
      <c r="C1010" s="1">
        <v>114</v>
      </c>
      <c r="D1010" s="1">
        <v>0.65</v>
      </c>
      <c r="E1010" s="8">
        <f t="shared" si="70"/>
        <v>49.400000000000006</v>
      </c>
      <c r="F1010" s="7">
        <f t="shared" si="71"/>
        <v>57</v>
      </c>
    </row>
    <row r="1011" spans="1:6" x14ac:dyDescent="0.25">
      <c r="A1011" s="1" t="s">
        <v>623</v>
      </c>
      <c r="B1011" s="1" t="s">
        <v>1231</v>
      </c>
      <c r="C1011" s="1">
        <v>211</v>
      </c>
      <c r="D1011" s="1">
        <v>0.65</v>
      </c>
      <c r="E1011" s="8">
        <f t="shared" si="70"/>
        <v>91.433333333333337</v>
      </c>
      <c r="F1011" s="7">
        <f t="shared" si="71"/>
        <v>105.5</v>
      </c>
    </row>
    <row r="1012" spans="1:6" x14ac:dyDescent="0.25">
      <c r="A1012" s="1" t="s">
        <v>623</v>
      </c>
      <c r="B1012" s="1" t="s">
        <v>626</v>
      </c>
      <c r="C1012" s="1">
        <v>451</v>
      </c>
      <c r="D1012" s="1">
        <v>0.65</v>
      </c>
      <c r="E1012" s="8">
        <f t="shared" si="70"/>
        <v>195.43333333333337</v>
      </c>
      <c r="F1012" s="7">
        <f t="shared" si="71"/>
        <v>225.5</v>
      </c>
    </row>
    <row r="1013" spans="1:6" x14ac:dyDescent="0.25">
      <c r="A1013" s="1" t="s">
        <v>623</v>
      </c>
      <c r="B1013" s="1" t="s">
        <v>1235</v>
      </c>
      <c r="C1013" s="1">
        <v>317.5</v>
      </c>
      <c r="D1013" s="1">
        <v>0.65</v>
      </c>
      <c r="E1013" s="8">
        <f t="shared" si="70"/>
        <v>137.58333333333334</v>
      </c>
      <c r="F1013" s="7">
        <f t="shared" si="71"/>
        <v>158.75</v>
      </c>
    </row>
    <row r="1014" spans="1:6" x14ac:dyDescent="0.25">
      <c r="A1014" s="1" t="s">
        <v>623</v>
      </c>
      <c r="B1014" s="1" t="s">
        <v>1236</v>
      </c>
      <c r="C1014" s="1">
        <v>688</v>
      </c>
      <c r="D1014" s="1">
        <v>0.65</v>
      </c>
      <c r="E1014" s="8">
        <f t="shared" si="70"/>
        <v>298.13333333333333</v>
      </c>
      <c r="F1014" s="7">
        <f t="shared" si="71"/>
        <v>344</v>
      </c>
    </row>
    <row r="1015" spans="1:6" x14ac:dyDescent="0.25">
      <c r="A1015" s="1" t="s">
        <v>623</v>
      </c>
      <c r="B1015" s="1" t="s">
        <v>1632</v>
      </c>
      <c r="C1015" s="1">
        <v>361.5</v>
      </c>
      <c r="D1015" s="1">
        <v>0.65</v>
      </c>
      <c r="E1015" s="8">
        <f t="shared" si="70"/>
        <v>156.65</v>
      </c>
      <c r="F1015" s="7">
        <f t="shared" si="71"/>
        <v>180.75</v>
      </c>
    </row>
    <row r="1016" spans="1:6" x14ac:dyDescent="0.25">
      <c r="A1016" s="1" t="s">
        <v>623</v>
      </c>
      <c r="B1016" s="1" t="s">
        <v>627</v>
      </c>
      <c r="C1016" s="1">
        <v>289.5</v>
      </c>
      <c r="D1016" s="1">
        <v>0.65</v>
      </c>
      <c r="E1016" s="8">
        <f t="shared" si="70"/>
        <v>125.45</v>
      </c>
      <c r="F1016" s="7">
        <f t="shared" si="71"/>
        <v>144.75</v>
      </c>
    </row>
    <row r="1017" spans="1:6" s="26" customFormat="1" ht="15.75" thickBot="1" x14ac:dyDescent="0.3">
      <c r="A1017" s="9" t="s">
        <v>623</v>
      </c>
      <c r="B1017" s="9" t="s">
        <v>628</v>
      </c>
      <c r="C1017" s="9">
        <v>558</v>
      </c>
      <c r="D1017" s="9">
        <v>0.65</v>
      </c>
      <c r="E1017" s="8">
        <f t="shared" si="70"/>
        <v>241.79999999999998</v>
      </c>
      <c r="F1017" s="7">
        <f t="shared" si="71"/>
        <v>279</v>
      </c>
    </row>
    <row r="1018" spans="1:6" s="26" customFormat="1" ht="15.75" thickBot="1" x14ac:dyDescent="0.3">
      <c r="A1018" s="9" t="s">
        <v>623</v>
      </c>
      <c r="B1018" s="26" t="s">
        <v>1237</v>
      </c>
      <c r="C1018" s="26">
        <v>78.5</v>
      </c>
      <c r="D1018" s="26">
        <v>0.65</v>
      </c>
      <c r="E1018" s="8">
        <f t="shared" si="70"/>
        <v>34.016666666666666</v>
      </c>
      <c r="F1018" s="7">
        <f t="shared" si="71"/>
        <v>39.25</v>
      </c>
    </row>
    <row r="1019" spans="1:6" s="26" customFormat="1" ht="15.75" thickBot="1" x14ac:dyDescent="0.3">
      <c r="A1019" s="1" t="s">
        <v>623</v>
      </c>
      <c r="B1019" s="9" t="s">
        <v>1238</v>
      </c>
      <c r="C1019" s="9">
        <v>220.5</v>
      </c>
      <c r="D1019" s="1">
        <v>0.65</v>
      </c>
      <c r="E1019" s="8">
        <f t="shared" si="70"/>
        <v>95.550000000000011</v>
      </c>
      <c r="F1019" s="7">
        <f t="shared" si="71"/>
        <v>110.25</v>
      </c>
    </row>
    <row r="1020" spans="1:6" s="9" customFormat="1" ht="15.75" thickBot="1" x14ac:dyDescent="0.3">
      <c r="A1020" s="9" t="s">
        <v>623</v>
      </c>
      <c r="B1020" s="9" t="s">
        <v>1239</v>
      </c>
      <c r="C1020" s="9">
        <v>58.5</v>
      </c>
      <c r="D1020" s="9">
        <v>0.65</v>
      </c>
      <c r="E1020" s="8">
        <f t="shared" si="70"/>
        <v>25.349999999999998</v>
      </c>
      <c r="F1020" s="7">
        <f t="shared" si="71"/>
        <v>29.25</v>
      </c>
    </row>
    <row r="1021" spans="1:6" s="7" customFormat="1" x14ac:dyDescent="0.25">
      <c r="A1021" s="7" t="s">
        <v>629</v>
      </c>
      <c r="B1021" s="7" t="s">
        <v>630</v>
      </c>
      <c r="C1021" s="7">
        <v>312</v>
      </c>
      <c r="D1021" s="7">
        <v>0.57999999999999996</v>
      </c>
      <c r="E1021" s="8">
        <f t="shared" ref="E1021:E1055" si="72">C1021*D1021</f>
        <v>180.95999999999998</v>
      </c>
      <c r="F1021" s="7">
        <f t="shared" ref="F1021:F1055" si="73">C1021*(D1021+0.1)</f>
        <v>212.15999999999997</v>
      </c>
    </row>
    <row r="1022" spans="1:6" s="7" customFormat="1" x14ac:dyDescent="0.25">
      <c r="A1022" s="7" t="s">
        <v>629</v>
      </c>
      <c r="B1022" s="7" t="s">
        <v>1407</v>
      </c>
      <c r="C1022" s="7">
        <v>178</v>
      </c>
      <c r="D1022" s="7">
        <v>0.35</v>
      </c>
      <c r="E1022" s="8">
        <f t="shared" si="72"/>
        <v>62.3</v>
      </c>
      <c r="F1022" s="7">
        <f t="shared" si="73"/>
        <v>80.099999999999994</v>
      </c>
    </row>
    <row r="1023" spans="1:6" x14ac:dyDescent="0.25">
      <c r="A1023" s="1" t="s">
        <v>629</v>
      </c>
      <c r="B1023" s="1" t="s">
        <v>631</v>
      </c>
      <c r="C1023" s="1">
        <v>231</v>
      </c>
      <c r="D1023" s="1">
        <v>0.35</v>
      </c>
      <c r="E1023" s="3">
        <f t="shared" si="72"/>
        <v>80.849999999999994</v>
      </c>
      <c r="F1023" s="1">
        <f t="shared" si="73"/>
        <v>103.94999999999999</v>
      </c>
    </row>
    <row r="1024" spans="1:6" x14ac:dyDescent="0.25">
      <c r="A1024" s="1" t="s">
        <v>629</v>
      </c>
      <c r="B1024" s="1" t="s">
        <v>632</v>
      </c>
      <c r="C1024" s="1">
        <v>404</v>
      </c>
      <c r="D1024" s="1">
        <v>0.37</v>
      </c>
      <c r="E1024" s="3">
        <f t="shared" si="72"/>
        <v>149.47999999999999</v>
      </c>
      <c r="F1024" s="1">
        <f t="shared" si="73"/>
        <v>189.88</v>
      </c>
    </row>
    <row r="1025" spans="1:6" x14ac:dyDescent="0.25">
      <c r="A1025" s="1" t="s">
        <v>1429</v>
      </c>
      <c r="B1025" s="1" t="s">
        <v>1819</v>
      </c>
      <c r="C1025" s="1">
        <v>113</v>
      </c>
      <c r="D1025" s="1">
        <v>0.44</v>
      </c>
      <c r="E1025" s="3">
        <f t="shared" si="72"/>
        <v>49.72</v>
      </c>
      <c r="F1025" s="1">
        <f t="shared" si="73"/>
        <v>61.02</v>
      </c>
    </row>
    <row r="1026" spans="1:6" x14ac:dyDescent="0.25">
      <c r="A1026" s="1" t="s">
        <v>1429</v>
      </c>
      <c r="B1026" s="1" t="s">
        <v>1377</v>
      </c>
      <c r="C1026" s="1">
        <v>488</v>
      </c>
      <c r="D1026" s="1">
        <v>0.47</v>
      </c>
      <c r="E1026" s="3">
        <f t="shared" si="72"/>
        <v>229.35999999999999</v>
      </c>
      <c r="F1026" s="1">
        <f t="shared" si="73"/>
        <v>278.15999999999997</v>
      </c>
    </row>
    <row r="1027" spans="1:6" x14ac:dyDescent="0.25">
      <c r="A1027" s="1" t="s">
        <v>1429</v>
      </c>
      <c r="B1027" s="1" t="s">
        <v>633</v>
      </c>
      <c r="C1027" s="1">
        <v>459</v>
      </c>
      <c r="D1027" s="1">
        <v>0.49</v>
      </c>
      <c r="E1027" s="3">
        <f t="shared" si="72"/>
        <v>224.91</v>
      </c>
      <c r="F1027" s="1">
        <f t="shared" si="73"/>
        <v>270.81</v>
      </c>
    </row>
    <row r="1028" spans="1:6" x14ac:dyDescent="0.25">
      <c r="A1028" s="1" t="s">
        <v>1429</v>
      </c>
      <c r="B1028" s="1" t="s">
        <v>1365</v>
      </c>
      <c r="C1028" s="1">
        <v>220</v>
      </c>
      <c r="D1028" s="1">
        <v>0.47</v>
      </c>
      <c r="E1028" s="3">
        <f t="shared" si="72"/>
        <v>103.39999999999999</v>
      </c>
      <c r="F1028" s="1">
        <f t="shared" si="73"/>
        <v>125.39999999999999</v>
      </c>
    </row>
    <row r="1029" spans="1:6" x14ac:dyDescent="0.25">
      <c r="A1029" s="1" t="s">
        <v>629</v>
      </c>
      <c r="B1029" s="1" t="s">
        <v>1432</v>
      </c>
      <c r="C1029" s="1">
        <v>544</v>
      </c>
      <c r="D1029" s="1">
        <v>0.43</v>
      </c>
      <c r="E1029" s="3">
        <f t="shared" si="72"/>
        <v>233.92</v>
      </c>
      <c r="F1029" s="1">
        <f t="shared" si="73"/>
        <v>288.32</v>
      </c>
    </row>
    <row r="1030" spans="1:6" x14ac:dyDescent="0.25">
      <c r="A1030" s="1" t="s">
        <v>629</v>
      </c>
      <c r="B1030" s="1" t="s">
        <v>1478</v>
      </c>
      <c r="C1030" s="1">
        <v>565</v>
      </c>
      <c r="D1030" s="1">
        <v>0.39</v>
      </c>
      <c r="E1030" s="3">
        <f t="shared" si="72"/>
        <v>220.35</v>
      </c>
      <c r="F1030" s="1">
        <f t="shared" si="73"/>
        <v>276.85000000000002</v>
      </c>
    </row>
    <row r="1031" spans="1:6" x14ac:dyDescent="0.25">
      <c r="A1031" s="1" t="s">
        <v>629</v>
      </c>
      <c r="B1031" s="1" t="s">
        <v>634</v>
      </c>
      <c r="C1031" s="1">
        <v>810</v>
      </c>
      <c r="D1031" s="1">
        <v>0.51</v>
      </c>
      <c r="E1031" s="3">
        <f t="shared" si="72"/>
        <v>413.1</v>
      </c>
      <c r="F1031" s="1">
        <f t="shared" si="73"/>
        <v>494.09999999999997</v>
      </c>
    </row>
    <row r="1032" spans="1:6" x14ac:dyDescent="0.25">
      <c r="B1032" s="1" t="s">
        <v>1158</v>
      </c>
      <c r="C1032" s="1">
        <v>740</v>
      </c>
      <c r="D1032" s="1">
        <v>0.96</v>
      </c>
      <c r="E1032" s="3">
        <f t="shared" si="72"/>
        <v>710.4</v>
      </c>
      <c r="F1032" s="1">
        <f t="shared" si="73"/>
        <v>784.40000000000009</v>
      </c>
    </row>
    <row r="1033" spans="1:6" x14ac:dyDescent="0.25">
      <c r="B1033" s="1" t="s">
        <v>1129</v>
      </c>
      <c r="C1033" s="1">
        <v>1665</v>
      </c>
      <c r="D1033" s="1">
        <v>0.41</v>
      </c>
      <c r="E1033" s="3">
        <f t="shared" si="72"/>
        <v>682.65</v>
      </c>
      <c r="F1033" s="1">
        <f t="shared" si="73"/>
        <v>849.15</v>
      </c>
    </row>
    <row r="1034" spans="1:6" x14ac:dyDescent="0.25">
      <c r="A1034" s="1" t="s">
        <v>629</v>
      </c>
      <c r="B1034" s="1" t="s">
        <v>1158</v>
      </c>
      <c r="C1034" s="1">
        <v>1019</v>
      </c>
      <c r="D1034" s="1">
        <v>0.39</v>
      </c>
      <c r="E1034" s="3">
        <f t="shared" si="72"/>
        <v>397.41</v>
      </c>
      <c r="F1034" s="1">
        <f t="shared" si="73"/>
        <v>499.31</v>
      </c>
    </row>
    <row r="1035" spans="1:6" x14ac:dyDescent="0.25">
      <c r="A1035" s="1" t="s">
        <v>629</v>
      </c>
      <c r="B1035" s="1" t="s">
        <v>1129</v>
      </c>
      <c r="C1035" s="1">
        <v>2062</v>
      </c>
      <c r="D1035" s="1">
        <v>0.41</v>
      </c>
      <c r="E1035" s="3">
        <f t="shared" si="72"/>
        <v>845.42</v>
      </c>
      <c r="F1035" s="1">
        <f t="shared" si="73"/>
        <v>1051.6200000000001</v>
      </c>
    </row>
    <row r="1036" spans="1:6" x14ac:dyDescent="0.25">
      <c r="A1036" s="1" t="s">
        <v>629</v>
      </c>
      <c r="B1036" s="1" t="s">
        <v>1371</v>
      </c>
      <c r="C1036" s="1">
        <v>384</v>
      </c>
      <c r="D1036" s="1">
        <v>0.34</v>
      </c>
      <c r="E1036" s="3">
        <f t="shared" si="72"/>
        <v>130.56</v>
      </c>
      <c r="F1036" s="1">
        <f t="shared" si="73"/>
        <v>168.96000000000004</v>
      </c>
    </row>
    <row r="1037" spans="1:6" x14ac:dyDescent="0.25">
      <c r="A1037" s="1" t="s">
        <v>1429</v>
      </c>
      <c r="B1037" s="1" t="s">
        <v>635</v>
      </c>
      <c r="C1037" s="1">
        <v>315</v>
      </c>
      <c r="D1037" s="1">
        <v>0.4</v>
      </c>
      <c r="E1037" s="3">
        <f t="shared" si="72"/>
        <v>126</v>
      </c>
      <c r="F1037" s="1">
        <f t="shared" si="73"/>
        <v>157.5</v>
      </c>
    </row>
    <row r="1038" spans="1:6" x14ac:dyDescent="0.25">
      <c r="A1038" s="1" t="s">
        <v>629</v>
      </c>
      <c r="B1038" s="1" t="s">
        <v>1382</v>
      </c>
      <c r="C1038" s="1">
        <v>203</v>
      </c>
      <c r="D1038" s="1">
        <v>0.48</v>
      </c>
      <c r="E1038" s="3">
        <f t="shared" si="72"/>
        <v>97.44</v>
      </c>
      <c r="F1038" s="1">
        <f t="shared" si="73"/>
        <v>117.74</v>
      </c>
    </row>
    <row r="1039" spans="1:6" x14ac:dyDescent="0.25">
      <c r="A1039" s="1" t="s">
        <v>629</v>
      </c>
      <c r="B1039" s="1" t="s">
        <v>636</v>
      </c>
      <c r="C1039" s="1">
        <v>155.35</v>
      </c>
      <c r="D1039" s="1">
        <v>0.48</v>
      </c>
      <c r="E1039" s="3">
        <f t="shared" si="72"/>
        <v>74.567999999999998</v>
      </c>
      <c r="F1039" s="1">
        <f t="shared" si="73"/>
        <v>90.102999999999994</v>
      </c>
    </row>
    <row r="1040" spans="1:6" ht="15.75" thickBot="1" x14ac:dyDescent="0.3">
      <c r="A1040" s="1" t="s">
        <v>1429</v>
      </c>
      <c r="B1040" s="1" t="s">
        <v>1131</v>
      </c>
      <c r="C1040" s="1">
        <v>294</v>
      </c>
      <c r="D1040" s="2">
        <v>0.38</v>
      </c>
      <c r="E1040" s="11">
        <f t="shared" si="72"/>
        <v>111.72</v>
      </c>
      <c r="F1040" s="9">
        <f t="shared" si="73"/>
        <v>141.12</v>
      </c>
    </row>
    <row r="1041" spans="1:6" x14ac:dyDescent="0.25">
      <c r="A1041" s="1" t="s">
        <v>1429</v>
      </c>
      <c r="B1041" s="1" t="s">
        <v>637</v>
      </c>
      <c r="C1041" s="1">
        <v>148.04</v>
      </c>
      <c r="D1041" s="1">
        <v>0.4</v>
      </c>
      <c r="E1041" s="3">
        <f t="shared" si="72"/>
        <v>59.216000000000001</v>
      </c>
      <c r="F1041" s="1">
        <f t="shared" si="73"/>
        <v>74.02</v>
      </c>
    </row>
    <row r="1042" spans="1:6" x14ac:dyDescent="0.25">
      <c r="A1042" s="1" t="s">
        <v>629</v>
      </c>
      <c r="B1042" s="1" t="s">
        <v>638</v>
      </c>
      <c r="C1042" s="1">
        <v>1843</v>
      </c>
      <c r="D1042" s="1">
        <v>0.42</v>
      </c>
      <c r="E1042" s="3">
        <f t="shared" si="72"/>
        <v>774.06</v>
      </c>
      <c r="F1042" s="1">
        <f t="shared" si="73"/>
        <v>958.36</v>
      </c>
    </row>
    <row r="1043" spans="1:6" x14ac:dyDescent="0.25">
      <c r="A1043" s="1" t="s">
        <v>629</v>
      </c>
      <c r="B1043" s="1" t="s">
        <v>639</v>
      </c>
      <c r="C1043" s="1">
        <v>1311</v>
      </c>
      <c r="D1043" s="1">
        <v>0.42</v>
      </c>
      <c r="E1043" s="3">
        <f t="shared" si="72"/>
        <v>550.62</v>
      </c>
      <c r="F1043" s="1">
        <f t="shared" si="73"/>
        <v>681.72</v>
      </c>
    </row>
    <row r="1044" spans="1:6" x14ac:dyDescent="0.25">
      <c r="A1044" s="1" t="s">
        <v>1429</v>
      </c>
      <c r="B1044" s="1" t="s">
        <v>640</v>
      </c>
      <c r="C1044" s="1">
        <v>0</v>
      </c>
      <c r="D1044" s="1">
        <v>0</v>
      </c>
      <c r="E1044" s="3">
        <f t="shared" si="72"/>
        <v>0</v>
      </c>
      <c r="F1044" s="1">
        <f t="shared" si="73"/>
        <v>0</v>
      </c>
    </row>
    <row r="1045" spans="1:6" x14ac:dyDescent="0.25">
      <c r="A1045" s="1" t="s">
        <v>1429</v>
      </c>
      <c r="B1045" s="1" t="s">
        <v>1368</v>
      </c>
      <c r="C1045" s="1">
        <v>280</v>
      </c>
      <c r="D1045" s="1">
        <v>0.44</v>
      </c>
      <c r="E1045" s="3">
        <f t="shared" si="72"/>
        <v>123.2</v>
      </c>
      <c r="F1045" s="1">
        <f t="shared" si="73"/>
        <v>151.20000000000002</v>
      </c>
    </row>
    <row r="1046" spans="1:6" x14ac:dyDescent="0.25">
      <c r="A1046" s="1" t="s">
        <v>1429</v>
      </c>
      <c r="B1046" s="1" t="s">
        <v>641</v>
      </c>
      <c r="C1046" s="1">
        <v>964</v>
      </c>
      <c r="D1046" s="1">
        <v>0.41</v>
      </c>
      <c r="E1046" s="3">
        <f t="shared" si="72"/>
        <v>395.23999999999995</v>
      </c>
      <c r="F1046" s="1">
        <f t="shared" si="73"/>
        <v>491.64</v>
      </c>
    </row>
    <row r="1047" spans="1:6" x14ac:dyDescent="0.25">
      <c r="A1047" s="1" t="s">
        <v>1429</v>
      </c>
      <c r="B1047" s="1" t="s">
        <v>642</v>
      </c>
      <c r="C1047" s="1">
        <v>1290</v>
      </c>
      <c r="D1047" s="1">
        <v>0.42</v>
      </c>
      <c r="E1047" s="3">
        <f t="shared" si="72"/>
        <v>541.79999999999995</v>
      </c>
      <c r="F1047" s="1">
        <f t="shared" si="73"/>
        <v>670.80000000000007</v>
      </c>
    </row>
    <row r="1048" spans="1:6" x14ac:dyDescent="0.25">
      <c r="A1048" s="1" t="s">
        <v>1429</v>
      </c>
      <c r="B1048" s="1" t="s">
        <v>643</v>
      </c>
      <c r="C1048" s="1">
        <v>2062</v>
      </c>
      <c r="D1048" s="1">
        <v>0.4</v>
      </c>
      <c r="E1048" s="3">
        <f t="shared" si="72"/>
        <v>824.80000000000007</v>
      </c>
      <c r="F1048" s="1">
        <f t="shared" si="73"/>
        <v>1031</v>
      </c>
    </row>
    <row r="1049" spans="1:6" x14ac:dyDescent="0.25">
      <c r="A1049" s="1" t="s">
        <v>1429</v>
      </c>
      <c r="B1049" s="1" t="s">
        <v>1366</v>
      </c>
      <c r="C1049" s="1">
        <v>913</v>
      </c>
      <c r="D1049" s="1">
        <v>0.49</v>
      </c>
      <c r="E1049" s="3">
        <f t="shared" si="72"/>
        <v>447.37</v>
      </c>
      <c r="F1049" s="1">
        <f t="shared" si="73"/>
        <v>538.66999999999996</v>
      </c>
    </row>
    <row r="1050" spans="1:6" x14ac:dyDescent="0.25">
      <c r="A1050" s="1" t="s">
        <v>1429</v>
      </c>
      <c r="B1050" s="1" t="s">
        <v>644</v>
      </c>
      <c r="C1050" s="1">
        <v>219</v>
      </c>
      <c r="D1050" s="1">
        <v>0.47799999999999998</v>
      </c>
      <c r="E1050" s="3">
        <f t="shared" si="72"/>
        <v>104.682</v>
      </c>
      <c r="F1050" s="1">
        <f t="shared" si="73"/>
        <v>126.58199999999999</v>
      </c>
    </row>
    <row r="1051" spans="1:6" x14ac:dyDescent="0.25">
      <c r="A1051" s="1" t="s">
        <v>1429</v>
      </c>
      <c r="B1051" s="1" t="s">
        <v>1132</v>
      </c>
      <c r="C1051" s="1">
        <v>170</v>
      </c>
      <c r="D1051" s="2">
        <v>0.47</v>
      </c>
      <c r="E1051" s="3">
        <f t="shared" si="72"/>
        <v>79.899999999999991</v>
      </c>
      <c r="F1051" s="1">
        <f t="shared" si="73"/>
        <v>96.899999999999991</v>
      </c>
    </row>
    <row r="1052" spans="1:6" x14ac:dyDescent="0.25">
      <c r="A1052" s="1" t="s">
        <v>1429</v>
      </c>
      <c r="B1052" s="1" t="s">
        <v>1381</v>
      </c>
      <c r="C1052" s="1">
        <v>2410</v>
      </c>
      <c r="D1052" s="2">
        <v>0.36</v>
      </c>
      <c r="E1052" s="3">
        <f t="shared" si="72"/>
        <v>867.6</v>
      </c>
      <c r="F1052" s="1">
        <f t="shared" si="73"/>
        <v>1108.5999999999999</v>
      </c>
    </row>
    <row r="1053" spans="1:6" x14ac:dyDescent="0.25">
      <c r="A1053" s="1" t="s">
        <v>1429</v>
      </c>
      <c r="B1053" s="1" t="s">
        <v>1818</v>
      </c>
      <c r="C1053" s="1">
        <v>30</v>
      </c>
      <c r="D1053" s="1">
        <v>0.63</v>
      </c>
      <c r="E1053" s="3">
        <f t="shared" si="72"/>
        <v>18.899999999999999</v>
      </c>
      <c r="F1053" s="1">
        <f t="shared" si="73"/>
        <v>21.9</v>
      </c>
    </row>
    <row r="1054" spans="1:6" x14ac:dyDescent="0.25">
      <c r="A1054" s="1" t="s">
        <v>629</v>
      </c>
      <c r="B1054" s="1" t="s">
        <v>1376</v>
      </c>
      <c r="C1054" s="1">
        <v>106</v>
      </c>
      <c r="D1054" s="1">
        <v>0.5</v>
      </c>
      <c r="E1054" s="3">
        <f t="shared" si="72"/>
        <v>53</v>
      </c>
      <c r="F1054" s="1">
        <f t="shared" si="73"/>
        <v>63.599999999999994</v>
      </c>
    </row>
    <row r="1055" spans="1:6" x14ac:dyDescent="0.25">
      <c r="A1055" s="1" t="s">
        <v>629</v>
      </c>
      <c r="B1055" s="1" t="s">
        <v>645</v>
      </c>
      <c r="C1055" s="1">
        <v>458.7</v>
      </c>
      <c r="D1055" s="1">
        <v>0.42</v>
      </c>
      <c r="E1055" s="3">
        <f t="shared" si="72"/>
        <v>192.654</v>
      </c>
      <c r="F1055" s="1">
        <f t="shared" si="73"/>
        <v>238.524</v>
      </c>
    </row>
    <row r="1056" spans="1:6" x14ac:dyDescent="0.25">
      <c r="B1056" s="1" t="s">
        <v>1157</v>
      </c>
      <c r="D1056" s="1"/>
      <c r="E1056" s="3"/>
    </row>
    <row r="1057" spans="1:6" x14ac:dyDescent="0.25">
      <c r="A1057" s="1" t="s">
        <v>1429</v>
      </c>
      <c r="B1057" s="1" t="s">
        <v>1378</v>
      </c>
      <c r="C1057" s="1">
        <v>2724</v>
      </c>
      <c r="D1057" s="1">
        <v>0.41</v>
      </c>
      <c r="E1057" s="3">
        <f t="shared" ref="E1057:E1074" si="74">C1057*D1057</f>
        <v>1116.8399999999999</v>
      </c>
      <c r="F1057" s="1">
        <f t="shared" ref="F1057:F1074" si="75">C1057*(D1057+0.1)</f>
        <v>1389.24</v>
      </c>
    </row>
    <row r="1058" spans="1:6" x14ac:dyDescent="0.25">
      <c r="A1058" s="1" t="s">
        <v>629</v>
      </c>
      <c r="B1058" s="1" t="s">
        <v>1381</v>
      </c>
      <c r="C1058" s="1">
        <v>2410</v>
      </c>
      <c r="D1058" s="1">
        <v>0.37</v>
      </c>
      <c r="E1058" s="3">
        <f t="shared" si="74"/>
        <v>891.7</v>
      </c>
      <c r="F1058" s="1">
        <f t="shared" si="75"/>
        <v>1132.7</v>
      </c>
    </row>
    <row r="1059" spans="1:6" x14ac:dyDescent="0.25">
      <c r="A1059" s="1" t="s">
        <v>629</v>
      </c>
      <c r="B1059" s="1" t="s">
        <v>646</v>
      </c>
      <c r="C1059" s="1">
        <v>285.33999999999997</v>
      </c>
      <c r="D1059" s="1">
        <v>0.3</v>
      </c>
      <c r="E1059" s="3">
        <f t="shared" si="74"/>
        <v>85.60199999999999</v>
      </c>
      <c r="F1059" s="1">
        <f t="shared" si="75"/>
        <v>114.136</v>
      </c>
    </row>
    <row r="1060" spans="1:6" x14ac:dyDescent="0.25">
      <c r="A1060" s="1" t="s">
        <v>629</v>
      </c>
      <c r="B1060" s="1" t="s">
        <v>1479</v>
      </c>
      <c r="C1060" s="1">
        <v>1222</v>
      </c>
      <c r="D1060" s="1">
        <v>0.52</v>
      </c>
      <c r="E1060" s="3">
        <f t="shared" si="74"/>
        <v>635.44000000000005</v>
      </c>
      <c r="F1060" s="1">
        <f t="shared" si="75"/>
        <v>757.64</v>
      </c>
    </row>
    <row r="1061" spans="1:6" x14ac:dyDescent="0.25">
      <c r="A1061" s="1" t="s">
        <v>629</v>
      </c>
      <c r="B1061" s="1" t="s">
        <v>1433</v>
      </c>
      <c r="C1061" s="1">
        <v>1372</v>
      </c>
      <c r="D1061" s="1">
        <v>0.34</v>
      </c>
      <c r="E1061" s="3">
        <f t="shared" si="74"/>
        <v>466.48</v>
      </c>
      <c r="F1061" s="1">
        <f t="shared" si="75"/>
        <v>603.68000000000006</v>
      </c>
    </row>
    <row r="1062" spans="1:6" x14ac:dyDescent="0.25">
      <c r="A1062" s="1" t="s">
        <v>629</v>
      </c>
      <c r="B1062" s="1" t="s">
        <v>1389</v>
      </c>
      <c r="C1062" s="1">
        <v>1685</v>
      </c>
      <c r="D1062" s="1">
        <v>0.47</v>
      </c>
      <c r="E1062" s="3">
        <f t="shared" si="74"/>
        <v>791.94999999999993</v>
      </c>
      <c r="F1062" s="1">
        <f t="shared" si="75"/>
        <v>960.44999999999993</v>
      </c>
    </row>
    <row r="1063" spans="1:6" x14ac:dyDescent="0.25">
      <c r="A1063" s="1" t="s">
        <v>1429</v>
      </c>
      <c r="B1063" s="1" t="s">
        <v>647</v>
      </c>
      <c r="C1063" s="1">
        <v>718</v>
      </c>
      <c r="D1063" s="1">
        <v>0.37</v>
      </c>
      <c r="E1063" s="3">
        <f t="shared" si="74"/>
        <v>265.66000000000003</v>
      </c>
      <c r="F1063" s="1">
        <f t="shared" si="75"/>
        <v>337.46</v>
      </c>
    </row>
    <row r="1064" spans="1:6" x14ac:dyDescent="0.25">
      <c r="A1064" s="1" t="s">
        <v>1429</v>
      </c>
      <c r="B1064" s="1" t="s">
        <v>1156</v>
      </c>
      <c r="C1064" s="1">
        <v>256</v>
      </c>
      <c r="D1064" s="1">
        <v>0.4</v>
      </c>
      <c r="E1064" s="3">
        <f t="shared" si="74"/>
        <v>102.4</v>
      </c>
      <c r="F1064" s="1">
        <f t="shared" si="75"/>
        <v>128</v>
      </c>
    </row>
    <row r="1065" spans="1:6" x14ac:dyDescent="0.25">
      <c r="A1065" s="1" t="s">
        <v>629</v>
      </c>
      <c r="B1065" s="1" t="s">
        <v>648</v>
      </c>
      <c r="C1065" s="1">
        <v>400</v>
      </c>
      <c r="D1065" s="1">
        <v>0.44</v>
      </c>
      <c r="E1065" s="3">
        <f t="shared" si="74"/>
        <v>176</v>
      </c>
      <c r="F1065" s="1">
        <f t="shared" si="75"/>
        <v>216</v>
      </c>
    </row>
    <row r="1066" spans="1:6" x14ac:dyDescent="0.25">
      <c r="A1066" s="1" t="s">
        <v>1429</v>
      </c>
      <c r="B1066" s="1" t="s">
        <v>649</v>
      </c>
      <c r="C1066" s="1">
        <v>341</v>
      </c>
      <c r="D1066" s="1">
        <v>0.5</v>
      </c>
      <c r="E1066" s="3">
        <f t="shared" si="74"/>
        <v>170.5</v>
      </c>
      <c r="F1066" s="1">
        <f t="shared" si="75"/>
        <v>204.6</v>
      </c>
    </row>
    <row r="1067" spans="1:6" x14ac:dyDescent="0.25">
      <c r="A1067" s="1" t="s">
        <v>629</v>
      </c>
      <c r="B1067" s="1" t="s">
        <v>1480</v>
      </c>
      <c r="C1067" s="1">
        <v>803</v>
      </c>
      <c r="D1067" s="1">
        <v>0.46</v>
      </c>
      <c r="E1067" s="3">
        <f t="shared" si="74"/>
        <v>369.38</v>
      </c>
      <c r="F1067" s="1">
        <f t="shared" si="75"/>
        <v>449.68000000000006</v>
      </c>
    </row>
    <row r="1068" spans="1:6" x14ac:dyDescent="0.25">
      <c r="A1068" s="1" t="s">
        <v>629</v>
      </c>
      <c r="B1068" s="1" t="s">
        <v>652</v>
      </c>
      <c r="C1068" s="1">
        <v>509</v>
      </c>
      <c r="D1068" s="1">
        <v>0.35</v>
      </c>
      <c r="E1068" s="3">
        <f t="shared" si="74"/>
        <v>178.14999999999998</v>
      </c>
      <c r="F1068" s="1">
        <f t="shared" si="75"/>
        <v>229.04999999999998</v>
      </c>
    </row>
    <row r="1069" spans="1:6" x14ac:dyDescent="0.25">
      <c r="A1069" s="1" t="s">
        <v>629</v>
      </c>
      <c r="B1069" s="1" t="s">
        <v>1480</v>
      </c>
      <c r="C1069" s="1">
        <v>803</v>
      </c>
      <c r="D1069" s="1">
        <v>0.46</v>
      </c>
      <c r="E1069" s="3">
        <f t="shared" si="74"/>
        <v>369.38</v>
      </c>
      <c r="F1069" s="1">
        <f t="shared" si="75"/>
        <v>449.68000000000006</v>
      </c>
    </row>
    <row r="1070" spans="1:6" x14ac:dyDescent="0.25">
      <c r="A1070" s="1" t="s">
        <v>629</v>
      </c>
      <c r="B1070" s="1" t="s">
        <v>653</v>
      </c>
      <c r="C1070" s="1">
        <v>707</v>
      </c>
      <c r="D1070" s="1">
        <v>0.47</v>
      </c>
      <c r="E1070" s="3">
        <f t="shared" si="74"/>
        <v>332.28999999999996</v>
      </c>
      <c r="F1070" s="1">
        <f t="shared" si="75"/>
        <v>402.98999999999995</v>
      </c>
    </row>
    <row r="1071" spans="1:6" x14ac:dyDescent="0.25">
      <c r="A1071" s="1" t="s">
        <v>629</v>
      </c>
      <c r="B1071" s="1" t="s">
        <v>1389</v>
      </c>
      <c r="C1071" s="1">
        <v>33.700000000000003</v>
      </c>
      <c r="D1071" s="1">
        <v>0.47</v>
      </c>
      <c r="E1071" s="3">
        <f t="shared" si="74"/>
        <v>15.839</v>
      </c>
      <c r="F1071" s="1">
        <f t="shared" si="75"/>
        <v>19.209</v>
      </c>
    </row>
    <row r="1072" spans="1:6" x14ac:dyDescent="0.25">
      <c r="A1072" s="1" t="s">
        <v>629</v>
      </c>
      <c r="B1072" s="1" t="s">
        <v>1372</v>
      </c>
      <c r="C1072" s="1">
        <v>162</v>
      </c>
      <c r="D1072" s="1">
        <v>0.43</v>
      </c>
      <c r="E1072" s="3">
        <f t="shared" si="74"/>
        <v>69.66</v>
      </c>
      <c r="F1072" s="1">
        <f t="shared" si="75"/>
        <v>85.86</v>
      </c>
    </row>
    <row r="1073" spans="1:6" x14ac:dyDescent="0.25">
      <c r="A1073" s="1" t="s">
        <v>629</v>
      </c>
      <c r="B1073" s="1" t="s">
        <v>1373</v>
      </c>
      <c r="C1073" s="1">
        <v>414</v>
      </c>
      <c r="D1073" s="1">
        <v>0.42</v>
      </c>
      <c r="E1073" s="3">
        <f t="shared" si="74"/>
        <v>173.88</v>
      </c>
      <c r="F1073" s="1">
        <f t="shared" si="75"/>
        <v>215.28</v>
      </c>
    </row>
    <row r="1074" spans="1:6" x14ac:dyDescent="0.25">
      <c r="A1074" s="1" t="s">
        <v>629</v>
      </c>
      <c r="B1074" s="1" t="s">
        <v>654</v>
      </c>
      <c r="C1074" s="1">
        <v>0</v>
      </c>
      <c r="D1074" s="1">
        <v>0</v>
      </c>
      <c r="E1074" s="3">
        <f t="shared" si="74"/>
        <v>0</v>
      </c>
      <c r="F1074" s="1">
        <f t="shared" si="75"/>
        <v>0</v>
      </c>
    </row>
    <row r="1075" spans="1:6" x14ac:dyDescent="0.25">
      <c r="D1075" s="1"/>
      <c r="E1075" s="3"/>
    </row>
    <row r="1076" spans="1:6" x14ac:dyDescent="0.25">
      <c r="A1076" s="1" t="s">
        <v>1429</v>
      </c>
      <c r="B1076" s="1" t="s">
        <v>1816</v>
      </c>
      <c r="C1076" s="1">
        <v>1414</v>
      </c>
      <c r="D1076" s="1">
        <v>0.44</v>
      </c>
      <c r="E1076" s="3">
        <f t="shared" ref="E1076:E1107" si="76">C1076*D1076</f>
        <v>622.16</v>
      </c>
      <c r="F1076" s="1">
        <f t="shared" ref="F1076:F1107" si="77">C1076*(D1076+0.1)</f>
        <v>763.56000000000006</v>
      </c>
    </row>
    <row r="1077" spans="1:6" x14ac:dyDescent="0.25">
      <c r="A1077" s="1" t="s">
        <v>1429</v>
      </c>
      <c r="B1077" s="1" t="s">
        <v>1475</v>
      </c>
      <c r="C1077" s="1">
        <v>583.25</v>
      </c>
      <c r="D1077" s="1">
        <v>0.47</v>
      </c>
      <c r="E1077" s="3">
        <f t="shared" si="76"/>
        <v>274.1275</v>
      </c>
      <c r="F1077" s="1">
        <f t="shared" si="77"/>
        <v>332.45249999999999</v>
      </c>
    </row>
    <row r="1078" spans="1:6" x14ac:dyDescent="0.25">
      <c r="A1078" s="1" t="s">
        <v>1429</v>
      </c>
      <c r="B1078" s="1" t="s">
        <v>1476</v>
      </c>
      <c r="C1078" s="1">
        <v>667</v>
      </c>
      <c r="D1078" s="1">
        <v>0.47</v>
      </c>
      <c r="E1078" s="3">
        <f t="shared" si="76"/>
        <v>313.49</v>
      </c>
      <c r="F1078" s="1">
        <f t="shared" si="77"/>
        <v>380.18999999999994</v>
      </c>
    </row>
    <row r="1079" spans="1:6" x14ac:dyDescent="0.25">
      <c r="A1079" s="1" t="s">
        <v>1429</v>
      </c>
      <c r="B1079" s="1" t="s">
        <v>655</v>
      </c>
      <c r="C1079" s="1">
        <v>124</v>
      </c>
      <c r="D1079" s="1">
        <v>0.44</v>
      </c>
      <c r="E1079" s="3">
        <f t="shared" si="76"/>
        <v>54.56</v>
      </c>
      <c r="F1079" s="1">
        <f t="shared" si="77"/>
        <v>66.960000000000008</v>
      </c>
    </row>
    <row r="1080" spans="1:6" x14ac:dyDescent="0.25">
      <c r="A1080" s="1" t="s">
        <v>1429</v>
      </c>
      <c r="B1080" s="1" t="s">
        <v>1430</v>
      </c>
      <c r="C1080" s="1">
        <v>324</v>
      </c>
      <c r="D1080" s="1">
        <v>0.39</v>
      </c>
      <c r="E1080" s="3">
        <f t="shared" si="76"/>
        <v>126.36</v>
      </c>
      <c r="F1080" s="1">
        <f t="shared" si="77"/>
        <v>158.76</v>
      </c>
    </row>
    <row r="1081" spans="1:6" x14ac:dyDescent="0.25">
      <c r="A1081" s="1" t="s">
        <v>629</v>
      </c>
      <c r="B1081" s="1" t="s">
        <v>1431</v>
      </c>
      <c r="C1081" s="1">
        <v>483</v>
      </c>
      <c r="D1081" s="1">
        <v>0.37</v>
      </c>
      <c r="E1081" s="3">
        <f t="shared" si="76"/>
        <v>178.71</v>
      </c>
      <c r="F1081" s="1">
        <f t="shared" si="77"/>
        <v>227.01</v>
      </c>
    </row>
    <row r="1082" spans="1:6" x14ac:dyDescent="0.25">
      <c r="A1082" s="1" t="s">
        <v>629</v>
      </c>
      <c r="B1082" s="1" t="s">
        <v>656</v>
      </c>
      <c r="C1082" s="1">
        <v>854</v>
      </c>
      <c r="D1082" s="1">
        <v>0.33</v>
      </c>
      <c r="E1082" s="3">
        <f t="shared" si="76"/>
        <v>281.82</v>
      </c>
      <c r="F1082" s="1">
        <f t="shared" si="77"/>
        <v>367.22</v>
      </c>
    </row>
    <row r="1083" spans="1:6" x14ac:dyDescent="0.25">
      <c r="A1083" s="1" t="s">
        <v>1474</v>
      </c>
      <c r="B1083" s="1" t="s">
        <v>1473</v>
      </c>
      <c r="C1083" s="1">
        <v>259</v>
      </c>
      <c r="D1083" s="1">
        <v>0.42</v>
      </c>
      <c r="E1083" s="3">
        <f t="shared" si="76"/>
        <v>108.78</v>
      </c>
      <c r="F1083" s="1">
        <f t="shared" si="77"/>
        <v>134.68</v>
      </c>
    </row>
    <row r="1084" spans="1:6" x14ac:dyDescent="0.25">
      <c r="A1084" s="1" t="s">
        <v>629</v>
      </c>
      <c r="B1084" s="1" t="s">
        <v>657</v>
      </c>
      <c r="C1084" s="1">
        <v>53.26</v>
      </c>
      <c r="D1084" s="1">
        <v>0.42</v>
      </c>
      <c r="E1084" s="3">
        <f t="shared" si="76"/>
        <v>22.369199999999999</v>
      </c>
      <c r="F1084" s="1">
        <f t="shared" si="77"/>
        <v>27.6952</v>
      </c>
    </row>
    <row r="1085" spans="1:6" x14ac:dyDescent="0.25">
      <c r="A1085" s="1" t="s">
        <v>629</v>
      </c>
      <c r="B1085" s="1" t="s">
        <v>658</v>
      </c>
      <c r="C1085" s="1">
        <v>67.95</v>
      </c>
      <c r="D1085" s="1">
        <v>0.53</v>
      </c>
      <c r="E1085" s="3">
        <f t="shared" si="76"/>
        <v>36.013500000000001</v>
      </c>
      <c r="F1085" s="1">
        <f t="shared" si="77"/>
        <v>42.808500000000002</v>
      </c>
    </row>
    <row r="1086" spans="1:6" x14ac:dyDescent="0.25">
      <c r="A1086" s="1" t="s">
        <v>629</v>
      </c>
      <c r="B1086" s="1" t="s">
        <v>1811</v>
      </c>
      <c r="C1086" s="1">
        <v>2432</v>
      </c>
      <c r="D1086" s="1">
        <v>0.4</v>
      </c>
      <c r="E1086" s="3">
        <f t="shared" si="76"/>
        <v>972.80000000000007</v>
      </c>
      <c r="F1086" s="1">
        <f t="shared" si="77"/>
        <v>1216</v>
      </c>
    </row>
    <row r="1087" spans="1:6" x14ac:dyDescent="0.25">
      <c r="A1087" s="1" t="s">
        <v>629</v>
      </c>
      <c r="B1087" s="1" t="s">
        <v>659</v>
      </c>
      <c r="C1087" s="1">
        <v>0</v>
      </c>
      <c r="D1087" s="1">
        <v>0</v>
      </c>
      <c r="E1087" s="3">
        <f t="shared" si="76"/>
        <v>0</v>
      </c>
      <c r="F1087" s="1">
        <f t="shared" si="77"/>
        <v>0</v>
      </c>
    </row>
    <row r="1088" spans="1:6" x14ac:dyDescent="0.25">
      <c r="A1088" s="1" t="s">
        <v>629</v>
      </c>
      <c r="B1088" s="1" t="s">
        <v>1374</v>
      </c>
      <c r="C1088" s="1">
        <v>193</v>
      </c>
      <c r="D1088" s="1">
        <v>0.36</v>
      </c>
      <c r="E1088" s="3">
        <f t="shared" si="76"/>
        <v>69.48</v>
      </c>
      <c r="F1088" s="1">
        <f t="shared" si="77"/>
        <v>88.779999999999987</v>
      </c>
    </row>
    <row r="1089" spans="1:6" x14ac:dyDescent="0.25">
      <c r="A1089" s="1" t="s">
        <v>629</v>
      </c>
      <c r="B1089" s="1" t="s">
        <v>1375</v>
      </c>
      <c r="C1089" s="1">
        <v>281</v>
      </c>
      <c r="D1089" s="1">
        <v>0.37</v>
      </c>
      <c r="E1089" s="3">
        <f t="shared" si="76"/>
        <v>103.97</v>
      </c>
      <c r="F1089" s="1">
        <f t="shared" si="77"/>
        <v>132.07</v>
      </c>
    </row>
    <row r="1090" spans="1:6" x14ac:dyDescent="0.25">
      <c r="A1090" s="1" t="s">
        <v>629</v>
      </c>
      <c r="B1090" s="1" t="s">
        <v>660</v>
      </c>
      <c r="C1090" s="1">
        <v>608</v>
      </c>
      <c r="D1090" s="1">
        <v>0.48</v>
      </c>
      <c r="E1090" s="3">
        <f t="shared" si="76"/>
        <v>291.83999999999997</v>
      </c>
      <c r="F1090" s="1">
        <f t="shared" si="77"/>
        <v>352.64</v>
      </c>
    </row>
    <row r="1091" spans="1:6" x14ac:dyDescent="0.25">
      <c r="A1091" s="1" t="s">
        <v>629</v>
      </c>
      <c r="B1091" s="1" t="s">
        <v>661</v>
      </c>
      <c r="C1091" s="1">
        <v>0</v>
      </c>
      <c r="D1091" s="1">
        <v>0</v>
      </c>
      <c r="E1091" s="3">
        <f t="shared" si="76"/>
        <v>0</v>
      </c>
      <c r="F1091" s="1">
        <f t="shared" si="77"/>
        <v>0</v>
      </c>
    </row>
    <row r="1092" spans="1:6" x14ac:dyDescent="0.25">
      <c r="A1092" s="1" t="s">
        <v>1429</v>
      </c>
      <c r="B1092" s="1" t="s">
        <v>668</v>
      </c>
      <c r="C1092" s="1">
        <v>76</v>
      </c>
      <c r="D1092" s="1">
        <v>0.54</v>
      </c>
      <c r="E1092" s="3">
        <f t="shared" si="76"/>
        <v>41.040000000000006</v>
      </c>
      <c r="F1092" s="1">
        <f t="shared" si="77"/>
        <v>48.64</v>
      </c>
    </row>
    <row r="1093" spans="1:6" x14ac:dyDescent="0.25">
      <c r="A1093" s="1" t="s">
        <v>1429</v>
      </c>
      <c r="B1093" s="1" t="s">
        <v>662</v>
      </c>
      <c r="C1093" s="1">
        <v>83</v>
      </c>
      <c r="D1093" s="1">
        <v>0.53</v>
      </c>
      <c r="E1093" s="3">
        <f t="shared" si="76"/>
        <v>43.99</v>
      </c>
      <c r="F1093" s="1">
        <f t="shared" si="77"/>
        <v>52.29</v>
      </c>
    </row>
    <row r="1094" spans="1:6" x14ac:dyDescent="0.25">
      <c r="A1094" s="1" t="s">
        <v>1429</v>
      </c>
      <c r="B1094" s="1" t="s">
        <v>1379</v>
      </c>
      <c r="C1094" s="1">
        <v>150</v>
      </c>
      <c r="D1094" s="1">
        <v>0.39</v>
      </c>
      <c r="E1094" s="3">
        <f t="shared" si="76"/>
        <v>58.5</v>
      </c>
      <c r="F1094" s="1">
        <f t="shared" si="77"/>
        <v>73.5</v>
      </c>
    </row>
    <row r="1095" spans="1:6" x14ac:dyDescent="0.25">
      <c r="A1095" s="1" t="s">
        <v>1429</v>
      </c>
      <c r="B1095" s="1" t="s">
        <v>1151</v>
      </c>
      <c r="C1095" s="1">
        <v>276</v>
      </c>
      <c r="D1095" s="1">
        <v>0.56000000000000005</v>
      </c>
      <c r="E1095" s="3">
        <f t="shared" si="76"/>
        <v>154.56</v>
      </c>
      <c r="F1095" s="1">
        <f t="shared" si="77"/>
        <v>182.16</v>
      </c>
    </row>
    <row r="1096" spans="1:6" x14ac:dyDescent="0.25">
      <c r="A1096" s="1" t="s">
        <v>1429</v>
      </c>
      <c r="B1096" s="1" t="s">
        <v>1152</v>
      </c>
      <c r="C1096" s="1">
        <v>187</v>
      </c>
      <c r="D1096" s="1">
        <v>0.39</v>
      </c>
      <c r="E1096" s="3">
        <f t="shared" si="76"/>
        <v>72.930000000000007</v>
      </c>
      <c r="F1096" s="1">
        <f t="shared" si="77"/>
        <v>91.63</v>
      </c>
    </row>
    <row r="1097" spans="1:6" x14ac:dyDescent="0.25">
      <c r="A1097" s="1" t="s">
        <v>1429</v>
      </c>
      <c r="B1097" s="1" t="s">
        <v>1367</v>
      </c>
      <c r="C1097" s="1">
        <v>134</v>
      </c>
      <c r="D1097" s="1">
        <v>0.49</v>
      </c>
      <c r="E1097" s="3">
        <f t="shared" si="76"/>
        <v>65.66</v>
      </c>
      <c r="F1097" s="1">
        <f t="shared" si="77"/>
        <v>79.06</v>
      </c>
    </row>
    <row r="1098" spans="1:6" x14ac:dyDescent="0.25">
      <c r="A1098" s="1" t="s">
        <v>1429</v>
      </c>
      <c r="B1098" s="1" t="s">
        <v>663</v>
      </c>
      <c r="C1098" s="1">
        <v>119</v>
      </c>
      <c r="D1098" s="1">
        <v>0.49</v>
      </c>
      <c r="E1098" s="3">
        <f t="shared" si="76"/>
        <v>58.31</v>
      </c>
      <c r="F1098" s="1">
        <f t="shared" si="77"/>
        <v>70.209999999999994</v>
      </c>
    </row>
    <row r="1099" spans="1:6" x14ac:dyDescent="0.25">
      <c r="A1099" s="1" t="s">
        <v>1429</v>
      </c>
      <c r="B1099" s="1" t="s">
        <v>664</v>
      </c>
      <c r="C1099" s="1">
        <v>139</v>
      </c>
      <c r="D1099" s="1">
        <v>0.47</v>
      </c>
      <c r="E1099" s="3">
        <f t="shared" si="76"/>
        <v>65.33</v>
      </c>
      <c r="F1099" s="1">
        <f t="shared" si="77"/>
        <v>79.22999999999999</v>
      </c>
    </row>
    <row r="1100" spans="1:6" x14ac:dyDescent="0.25">
      <c r="A1100" s="1" t="s">
        <v>1429</v>
      </c>
      <c r="B1100" s="1" t="s">
        <v>1155</v>
      </c>
      <c r="C1100" s="1">
        <v>0</v>
      </c>
      <c r="D1100" s="1">
        <v>0.41</v>
      </c>
      <c r="E1100" s="3">
        <f t="shared" si="76"/>
        <v>0</v>
      </c>
      <c r="F1100" s="1">
        <f t="shared" si="77"/>
        <v>0</v>
      </c>
    </row>
    <row r="1101" spans="1:6" x14ac:dyDescent="0.25">
      <c r="A1101" s="1" t="s">
        <v>1429</v>
      </c>
      <c r="B1101" s="1" t="s">
        <v>1148</v>
      </c>
      <c r="C1101" s="1">
        <v>266</v>
      </c>
      <c r="D1101" s="1">
        <v>0.47</v>
      </c>
      <c r="E1101" s="3">
        <f t="shared" si="76"/>
        <v>125.02</v>
      </c>
      <c r="F1101" s="1">
        <f t="shared" si="77"/>
        <v>151.61999999999998</v>
      </c>
    </row>
    <row r="1102" spans="1:6" x14ac:dyDescent="0.25">
      <c r="A1102" s="1" t="s">
        <v>1429</v>
      </c>
      <c r="B1102" s="1" t="s">
        <v>1149</v>
      </c>
      <c r="C1102" s="1">
        <v>260</v>
      </c>
      <c r="D1102" s="1">
        <v>0.44</v>
      </c>
      <c r="E1102" s="3">
        <f t="shared" si="76"/>
        <v>114.4</v>
      </c>
      <c r="F1102" s="1">
        <f t="shared" si="77"/>
        <v>140.4</v>
      </c>
    </row>
    <row r="1103" spans="1:6" x14ac:dyDescent="0.25">
      <c r="A1103" s="1" t="s">
        <v>1429</v>
      </c>
      <c r="B1103" s="1" t="s">
        <v>1150</v>
      </c>
      <c r="C1103" s="1">
        <v>540</v>
      </c>
      <c r="D1103" s="1">
        <v>0.46</v>
      </c>
      <c r="E1103" s="3">
        <f t="shared" si="76"/>
        <v>248.4</v>
      </c>
      <c r="F1103" s="1">
        <f t="shared" si="77"/>
        <v>302.40000000000003</v>
      </c>
    </row>
    <row r="1104" spans="1:6" x14ac:dyDescent="0.25">
      <c r="A1104" s="1" t="s">
        <v>1429</v>
      </c>
      <c r="B1104" s="1" t="s">
        <v>1817</v>
      </c>
      <c r="C1104" s="1">
        <v>282</v>
      </c>
      <c r="D1104" s="1">
        <v>0.38</v>
      </c>
      <c r="E1104" s="3">
        <f t="shared" si="76"/>
        <v>107.16</v>
      </c>
      <c r="F1104" s="1">
        <f t="shared" si="77"/>
        <v>135.35999999999999</v>
      </c>
    </row>
    <row r="1105" spans="1:6" x14ac:dyDescent="0.25">
      <c r="A1105" s="1" t="s">
        <v>1429</v>
      </c>
      <c r="B1105" s="1" t="s">
        <v>1369</v>
      </c>
      <c r="C1105" s="1">
        <v>10.75</v>
      </c>
      <c r="D1105" s="1">
        <v>0.38</v>
      </c>
      <c r="E1105" s="3">
        <f t="shared" si="76"/>
        <v>4.085</v>
      </c>
      <c r="F1105" s="1">
        <f t="shared" si="77"/>
        <v>5.16</v>
      </c>
    </row>
    <row r="1106" spans="1:6" x14ac:dyDescent="0.25">
      <c r="A1106" s="1" t="s">
        <v>1429</v>
      </c>
      <c r="B1106" s="1" t="s">
        <v>665</v>
      </c>
      <c r="C1106" s="1">
        <v>32.950000000000003</v>
      </c>
      <c r="D1106" s="1">
        <v>0.38</v>
      </c>
      <c r="E1106" s="3">
        <f t="shared" si="76"/>
        <v>12.521000000000001</v>
      </c>
      <c r="F1106" s="1">
        <f t="shared" si="77"/>
        <v>15.816000000000001</v>
      </c>
    </row>
    <row r="1107" spans="1:6" x14ac:dyDescent="0.25">
      <c r="A1107" s="1" t="s">
        <v>1429</v>
      </c>
      <c r="B1107" s="1" t="s">
        <v>666</v>
      </c>
      <c r="C1107" s="1">
        <v>48.05</v>
      </c>
      <c r="D1107" s="1">
        <v>0.4</v>
      </c>
      <c r="E1107" s="3">
        <f t="shared" si="76"/>
        <v>19.22</v>
      </c>
      <c r="F1107" s="1">
        <f t="shared" si="77"/>
        <v>24.024999999999999</v>
      </c>
    </row>
    <row r="1108" spans="1:6" x14ac:dyDescent="0.25">
      <c r="B1108" s="1" t="s">
        <v>1153</v>
      </c>
      <c r="C1108" s="1">
        <v>266</v>
      </c>
      <c r="D1108" s="1"/>
      <c r="E1108" s="3"/>
    </row>
    <row r="1109" spans="1:6" x14ac:dyDescent="0.25">
      <c r="B1109" s="1" t="s">
        <v>1154</v>
      </c>
      <c r="C1109" s="1">
        <v>164</v>
      </c>
      <c r="D1109" s="1"/>
      <c r="E1109" s="3"/>
    </row>
    <row r="1110" spans="1:6" x14ac:dyDescent="0.25">
      <c r="A1110" s="1" t="s">
        <v>1429</v>
      </c>
      <c r="B1110" s="1" t="s">
        <v>1153</v>
      </c>
      <c r="C1110" s="1">
        <v>353</v>
      </c>
      <c r="D1110" s="1">
        <v>0.46</v>
      </c>
      <c r="E1110" s="3">
        <f t="shared" ref="E1110:E1146" si="78">C1110*D1110</f>
        <v>162.38</v>
      </c>
      <c r="F1110" s="1">
        <f t="shared" ref="F1110:F1146" si="79">C1110*(D1110+0.1)</f>
        <v>197.68</v>
      </c>
    </row>
    <row r="1111" spans="1:6" x14ac:dyDescent="0.25">
      <c r="A1111" s="1" t="s">
        <v>1429</v>
      </c>
      <c r="B1111" s="1" t="s">
        <v>1370</v>
      </c>
      <c r="C1111" s="1">
        <v>217</v>
      </c>
      <c r="D1111" s="1">
        <v>0.49</v>
      </c>
      <c r="E1111" s="3">
        <f t="shared" si="78"/>
        <v>106.33</v>
      </c>
      <c r="F1111" s="1">
        <f t="shared" si="79"/>
        <v>128.03</v>
      </c>
    </row>
    <row r="1112" spans="1:6" x14ac:dyDescent="0.25">
      <c r="A1112" s="1" t="s">
        <v>629</v>
      </c>
      <c r="B1112" s="1" t="s">
        <v>1472</v>
      </c>
      <c r="C1112" s="1">
        <v>446</v>
      </c>
      <c r="D1112" s="1">
        <v>0.43</v>
      </c>
      <c r="E1112" s="3">
        <f t="shared" si="78"/>
        <v>191.78</v>
      </c>
      <c r="F1112" s="1">
        <f t="shared" si="79"/>
        <v>236.38000000000002</v>
      </c>
    </row>
    <row r="1113" spans="1:6" x14ac:dyDescent="0.25">
      <c r="A1113" s="1" t="s">
        <v>629</v>
      </c>
      <c r="B1113" s="1" t="s">
        <v>667</v>
      </c>
      <c r="C1113" s="1">
        <v>577</v>
      </c>
      <c r="D1113" s="1">
        <v>0.34</v>
      </c>
      <c r="E1113" s="3">
        <f t="shared" si="78"/>
        <v>196.18</v>
      </c>
      <c r="F1113" s="1">
        <f t="shared" si="79"/>
        <v>253.88000000000002</v>
      </c>
    </row>
    <row r="1114" spans="1:6" x14ac:dyDescent="0.25">
      <c r="A1114" s="1" t="s">
        <v>1429</v>
      </c>
      <c r="B1114" s="1" t="s">
        <v>1160</v>
      </c>
      <c r="C1114" s="1">
        <v>777</v>
      </c>
      <c r="D1114" s="1">
        <v>0.44</v>
      </c>
      <c r="E1114" s="3">
        <f t="shared" si="78"/>
        <v>341.88</v>
      </c>
      <c r="F1114" s="1">
        <f t="shared" si="79"/>
        <v>419.58000000000004</v>
      </c>
    </row>
    <row r="1115" spans="1:6" x14ac:dyDescent="0.25">
      <c r="B1115" s="1" t="s">
        <v>1472</v>
      </c>
      <c r="C1115" s="1">
        <v>417</v>
      </c>
      <c r="D1115" s="1">
        <v>0.44</v>
      </c>
      <c r="E1115" s="3">
        <f t="shared" si="78"/>
        <v>183.48</v>
      </c>
      <c r="F1115" s="1">
        <f t="shared" si="79"/>
        <v>225.18</v>
      </c>
    </row>
    <row r="1116" spans="1:6" ht="15.75" thickBot="1" x14ac:dyDescent="0.3">
      <c r="A1116" s="1" t="s">
        <v>629</v>
      </c>
      <c r="B1116" s="1" t="s">
        <v>1130</v>
      </c>
      <c r="C1116" s="1">
        <v>2418</v>
      </c>
      <c r="D1116" s="2">
        <v>0.4</v>
      </c>
      <c r="E1116" s="11">
        <f t="shared" si="78"/>
        <v>967.2</v>
      </c>
      <c r="F1116" s="9">
        <f t="shared" si="79"/>
        <v>1209</v>
      </c>
    </row>
    <row r="1117" spans="1:6" ht="15.75" thickBot="1" x14ac:dyDescent="0.3">
      <c r="A1117" s="1" t="s">
        <v>629</v>
      </c>
      <c r="B1117" s="1" t="s">
        <v>1812</v>
      </c>
      <c r="C1117" s="1">
        <v>1479</v>
      </c>
      <c r="D1117" s="2">
        <v>0.4</v>
      </c>
      <c r="E1117" s="11">
        <f t="shared" si="78"/>
        <v>591.6</v>
      </c>
      <c r="F1117" s="9">
        <f t="shared" si="79"/>
        <v>739.5</v>
      </c>
    </row>
    <row r="1118" spans="1:6" x14ac:dyDescent="0.25">
      <c r="A1118" s="1" t="s">
        <v>1429</v>
      </c>
      <c r="B1118" s="1" t="s">
        <v>1159</v>
      </c>
      <c r="C1118" s="1">
        <v>142</v>
      </c>
      <c r="D1118" s="1">
        <v>0.62</v>
      </c>
      <c r="E1118" s="3">
        <f t="shared" si="78"/>
        <v>88.04</v>
      </c>
      <c r="F1118" s="1">
        <f t="shared" si="79"/>
        <v>102.24</v>
      </c>
    </row>
    <row r="1119" spans="1:6" x14ac:dyDescent="0.25">
      <c r="A1119" s="1" t="s">
        <v>1429</v>
      </c>
      <c r="B1119" s="1" t="s">
        <v>1477</v>
      </c>
      <c r="C1119" s="1">
        <v>214</v>
      </c>
      <c r="D1119" s="1">
        <v>0.43</v>
      </c>
      <c r="E1119" s="3">
        <f t="shared" si="78"/>
        <v>92.02</v>
      </c>
      <c r="F1119" s="1">
        <f t="shared" si="79"/>
        <v>113.42</v>
      </c>
    </row>
    <row r="1120" spans="1:6" x14ac:dyDescent="0.25">
      <c r="A1120" s="1" t="s">
        <v>1429</v>
      </c>
      <c r="B1120" s="1" t="s">
        <v>668</v>
      </c>
      <c r="C1120" s="1">
        <v>76</v>
      </c>
      <c r="D1120" s="1">
        <v>0.53</v>
      </c>
      <c r="E1120" s="3">
        <f t="shared" si="78"/>
        <v>40.28</v>
      </c>
      <c r="F1120" s="1">
        <f t="shared" si="79"/>
        <v>47.88</v>
      </c>
    </row>
    <row r="1121" spans="1:6" x14ac:dyDescent="0.25">
      <c r="A1121" s="1" t="s">
        <v>629</v>
      </c>
      <c r="B1121" s="1" t="s">
        <v>1380</v>
      </c>
      <c r="C1121" s="1">
        <v>1742</v>
      </c>
      <c r="D1121" s="1">
        <v>0.42</v>
      </c>
      <c r="E1121" s="3">
        <f t="shared" si="78"/>
        <v>731.64</v>
      </c>
      <c r="F1121" s="1">
        <f t="shared" si="79"/>
        <v>905.84</v>
      </c>
    </row>
    <row r="1122" spans="1:6" x14ac:dyDescent="0.25">
      <c r="A1122" s="1" t="s">
        <v>629</v>
      </c>
      <c r="B1122" s="1" t="s">
        <v>1390</v>
      </c>
      <c r="C1122" s="1">
        <v>473</v>
      </c>
      <c r="D1122" s="1">
        <v>0.5</v>
      </c>
      <c r="E1122" s="3">
        <f t="shared" si="78"/>
        <v>236.5</v>
      </c>
      <c r="F1122" s="1">
        <f t="shared" si="79"/>
        <v>283.8</v>
      </c>
    </row>
    <row r="1123" spans="1:6" x14ac:dyDescent="0.25">
      <c r="A1123" s="1" t="s">
        <v>629</v>
      </c>
      <c r="B1123" s="1" t="s">
        <v>650</v>
      </c>
      <c r="C1123" s="1">
        <v>225</v>
      </c>
      <c r="D1123" s="1">
        <v>0.45</v>
      </c>
      <c r="E1123" s="3">
        <f t="shared" si="78"/>
        <v>101.25</v>
      </c>
      <c r="F1123" s="1">
        <f t="shared" si="79"/>
        <v>123.75000000000001</v>
      </c>
    </row>
    <row r="1124" spans="1:6" x14ac:dyDescent="0.25">
      <c r="A1124" s="1" t="s">
        <v>629</v>
      </c>
      <c r="B1124" s="1" t="s">
        <v>651</v>
      </c>
      <c r="C1124" s="1">
        <v>1011</v>
      </c>
      <c r="D1124" s="1">
        <v>0.43</v>
      </c>
      <c r="E1124" s="3">
        <f t="shared" si="78"/>
        <v>434.73</v>
      </c>
      <c r="F1124" s="1">
        <f t="shared" si="79"/>
        <v>535.83000000000004</v>
      </c>
    </row>
    <row r="1125" spans="1:6" x14ac:dyDescent="0.25">
      <c r="A1125" s="1" t="s">
        <v>1429</v>
      </c>
      <c r="B1125" s="1" t="s">
        <v>669</v>
      </c>
      <c r="C1125" s="1">
        <v>173</v>
      </c>
      <c r="D1125" s="1">
        <v>0.49</v>
      </c>
      <c r="E1125" s="3">
        <f t="shared" si="78"/>
        <v>84.77</v>
      </c>
      <c r="F1125" s="1">
        <f t="shared" si="79"/>
        <v>102.07</v>
      </c>
    </row>
    <row r="1126" spans="1:6" x14ac:dyDescent="0.25">
      <c r="A1126" s="1" t="s">
        <v>1429</v>
      </c>
      <c r="B1126" s="1" t="s">
        <v>670</v>
      </c>
      <c r="C1126" s="1">
        <v>126</v>
      </c>
      <c r="D1126" s="1">
        <v>0.35399999999999998</v>
      </c>
      <c r="E1126" s="3">
        <f t="shared" si="78"/>
        <v>44.603999999999999</v>
      </c>
      <c r="F1126" s="1">
        <f t="shared" si="79"/>
        <v>57.203999999999994</v>
      </c>
    </row>
    <row r="1127" spans="1:6" x14ac:dyDescent="0.25">
      <c r="A1127" s="1" t="s">
        <v>1429</v>
      </c>
      <c r="B1127" s="1" t="s">
        <v>671</v>
      </c>
      <c r="C1127" s="1">
        <v>0</v>
      </c>
      <c r="D1127" s="1">
        <v>0.5</v>
      </c>
      <c r="E1127" s="3">
        <f t="shared" si="78"/>
        <v>0</v>
      </c>
      <c r="F1127" s="1">
        <f t="shared" si="79"/>
        <v>0</v>
      </c>
    </row>
    <row r="1128" spans="1:6" x14ac:dyDescent="0.25">
      <c r="A1128" s="1" t="s">
        <v>629</v>
      </c>
      <c r="B1128" s="1" t="s">
        <v>1813</v>
      </c>
      <c r="C1128" s="1">
        <v>60</v>
      </c>
      <c r="D1128" s="1">
        <v>0.46</v>
      </c>
      <c r="E1128" s="3">
        <f t="shared" si="78"/>
        <v>27.6</v>
      </c>
      <c r="F1128" s="1">
        <f t="shared" si="79"/>
        <v>33.6</v>
      </c>
    </row>
    <row r="1129" spans="1:6" x14ac:dyDescent="0.25">
      <c r="A1129" s="1" t="s">
        <v>629</v>
      </c>
      <c r="B1129" s="1" t="s">
        <v>1814</v>
      </c>
      <c r="C1129" s="1">
        <v>62</v>
      </c>
      <c r="D1129" s="1">
        <v>0.45</v>
      </c>
      <c r="E1129" s="3">
        <f t="shared" si="78"/>
        <v>27.900000000000002</v>
      </c>
      <c r="F1129" s="1">
        <f t="shared" si="79"/>
        <v>34.1</v>
      </c>
    </row>
    <row r="1130" spans="1:6" x14ac:dyDescent="0.25">
      <c r="A1130" s="1" t="s">
        <v>629</v>
      </c>
      <c r="B1130" s="1" t="s">
        <v>672</v>
      </c>
      <c r="C1130" s="1">
        <v>53</v>
      </c>
      <c r="D1130" s="1">
        <v>0.5</v>
      </c>
      <c r="E1130" s="3">
        <f t="shared" si="78"/>
        <v>26.5</v>
      </c>
      <c r="F1130" s="1">
        <f t="shared" si="79"/>
        <v>31.799999999999997</v>
      </c>
    </row>
    <row r="1131" spans="1:6" x14ac:dyDescent="0.25">
      <c r="A1131" s="1" t="s">
        <v>629</v>
      </c>
      <c r="B1131" s="1" t="s">
        <v>1815</v>
      </c>
      <c r="C1131" s="1">
        <v>246</v>
      </c>
      <c r="D1131" s="1">
        <v>0.45</v>
      </c>
      <c r="E1131" s="3">
        <f t="shared" si="78"/>
        <v>110.7</v>
      </c>
      <c r="F1131" s="1">
        <f t="shared" si="79"/>
        <v>135.30000000000001</v>
      </c>
    </row>
    <row r="1132" spans="1:6" x14ac:dyDescent="0.25">
      <c r="A1132" s="1" t="s">
        <v>1429</v>
      </c>
      <c r="B1132" s="1" t="s">
        <v>673</v>
      </c>
      <c r="C1132" s="1">
        <v>74.099999999999994</v>
      </c>
      <c r="D1132" s="1">
        <v>0.45</v>
      </c>
      <c r="E1132" s="3">
        <f t="shared" si="78"/>
        <v>33.344999999999999</v>
      </c>
      <c r="F1132" s="1">
        <f t="shared" si="79"/>
        <v>40.755000000000003</v>
      </c>
    </row>
    <row r="1133" spans="1:6" x14ac:dyDescent="0.25">
      <c r="A1133" s="1" t="s">
        <v>629</v>
      </c>
      <c r="B1133" s="1" t="s">
        <v>674</v>
      </c>
      <c r="C1133" s="1">
        <v>181.7</v>
      </c>
      <c r="D1133" s="1">
        <v>0.42099999999999999</v>
      </c>
      <c r="E1133" s="3">
        <f t="shared" si="78"/>
        <v>76.495699999999999</v>
      </c>
      <c r="F1133" s="1">
        <f t="shared" si="79"/>
        <v>94.665700000000001</v>
      </c>
    </row>
    <row r="1134" spans="1:6" x14ac:dyDescent="0.25">
      <c r="A1134" s="1" t="s">
        <v>629</v>
      </c>
      <c r="B1134" s="1" t="s">
        <v>675</v>
      </c>
      <c r="C1134" s="1">
        <v>1514</v>
      </c>
      <c r="D1134" s="1">
        <v>0.39</v>
      </c>
      <c r="E1134" s="3">
        <f t="shared" si="78"/>
        <v>590.46</v>
      </c>
      <c r="F1134" s="1">
        <f t="shared" si="79"/>
        <v>741.86</v>
      </c>
    </row>
    <row r="1135" spans="1:6" x14ac:dyDescent="0.25">
      <c r="A1135" s="1" t="s">
        <v>629</v>
      </c>
      <c r="B1135" s="1" t="s">
        <v>1482</v>
      </c>
      <c r="C1135" s="1">
        <v>17455</v>
      </c>
      <c r="D1135" s="1">
        <v>0.42499999999999999</v>
      </c>
      <c r="E1135" s="3">
        <f t="shared" si="78"/>
        <v>7418.375</v>
      </c>
      <c r="F1135" s="1">
        <f t="shared" si="79"/>
        <v>9163.875</v>
      </c>
    </row>
    <row r="1136" spans="1:6" x14ac:dyDescent="0.25">
      <c r="A1136" s="1" t="s">
        <v>1429</v>
      </c>
      <c r="B1136" s="1" t="s">
        <v>676</v>
      </c>
      <c r="C1136" s="1">
        <v>207</v>
      </c>
      <c r="D1136" s="1">
        <v>0.44900000000000001</v>
      </c>
      <c r="E1136" s="3">
        <f t="shared" si="78"/>
        <v>92.942999999999998</v>
      </c>
      <c r="F1136" s="1">
        <f t="shared" si="79"/>
        <v>113.64300000000001</v>
      </c>
    </row>
    <row r="1137" spans="1:6" x14ac:dyDescent="0.25">
      <c r="A1137" s="1" t="s">
        <v>629</v>
      </c>
      <c r="B1137" s="1" t="s">
        <v>677</v>
      </c>
      <c r="C1137" s="1">
        <v>303</v>
      </c>
      <c r="D1137" s="1">
        <v>0.41</v>
      </c>
      <c r="E1137" s="3">
        <f t="shared" si="78"/>
        <v>124.22999999999999</v>
      </c>
      <c r="F1137" s="1">
        <f t="shared" si="79"/>
        <v>154.53</v>
      </c>
    </row>
    <row r="1138" spans="1:6" x14ac:dyDescent="0.25">
      <c r="A1138" s="1" t="s">
        <v>629</v>
      </c>
      <c r="B1138" s="1" t="s">
        <v>1481</v>
      </c>
      <c r="C1138" s="1">
        <v>1942</v>
      </c>
      <c r="D1138" s="1">
        <v>0.47</v>
      </c>
      <c r="E1138" s="3">
        <f t="shared" si="78"/>
        <v>912.7399999999999</v>
      </c>
      <c r="F1138" s="1">
        <f t="shared" si="79"/>
        <v>1106.9399999999998</v>
      </c>
    </row>
    <row r="1139" spans="1:6" x14ac:dyDescent="0.25">
      <c r="A1139" s="1" t="s">
        <v>629</v>
      </c>
      <c r="B1139" s="1" t="s">
        <v>678</v>
      </c>
      <c r="C1139" s="1">
        <v>26.84</v>
      </c>
      <c r="D1139" s="1">
        <v>0.43</v>
      </c>
      <c r="E1139" s="3">
        <f t="shared" si="78"/>
        <v>11.5412</v>
      </c>
      <c r="F1139" s="1">
        <f t="shared" si="79"/>
        <v>14.225200000000001</v>
      </c>
    </row>
    <row r="1140" spans="1:6" x14ac:dyDescent="0.25">
      <c r="A1140" s="1" t="s">
        <v>629</v>
      </c>
      <c r="B1140" s="1" t="s">
        <v>679</v>
      </c>
      <c r="C1140" s="1">
        <v>1358</v>
      </c>
      <c r="D1140" s="1">
        <v>0.46</v>
      </c>
      <c r="E1140" s="3">
        <f t="shared" si="78"/>
        <v>624.68000000000006</v>
      </c>
      <c r="F1140" s="1">
        <f t="shared" si="79"/>
        <v>760.48</v>
      </c>
    </row>
    <row r="1141" spans="1:6" x14ac:dyDescent="0.25">
      <c r="A1141" s="1" t="s">
        <v>629</v>
      </c>
      <c r="B1141" s="1" t="s">
        <v>680</v>
      </c>
      <c r="C1141" s="1">
        <v>505</v>
      </c>
      <c r="D1141" s="1">
        <v>0.45500000000000002</v>
      </c>
      <c r="E1141" s="3">
        <f t="shared" si="78"/>
        <v>229.77500000000001</v>
      </c>
      <c r="F1141" s="1">
        <f t="shared" si="79"/>
        <v>280.27500000000003</v>
      </c>
    </row>
    <row r="1142" spans="1:6" x14ac:dyDescent="0.25">
      <c r="A1142" s="1" t="s">
        <v>629</v>
      </c>
      <c r="B1142" s="1" t="s">
        <v>1434</v>
      </c>
      <c r="C1142" s="1">
        <v>1003</v>
      </c>
      <c r="D1142" s="1">
        <v>0.43</v>
      </c>
      <c r="E1142" s="3">
        <f t="shared" si="78"/>
        <v>431.29</v>
      </c>
      <c r="F1142" s="1">
        <f t="shared" si="79"/>
        <v>531.59</v>
      </c>
    </row>
    <row r="1143" spans="1:6" x14ac:dyDescent="0.25">
      <c r="A1143" s="1" t="s">
        <v>629</v>
      </c>
      <c r="B1143" s="1" t="s">
        <v>681</v>
      </c>
      <c r="C1143" s="1">
        <v>218</v>
      </c>
      <c r="D1143" s="1">
        <v>0.4</v>
      </c>
      <c r="E1143" s="3">
        <f t="shared" si="78"/>
        <v>87.2</v>
      </c>
      <c r="F1143" s="1">
        <f t="shared" si="79"/>
        <v>109</v>
      </c>
    </row>
    <row r="1144" spans="1:6" s="9" customFormat="1" ht="15" customHeight="1" thickBot="1" x14ac:dyDescent="0.3">
      <c r="A1144" s="9" t="s">
        <v>629</v>
      </c>
      <c r="B1144" s="9" t="s">
        <v>682</v>
      </c>
      <c r="C1144" s="9">
        <v>152</v>
      </c>
      <c r="D1144" s="9">
        <v>0.44400000000000001</v>
      </c>
      <c r="E1144" s="11">
        <f t="shared" si="78"/>
        <v>67.488</v>
      </c>
      <c r="F1144" s="9">
        <f t="shared" si="79"/>
        <v>82.688000000000002</v>
      </c>
    </row>
    <row r="1145" spans="1:6" s="7" customFormat="1" x14ac:dyDescent="0.25">
      <c r="A1145" s="7" t="s">
        <v>683</v>
      </c>
      <c r="B1145" s="7" t="s">
        <v>684</v>
      </c>
      <c r="C1145" s="7">
        <v>70</v>
      </c>
      <c r="D1145" s="7">
        <v>0.33</v>
      </c>
      <c r="E1145" s="8">
        <f t="shared" si="78"/>
        <v>23.1</v>
      </c>
      <c r="F1145" s="7">
        <f t="shared" si="79"/>
        <v>30.100000000000005</v>
      </c>
    </row>
    <row r="1146" spans="1:6" x14ac:dyDescent="0.25">
      <c r="A1146" s="1" t="s">
        <v>683</v>
      </c>
      <c r="B1146" s="1" t="s">
        <v>685</v>
      </c>
      <c r="C1146" s="1">
        <v>380</v>
      </c>
      <c r="D1146" s="1">
        <v>0.33</v>
      </c>
      <c r="E1146" s="3">
        <f t="shared" si="78"/>
        <v>125.4</v>
      </c>
      <c r="F1146" s="1">
        <f t="shared" si="79"/>
        <v>163.4</v>
      </c>
    </row>
    <row r="1147" spans="1:6" x14ac:dyDescent="0.25">
      <c r="A1147" s="1" t="s">
        <v>683</v>
      </c>
      <c r="B1147" s="1" t="s">
        <v>686</v>
      </c>
      <c r="D1147" s="1"/>
      <c r="E1147" s="3"/>
    </row>
    <row r="1148" spans="1:6" x14ac:dyDescent="0.25">
      <c r="A1148" s="1" t="s">
        <v>683</v>
      </c>
      <c r="B1148" s="1" t="s">
        <v>687</v>
      </c>
      <c r="C1148" s="1">
        <v>145</v>
      </c>
      <c r="D1148" s="1">
        <v>0.33</v>
      </c>
      <c r="E1148" s="3">
        <f>C1148*D1148</f>
        <v>47.85</v>
      </c>
      <c r="F1148" s="1">
        <f>C1148*(D1148+0.1)</f>
        <v>62.350000000000009</v>
      </c>
    </row>
    <row r="1149" spans="1:6" s="9" customFormat="1" ht="15.75" thickBot="1" x14ac:dyDescent="0.3">
      <c r="A1149" s="9" t="s">
        <v>688</v>
      </c>
      <c r="B1149" s="9" t="s">
        <v>689</v>
      </c>
      <c r="C1149" s="9">
        <v>33</v>
      </c>
      <c r="D1149" s="9">
        <v>0.6</v>
      </c>
      <c r="E1149" s="11">
        <f>C1149*D1149</f>
        <v>19.8</v>
      </c>
      <c r="F1149" s="9">
        <f>C1149*(D1149+0.1)</f>
        <v>23.099999999999998</v>
      </c>
    </row>
    <row r="1150" spans="1:6" s="7" customFormat="1" x14ac:dyDescent="0.25">
      <c r="A1150" s="7" t="s">
        <v>690</v>
      </c>
      <c r="B1150" s="7" t="s">
        <v>691</v>
      </c>
      <c r="C1150" s="7">
        <v>53</v>
      </c>
      <c r="D1150" s="7">
        <v>0.6</v>
      </c>
      <c r="E1150" s="8">
        <f>(C1150*D1150)/1.2</f>
        <v>26.5</v>
      </c>
      <c r="F1150" s="7">
        <f>(C1150*(D1150+0.1))/1.2</f>
        <v>30.916666666666664</v>
      </c>
    </row>
    <row r="1151" spans="1:6" s="9" customFormat="1" ht="15.75" thickBot="1" x14ac:dyDescent="0.3">
      <c r="A1151" s="9" t="s">
        <v>690</v>
      </c>
      <c r="B1151" s="9" t="s">
        <v>692</v>
      </c>
      <c r="E1151" s="11"/>
    </row>
    <row r="1152" spans="1:6" s="7" customFormat="1" x14ac:dyDescent="0.25">
      <c r="A1152" s="7" t="s">
        <v>693</v>
      </c>
      <c r="B1152" s="7" t="s">
        <v>694</v>
      </c>
      <c r="E1152" s="8"/>
    </row>
    <row r="1153" spans="1:6" x14ac:dyDescent="0.25">
      <c r="A1153" s="1" t="s">
        <v>693</v>
      </c>
      <c r="B1153" s="1" t="s">
        <v>695</v>
      </c>
      <c r="C1153" s="1">
        <v>198</v>
      </c>
      <c r="D1153" s="1"/>
      <c r="E1153" s="3"/>
    </row>
    <row r="1154" spans="1:6" x14ac:dyDescent="0.25">
      <c r="A1154" s="1" t="s">
        <v>693</v>
      </c>
      <c r="B1154" s="4" t="s">
        <v>696</v>
      </c>
      <c r="D1154" s="1"/>
      <c r="E1154" s="3"/>
    </row>
    <row r="1155" spans="1:6" x14ac:dyDescent="0.25">
      <c r="A1155" s="1" t="s">
        <v>693</v>
      </c>
      <c r="B1155" s="4" t="s">
        <v>697</v>
      </c>
      <c r="D1155" s="1"/>
      <c r="E1155" s="3"/>
    </row>
    <row r="1156" spans="1:6" x14ac:dyDescent="0.25">
      <c r="A1156" s="1" t="s">
        <v>693</v>
      </c>
      <c r="B1156" s="4" t="s">
        <v>698</v>
      </c>
      <c r="D1156" s="1"/>
      <c r="E1156" s="3"/>
    </row>
    <row r="1157" spans="1:6" x14ac:dyDescent="0.25">
      <c r="A1157" s="1" t="s">
        <v>693</v>
      </c>
      <c r="B1157" s="4" t="s">
        <v>699</v>
      </c>
      <c r="D1157" s="1"/>
      <c r="E1157" s="3"/>
    </row>
    <row r="1158" spans="1:6" x14ac:dyDescent="0.25">
      <c r="A1158" s="1" t="s">
        <v>693</v>
      </c>
      <c r="B1158" s="4" t="s">
        <v>700</v>
      </c>
      <c r="D1158" s="1"/>
      <c r="E1158" s="3"/>
    </row>
    <row r="1159" spans="1:6" x14ac:dyDescent="0.25">
      <c r="A1159" s="1" t="s">
        <v>693</v>
      </c>
      <c r="B1159" s="4" t="s">
        <v>701</v>
      </c>
      <c r="D1159" s="1"/>
      <c r="E1159" s="3"/>
    </row>
    <row r="1160" spans="1:6" x14ac:dyDescent="0.25">
      <c r="A1160" s="1" t="s">
        <v>693</v>
      </c>
      <c r="B1160" s="4" t="s">
        <v>702</v>
      </c>
      <c r="D1160" s="1"/>
      <c r="E1160" s="3"/>
    </row>
    <row r="1161" spans="1:6" s="9" customFormat="1" ht="15.75" thickBot="1" x14ac:dyDescent="0.3">
      <c r="A1161" s="9" t="s">
        <v>693</v>
      </c>
      <c r="B1161" s="16" t="s">
        <v>703</v>
      </c>
      <c r="E1161" s="11"/>
    </row>
    <row r="1162" spans="1:6" s="7" customFormat="1" x14ac:dyDescent="0.25">
      <c r="A1162" s="7" t="s">
        <v>704</v>
      </c>
      <c r="B1162" s="7" t="s">
        <v>705</v>
      </c>
      <c r="C1162" s="7">
        <v>76</v>
      </c>
      <c r="D1162" s="7">
        <v>0.6</v>
      </c>
      <c r="E1162" s="8">
        <f>C1162*D1162</f>
        <v>45.6</v>
      </c>
      <c r="F1162" s="7">
        <f>C1162*(D1162+0.1)</f>
        <v>53.199999999999996</v>
      </c>
    </row>
    <row r="1163" spans="1:6" x14ac:dyDescent="0.25">
      <c r="A1163" s="1" t="s">
        <v>704</v>
      </c>
      <c r="B1163" s="1" t="s">
        <v>706</v>
      </c>
      <c r="D1163" s="1"/>
      <c r="E1163" s="3"/>
    </row>
    <row r="1164" spans="1:6" x14ac:dyDescent="0.25">
      <c r="A1164" s="1" t="s">
        <v>704</v>
      </c>
      <c r="B1164" s="1" t="s">
        <v>707</v>
      </c>
      <c r="D1164" s="1"/>
      <c r="E1164" s="3"/>
    </row>
    <row r="1165" spans="1:6" x14ac:dyDescent="0.25">
      <c r="A1165" s="1" t="s">
        <v>704</v>
      </c>
      <c r="B1165" s="1" t="s">
        <v>708</v>
      </c>
      <c r="D1165" s="1"/>
      <c r="E1165" s="3"/>
    </row>
    <row r="1166" spans="1:6" x14ac:dyDescent="0.25">
      <c r="A1166" s="1" t="s">
        <v>704</v>
      </c>
      <c r="B1166" s="1" t="s">
        <v>709</v>
      </c>
      <c r="D1166" s="1"/>
      <c r="E1166" s="3"/>
    </row>
    <row r="1167" spans="1:6" s="9" customFormat="1" ht="15.75" thickBot="1" x14ac:dyDescent="0.3">
      <c r="A1167" s="9" t="s">
        <v>704</v>
      </c>
      <c r="B1167" s="9" t="s">
        <v>710</v>
      </c>
      <c r="C1167" s="9">
        <v>148</v>
      </c>
      <c r="D1167" s="9">
        <v>0.6</v>
      </c>
      <c r="E1167" s="11">
        <f t="shared" ref="E1167:E1186" si="80">C1167*D1167</f>
        <v>88.8</v>
      </c>
      <c r="F1167" s="9">
        <f t="shared" ref="F1167:F1186" si="81">C1167*(D1167+0.1)</f>
        <v>103.6</v>
      </c>
    </row>
    <row r="1168" spans="1:6" s="27" customFormat="1" x14ac:dyDescent="0.25">
      <c r="A1168" s="1" t="s">
        <v>1831</v>
      </c>
      <c r="B1168" s="1" t="s">
        <v>1126</v>
      </c>
      <c r="C1168" s="1">
        <v>269</v>
      </c>
      <c r="D1168" s="7">
        <v>0.5</v>
      </c>
      <c r="E1168" s="8">
        <f t="shared" si="80"/>
        <v>134.5</v>
      </c>
      <c r="F1168" s="7">
        <f t="shared" si="81"/>
        <v>161.4</v>
      </c>
    </row>
    <row r="1169" spans="1:6" s="27" customFormat="1" x14ac:dyDescent="0.25">
      <c r="A1169" s="1" t="s">
        <v>1831</v>
      </c>
      <c r="B1169" s="1" t="s">
        <v>1260</v>
      </c>
      <c r="C1169" s="1">
        <v>130.4</v>
      </c>
      <c r="D1169" s="7">
        <v>0.37</v>
      </c>
      <c r="E1169" s="8">
        <f t="shared" si="80"/>
        <v>48.248000000000005</v>
      </c>
      <c r="F1169" s="7">
        <f t="shared" si="81"/>
        <v>61.287999999999997</v>
      </c>
    </row>
    <row r="1170" spans="1:6" s="7" customFormat="1" x14ac:dyDescent="0.25">
      <c r="A1170" s="1" t="s">
        <v>1831</v>
      </c>
      <c r="B1170" s="7" t="s">
        <v>1240</v>
      </c>
      <c r="C1170" s="7">
        <v>78.2</v>
      </c>
      <c r="D1170" s="7">
        <v>0.44</v>
      </c>
      <c r="E1170" s="8">
        <f t="shared" si="80"/>
        <v>34.408000000000001</v>
      </c>
      <c r="F1170" s="7">
        <f t="shared" si="81"/>
        <v>42.228000000000002</v>
      </c>
    </row>
    <row r="1171" spans="1:6" s="7" customFormat="1" x14ac:dyDescent="0.25">
      <c r="A1171" s="1" t="s">
        <v>1831</v>
      </c>
      <c r="B1171" s="7" t="s">
        <v>1241</v>
      </c>
      <c r="C1171" s="7">
        <v>10.6</v>
      </c>
      <c r="D1171" s="7">
        <v>0.44</v>
      </c>
      <c r="E1171" s="8">
        <f t="shared" si="80"/>
        <v>4.6639999999999997</v>
      </c>
      <c r="F1171" s="7">
        <f t="shared" si="81"/>
        <v>5.7240000000000002</v>
      </c>
    </row>
    <row r="1172" spans="1:6" x14ac:dyDescent="0.25">
      <c r="A1172" s="1" t="s">
        <v>1831</v>
      </c>
      <c r="B1172" s="1" t="s">
        <v>711</v>
      </c>
      <c r="C1172" s="1">
        <v>161</v>
      </c>
      <c r="D1172" s="1">
        <v>0.34</v>
      </c>
      <c r="E1172" s="3">
        <f t="shared" si="80"/>
        <v>54.74</v>
      </c>
      <c r="F1172" s="1">
        <f t="shared" si="81"/>
        <v>70.84</v>
      </c>
    </row>
    <row r="1173" spans="1:6" x14ac:dyDescent="0.25">
      <c r="A1173" s="1" t="s">
        <v>1831</v>
      </c>
      <c r="B1173" s="1" t="s">
        <v>1242</v>
      </c>
      <c r="C1173" s="1">
        <v>677</v>
      </c>
      <c r="D1173" s="1">
        <v>0.33</v>
      </c>
      <c r="E1173" s="3">
        <f t="shared" si="80"/>
        <v>223.41</v>
      </c>
      <c r="F1173" s="1">
        <f t="shared" si="81"/>
        <v>291.11</v>
      </c>
    </row>
    <row r="1174" spans="1:6" x14ac:dyDescent="0.25">
      <c r="A1174" s="1" t="s">
        <v>1831</v>
      </c>
      <c r="B1174" s="1" t="s">
        <v>712</v>
      </c>
      <c r="C1174" s="1">
        <v>199</v>
      </c>
      <c r="D1174" s="1">
        <v>0.37</v>
      </c>
      <c r="E1174" s="3">
        <f t="shared" si="80"/>
        <v>73.63</v>
      </c>
      <c r="F1174" s="1">
        <f t="shared" si="81"/>
        <v>93.53</v>
      </c>
    </row>
    <row r="1175" spans="1:6" x14ac:dyDescent="0.25">
      <c r="A1175" s="1" t="s">
        <v>1831</v>
      </c>
      <c r="B1175" s="1" t="s">
        <v>1243</v>
      </c>
      <c r="C1175" s="1">
        <v>29.88</v>
      </c>
      <c r="D1175" s="1">
        <v>0.4</v>
      </c>
      <c r="E1175" s="3">
        <f t="shared" si="80"/>
        <v>11.952</v>
      </c>
      <c r="F1175" s="1">
        <f t="shared" si="81"/>
        <v>14.94</v>
      </c>
    </row>
    <row r="1176" spans="1:6" x14ac:dyDescent="0.25">
      <c r="A1176" s="1" t="s">
        <v>1831</v>
      </c>
      <c r="B1176" s="1" t="s">
        <v>1244</v>
      </c>
      <c r="C1176" s="1">
        <v>63</v>
      </c>
      <c r="D1176" s="1">
        <v>0.4</v>
      </c>
      <c r="E1176" s="3">
        <f t="shared" si="80"/>
        <v>25.200000000000003</v>
      </c>
      <c r="F1176" s="1">
        <f t="shared" si="81"/>
        <v>31.5</v>
      </c>
    </row>
    <row r="1177" spans="1:6" x14ac:dyDescent="0.25">
      <c r="A1177" s="1" t="s">
        <v>1831</v>
      </c>
      <c r="B1177" s="1" t="s">
        <v>1245</v>
      </c>
      <c r="C1177" s="1">
        <v>187</v>
      </c>
      <c r="D1177" s="1">
        <v>0.4</v>
      </c>
      <c r="E1177" s="3">
        <f t="shared" si="80"/>
        <v>74.8</v>
      </c>
      <c r="F1177" s="1">
        <f t="shared" si="81"/>
        <v>93.5</v>
      </c>
    </row>
    <row r="1178" spans="1:6" x14ac:dyDescent="0.25">
      <c r="A1178" s="1" t="s">
        <v>1831</v>
      </c>
      <c r="B1178" s="1" t="s">
        <v>1246</v>
      </c>
      <c r="C1178" s="1">
        <v>647</v>
      </c>
      <c r="D1178" s="1">
        <v>0.49</v>
      </c>
      <c r="E1178" s="3">
        <f t="shared" si="80"/>
        <v>317.02999999999997</v>
      </c>
      <c r="F1178" s="1">
        <f t="shared" si="81"/>
        <v>381.72999999999996</v>
      </c>
    </row>
    <row r="1179" spans="1:6" x14ac:dyDescent="0.25">
      <c r="A1179" s="1" t="s">
        <v>1831</v>
      </c>
      <c r="B1179" s="1" t="s">
        <v>1247</v>
      </c>
      <c r="C1179" s="1">
        <v>1122</v>
      </c>
      <c r="D1179" s="1">
        <v>0.46</v>
      </c>
      <c r="E1179" s="3">
        <f t="shared" si="80"/>
        <v>516.12</v>
      </c>
      <c r="F1179" s="1">
        <f t="shared" si="81"/>
        <v>628.32000000000005</v>
      </c>
    </row>
    <row r="1180" spans="1:6" x14ac:dyDescent="0.25">
      <c r="A1180" s="1" t="s">
        <v>1831</v>
      </c>
      <c r="B1180" s="1" t="s">
        <v>1248</v>
      </c>
      <c r="C1180" s="1">
        <v>2470</v>
      </c>
      <c r="D1180" s="1">
        <v>0.46</v>
      </c>
      <c r="E1180" s="3">
        <f t="shared" si="80"/>
        <v>1136.2</v>
      </c>
      <c r="F1180" s="1">
        <f t="shared" si="81"/>
        <v>1383.2</v>
      </c>
    </row>
    <row r="1181" spans="1:6" x14ac:dyDescent="0.25">
      <c r="A1181" s="1" t="s">
        <v>1831</v>
      </c>
      <c r="B1181" s="1" t="s">
        <v>1249</v>
      </c>
      <c r="C1181" s="1">
        <v>221</v>
      </c>
      <c r="D1181" s="1">
        <v>0.46</v>
      </c>
      <c r="E1181" s="3">
        <f t="shared" si="80"/>
        <v>101.66000000000001</v>
      </c>
      <c r="F1181" s="1">
        <f t="shared" si="81"/>
        <v>123.76</v>
      </c>
    </row>
    <row r="1182" spans="1:6" x14ac:dyDescent="0.25">
      <c r="A1182" s="1" t="s">
        <v>1831</v>
      </c>
      <c r="B1182" s="1" t="s">
        <v>713</v>
      </c>
      <c r="C1182" s="1">
        <v>235</v>
      </c>
      <c r="D1182" s="1">
        <v>0.33</v>
      </c>
      <c r="E1182" s="3">
        <f t="shared" si="80"/>
        <v>77.55</v>
      </c>
      <c r="F1182" s="1">
        <f t="shared" si="81"/>
        <v>101.05000000000001</v>
      </c>
    </row>
    <row r="1183" spans="1:6" s="9" customFormat="1" ht="15.75" thickBot="1" x14ac:dyDescent="0.3">
      <c r="A1183" s="1" t="s">
        <v>1831</v>
      </c>
      <c r="B1183" s="9" t="s">
        <v>714</v>
      </c>
      <c r="C1183" s="9">
        <v>1499</v>
      </c>
      <c r="D1183" s="9">
        <v>0.33</v>
      </c>
      <c r="E1183" s="11">
        <f t="shared" si="80"/>
        <v>494.67</v>
      </c>
      <c r="F1183" s="9">
        <f t="shared" si="81"/>
        <v>644.57000000000005</v>
      </c>
    </row>
    <row r="1184" spans="1:6" s="7" customFormat="1" x14ac:dyDescent="0.25">
      <c r="A1184" s="7" t="s">
        <v>716</v>
      </c>
      <c r="B1184" s="7" t="s">
        <v>717</v>
      </c>
      <c r="C1184" s="7">
        <v>210</v>
      </c>
      <c r="D1184" s="7">
        <v>0.5</v>
      </c>
      <c r="E1184" s="8">
        <f t="shared" si="80"/>
        <v>105</v>
      </c>
      <c r="F1184" s="7">
        <f t="shared" si="81"/>
        <v>126</v>
      </c>
    </row>
    <row r="1185" spans="1:6" x14ac:dyDescent="0.25">
      <c r="A1185" s="1" t="s">
        <v>716</v>
      </c>
      <c r="B1185" s="1" t="s">
        <v>718</v>
      </c>
      <c r="C1185" s="1">
        <v>420</v>
      </c>
      <c r="D1185" s="1">
        <v>0.5</v>
      </c>
      <c r="E1185" s="3">
        <f t="shared" si="80"/>
        <v>210</v>
      </c>
      <c r="F1185" s="1">
        <f t="shared" si="81"/>
        <v>252</v>
      </c>
    </row>
    <row r="1186" spans="1:6" s="9" customFormat="1" ht="15.75" thickBot="1" x14ac:dyDescent="0.3">
      <c r="A1186" s="9" t="s">
        <v>716</v>
      </c>
      <c r="B1186" s="9" t="s">
        <v>719</v>
      </c>
      <c r="C1186" s="9">
        <v>690</v>
      </c>
      <c r="D1186" s="9">
        <v>0.5</v>
      </c>
      <c r="E1186" s="11">
        <f t="shared" si="80"/>
        <v>345</v>
      </c>
      <c r="F1186" s="9">
        <f t="shared" si="81"/>
        <v>414</v>
      </c>
    </row>
    <row r="1187" spans="1:6" s="7" customFormat="1" x14ac:dyDescent="0.25">
      <c r="A1187" s="7" t="s">
        <v>720</v>
      </c>
      <c r="B1187" s="7" t="s">
        <v>721</v>
      </c>
      <c r="D1187" s="12"/>
      <c r="E1187" s="8"/>
    </row>
    <row r="1188" spans="1:6" x14ac:dyDescent="0.25">
      <c r="A1188" s="1" t="s">
        <v>720</v>
      </c>
      <c r="B1188" s="1" t="s">
        <v>722</v>
      </c>
      <c r="E1188" s="3"/>
    </row>
    <row r="1189" spans="1:6" s="9" customFormat="1" ht="15.75" thickBot="1" x14ac:dyDescent="0.3">
      <c r="A1189" s="9" t="s">
        <v>720</v>
      </c>
      <c r="B1189" s="9" t="s">
        <v>723</v>
      </c>
      <c r="C1189" s="9">
        <v>573</v>
      </c>
      <c r="D1189" s="9">
        <v>0.6</v>
      </c>
      <c r="E1189" s="11">
        <f t="shared" ref="E1189:E1220" si="82">C1189*D1189</f>
        <v>343.8</v>
      </c>
      <c r="F1189" s="9">
        <f t="shared" ref="F1189:F1220" si="83">C1189*(D1189+0.1)</f>
        <v>401.09999999999997</v>
      </c>
    </row>
    <row r="1190" spans="1:6" s="7" customFormat="1" x14ac:dyDescent="0.25">
      <c r="A1190" s="7" t="s">
        <v>724</v>
      </c>
      <c r="B1190" s="7" t="s">
        <v>725</v>
      </c>
      <c r="C1190" s="7">
        <v>420</v>
      </c>
      <c r="D1190" s="7">
        <v>0.5</v>
      </c>
      <c r="E1190" s="3">
        <f t="shared" si="82"/>
        <v>210</v>
      </c>
      <c r="F1190" s="1">
        <f t="shared" si="83"/>
        <v>252</v>
      </c>
    </row>
    <row r="1191" spans="1:6" x14ac:dyDescent="0.25">
      <c r="A1191" s="1" t="s">
        <v>724</v>
      </c>
      <c r="B1191" s="1" t="s">
        <v>726</v>
      </c>
      <c r="C1191" s="1">
        <v>130</v>
      </c>
      <c r="D1191" s="1">
        <v>0.5</v>
      </c>
      <c r="E1191" s="3">
        <f t="shared" si="82"/>
        <v>65</v>
      </c>
      <c r="F1191" s="1">
        <f t="shared" si="83"/>
        <v>78</v>
      </c>
    </row>
    <row r="1192" spans="1:6" x14ac:dyDescent="0.25">
      <c r="A1192" s="1" t="s">
        <v>724</v>
      </c>
      <c r="B1192" s="1" t="s">
        <v>727</v>
      </c>
      <c r="C1192" s="1">
        <v>880</v>
      </c>
      <c r="D1192" s="1">
        <v>0.5</v>
      </c>
      <c r="E1192" s="3">
        <f t="shared" si="82"/>
        <v>440</v>
      </c>
      <c r="F1192" s="1">
        <f t="shared" si="83"/>
        <v>528</v>
      </c>
    </row>
    <row r="1193" spans="1:6" x14ac:dyDescent="0.25">
      <c r="A1193" s="1" t="s">
        <v>724</v>
      </c>
      <c r="B1193" s="1" t="s">
        <v>728</v>
      </c>
      <c r="C1193" s="1">
        <v>240</v>
      </c>
      <c r="D1193" s="1">
        <v>0.5</v>
      </c>
      <c r="E1193" s="3">
        <f t="shared" si="82"/>
        <v>120</v>
      </c>
      <c r="F1193" s="1">
        <f t="shared" si="83"/>
        <v>144</v>
      </c>
    </row>
    <row r="1194" spans="1:6" x14ac:dyDescent="0.25">
      <c r="A1194" s="1" t="s">
        <v>724</v>
      </c>
      <c r="B1194" s="1" t="s">
        <v>729</v>
      </c>
      <c r="C1194" s="1">
        <v>26.4</v>
      </c>
      <c r="D1194" s="1">
        <v>0.5</v>
      </c>
      <c r="E1194" s="3">
        <f t="shared" si="82"/>
        <v>13.2</v>
      </c>
      <c r="F1194" s="1">
        <f t="shared" si="83"/>
        <v>15.839999999999998</v>
      </c>
    </row>
    <row r="1195" spans="1:6" x14ac:dyDescent="0.25">
      <c r="A1195" s="1" t="s">
        <v>724</v>
      </c>
      <c r="B1195" s="1" t="s">
        <v>730</v>
      </c>
      <c r="C1195" s="1">
        <v>604</v>
      </c>
      <c r="D1195" s="1">
        <v>0.5</v>
      </c>
      <c r="E1195" s="3">
        <f t="shared" si="82"/>
        <v>302</v>
      </c>
      <c r="F1195" s="1">
        <f t="shared" si="83"/>
        <v>362.4</v>
      </c>
    </row>
    <row r="1196" spans="1:6" x14ac:dyDescent="0.25">
      <c r="A1196" s="1" t="s">
        <v>724</v>
      </c>
      <c r="B1196" s="1" t="s">
        <v>731</v>
      </c>
      <c r="C1196" s="1">
        <v>190</v>
      </c>
      <c r="D1196" s="1">
        <v>0.5</v>
      </c>
      <c r="E1196" s="3">
        <f t="shared" si="82"/>
        <v>95</v>
      </c>
      <c r="F1196" s="1">
        <f t="shared" si="83"/>
        <v>114</v>
      </c>
    </row>
    <row r="1197" spans="1:6" x14ac:dyDescent="0.25">
      <c r="A1197" s="1" t="s">
        <v>724</v>
      </c>
      <c r="B1197" s="1" t="s">
        <v>732</v>
      </c>
      <c r="C1197" s="1">
        <v>260</v>
      </c>
      <c r="D1197" s="1">
        <v>0.5</v>
      </c>
      <c r="E1197" s="3">
        <f t="shared" si="82"/>
        <v>130</v>
      </c>
      <c r="F1197" s="1">
        <f t="shared" si="83"/>
        <v>156</v>
      </c>
    </row>
    <row r="1198" spans="1:6" x14ac:dyDescent="0.25">
      <c r="A1198" s="1" t="s">
        <v>724</v>
      </c>
      <c r="B1198" s="1" t="s">
        <v>733</v>
      </c>
      <c r="C1198" s="1">
        <v>100</v>
      </c>
      <c r="D1198" s="1">
        <v>0.5</v>
      </c>
      <c r="E1198" s="3">
        <f t="shared" si="82"/>
        <v>50</v>
      </c>
      <c r="F1198" s="1">
        <f t="shared" si="83"/>
        <v>60</v>
      </c>
    </row>
    <row r="1199" spans="1:6" x14ac:dyDescent="0.25">
      <c r="A1199" s="1" t="s">
        <v>724</v>
      </c>
      <c r="B1199" s="1" t="s">
        <v>734</v>
      </c>
      <c r="C1199" s="1">
        <v>160</v>
      </c>
      <c r="D1199" s="1">
        <v>0.5</v>
      </c>
      <c r="E1199" s="3">
        <f t="shared" si="82"/>
        <v>80</v>
      </c>
      <c r="F1199" s="1">
        <f t="shared" si="83"/>
        <v>96</v>
      </c>
    </row>
    <row r="1200" spans="1:6" x14ac:dyDescent="0.25">
      <c r="A1200" s="1" t="s">
        <v>724</v>
      </c>
      <c r="B1200" s="1" t="s">
        <v>1597</v>
      </c>
      <c r="C1200" s="1">
        <v>330</v>
      </c>
      <c r="D1200" s="1">
        <v>0.5</v>
      </c>
      <c r="E1200" s="3">
        <f t="shared" si="82"/>
        <v>165</v>
      </c>
      <c r="F1200" s="1">
        <f t="shared" si="83"/>
        <v>198</v>
      </c>
    </row>
    <row r="1201" spans="1:6" x14ac:dyDescent="0.25">
      <c r="A1201" s="1" t="s">
        <v>724</v>
      </c>
      <c r="B1201" s="1" t="s">
        <v>1166</v>
      </c>
      <c r="C1201" s="1">
        <v>0</v>
      </c>
      <c r="D1201" s="1">
        <v>0.5</v>
      </c>
      <c r="E1201" s="3">
        <f t="shared" si="82"/>
        <v>0</v>
      </c>
      <c r="F1201" s="1">
        <f t="shared" si="83"/>
        <v>0</v>
      </c>
    </row>
    <row r="1202" spans="1:6" x14ac:dyDescent="0.25">
      <c r="A1202" s="1" t="s">
        <v>724</v>
      </c>
      <c r="B1202" s="1" t="s">
        <v>1598</v>
      </c>
      <c r="C1202" s="1">
        <v>2780</v>
      </c>
      <c r="D1202" s="1">
        <v>0.5</v>
      </c>
      <c r="E1202" s="3">
        <f t="shared" si="82"/>
        <v>1390</v>
      </c>
      <c r="F1202" s="1">
        <f t="shared" si="83"/>
        <v>1668</v>
      </c>
    </row>
    <row r="1203" spans="1:6" x14ac:dyDescent="0.25">
      <c r="A1203" s="1" t="s">
        <v>724</v>
      </c>
      <c r="B1203" s="1" t="s">
        <v>735</v>
      </c>
      <c r="C1203" s="1">
        <v>380</v>
      </c>
      <c r="D1203" s="1">
        <v>0.5</v>
      </c>
      <c r="E1203" s="3">
        <f t="shared" si="82"/>
        <v>190</v>
      </c>
      <c r="F1203" s="1">
        <f t="shared" si="83"/>
        <v>228</v>
      </c>
    </row>
    <row r="1204" spans="1:6" x14ac:dyDescent="0.25">
      <c r="A1204" s="1" t="s">
        <v>724</v>
      </c>
      <c r="B1204" s="1" t="s">
        <v>736</v>
      </c>
      <c r="D1204" s="1">
        <v>0.5</v>
      </c>
      <c r="E1204" s="3">
        <f t="shared" si="82"/>
        <v>0</v>
      </c>
      <c r="F1204" s="1">
        <f t="shared" si="83"/>
        <v>0</v>
      </c>
    </row>
    <row r="1205" spans="1:6" x14ac:dyDescent="0.25">
      <c r="A1205" s="1" t="s">
        <v>724</v>
      </c>
      <c r="B1205" s="1" t="s">
        <v>737</v>
      </c>
      <c r="C1205" s="1">
        <v>0</v>
      </c>
      <c r="D1205" s="1">
        <v>0.5</v>
      </c>
      <c r="E1205" s="3">
        <f t="shared" si="82"/>
        <v>0</v>
      </c>
      <c r="F1205" s="1">
        <f t="shared" si="83"/>
        <v>0</v>
      </c>
    </row>
    <row r="1206" spans="1:6" x14ac:dyDescent="0.25">
      <c r="A1206" s="1" t="s">
        <v>724</v>
      </c>
      <c r="B1206" s="1" t="s">
        <v>738</v>
      </c>
      <c r="C1206" s="1">
        <v>0</v>
      </c>
      <c r="D1206" s="1">
        <v>0.5</v>
      </c>
      <c r="E1206" s="3">
        <f t="shared" si="82"/>
        <v>0</v>
      </c>
      <c r="F1206" s="1">
        <f t="shared" si="83"/>
        <v>0</v>
      </c>
    </row>
    <row r="1207" spans="1:6" x14ac:dyDescent="0.25">
      <c r="A1207" s="1" t="s">
        <v>724</v>
      </c>
      <c r="B1207" s="1" t="s">
        <v>739</v>
      </c>
      <c r="C1207" s="1">
        <v>310</v>
      </c>
      <c r="D1207" s="1">
        <v>0.5</v>
      </c>
      <c r="E1207" s="3">
        <f t="shared" si="82"/>
        <v>155</v>
      </c>
      <c r="F1207" s="1">
        <f t="shared" si="83"/>
        <v>186</v>
      </c>
    </row>
    <row r="1208" spans="1:6" x14ac:dyDescent="0.25">
      <c r="A1208" s="1" t="s">
        <v>724</v>
      </c>
      <c r="B1208" s="1" t="s">
        <v>740</v>
      </c>
      <c r="C1208" s="1">
        <v>230</v>
      </c>
      <c r="D1208" s="1">
        <v>0.5</v>
      </c>
      <c r="E1208" s="3">
        <f t="shared" si="82"/>
        <v>115</v>
      </c>
      <c r="F1208" s="1">
        <f t="shared" si="83"/>
        <v>138</v>
      </c>
    </row>
    <row r="1209" spans="1:6" x14ac:dyDescent="0.25">
      <c r="A1209" s="1" t="s">
        <v>724</v>
      </c>
      <c r="B1209" s="1" t="s">
        <v>741</v>
      </c>
      <c r="C1209" s="1">
        <v>330</v>
      </c>
      <c r="D1209" s="1">
        <v>0.5</v>
      </c>
      <c r="E1209" s="3">
        <f t="shared" si="82"/>
        <v>165</v>
      </c>
      <c r="F1209" s="1">
        <f t="shared" si="83"/>
        <v>198</v>
      </c>
    </row>
    <row r="1210" spans="1:6" x14ac:dyDescent="0.25">
      <c r="A1210" s="1" t="s">
        <v>724</v>
      </c>
      <c r="B1210" s="1" t="s">
        <v>742</v>
      </c>
      <c r="C1210" s="1">
        <v>670</v>
      </c>
      <c r="D1210" s="1">
        <v>0.5</v>
      </c>
      <c r="E1210" s="3">
        <f t="shared" si="82"/>
        <v>335</v>
      </c>
      <c r="F1210" s="1">
        <f t="shared" si="83"/>
        <v>402</v>
      </c>
    </row>
    <row r="1211" spans="1:6" x14ac:dyDescent="0.25">
      <c r="A1211" s="1" t="s">
        <v>724</v>
      </c>
      <c r="B1211" s="1" t="s">
        <v>743</v>
      </c>
      <c r="C1211" s="1">
        <v>142</v>
      </c>
      <c r="D1211" s="1">
        <v>0.5</v>
      </c>
      <c r="E1211" s="3">
        <f t="shared" si="82"/>
        <v>71</v>
      </c>
      <c r="F1211" s="1">
        <f t="shared" si="83"/>
        <v>85.2</v>
      </c>
    </row>
    <row r="1212" spans="1:6" x14ac:dyDescent="0.25">
      <c r="A1212" s="1" t="s">
        <v>724</v>
      </c>
      <c r="B1212" s="1" t="s">
        <v>744</v>
      </c>
      <c r="C1212" s="1">
        <v>140</v>
      </c>
      <c r="D1212" s="1">
        <v>0.5</v>
      </c>
      <c r="E1212" s="3">
        <f t="shared" si="82"/>
        <v>70</v>
      </c>
      <c r="F1212" s="1">
        <f t="shared" si="83"/>
        <v>84</v>
      </c>
    </row>
    <row r="1213" spans="1:6" x14ac:dyDescent="0.25">
      <c r="A1213" s="1" t="s">
        <v>724</v>
      </c>
      <c r="B1213" s="1" t="s">
        <v>745</v>
      </c>
      <c r="C1213" s="1">
        <v>600</v>
      </c>
      <c r="D1213" s="1">
        <v>0.5</v>
      </c>
      <c r="E1213" s="3">
        <f t="shared" si="82"/>
        <v>300</v>
      </c>
      <c r="F1213" s="1">
        <f t="shared" si="83"/>
        <v>360</v>
      </c>
    </row>
    <row r="1214" spans="1:6" x14ac:dyDescent="0.25">
      <c r="A1214" s="1" t="s">
        <v>724</v>
      </c>
      <c r="B1214" s="1" t="s">
        <v>1348</v>
      </c>
      <c r="C1214" s="1">
        <v>780</v>
      </c>
      <c r="D1214" s="1">
        <v>0.5</v>
      </c>
      <c r="E1214" s="3">
        <f t="shared" si="82"/>
        <v>390</v>
      </c>
      <c r="F1214" s="1">
        <f t="shared" si="83"/>
        <v>468</v>
      </c>
    </row>
    <row r="1215" spans="1:6" x14ac:dyDescent="0.25">
      <c r="A1215" s="1" t="s">
        <v>724</v>
      </c>
      <c r="B1215" s="1" t="s">
        <v>1599</v>
      </c>
      <c r="C1215" s="1">
        <v>156</v>
      </c>
      <c r="D1215" s="1">
        <v>0.5</v>
      </c>
      <c r="E1215" s="3">
        <f t="shared" si="82"/>
        <v>78</v>
      </c>
      <c r="F1215" s="1">
        <f t="shared" si="83"/>
        <v>93.6</v>
      </c>
    </row>
    <row r="1216" spans="1:6" x14ac:dyDescent="0.25">
      <c r="A1216" s="1" t="s">
        <v>724</v>
      </c>
      <c r="B1216" s="1" t="s">
        <v>1600</v>
      </c>
      <c r="C1216" s="1">
        <v>540</v>
      </c>
      <c r="D1216" s="1">
        <v>0.5</v>
      </c>
      <c r="E1216" s="3">
        <f t="shared" si="82"/>
        <v>270</v>
      </c>
      <c r="F1216" s="1">
        <f t="shared" si="83"/>
        <v>324</v>
      </c>
    </row>
    <row r="1217" spans="1:6" x14ac:dyDescent="0.25">
      <c r="A1217" s="1" t="s">
        <v>724</v>
      </c>
      <c r="B1217" s="1" t="s">
        <v>1167</v>
      </c>
      <c r="C1217" s="1">
        <v>1290</v>
      </c>
      <c r="D1217" s="1">
        <v>0.5</v>
      </c>
      <c r="E1217" s="3">
        <f t="shared" si="82"/>
        <v>645</v>
      </c>
      <c r="F1217" s="1">
        <f t="shared" si="83"/>
        <v>774</v>
      </c>
    </row>
    <row r="1218" spans="1:6" x14ac:dyDescent="0.25">
      <c r="A1218" s="1" t="s">
        <v>724</v>
      </c>
      <c r="B1218" s="1" t="s">
        <v>1596</v>
      </c>
      <c r="C1218" s="1">
        <v>1120</v>
      </c>
      <c r="D1218" s="1">
        <v>0.5</v>
      </c>
      <c r="E1218" s="3">
        <f t="shared" si="82"/>
        <v>560</v>
      </c>
      <c r="F1218" s="1">
        <f t="shared" si="83"/>
        <v>672</v>
      </c>
    </row>
    <row r="1219" spans="1:6" x14ac:dyDescent="0.25">
      <c r="A1219" s="1" t="s">
        <v>724</v>
      </c>
      <c r="B1219" s="1" t="s">
        <v>746</v>
      </c>
      <c r="C1219" s="1">
        <v>290</v>
      </c>
      <c r="D1219" s="1">
        <v>0.5</v>
      </c>
      <c r="E1219" s="3">
        <f t="shared" si="82"/>
        <v>145</v>
      </c>
      <c r="F1219" s="1">
        <f t="shared" si="83"/>
        <v>174</v>
      </c>
    </row>
    <row r="1220" spans="1:6" x14ac:dyDescent="0.25">
      <c r="A1220" s="1" t="s">
        <v>724</v>
      </c>
      <c r="B1220" s="1" t="s">
        <v>747</v>
      </c>
      <c r="C1220" s="1">
        <v>630</v>
      </c>
      <c r="D1220" s="1">
        <v>0.5</v>
      </c>
      <c r="E1220" s="3">
        <f t="shared" si="82"/>
        <v>315</v>
      </c>
      <c r="F1220" s="1">
        <f t="shared" si="83"/>
        <v>378</v>
      </c>
    </row>
    <row r="1221" spans="1:6" x14ac:dyDescent="0.25">
      <c r="A1221" s="1" t="s">
        <v>724</v>
      </c>
      <c r="B1221" s="1" t="s">
        <v>748</v>
      </c>
      <c r="C1221" s="1">
        <v>290</v>
      </c>
      <c r="D1221" s="1">
        <v>0.5</v>
      </c>
      <c r="E1221" s="3">
        <f t="shared" ref="E1221:E1244" si="84">C1221*D1221</f>
        <v>145</v>
      </c>
      <c r="F1221" s="1">
        <f t="shared" ref="F1221:F1244" si="85">C1221*(D1221+0.1)</f>
        <v>174</v>
      </c>
    </row>
    <row r="1222" spans="1:6" s="9" customFormat="1" ht="15.75" thickBot="1" x14ac:dyDescent="0.3">
      <c r="A1222" s="1" t="s">
        <v>724</v>
      </c>
      <c r="B1222" s="9" t="s">
        <v>749</v>
      </c>
      <c r="C1222" s="9">
        <v>630</v>
      </c>
      <c r="D1222" s="9">
        <v>0.5</v>
      </c>
      <c r="E1222" s="11">
        <f t="shared" si="84"/>
        <v>315</v>
      </c>
      <c r="F1222" s="9">
        <f t="shared" si="85"/>
        <v>378</v>
      </c>
    </row>
    <row r="1223" spans="1:6" s="7" customFormat="1" x14ac:dyDescent="0.25">
      <c r="A1223" s="7" t="s">
        <v>750</v>
      </c>
      <c r="B1223" s="7" t="s">
        <v>751</v>
      </c>
      <c r="C1223" s="7">
        <v>207</v>
      </c>
      <c r="D1223" s="7">
        <v>0.65</v>
      </c>
      <c r="E1223" s="8">
        <f t="shared" si="84"/>
        <v>134.55000000000001</v>
      </c>
      <c r="F1223" s="7">
        <f t="shared" si="85"/>
        <v>155.25</v>
      </c>
    </row>
    <row r="1224" spans="1:6" x14ac:dyDescent="0.25">
      <c r="A1224" s="1" t="s">
        <v>750</v>
      </c>
      <c r="B1224" s="1" t="s">
        <v>752</v>
      </c>
      <c r="C1224" s="1">
        <v>652</v>
      </c>
      <c r="D1224" s="1">
        <v>0.65</v>
      </c>
      <c r="E1224" s="3">
        <f t="shared" si="84"/>
        <v>423.8</v>
      </c>
      <c r="F1224" s="1">
        <f t="shared" si="85"/>
        <v>489</v>
      </c>
    </row>
    <row r="1225" spans="1:6" s="9" customFormat="1" ht="15.75" thickBot="1" x14ac:dyDescent="0.3">
      <c r="A1225" s="9" t="s">
        <v>750</v>
      </c>
      <c r="B1225" s="9" t="s">
        <v>753</v>
      </c>
      <c r="C1225" s="9">
        <v>588</v>
      </c>
      <c r="D1225" s="9">
        <v>0.65</v>
      </c>
      <c r="E1225" s="11">
        <f t="shared" si="84"/>
        <v>382.2</v>
      </c>
      <c r="F1225" s="9">
        <f t="shared" si="85"/>
        <v>441</v>
      </c>
    </row>
    <row r="1226" spans="1:6" s="7" customFormat="1" x14ac:dyDescent="0.25">
      <c r="A1226" s="7" t="s">
        <v>754</v>
      </c>
      <c r="B1226" s="7" t="s">
        <v>755</v>
      </c>
      <c r="C1226" s="7">
        <v>108</v>
      </c>
      <c r="D1226" s="7">
        <v>0.42</v>
      </c>
      <c r="E1226" s="8">
        <f t="shared" si="84"/>
        <v>45.36</v>
      </c>
      <c r="F1226" s="7">
        <f t="shared" si="85"/>
        <v>56.160000000000004</v>
      </c>
    </row>
    <row r="1227" spans="1:6" x14ac:dyDescent="0.25">
      <c r="A1227" s="1" t="s">
        <v>754</v>
      </c>
      <c r="B1227" s="1" t="s">
        <v>756</v>
      </c>
      <c r="C1227" s="1">
        <v>520.20000000000005</v>
      </c>
      <c r="D1227" s="1">
        <v>0.36</v>
      </c>
      <c r="E1227" s="3">
        <f t="shared" si="84"/>
        <v>187.27200000000002</v>
      </c>
      <c r="F1227" s="1">
        <f t="shared" si="85"/>
        <v>239.292</v>
      </c>
    </row>
    <row r="1228" spans="1:6" x14ac:dyDescent="0.25">
      <c r="A1228" s="1" t="s">
        <v>754</v>
      </c>
      <c r="B1228" s="1" t="s">
        <v>757</v>
      </c>
      <c r="C1228" s="1">
        <v>113.6</v>
      </c>
      <c r="D1228" s="1">
        <v>0.42</v>
      </c>
      <c r="E1228" s="3">
        <f t="shared" si="84"/>
        <v>47.711999999999996</v>
      </c>
      <c r="F1228" s="1">
        <f t="shared" si="85"/>
        <v>59.071999999999996</v>
      </c>
    </row>
    <row r="1229" spans="1:6" x14ac:dyDescent="0.25">
      <c r="A1229" s="1" t="s">
        <v>754</v>
      </c>
      <c r="B1229" s="1" t="s">
        <v>758</v>
      </c>
      <c r="C1229" s="1">
        <v>57.7</v>
      </c>
      <c r="D1229" s="1">
        <v>0.42</v>
      </c>
      <c r="E1229" s="3">
        <f t="shared" si="84"/>
        <v>24.234000000000002</v>
      </c>
      <c r="F1229" s="1">
        <f t="shared" si="85"/>
        <v>30.004000000000001</v>
      </c>
    </row>
    <row r="1230" spans="1:6" x14ac:dyDescent="0.25">
      <c r="A1230" s="1" t="s">
        <v>754</v>
      </c>
      <c r="B1230" s="1" t="s">
        <v>759</v>
      </c>
      <c r="C1230" s="1">
        <v>427.3</v>
      </c>
      <c r="D1230" s="1">
        <v>0.39</v>
      </c>
      <c r="E1230" s="3">
        <f t="shared" si="84"/>
        <v>166.64700000000002</v>
      </c>
      <c r="F1230" s="1">
        <f t="shared" si="85"/>
        <v>209.37700000000001</v>
      </c>
    </row>
    <row r="1231" spans="1:6" x14ac:dyDescent="0.25">
      <c r="A1231" s="1" t="s">
        <v>754</v>
      </c>
      <c r="B1231" s="1" t="s">
        <v>760</v>
      </c>
      <c r="C1231" s="1">
        <v>436</v>
      </c>
      <c r="D1231" s="1">
        <v>0.5</v>
      </c>
      <c r="E1231" s="3">
        <f t="shared" si="84"/>
        <v>218</v>
      </c>
      <c r="F1231" s="1">
        <f t="shared" si="85"/>
        <v>261.59999999999997</v>
      </c>
    </row>
    <row r="1232" spans="1:6" x14ac:dyDescent="0.25">
      <c r="A1232" s="1" t="s">
        <v>754</v>
      </c>
      <c r="B1232" s="1" t="s">
        <v>1519</v>
      </c>
      <c r="C1232" s="1">
        <v>116.6</v>
      </c>
      <c r="D1232" s="1">
        <v>0.42</v>
      </c>
      <c r="E1232" s="3">
        <f t="shared" si="84"/>
        <v>48.971999999999994</v>
      </c>
      <c r="F1232" s="1">
        <f t="shared" si="85"/>
        <v>60.631999999999998</v>
      </c>
    </row>
    <row r="1233" spans="1:6" x14ac:dyDescent="0.25">
      <c r="A1233" s="1" t="s">
        <v>754</v>
      </c>
      <c r="B1233" s="1" t="s">
        <v>761</v>
      </c>
      <c r="C1233" s="1">
        <v>103.6</v>
      </c>
      <c r="D1233" s="1">
        <v>0.42</v>
      </c>
      <c r="E1233" s="3">
        <f t="shared" si="84"/>
        <v>43.511999999999993</v>
      </c>
      <c r="F1233" s="1">
        <f t="shared" si="85"/>
        <v>53.872</v>
      </c>
    </row>
    <row r="1234" spans="1:6" x14ac:dyDescent="0.25">
      <c r="A1234" s="1" t="s">
        <v>754</v>
      </c>
      <c r="B1234" s="1" t="s">
        <v>762</v>
      </c>
      <c r="C1234" s="1">
        <v>146.6</v>
      </c>
      <c r="D1234" s="1">
        <v>0.42</v>
      </c>
      <c r="E1234" s="3">
        <f t="shared" si="84"/>
        <v>61.571999999999996</v>
      </c>
      <c r="F1234" s="1">
        <f t="shared" si="85"/>
        <v>76.231999999999999</v>
      </c>
    </row>
    <row r="1235" spans="1:6" x14ac:dyDescent="0.25">
      <c r="A1235" s="1" t="s">
        <v>754</v>
      </c>
      <c r="B1235" s="1" t="s">
        <v>763</v>
      </c>
      <c r="C1235" s="1">
        <v>233.4</v>
      </c>
      <c r="D1235" s="1">
        <v>0.42</v>
      </c>
      <c r="E1235" s="3">
        <f t="shared" si="84"/>
        <v>98.028000000000006</v>
      </c>
      <c r="F1235" s="1">
        <f t="shared" si="85"/>
        <v>121.36800000000001</v>
      </c>
    </row>
    <row r="1236" spans="1:6" x14ac:dyDescent="0.25">
      <c r="A1236" s="1" t="s">
        <v>754</v>
      </c>
      <c r="B1236" s="1" t="s">
        <v>764</v>
      </c>
      <c r="C1236" s="1">
        <v>54.6</v>
      </c>
      <c r="D1236" s="1">
        <v>0.42</v>
      </c>
      <c r="E1236" s="3">
        <f t="shared" si="84"/>
        <v>22.931999999999999</v>
      </c>
      <c r="F1236" s="1">
        <f t="shared" si="85"/>
        <v>28.392000000000003</v>
      </c>
    </row>
    <row r="1237" spans="1:6" x14ac:dyDescent="0.25">
      <c r="A1237" s="1" t="s">
        <v>754</v>
      </c>
      <c r="B1237" s="1" t="s">
        <v>765</v>
      </c>
      <c r="C1237" s="1">
        <v>253.5</v>
      </c>
      <c r="D1237" s="1">
        <v>0.42</v>
      </c>
      <c r="E1237" s="3">
        <f t="shared" si="84"/>
        <v>106.47</v>
      </c>
      <c r="F1237" s="1">
        <f t="shared" si="85"/>
        <v>131.82</v>
      </c>
    </row>
    <row r="1238" spans="1:6" x14ac:dyDescent="0.25">
      <c r="A1238" s="1" t="s">
        <v>754</v>
      </c>
      <c r="B1238" s="1" t="s">
        <v>766</v>
      </c>
      <c r="C1238" s="1">
        <v>520.70000000000005</v>
      </c>
      <c r="D1238" s="1">
        <v>0.42</v>
      </c>
      <c r="E1238" s="3">
        <f t="shared" si="84"/>
        <v>218.69400000000002</v>
      </c>
      <c r="F1238" s="1">
        <f t="shared" si="85"/>
        <v>270.76400000000001</v>
      </c>
    </row>
    <row r="1239" spans="1:6" x14ac:dyDescent="0.25">
      <c r="A1239" s="1" t="s">
        <v>754</v>
      </c>
      <c r="B1239" s="1" t="s">
        <v>767</v>
      </c>
      <c r="C1239" s="1">
        <v>123.8</v>
      </c>
      <c r="D1239" s="1">
        <v>0.42</v>
      </c>
      <c r="E1239" s="3">
        <f t="shared" si="84"/>
        <v>51.995999999999995</v>
      </c>
      <c r="F1239" s="1">
        <f t="shared" si="85"/>
        <v>64.376000000000005</v>
      </c>
    </row>
    <row r="1240" spans="1:6" x14ac:dyDescent="0.25">
      <c r="A1240" s="1" t="s">
        <v>754</v>
      </c>
      <c r="B1240" s="1" t="s">
        <v>768</v>
      </c>
      <c r="C1240" s="1">
        <v>93.8</v>
      </c>
      <c r="D1240" s="1">
        <v>0.42</v>
      </c>
      <c r="E1240" s="3">
        <f t="shared" si="84"/>
        <v>39.396000000000001</v>
      </c>
      <c r="F1240" s="1">
        <f t="shared" si="85"/>
        <v>48.776000000000003</v>
      </c>
    </row>
    <row r="1241" spans="1:6" x14ac:dyDescent="0.25">
      <c r="A1241" s="1" t="s">
        <v>754</v>
      </c>
      <c r="B1241" s="1" t="s">
        <v>769</v>
      </c>
      <c r="C1241" s="1">
        <v>610.79999999999995</v>
      </c>
      <c r="D1241" s="1">
        <v>0.42</v>
      </c>
      <c r="E1241" s="3">
        <f t="shared" si="84"/>
        <v>256.53599999999994</v>
      </c>
      <c r="F1241" s="1">
        <f t="shared" si="85"/>
        <v>317.61599999999999</v>
      </c>
    </row>
    <row r="1242" spans="1:6" x14ac:dyDescent="0.25">
      <c r="A1242" s="1" t="s">
        <v>754</v>
      </c>
      <c r="B1242" s="1" t="s">
        <v>1520</v>
      </c>
      <c r="C1242" s="1">
        <v>807.5</v>
      </c>
      <c r="D1242" s="1">
        <v>0.5</v>
      </c>
      <c r="E1242" s="3">
        <f t="shared" si="84"/>
        <v>403.75</v>
      </c>
      <c r="F1242" s="1">
        <f t="shared" si="85"/>
        <v>484.5</v>
      </c>
    </row>
    <row r="1243" spans="1:6" x14ac:dyDescent="0.25">
      <c r="A1243" s="1" t="s">
        <v>754</v>
      </c>
      <c r="B1243" s="1" t="s">
        <v>770</v>
      </c>
      <c r="C1243" s="1">
        <v>23.84</v>
      </c>
      <c r="D1243" s="1">
        <v>0.5</v>
      </c>
      <c r="E1243" s="3">
        <f t="shared" si="84"/>
        <v>11.92</v>
      </c>
      <c r="F1243" s="1">
        <f t="shared" si="85"/>
        <v>14.304</v>
      </c>
    </row>
    <row r="1244" spans="1:6" s="9" customFormat="1" ht="15.75" thickBot="1" x14ac:dyDescent="0.3">
      <c r="A1244" s="9" t="s">
        <v>754</v>
      </c>
      <c r="B1244" s="9" t="s">
        <v>771</v>
      </c>
      <c r="C1244" s="9">
        <v>43.52</v>
      </c>
      <c r="D1244" s="9">
        <v>0.5</v>
      </c>
      <c r="E1244" s="11">
        <f t="shared" si="84"/>
        <v>21.76</v>
      </c>
      <c r="F1244" s="9">
        <f t="shared" si="85"/>
        <v>26.112000000000002</v>
      </c>
    </row>
    <row r="1245" spans="1:6" s="7" customFormat="1" x14ac:dyDescent="0.25">
      <c r="A1245" s="7" t="s">
        <v>772</v>
      </c>
      <c r="B1245" s="7" t="s">
        <v>773</v>
      </c>
      <c r="C1245" s="7">
        <v>274</v>
      </c>
      <c r="D1245" s="12"/>
      <c r="E1245" s="8">
        <v>164.4</v>
      </c>
    </row>
    <row r="1246" spans="1:6" x14ac:dyDescent="0.25">
      <c r="A1246" s="1" t="s">
        <v>772</v>
      </c>
      <c r="B1246" s="1" t="s">
        <v>774</v>
      </c>
      <c r="C1246" s="1">
        <v>610</v>
      </c>
      <c r="E1246" s="3">
        <v>366</v>
      </c>
    </row>
    <row r="1247" spans="1:6" x14ac:dyDescent="0.25">
      <c r="A1247" s="1" t="s">
        <v>772</v>
      </c>
      <c r="B1247" s="1" t="s">
        <v>775</v>
      </c>
      <c r="C1247" s="1">
        <v>224</v>
      </c>
      <c r="E1247" s="3">
        <v>123.2</v>
      </c>
    </row>
    <row r="1248" spans="1:6" x14ac:dyDescent="0.25">
      <c r="A1248" s="1" t="s">
        <v>772</v>
      </c>
      <c r="B1248" s="1" t="s">
        <v>776</v>
      </c>
      <c r="C1248" s="1">
        <v>300</v>
      </c>
      <c r="D1248" s="1"/>
      <c r="E1248" s="3">
        <v>166.1</v>
      </c>
    </row>
    <row r="1249" spans="1:6" x14ac:dyDescent="0.25">
      <c r="A1249" s="1" t="s">
        <v>772</v>
      </c>
      <c r="B1249" s="1" t="s">
        <v>777</v>
      </c>
      <c r="C1249" s="1">
        <v>150</v>
      </c>
      <c r="D1249" s="1"/>
      <c r="E1249" s="3">
        <v>86.25</v>
      </c>
    </row>
    <row r="1250" spans="1:6" x14ac:dyDescent="0.25">
      <c r="A1250" s="1" t="s">
        <v>772</v>
      </c>
      <c r="B1250" s="1" t="s">
        <v>778</v>
      </c>
      <c r="C1250" s="1">
        <v>642</v>
      </c>
      <c r="E1250" s="3">
        <v>369.15</v>
      </c>
    </row>
    <row r="1251" spans="1:6" x14ac:dyDescent="0.25">
      <c r="A1251" s="1" t="s">
        <v>772</v>
      </c>
      <c r="B1251" s="1" t="s">
        <v>779</v>
      </c>
      <c r="C1251" s="1">
        <v>398</v>
      </c>
      <c r="E1251" s="3">
        <v>205.97</v>
      </c>
    </row>
    <row r="1252" spans="1:6" x14ac:dyDescent="0.25">
      <c r="A1252" s="1" t="s">
        <v>772</v>
      </c>
      <c r="B1252" s="1" t="s">
        <v>780</v>
      </c>
      <c r="C1252" s="1">
        <v>660</v>
      </c>
      <c r="E1252" s="3">
        <v>379.5</v>
      </c>
    </row>
    <row r="1253" spans="1:6" x14ac:dyDescent="0.25">
      <c r="A1253" s="1" t="s">
        <v>772</v>
      </c>
      <c r="B1253" s="1" t="s">
        <v>781</v>
      </c>
      <c r="E1253" s="3"/>
    </row>
    <row r="1254" spans="1:6" s="9" customFormat="1" ht="15.75" thickBot="1" x14ac:dyDescent="0.3">
      <c r="A1254" s="9" t="s">
        <v>772</v>
      </c>
      <c r="B1254" s="9" t="s">
        <v>782</v>
      </c>
      <c r="C1254" s="9">
        <v>660</v>
      </c>
      <c r="D1254" s="10"/>
      <c r="E1254" s="11">
        <v>379.5</v>
      </c>
    </row>
    <row r="1255" spans="1:6" s="7" customFormat="1" x14ac:dyDescent="0.25">
      <c r="A1255" s="7" t="s">
        <v>783</v>
      </c>
      <c r="B1255" s="7" t="s">
        <v>1220</v>
      </c>
      <c r="C1255" s="7">
        <v>98</v>
      </c>
      <c r="D1255" s="12">
        <v>0.46</v>
      </c>
      <c r="E1255" s="8">
        <f t="shared" ref="E1255:E1286" si="86">C1255*D1255</f>
        <v>45.080000000000005</v>
      </c>
      <c r="F1255" s="7">
        <f t="shared" ref="F1255:F1286" si="87">C1255*(D1255+0.1)</f>
        <v>54.88</v>
      </c>
    </row>
    <row r="1256" spans="1:6" x14ac:dyDescent="0.25">
      <c r="A1256" s="1" t="s">
        <v>783</v>
      </c>
      <c r="B1256" s="1" t="s">
        <v>784</v>
      </c>
      <c r="C1256" s="1">
        <v>388</v>
      </c>
      <c r="D1256" s="2">
        <v>0.46</v>
      </c>
      <c r="E1256" s="3">
        <f t="shared" si="86"/>
        <v>178.48000000000002</v>
      </c>
      <c r="F1256" s="1">
        <f t="shared" si="87"/>
        <v>217.28000000000003</v>
      </c>
    </row>
    <row r="1257" spans="1:6" x14ac:dyDescent="0.25">
      <c r="A1257" s="1" t="s">
        <v>783</v>
      </c>
      <c r="B1257" s="1" t="s">
        <v>785</v>
      </c>
      <c r="C1257" s="1">
        <v>177</v>
      </c>
      <c r="D1257" s="2">
        <v>0.46</v>
      </c>
      <c r="E1257" s="3">
        <f t="shared" si="86"/>
        <v>81.42</v>
      </c>
      <c r="F1257" s="1">
        <f t="shared" si="87"/>
        <v>99.12</v>
      </c>
    </row>
    <row r="1258" spans="1:6" x14ac:dyDescent="0.25">
      <c r="A1258" s="1" t="s">
        <v>783</v>
      </c>
      <c r="B1258" s="1" t="s">
        <v>1502</v>
      </c>
      <c r="C1258" s="1">
        <v>246</v>
      </c>
      <c r="D1258" s="2">
        <v>0.46</v>
      </c>
      <c r="E1258" s="3">
        <f t="shared" si="86"/>
        <v>113.16000000000001</v>
      </c>
      <c r="F1258" s="1">
        <f t="shared" si="87"/>
        <v>137.76000000000002</v>
      </c>
    </row>
    <row r="1259" spans="1:6" x14ac:dyDescent="0.25">
      <c r="A1259" s="1" t="s">
        <v>783</v>
      </c>
      <c r="B1259" s="1" t="s">
        <v>786</v>
      </c>
      <c r="C1259" s="1">
        <v>289</v>
      </c>
      <c r="D1259" s="2">
        <v>0.46</v>
      </c>
      <c r="E1259" s="3">
        <f t="shared" si="86"/>
        <v>132.94</v>
      </c>
      <c r="F1259" s="1">
        <f t="shared" si="87"/>
        <v>161.84</v>
      </c>
    </row>
    <row r="1260" spans="1:6" x14ac:dyDescent="0.25">
      <c r="A1260" s="1" t="s">
        <v>783</v>
      </c>
      <c r="B1260" s="1" t="s">
        <v>1485</v>
      </c>
      <c r="C1260" s="1">
        <v>87</v>
      </c>
      <c r="D1260" s="2">
        <v>0.46</v>
      </c>
      <c r="E1260" s="3">
        <f t="shared" si="86"/>
        <v>40.020000000000003</v>
      </c>
      <c r="F1260" s="1">
        <f t="shared" si="87"/>
        <v>48.720000000000006</v>
      </c>
    </row>
    <row r="1261" spans="1:6" x14ac:dyDescent="0.25">
      <c r="A1261" s="1" t="s">
        <v>783</v>
      </c>
      <c r="B1261" s="1" t="s">
        <v>788</v>
      </c>
      <c r="C1261" s="1">
        <v>119</v>
      </c>
      <c r="D1261" s="2">
        <v>0.46</v>
      </c>
      <c r="E1261" s="3">
        <f t="shared" si="86"/>
        <v>54.74</v>
      </c>
      <c r="F1261" s="1">
        <f t="shared" si="87"/>
        <v>66.64</v>
      </c>
    </row>
    <row r="1262" spans="1:6" x14ac:dyDescent="0.25">
      <c r="A1262" s="1" t="s">
        <v>783</v>
      </c>
      <c r="B1262" s="1" t="s">
        <v>789</v>
      </c>
      <c r="C1262" s="1">
        <v>149</v>
      </c>
      <c r="D1262" s="2">
        <v>0.46</v>
      </c>
      <c r="E1262" s="3">
        <f t="shared" si="86"/>
        <v>68.540000000000006</v>
      </c>
      <c r="F1262" s="1">
        <f t="shared" si="87"/>
        <v>83.440000000000012</v>
      </c>
    </row>
    <row r="1263" spans="1:6" x14ac:dyDescent="0.25">
      <c r="A1263" s="1" t="s">
        <v>783</v>
      </c>
      <c r="B1263" s="1" t="s">
        <v>787</v>
      </c>
      <c r="C1263" s="1">
        <v>195</v>
      </c>
      <c r="D1263" s="2">
        <v>0.46</v>
      </c>
      <c r="E1263" s="3">
        <f t="shared" si="86"/>
        <v>89.7</v>
      </c>
      <c r="F1263" s="1">
        <f t="shared" si="87"/>
        <v>109.20000000000002</v>
      </c>
    </row>
    <row r="1264" spans="1:6" x14ac:dyDescent="0.25">
      <c r="A1264" s="1" t="s">
        <v>783</v>
      </c>
      <c r="B1264" s="1" t="s">
        <v>1504</v>
      </c>
      <c r="C1264" s="1">
        <v>906</v>
      </c>
      <c r="D1264" s="2">
        <v>0.46</v>
      </c>
      <c r="E1264" s="3">
        <f t="shared" si="86"/>
        <v>416.76</v>
      </c>
      <c r="F1264" s="1">
        <f t="shared" si="87"/>
        <v>507.36000000000007</v>
      </c>
    </row>
    <row r="1265" spans="1:6" x14ac:dyDescent="0.25">
      <c r="A1265" s="1" t="s">
        <v>783</v>
      </c>
      <c r="B1265" s="1" t="s">
        <v>790</v>
      </c>
      <c r="C1265" s="1">
        <v>251</v>
      </c>
      <c r="D1265" s="2">
        <v>0.46</v>
      </c>
      <c r="E1265" s="3">
        <f t="shared" si="86"/>
        <v>115.46000000000001</v>
      </c>
      <c r="F1265" s="1">
        <f t="shared" si="87"/>
        <v>140.56</v>
      </c>
    </row>
    <row r="1266" spans="1:6" x14ac:dyDescent="0.25">
      <c r="A1266" s="1" t="s">
        <v>783</v>
      </c>
      <c r="B1266" s="1" t="s">
        <v>791</v>
      </c>
      <c r="C1266" s="1">
        <v>285</v>
      </c>
      <c r="D1266" s="2">
        <v>0.46</v>
      </c>
      <c r="E1266" s="3">
        <f t="shared" si="86"/>
        <v>131.1</v>
      </c>
      <c r="F1266" s="1">
        <f t="shared" si="87"/>
        <v>159.60000000000002</v>
      </c>
    </row>
    <row r="1267" spans="1:6" x14ac:dyDescent="0.25">
      <c r="A1267" s="1" t="s">
        <v>783</v>
      </c>
      <c r="B1267" s="1" t="s">
        <v>792</v>
      </c>
      <c r="C1267" s="1">
        <v>28</v>
      </c>
      <c r="D1267" s="2">
        <v>0.46</v>
      </c>
      <c r="E1267" s="3">
        <f t="shared" si="86"/>
        <v>12.88</v>
      </c>
      <c r="F1267" s="1">
        <f t="shared" si="87"/>
        <v>15.680000000000001</v>
      </c>
    </row>
    <row r="1268" spans="1:6" x14ac:dyDescent="0.25">
      <c r="A1268" s="1" t="s">
        <v>783</v>
      </c>
      <c r="B1268" s="1" t="s">
        <v>793</v>
      </c>
      <c r="C1268" s="1">
        <v>204</v>
      </c>
      <c r="D1268" s="2">
        <v>0.46</v>
      </c>
      <c r="E1268" s="3">
        <f t="shared" si="86"/>
        <v>93.84</v>
      </c>
      <c r="F1268" s="1">
        <f t="shared" si="87"/>
        <v>114.24000000000001</v>
      </c>
    </row>
    <row r="1269" spans="1:6" x14ac:dyDescent="0.25">
      <c r="A1269" s="1" t="s">
        <v>783</v>
      </c>
      <c r="B1269" s="1" t="s">
        <v>794</v>
      </c>
      <c r="C1269" s="1">
        <v>306</v>
      </c>
      <c r="D1269" s="2">
        <v>0.46</v>
      </c>
      <c r="E1269" s="3">
        <f t="shared" si="86"/>
        <v>140.76000000000002</v>
      </c>
      <c r="F1269" s="1">
        <f t="shared" si="87"/>
        <v>171.36</v>
      </c>
    </row>
    <row r="1270" spans="1:6" x14ac:dyDescent="0.25">
      <c r="A1270" s="1" t="s">
        <v>783</v>
      </c>
      <c r="B1270" s="1" t="s">
        <v>1147</v>
      </c>
      <c r="C1270" s="1">
        <v>731</v>
      </c>
      <c r="D1270" s="2">
        <v>0.46</v>
      </c>
      <c r="E1270" s="3">
        <f t="shared" si="86"/>
        <v>336.26</v>
      </c>
      <c r="F1270" s="1">
        <f t="shared" si="87"/>
        <v>409.36</v>
      </c>
    </row>
    <row r="1271" spans="1:6" x14ac:dyDescent="0.25">
      <c r="A1271" s="1" t="s">
        <v>783</v>
      </c>
      <c r="B1271" s="1" t="s">
        <v>1221</v>
      </c>
      <c r="C1271" s="1">
        <v>434</v>
      </c>
      <c r="D1271" s="2">
        <v>0.46</v>
      </c>
      <c r="E1271" s="3">
        <f t="shared" si="86"/>
        <v>199.64000000000001</v>
      </c>
      <c r="F1271" s="1">
        <f t="shared" si="87"/>
        <v>243.04000000000002</v>
      </c>
    </row>
    <row r="1272" spans="1:6" x14ac:dyDescent="0.25">
      <c r="A1272" s="1" t="s">
        <v>783</v>
      </c>
      <c r="B1272" s="1" t="s">
        <v>1497</v>
      </c>
      <c r="C1272" s="1">
        <v>94</v>
      </c>
      <c r="D1272" s="2">
        <v>0.46</v>
      </c>
      <c r="E1272" s="3">
        <f t="shared" si="86"/>
        <v>43.24</v>
      </c>
      <c r="F1272" s="1">
        <f t="shared" si="87"/>
        <v>52.640000000000008</v>
      </c>
    </row>
    <row r="1273" spans="1:6" x14ac:dyDescent="0.25">
      <c r="A1273" s="1" t="s">
        <v>783</v>
      </c>
      <c r="B1273" s="1" t="s">
        <v>1499</v>
      </c>
      <c r="C1273" s="1">
        <v>159</v>
      </c>
      <c r="D1273" s="2">
        <v>0.46</v>
      </c>
      <c r="E1273" s="3">
        <f t="shared" si="86"/>
        <v>73.14</v>
      </c>
      <c r="F1273" s="1">
        <f t="shared" si="87"/>
        <v>89.04</v>
      </c>
    </row>
    <row r="1274" spans="1:6" x14ac:dyDescent="0.25">
      <c r="A1274" s="1" t="s">
        <v>783</v>
      </c>
      <c r="B1274" s="1" t="s">
        <v>1498</v>
      </c>
      <c r="C1274" s="1">
        <v>200</v>
      </c>
      <c r="D1274" s="2">
        <v>0.46</v>
      </c>
      <c r="E1274" s="3">
        <f t="shared" si="86"/>
        <v>92</v>
      </c>
      <c r="F1274" s="1">
        <f t="shared" si="87"/>
        <v>112.00000000000001</v>
      </c>
    </row>
    <row r="1275" spans="1:6" x14ac:dyDescent="0.25">
      <c r="A1275" s="1" t="s">
        <v>783</v>
      </c>
      <c r="B1275" s="1" t="s">
        <v>1500</v>
      </c>
      <c r="C1275" s="1">
        <v>334</v>
      </c>
      <c r="D1275" s="2">
        <v>0.46</v>
      </c>
      <c r="E1275" s="3">
        <f t="shared" si="86"/>
        <v>153.64000000000001</v>
      </c>
      <c r="F1275" s="1">
        <f t="shared" si="87"/>
        <v>187.04000000000002</v>
      </c>
    </row>
    <row r="1276" spans="1:6" x14ac:dyDescent="0.25">
      <c r="A1276" s="1" t="s">
        <v>783</v>
      </c>
      <c r="B1276" s="1" t="s">
        <v>1503</v>
      </c>
      <c r="C1276" s="1">
        <v>213</v>
      </c>
      <c r="D1276" s="2">
        <v>0.46</v>
      </c>
      <c r="E1276" s="3">
        <f t="shared" si="86"/>
        <v>97.98</v>
      </c>
      <c r="F1276" s="1">
        <f t="shared" si="87"/>
        <v>119.28000000000002</v>
      </c>
    </row>
    <row r="1277" spans="1:6" x14ac:dyDescent="0.25">
      <c r="A1277" s="1" t="s">
        <v>783</v>
      </c>
      <c r="B1277" s="1" t="s">
        <v>795</v>
      </c>
      <c r="C1277" s="1">
        <v>143</v>
      </c>
      <c r="D1277" s="2">
        <v>0.46</v>
      </c>
      <c r="E1277" s="3">
        <f t="shared" si="86"/>
        <v>65.78</v>
      </c>
      <c r="F1277" s="1">
        <f t="shared" si="87"/>
        <v>80.080000000000013</v>
      </c>
    </row>
    <row r="1278" spans="1:6" x14ac:dyDescent="0.25">
      <c r="A1278" s="1" t="s">
        <v>783</v>
      </c>
      <c r="B1278" s="1" t="s">
        <v>796</v>
      </c>
      <c r="C1278" s="1">
        <v>631</v>
      </c>
      <c r="D1278" s="2">
        <v>0.46</v>
      </c>
      <c r="E1278" s="3">
        <f t="shared" si="86"/>
        <v>290.26</v>
      </c>
      <c r="F1278" s="1">
        <f t="shared" si="87"/>
        <v>353.36</v>
      </c>
    </row>
    <row r="1279" spans="1:6" x14ac:dyDescent="0.25">
      <c r="A1279" s="1" t="s">
        <v>783</v>
      </c>
      <c r="B1279" s="1" t="s">
        <v>797</v>
      </c>
      <c r="C1279" s="1">
        <v>2639</v>
      </c>
      <c r="D1279" s="2">
        <v>0.46</v>
      </c>
      <c r="E1279" s="3">
        <f t="shared" si="86"/>
        <v>1213.94</v>
      </c>
      <c r="F1279" s="1">
        <f t="shared" si="87"/>
        <v>1477.8400000000001</v>
      </c>
    </row>
    <row r="1280" spans="1:6" x14ac:dyDescent="0.25">
      <c r="A1280" s="1" t="s">
        <v>783</v>
      </c>
      <c r="B1280" s="1" t="s">
        <v>798</v>
      </c>
      <c r="C1280" s="1">
        <v>1829</v>
      </c>
      <c r="D1280" s="2">
        <v>0.46</v>
      </c>
      <c r="E1280" s="3">
        <f t="shared" si="86"/>
        <v>841.34</v>
      </c>
      <c r="F1280" s="1">
        <f t="shared" si="87"/>
        <v>1024.24</v>
      </c>
    </row>
    <row r="1281" spans="1:6" x14ac:dyDescent="0.25">
      <c r="A1281" s="1" t="s">
        <v>783</v>
      </c>
      <c r="B1281" s="1" t="s">
        <v>1486</v>
      </c>
      <c r="C1281" s="1">
        <v>5653</v>
      </c>
      <c r="D1281" s="2">
        <v>0.46</v>
      </c>
      <c r="E1281" s="3">
        <f t="shared" si="86"/>
        <v>2600.38</v>
      </c>
      <c r="F1281" s="1">
        <f t="shared" si="87"/>
        <v>3165.6800000000003</v>
      </c>
    </row>
    <row r="1282" spans="1:6" x14ac:dyDescent="0.25">
      <c r="A1282" s="1" t="s">
        <v>783</v>
      </c>
      <c r="B1282" s="1" t="s">
        <v>799</v>
      </c>
      <c r="C1282" s="1">
        <v>89</v>
      </c>
      <c r="D1282" s="2">
        <v>0.46</v>
      </c>
      <c r="E1282" s="3">
        <f t="shared" si="86"/>
        <v>40.940000000000005</v>
      </c>
      <c r="F1282" s="1">
        <f t="shared" si="87"/>
        <v>49.84</v>
      </c>
    </row>
    <row r="1283" spans="1:6" x14ac:dyDescent="0.25">
      <c r="A1283" s="1" t="s">
        <v>783</v>
      </c>
      <c r="B1283" s="1" t="s">
        <v>800</v>
      </c>
      <c r="C1283" s="1">
        <v>350</v>
      </c>
      <c r="D1283" s="2">
        <v>0.46</v>
      </c>
      <c r="E1283" s="3">
        <f t="shared" si="86"/>
        <v>161</v>
      </c>
      <c r="F1283" s="1">
        <f t="shared" si="87"/>
        <v>196.00000000000003</v>
      </c>
    </row>
    <row r="1284" spans="1:6" x14ac:dyDescent="0.25">
      <c r="A1284" s="1" t="s">
        <v>783</v>
      </c>
      <c r="B1284" s="1" t="s">
        <v>801</v>
      </c>
      <c r="C1284" s="1">
        <v>130</v>
      </c>
      <c r="D1284" s="2">
        <v>0.46</v>
      </c>
      <c r="E1284" s="3">
        <f t="shared" si="86"/>
        <v>59.800000000000004</v>
      </c>
      <c r="F1284" s="1">
        <f t="shared" si="87"/>
        <v>72.800000000000011</v>
      </c>
    </row>
    <row r="1285" spans="1:6" x14ac:dyDescent="0.25">
      <c r="A1285" s="1" t="s">
        <v>783</v>
      </c>
      <c r="B1285" s="1" t="s">
        <v>802</v>
      </c>
      <c r="C1285" s="1">
        <v>372</v>
      </c>
      <c r="D1285" s="2">
        <v>0.46</v>
      </c>
      <c r="E1285" s="3">
        <f t="shared" si="86"/>
        <v>171.12</v>
      </c>
      <c r="F1285" s="1">
        <f t="shared" si="87"/>
        <v>208.32000000000002</v>
      </c>
    </row>
    <row r="1286" spans="1:6" x14ac:dyDescent="0.25">
      <c r="A1286" s="1" t="s">
        <v>783</v>
      </c>
      <c r="B1286" s="1" t="s">
        <v>1487</v>
      </c>
      <c r="C1286" s="1">
        <v>584</v>
      </c>
      <c r="D1286" s="2">
        <v>0.46</v>
      </c>
      <c r="E1286" s="3">
        <f t="shared" si="86"/>
        <v>268.64</v>
      </c>
      <c r="F1286" s="1">
        <f t="shared" si="87"/>
        <v>327.04000000000002</v>
      </c>
    </row>
    <row r="1287" spans="1:6" x14ac:dyDescent="0.25">
      <c r="A1287" s="1" t="s">
        <v>783</v>
      </c>
      <c r="B1287" s="1" t="s">
        <v>1488</v>
      </c>
      <c r="C1287" s="1">
        <v>86</v>
      </c>
      <c r="D1287" s="2">
        <v>0.46</v>
      </c>
      <c r="E1287" s="3">
        <v>241.5</v>
      </c>
      <c r="F1287" s="1">
        <v>294</v>
      </c>
    </row>
    <row r="1288" spans="1:6" x14ac:dyDescent="0.25">
      <c r="A1288" s="1" t="s">
        <v>783</v>
      </c>
      <c r="B1288" s="1" t="s">
        <v>803</v>
      </c>
      <c r="C1288" s="1">
        <v>345</v>
      </c>
      <c r="D1288" s="2">
        <v>0.46</v>
      </c>
      <c r="E1288" s="3">
        <f t="shared" ref="E1288:E1331" si="88">C1288*D1288</f>
        <v>158.70000000000002</v>
      </c>
      <c r="F1288" s="1">
        <f t="shared" ref="F1288:F1308" si="89">C1288*(D1288+0.1)</f>
        <v>193.20000000000002</v>
      </c>
    </row>
    <row r="1289" spans="1:6" x14ac:dyDescent="0.25">
      <c r="A1289" s="1" t="s">
        <v>783</v>
      </c>
      <c r="B1289" s="1" t="s">
        <v>804</v>
      </c>
      <c r="C1289" s="1">
        <v>707</v>
      </c>
      <c r="D1289" s="2">
        <v>0.46</v>
      </c>
      <c r="E1289" s="3">
        <f t="shared" si="88"/>
        <v>325.22000000000003</v>
      </c>
      <c r="F1289" s="1">
        <f t="shared" si="89"/>
        <v>395.92</v>
      </c>
    </row>
    <row r="1290" spans="1:6" x14ac:dyDescent="0.25">
      <c r="A1290" s="1" t="s">
        <v>783</v>
      </c>
      <c r="B1290" s="1" t="s">
        <v>805</v>
      </c>
      <c r="C1290" s="1">
        <v>1086</v>
      </c>
      <c r="D1290" s="2">
        <v>0.46</v>
      </c>
      <c r="E1290" s="3">
        <f t="shared" si="88"/>
        <v>499.56</v>
      </c>
      <c r="F1290" s="1">
        <f t="shared" si="89"/>
        <v>608.16000000000008</v>
      </c>
    </row>
    <row r="1291" spans="1:6" x14ac:dyDescent="0.25">
      <c r="A1291" s="1" t="s">
        <v>783</v>
      </c>
      <c r="B1291" s="1" t="s">
        <v>806</v>
      </c>
      <c r="C1291" s="1">
        <v>0</v>
      </c>
      <c r="D1291" s="2">
        <v>0.46</v>
      </c>
      <c r="E1291" s="3">
        <f t="shared" si="88"/>
        <v>0</v>
      </c>
      <c r="F1291" s="1">
        <f t="shared" si="89"/>
        <v>0</v>
      </c>
    </row>
    <row r="1292" spans="1:6" x14ac:dyDescent="0.25">
      <c r="A1292" s="1" t="s">
        <v>783</v>
      </c>
      <c r="B1292" s="1" t="s">
        <v>807</v>
      </c>
      <c r="C1292" s="1">
        <v>528</v>
      </c>
      <c r="D1292" s="2">
        <v>0.46</v>
      </c>
      <c r="E1292" s="3">
        <f t="shared" si="88"/>
        <v>242.88000000000002</v>
      </c>
      <c r="F1292" s="1">
        <f t="shared" si="89"/>
        <v>295.68</v>
      </c>
    </row>
    <row r="1293" spans="1:6" x14ac:dyDescent="0.25">
      <c r="A1293" s="1" t="s">
        <v>783</v>
      </c>
      <c r="B1293" s="1" t="s">
        <v>808</v>
      </c>
      <c r="C1293" s="1">
        <v>46</v>
      </c>
      <c r="D1293" s="2">
        <v>0.46</v>
      </c>
      <c r="E1293" s="3">
        <f t="shared" si="88"/>
        <v>21.16</v>
      </c>
      <c r="F1293" s="1">
        <f t="shared" si="89"/>
        <v>25.76</v>
      </c>
    </row>
    <row r="1294" spans="1:6" x14ac:dyDescent="0.25">
      <c r="A1294" s="1" t="s">
        <v>783</v>
      </c>
      <c r="B1294" s="1" t="s">
        <v>809</v>
      </c>
      <c r="C1294" s="1">
        <v>235</v>
      </c>
      <c r="D1294" s="2">
        <v>0.46</v>
      </c>
      <c r="E1294" s="3">
        <f t="shared" si="88"/>
        <v>108.10000000000001</v>
      </c>
      <c r="F1294" s="1">
        <f t="shared" si="89"/>
        <v>131.60000000000002</v>
      </c>
    </row>
    <row r="1295" spans="1:6" x14ac:dyDescent="0.25">
      <c r="A1295" s="1" t="s">
        <v>783</v>
      </c>
      <c r="B1295" s="1" t="s">
        <v>1501</v>
      </c>
      <c r="C1295" s="1">
        <v>195</v>
      </c>
      <c r="D1295" s="2">
        <v>0.46</v>
      </c>
      <c r="E1295" s="3">
        <f t="shared" si="88"/>
        <v>89.7</v>
      </c>
      <c r="F1295" s="1">
        <f t="shared" si="89"/>
        <v>109.20000000000002</v>
      </c>
    </row>
    <row r="1296" spans="1:6" x14ac:dyDescent="0.25">
      <c r="A1296" s="1" t="s">
        <v>783</v>
      </c>
      <c r="B1296" s="1" t="s">
        <v>810</v>
      </c>
      <c r="C1296" s="1">
        <v>376</v>
      </c>
      <c r="D1296" s="2">
        <v>0.46</v>
      </c>
      <c r="E1296" s="3">
        <f t="shared" si="88"/>
        <v>172.96</v>
      </c>
      <c r="F1296" s="1">
        <f t="shared" si="89"/>
        <v>210.56000000000003</v>
      </c>
    </row>
    <row r="1297" spans="1:6" x14ac:dyDescent="0.25">
      <c r="A1297" s="1" t="s">
        <v>783</v>
      </c>
      <c r="B1297" s="1" t="s">
        <v>811</v>
      </c>
      <c r="C1297" s="1">
        <v>1442</v>
      </c>
      <c r="D1297" s="2">
        <v>0.46</v>
      </c>
      <c r="E1297" s="3">
        <f t="shared" si="88"/>
        <v>663.32</v>
      </c>
      <c r="F1297" s="1">
        <f t="shared" si="89"/>
        <v>807.5200000000001</v>
      </c>
    </row>
    <row r="1298" spans="1:6" x14ac:dyDescent="0.25">
      <c r="A1298" s="1" t="s">
        <v>783</v>
      </c>
      <c r="B1298" s="1" t="s">
        <v>1222</v>
      </c>
      <c r="C1298" s="1">
        <v>78</v>
      </c>
      <c r="D1298" s="2">
        <v>0.46</v>
      </c>
      <c r="E1298" s="3">
        <f t="shared" si="88"/>
        <v>35.880000000000003</v>
      </c>
      <c r="F1298" s="1">
        <f t="shared" si="89"/>
        <v>43.680000000000007</v>
      </c>
    </row>
    <row r="1299" spans="1:6" x14ac:dyDescent="0.25">
      <c r="A1299" s="1" t="s">
        <v>783</v>
      </c>
      <c r="B1299" s="1" t="s">
        <v>812</v>
      </c>
      <c r="C1299" s="1">
        <v>301</v>
      </c>
      <c r="D1299" s="2">
        <v>0.46</v>
      </c>
      <c r="E1299" s="3">
        <f t="shared" si="88"/>
        <v>138.46</v>
      </c>
      <c r="F1299" s="1">
        <f t="shared" si="89"/>
        <v>168.56</v>
      </c>
    </row>
    <row r="1300" spans="1:6" x14ac:dyDescent="0.25">
      <c r="A1300" s="1" t="s">
        <v>783</v>
      </c>
      <c r="B1300" s="1" t="s">
        <v>813</v>
      </c>
      <c r="C1300" s="1">
        <v>568</v>
      </c>
      <c r="D1300" s="2">
        <v>0.46</v>
      </c>
      <c r="E1300" s="3">
        <f t="shared" si="88"/>
        <v>261.28000000000003</v>
      </c>
      <c r="F1300" s="1">
        <f t="shared" si="89"/>
        <v>318.08000000000004</v>
      </c>
    </row>
    <row r="1301" spans="1:6" x14ac:dyDescent="0.25">
      <c r="A1301" s="1" t="s">
        <v>783</v>
      </c>
      <c r="B1301" s="1" t="s">
        <v>1264</v>
      </c>
      <c r="C1301" s="1">
        <v>748</v>
      </c>
      <c r="D1301" s="2">
        <v>0.46</v>
      </c>
      <c r="E1301" s="3">
        <f t="shared" si="88"/>
        <v>344.08000000000004</v>
      </c>
      <c r="F1301" s="1">
        <f t="shared" si="89"/>
        <v>418.88000000000005</v>
      </c>
    </row>
    <row r="1302" spans="1:6" x14ac:dyDescent="0.25">
      <c r="A1302" s="1" t="s">
        <v>783</v>
      </c>
      <c r="B1302" s="1" t="s">
        <v>814</v>
      </c>
      <c r="C1302" s="1">
        <v>153</v>
      </c>
      <c r="D1302" s="2">
        <v>0.46</v>
      </c>
      <c r="E1302" s="3">
        <f t="shared" si="88"/>
        <v>70.38000000000001</v>
      </c>
      <c r="F1302" s="1">
        <f t="shared" si="89"/>
        <v>85.68</v>
      </c>
    </row>
    <row r="1303" spans="1:6" x14ac:dyDescent="0.25">
      <c r="A1303" s="1" t="s">
        <v>783</v>
      </c>
      <c r="B1303" s="1" t="s">
        <v>815</v>
      </c>
      <c r="C1303" s="1">
        <v>245</v>
      </c>
      <c r="D1303" s="2">
        <v>0.46</v>
      </c>
      <c r="E1303" s="3">
        <f t="shared" si="88"/>
        <v>112.7</v>
      </c>
      <c r="F1303" s="1">
        <f t="shared" si="89"/>
        <v>137.20000000000002</v>
      </c>
    </row>
    <row r="1304" spans="1:6" x14ac:dyDescent="0.25">
      <c r="A1304" s="1" t="s">
        <v>783</v>
      </c>
      <c r="B1304" s="1" t="s">
        <v>816</v>
      </c>
      <c r="C1304" s="1">
        <v>440</v>
      </c>
      <c r="D1304" s="2">
        <v>0.46</v>
      </c>
      <c r="E1304" s="3">
        <f t="shared" si="88"/>
        <v>202.4</v>
      </c>
      <c r="F1304" s="1">
        <f t="shared" si="89"/>
        <v>246.40000000000003</v>
      </c>
    </row>
    <row r="1305" spans="1:6" x14ac:dyDescent="0.25">
      <c r="A1305" s="1" t="s">
        <v>783</v>
      </c>
      <c r="B1305" s="1" t="s">
        <v>1262</v>
      </c>
      <c r="C1305" s="1">
        <v>535</v>
      </c>
      <c r="D1305" s="1">
        <v>0.46</v>
      </c>
      <c r="E1305" s="3">
        <f t="shared" si="88"/>
        <v>246.10000000000002</v>
      </c>
      <c r="F1305" s="1">
        <f t="shared" si="89"/>
        <v>299.60000000000002</v>
      </c>
    </row>
    <row r="1306" spans="1:6" x14ac:dyDescent="0.25">
      <c r="A1306" s="1" t="s">
        <v>783</v>
      </c>
      <c r="B1306" s="1" t="s">
        <v>1263</v>
      </c>
      <c r="C1306" s="1">
        <v>248</v>
      </c>
      <c r="D1306" s="1">
        <v>0.46</v>
      </c>
      <c r="E1306" s="3">
        <f t="shared" si="88"/>
        <v>114.08</v>
      </c>
      <c r="F1306" s="1">
        <f t="shared" si="89"/>
        <v>138.88000000000002</v>
      </c>
    </row>
    <row r="1307" spans="1:6" x14ac:dyDescent="0.25">
      <c r="A1307" s="1" t="s">
        <v>783</v>
      </c>
      <c r="B1307" s="1" t="s">
        <v>817</v>
      </c>
      <c r="C1307" s="1">
        <v>336</v>
      </c>
      <c r="D1307" s="2">
        <v>0.46</v>
      </c>
      <c r="E1307" s="3">
        <f t="shared" si="88"/>
        <v>154.56</v>
      </c>
      <c r="F1307" s="1">
        <f t="shared" si="89"/>
        <v>188.16000000000003</v>
      </c>
    </row>
    <row r="1308" spans="1:6" x14ac:dyDescent="0.25">
      <c r="A1308" s="1" t="s">
        <v>783</v>
      </c>
      <c r="B1308" s="1" t="s">
        <v>818</v>
      </c>
      <c r="C1308" s="1">
        <v>319</v>
      </c>
      <c r="D1308" s="2">
        <v>0.46</v>
      </c>
      <c r="E1308" s="3">
        <f t="shared" si="88"/>
        <v>146.74</v>
      </c>
      <c r="F1308" s="1">
        <f t="shared" si="89"/>
        <v>178.64000000000001</v>
      </c>
    </row>
    <row r="1309" spans="1:6" x14ac:dyDescent="0.25">
      <c r="A1309" s="1" t="s">
        <v>783</v>
      </c>
      <c r="B1309" s="1" t="s">
        <v>819</v>
      </c>
      <c r="C1309" s="1">
        <v>0</v>
      </c>
      <c r="D1309" s="2">
        <v>0.46</v>
      </c>
      <c r="E1309" s="3">
        <f t="shared" si="88"/>
        <v>0</v>
      </c>
      <c r="F1309" s="1">
        <f>((C1309*(D1309+0.1))*120)/169</f>
        <v>0</v>
      </c>
    </row>
    <row r="1310" spans="1:6" x14ac:dyDescent="0.25">
      <c r="A1310" s="1" t="s">
        <v>783</v>
      </c>
      <c r="B1310" s="1" t="s">
        <v>820</v>
      </c>
      <c r="C1310" s="1">
        <v>125</v>
      </c>
      <c r="D1310" s="2">
        <v>0.46</v>
      </c>
      <c r="E1310" s="3">
        <f t="shared" si="88"/>
        <v>57.5</v>
      </c>
      <c r="F1310" s="1">
        <f t="shared" ref="F1310:F1331" si="90">C1310*(D1310+0.1)</f>
        <v>70</v>
      </c>
    </row>
    <row r="1311" spans="1:6" x14ac:dyDescent="0.25">
      <c r="A1311" s="1" t="s">
        <v>783</v>
      </c>
      <c r="B1311" s="1" t="s">
        <v>821</v>
      </c>
      <c r="C1311" s="1">
        <v>388</v>
      </c>
      <c r="D1311" s="2">
        <v>0.46</v>
      </c>
      <c r="E1311" s="3">
        <f t="shared" si="88"/>
        <v>178.48000000000002</v>
      </c>
      <c r="F1311" s="1">
        <f t="shared" si="90"/>
        <v>217.28000000000003</v>
      </c>
    </row>
    <row r="1312" spans="1:6" x14ac:dyDescent="0.25">
      <c r="A1312" s="1" t="s">
        <v>783</v>
      </c>
      <c r="B1312" s="1" t="s">
        <v>822</v>
      </c>
      <c r="C1312" s="1">
        <v>289</v>
      </c>
      <c r="D1312" s="2">
        <v>0.46</v>
      </c>
      <c r="E1312" s="3">
        <f t="shared" si="88"/>
        <v>132.94</v>
      </c>
      <c r="F1312" s="1">
        <f t="shared" si="90"/>
        <v>161.84</v>
      </c>
    </row>
    <row r="1313" spans="1:6" x14ac:dyDescent="0.25">
      <c r="A1313" s="1" t="s">
        <v>783</v>
      </c>
      <c r="B1313" s="1" t="s">
        <v>823</v>
      </c>
      <c r="C1313" s="1">
        <v>152</v>
      </c>
      <c r="D1313" s="2">
        <v>0.46</v>
      </c>
      <c r="E1313" s="3">
        <f t="shared" si="88"/>
        <v>69.92</v>
      </c>
      <c r="F1313" s="1">
        <f t="shared" si="90"/>
        <v>85.12</v>
      </c>
    </row>
    <row r="1314" spans="1:6" x14ac:dyDescent="0.25">
      <c r="A1314" s="1" t="s">
        <v>783</v>
      </c>
      <c r="B1314" s="1" t="s">
        <v>824</v>
      </c>
      <c r="C1314" s="1">
        <v>190</v>
      </c>
      <c r="D1314" s="2">
        <v>0.46</v>
      </c>
      <c r="E1314" s="3">
        <f t="shared" si="88"/>
        <v>87.4</v>
      </c>
      <c r="F1314" s="1">
        <f t="shared" si="90"/>
        <v>106.4</v>
      </c>
    </row>
    <row r="1315" spans="1:6" x14ac:dyDescent="0.25">
      <c r="A1315" s="1" t="s">
        <v>783</v>
      </c>
      <c r="B1315" s="1" t="s">
        <v>825</v>
      </c>
      <c r="C1315" s="1">
        <v>227</v>
      </c>
      <c r="D1315" s="2">
        <v>0.46</v>
      </c>
      <c r="E1315" s="3">
        <f t="shared" si="88"/>
        <v>104.42</v>
      </c>
      <c r="F1315" s="1">
        <f t="shared" si="90"/>
        <v>127.12000000000002</v>
      </c>
    </row>
    <row r="1316" spans="1:6" x14ac:dyDescent="0.25">
      <c r="A1316" s="1" t="s">
        <v>783</v>
      </c>
      <c r="B1316" s="1" t="s">
        <v>1489</v>
      </c>
      <c r="C1316" s="1">
        <v>149</v>
      </c>
      <c r="D1316" s="2">
        <v>0.46</v>
      </c>
      <c r="E1316" s="3">
        <f t="shared" si="88"/>
        <v>68.540000000000006</v>
      </c>
      <c r="F1316" s="1">
        <f t="shared" si="90"/>
        <v>83.440000000000012</v>
      </c>
    </row>
    <row r="1317" spans="1:6" x14ac:dyDescent="0.25">
      <c r="A1317" s="1" t="s">
        <v>783</v>
      </c>
      <c r="B1317" s="1" t="s">
        <v>827</v>
      </c>
      <c r="C1317" s="1">
        <v>496</v>
      </c>
      <c r="D1317" s="2">
        <v>0.46</v>
      </c>
      <c r="E1317" s="3">
        <f t="shared" si="88"/>
        <v>228.16</v>
      </c>
      <c r="F1317" s="1">
        <f t="shared" si="90"/>
        <v>277.76000000000005</v>
      </c>
    </row>
    <row r="1318" spans="1:6" x14ac:dyDescent="0.25">
      <c r="A1318" s="1" t="s">
        <v>783</v>
      </c>
      <c r="B1318" s="1" t="s">
        <v>826</v>
      </c>
      <c r="C1318" s="1">
        <v>800</v>
      </c>
      <c r="D1318" s="2">
        <v>0.46</v>
      </c>
      <c r="E1318" s="3">
        <f t="shared" si="88"/>
        <v>368</v>
      </c>
      <c r="F1318" s="1">
        <f t="shared" si="90"/>
        <v>448.00000000000006</v>
      </c>
    </row>
    <row r="1319" spans="1:6" x14ac:dyDescent="0.25">
      <c r="A1319" s="1" t="s">
        <v>783</v>
      </c>
      <c r="B1319" s="1" t="s">
        <v>1491</v>
      </c>
      <c r="C1319" s="1">
        <v>1424</v>
      </c>
      <c r="D1319" s="2">
        <v>0.46</v>
      </c>
      <c r="E1319" s="3">
        <f t="shared" si="88"/>
        <v>655.04000000000008</v>
      </c>
      <c r="F1319" s="1">
        <f t="shared" si="90"/>
        <v>797.44</v>
      </c>
    </row>
    <row r="1320" spans="1:6" x14ac:dyDescent="0.25">
      <c r="A1320" s="1" t="s">
        <v>783</v>
      </c>
      <c r="B1320" s="1" t="s">
        <v>1490</v>
      </c>
      <c r="C1320" s="1">
        <v>1457</v>
      </c>
      <c r="D1320" s="2">
        <v>0.46</v>
      </c>
      <c r="E1320" s="3">
        <f t="shared" si="88"/>
        <v>670.22</v>
      </c>
      <c r="F1320" s="1">
        <f t="shared" si="90"/>
        <v>815.92000000000007</v>
      </c>
    </row>
    <row r="1321" spans="1:6" x14ac:dyDescent="0.25">
      <c r="A1321" s="1" t="s">
        <v>783</v>
      </c>
      <c r="B1321" s="1" t="s">
        <v>1492</v>
      </c>
      <c r="C1321" s="1">
        <v>618</v>
      </c>
      <c r="D1321" s="2">
        <v>0.46</v>
      </c>
      <c r="E1321" s="3">
        <f t="shared" si="88"/>
        <v>284.28000000000003</v>
      </c>
      <c r="F1321" s="1">
        <f t="shared" si="90"/>
        <v>346.08000000000004</v>
      </c>
    </row>
    <row r="1322" spans="1:6" x14ac:dyDescent="0.25">
      <c r="A1322" s="1" t="s">
        <v>783</v>
      </c>
      <c r="B1322" s="1" t="s">
        <v>1493</v>
      </c>
      <c r="C1322" s="1">
        <v>638</v>
      </c>
      <c r="D1322" s="2">
        <v>0.46</v>
      </c>
      <c r="E1322" s="3">
        <f t="shared" si="88"/>
        <v>293.48</v>
      </c>
      <c r="F1322" s="1">
        <f t="shared" si="90"/>
        <v>357.28000000000003</v>
      </c>
    </row>
    <row r="1323" spans="1:6" x14ac:dyDescent="0.25">
      <c r="A1323" s="1" t="s">
        <v>783</v>
      </c>
      <c r="B1323" s="1" t="s">
        <v>1494</v>
      </c>
      <c r="C1323" s="1">
        <v>260</v>
      </c>
      <c r="D1323" s="2">
        <v>0.46</v>
      </c>
      <c r="E1323" s="3">
        <f t="shared" si="88"/>
        <v>119.60000000000001</v>
      </c>
      <c r="F1323" s="1">
        <f t="shared" si="90"/>
        <v>145.60000000000002</v>
      </c>
    </row>
    <row r="1324" spans="1:6" x14ac:dyDescent="0.25">
      <c r="A1324" s="1" t="s">
        <v>783</v>
      </c>
      <c r="B1324" s="1" t="s">
        <v>1495</v>
      </c>
      <c r="C1324" s="1">
        <v>354</v>
      </c>
      <c r="D1324" s="2">
        <v>0.46</v>
      </c>
      <c r="E1324" s="3">
        <f t="shared" si="88"/>
        <v>162.84</v>
      </c>
      <c r="F1324" s="1">
        <f t="shared" si="90"/>
        <v>198.24</v>
      </c>
    </row>
    <row r="1325" spans="1:6" x14ac:dyDescent="0.25">
      <c r="A1325" s="1" t="s">
        <v>783</v>
      </c>
      <c r="B1325" s="1" t="s">
        <v>1496</v>
      </c>
      <c r="C1325" s="1">
        <v>708</v>
      </c>
      <c r="D1325" s="2">
        <v>0.46</v>
      </c>
      <c r="E1325" s="3">
        <f t="shared" si="88"/>
        <v>325.68</v>
      </c>
      <c r="F1325" s="1">
        <f t="shared" si="90"/>
        <v>396.48</v>
      </c>
    </row>
    <row r="1326" spans="1:6" x14ac:dyDescent="0.25">
      <c r="A1326" s="1" t="s">
        <v>783</v>
      </c>
      <c r="B1326" s="1" t="s">
        <v>828</v>
      </c>
      <c r="C1326" s="1">
        <v>809</v>
      </c>
      <c r="D1326" s="2">
        <v>0.46</v>
      </c>
      <c r="E1326" s="3">
        <f t="shared" si="88"/>
        <v>372.14000000000004</v>
      </c>
      <c r="F1326" s="1">
        <f t="shared" si="90"/>
        <v>453.04</v>
      </c>
    </row>
    <row r="1327" spans="1:6" x14ac:dyDescent="0.25">
      <c r="A1327" s="1" t="s">
        <v>783</v>
      </c>
      <c r="B1327" s="1" t="s">
        <v>829</v>
      </c>
      <c r="C1327" s="1">
        <v>338</v>
      </c>
      <c r="D1327" s="2">
        <v>0.46</v>
      </c>
      <c r="E1327" s="3">
        <f t="shared" si="88"/>
        <v>155.48000000000002</v>
      </c>
      <c r="F1327" s="1">
        <f t="shared" si="90"/>
        <v>189.28000000000003</v>
      </c>
    </row>
    <row r="1328" spans="1:6" x14ac:dyDescent="0.25">
      <c r="A1328" s="1" t="s">
        <v>783</v>
      </c>
      <c r="B1328" s="1" t="s">
        <v>830</v>
      </c>
      <c r="C1328" s="1">
        <v>0</v>
      </c>
      <c r="D1328" s="2">
        <v>0.46</v>
      </c>
      <c r="E1328" s="3">
        <f t="shared" si="88"/>
        <v>0</v>
      </c>
      <c r="F1328" s="1">
        <f t="shared" si="90"/>
        <v>0</v>
      </c>
    </row>
    <row r="1329" spans="1:6" x14ac:dyDescent="0.25">
      <c r="A1329" s="1" t="s">
        <v>783</v>
      </c>
      <c r="B1329" s="1" t="s">
        <v>831</v>
      </c>
      <c r="C1329" s="1">
        <v>201</v>
      </c>
      <c r="D1329" s="2">
        <v>0.46</v>
      </c>
      <c r="E1329" s="3">
        <f t="shared" si="88"/>
        <v>92.460000000000008</v>
      </c>
      <c r="F1329" s="1">
        <f t="shared" si="90"/>
        <v>112.56000000000002</v>
      </c>
    </row>
    <row r="1330" spans="1:6" x14ac:dyDescent="0.25">
      <c r="A1330" s="1" t="s">
        <v>783</v>
      </c>
      <c r="B1330" s="1" t="s">
        <v>832</v>
      </c>
      <c r="C1330" s="1">
        <v>392</v>
      </c>
      <c r="D1330" s="2">
        <v>0.46</v>
      </c>
      <c r="E1330" s="3">
        <f t="shared" si="88"/>
        <v>180.32000000000002</v>
      </c>
      <c r="F1330" s="1">
        <f t="shared" si="90"/>
        <v>219.52</v>
      </c>
    </row>
    <row r="1331" spans="1:6" s="9" customFormat="1" ht="15.75" thickBot="1" x14ac:dyDescent="0.3">
      <c r="A1331" s="9" t="s">
        <v>783</v>
      </c>
      <c r="B1331" s="9" t="s">
        <v>833</v>
      </c>
      <c r="C1331" s="9">
        <v>471</v>
      </c>
      <c r="D1331" s="10">
        <v>0.46</v>
      </c>
      <c r="E1331" s="11">
        <f t="shared" si="88"/>
        <v>216.66</v>
      </c>
      <c r="F1331" s="9">
        <f t="shared" si="90"/>
        <v>263.76000000000005</v>
      </c>
    </row>
    <row r="1332" spans="1:6" s="7" customFormat="1" x14ac:dyDescent="0.25">
      <c r="A1332" s="7" t="s">
        <v>834</v>
      </c>
      <c r="B1332" s="7" t="s">
        <v>835</v>
      </c>
      <c r="E1332" s="8"/>
    </row>
    <row r="1333" spans="1:6" x14ac:dyDescent="0.25">
      <c r="A1333" s="1" t="s">
        <v>834</v>
      </c>
      <c r="B1333" s="1" t="s">
        <v>836</v>
      </c>
      <c r="D1333" s="1"/>
      <c r="E1333" s="3"/>
    </row>
    <row r="1334" spans="1:6" x14ac:dyDescent="0.25">
      <c r="A1334" s="1" t="s">
        <v>837</v>
      </c>
      <c r="B1334" s="1" t="s">
        <v>838</v>
      </c>
      <c r="C1334" s="1">
        <v>59</v>
      </c>
      <c r="D1334" s="2">
        <v>0.45</v>
      </c>
      <c r="E1334" s="3">
        <f>C1334*D1334</f>
        <v>26.55</v>
      </c>
      <c r="F1334" s="1">
        <f>C1334*(D1334+0.1)</f>
        <v>32.450000000000003</v>
      </c>
    </row>
    <row r="1335" spans="1:6" x14ac:dyDescent="0.25">
      <c r="A1335" s="1" t="s">
        <v>837</v>
      </c>
      <c r="B1335" s="1" t="s">
        <v>839</v>
      </c>
      <c r="D1335" s="1"/>
      <c r="E1335" s="3"/>
    </row>
    <row r="1336" spans="1:6" x14ac:dyDescent="0.25">
      <c r="A1336" s="1" t="s">
        <v>837</v>
      </c>
      <c r="B1336" s="1" t="s">
        <v>840</v>
      </c>
      <c r="D1336" s="1"/>
      <c r="E1336" s="3"/>
    </row>
    <row r="1337" spans="1:6" x14ac:dyDescent="0.25">
      <c r="A1337" s="1" t="s">
        <v>837</v>
      </c>
      <c r="B1337" s="1" t="s">
        <v>841</v>
      </c>
      <c r="D1337" s="1"/>
      <c r="E1337" s="3"/>
    </row>
    <row r="1338" spans="1:6" x14ac:dyDescent="0.25">
      <c r="A1338" s="1" t="s">
        <v>837</v>
      </c>
      <c r="B1338" s="1" t="s">
        <v>842</v>
      </c>
      <c r="D1338" s="1"/>
      <c r="E1338" s="3"/>
    </row>
    <row r="1339" spans="1:6" x14ac:dyDescent="0.25">
      <c r="A1339" s="1" t="s">
        <v>837</v>
      </c>
      <c r="B1339" s="1" t="s">
        <v>843</v>
      </c>
      <c r="D1339" s="1"/>
      <c r="E1339" s="3"/>
    </row>
    <row r="1340" spans="1:6" x14ac:dyDescent="0.25">
      <c r="A1340" s="1" t="s">
        <v>837</v>
      </c>
      <c r="B1340" s="1" t="s">
        <v>844</v>
      </c>
      <c r="D1340" s="1"/>
      <c r="E1340" s="3"/>
    </row>
    <row r="1341" spans="1:6" x14ac:dyDescent="0.25">
      <c r="A1341" s="1" t="s">
        <v>837</v>
      </c>
      <c r="B1341" s="1" t="s">
        <v>845</v>
      </c>
      <c r="D1341" s="1"/>
      <c r="E1341" s="3"/>
    </row>
    <row r="1342" spans="1:6" x14ac:dyDescent="0.25">
      <c r="A1342" s="1" t="s">
        <v>837</v>
      </c>
      <c r="B1342" s="1" t="s">
        <v>846</v>
      </c>
      <c r="D1342" s="1"/>
      <c r="E1342" s="3"/>
    </row>
    <row r="1343" spans="1:6" x14ac:dyDescent="0.25">
      <c r="A1343" s="1" t="s">
        <v>837</v>
      </c>
      <c r="B1343" s="1" t="s">
        <v>847</v>
      </c>
      <c r="D1343" s="1"/>
      <c r="E1343" s="3"/>
    </row>
    <row r="1344" spans="1:6" x14ac:dyDescent="0.25">
      <c r="A1344" s="1" t="s">
        <v>837</v>
      </c>
      <c r="B1344" s="1" t="s">
        <v>848</v>
      </c>
      <c r="D1344" s="1"/>
      <c r="E1344" s="3"/>
    </row>
    <row r="1345" spans="1:6" x14ac:dyDescent="0.25">
      <c r="A1345" s="1" t="s">
        <v>837</v>
      </c>
      <c r="B1345" s="1" t="s">
        <v>849</v>
      </c>
      <c r="D1345" s="1"/>
      <c r="E1345" s="3"/>
    </row>
    <row r="1346" spans="1:6" x14ac:dyDescent="0.25">
      <c r="A1346" s="1" t="s">
        <v>837</v>
      </c>
      <c r="B1346" s="1" t="s">
        <v>850</v>
      </c>
      <c r="D1346" s="1"/>
      <c r="E1346" s="3"/>
    </row>
    <row r="1347" spans="1:6" x14ac:dyDescent="0.25">
      <c r="A1347" s="1" t="s">
        <v>837</v>
      </c>
      <c r="B1347" s="1" t="s">
        <v>851</v>
      </c>
      <c r="D1347" s="1"/>
      <c r="E1347" s="3">
        <f>C1347*D1347</f>
        <v>0</v>
      </c>
      <c r="F1347" s="1">
        <f>C1347*(D1347+0.1)</f>
        <v>0</v>
      </c>
    </row>
    <row r="1348" spans="1:6" x14ac:dyDescent="0.25">
      <c r="A1348" s="1" t="s">
        <v>837</v>
      </c>
      <c r="B1348" s="1" t="s">
        <v>852</v>
      </c>
      <c r="D1348" s="1"/>
      <c r="E1348" s="3"/>
    </row>
    <row r="1349" spans="1:6" x14ac:dyDescent="0.25">
      <c r="A1349" s="1" t="s">
        <v>837</v>
      </c>
      <c r="B1349" s="1" t="s">
        <v>853</v>
      </c>
      <c r="D1349" s="1"/>
      <c r="E1349" s="3"/>
    </row>
    <row r="1350" spans="1:6" x14ac:dyDescent="0.25">
      <c r="A1350" s="1" t="s">
        <v>837</v>
      </c>
      <c r="B1350" s="1" t="s">
        <v>854</v>
      </c>
      <c r="D1350" s="1"/>
      <c r="E1350" s="3"/>
    </row>
    <row r="1351" spans="1:6" x14ac:dyDescent="0.25">
      <c r="A1351" s="1" t="s">
        <v>837</v>
      </c>
      <c r="B1351" s="1" t="s">
        <v>855</v>
      </c>
      <c r="D1351" s="1"/>
      <c r="E1351" s="3"/>
    </row>
    <row r="1352" spans="1:6" x14ac:dyDescent="0.25">
      <c r="A1352" s="1" t="s">
        <v>837</v>
      </c>
      <c r="B1352" s="1" t="s">
        <v>856</v>
      </c>
      <c r="D1352" s="1"/>
      <c r="E1352" s="3"/>
    </row>
    <row r="1353" spans="1:6" x14ac:dyDescent="0.25">
      <c r="A1353" s="1" t="s">
        <v>837</v>
      </c>
      <c r="B1353" s="1" t="s">
        <v>857</v>
      </c>
      <c r="D1353" s="1"/>
      <c r="E1353" s="3"/>
    </row>
    <row r="1354" spans="1:6" x14ac:dyDescent="0.25">
      <c r="A1354" s="1" t="s">
        <v>837</v>
      </c>
      <c r="B1354" s="1" t="s">
        <v>858</v>
      </c>
      <c r="D1354" s="1"/>
      <c r="E1354" s="3"/>
    </row>
    <row r="1355" spans="1:6" x14ac:dyDescent="0.25">
      <c r="A1355" s="1" t="s">
        <v>837</v>
      </c>
      <c r="B1355" s="1" t="s">
        <v>859</v>
      </c>
      <c r="D1355" s="1"/>
      <c r="E1355" s="3"/>
    </row>
    <row r="1356" spans="1:6" x14ac:dyDescent="0.25">
      <c r="A1356" s="1" t="s">
        <v>837</v>
      </c>
      <c r="B1356" s="1" t="s">
        <v>860</v>
      </c>
      <c r="D1356" s="1"/>
      <c r="E1356" s="3"/>
    </row>
    <row r="1357" spans="1:6" x14ac:dyDescent="0.25">
      <c r="A1357" s="1" t="s">
        <v>837</v>
      </c>
      <c r="B1357" s="1" t="s">
        <v>861</v>
      </c>
      <c r="D1357" s="1"/>
      <c r="E1357" s="3"/>
    </row>
    <row r="1358" spans="1:6" x14ac:dyDescent="0.25">
      <c r="A1358" s="1" t="s">
        <v>837</v>
      </c>
      <c r="B1358" s="1" t="s">
        <v>862</v>
      </c>
      <c r="D1358" s="1"/>
      <c r="E1358" s="3"/>
    </row>
    <row r="1359" spans="1:6" x14ac:dyDescent="0.25">
      <c r="A1359" s="1" t="s">
        <v>837</v>
      </c>
      <c r="B1359" s="1" t="s">
        <v>863</v>
      </c>
      <c r="D1359" s="1"/>
      <c r="E1359" s="3"/>
    </row>
    <row r="1360" spans="1:6" x14ac:dyDescent="0.25">
      <c r="A1360" s="1" t="s">
        <v>837</v>
      </c>
      <c r="B1360" s="1" t="s">
        <v>864</v>
      </c>
      <c r="D1360" s="1"/>
      <c r="E1360" s="3"/>
    </row>
    <row r="1361" spans="1:6" x14ac:dyDescent="0.25">
      <c r="A1361" s="1" t="s">
        <v>837</v>
      </c>
      <c r="B1361" s="1" t="s">
        <v>865</v>
      </c>
      <c r="D1361" s="1"/>
      <c r="E1361" s="3"/>
    </row>
    <row r="1362" spans="1:6" x14ac:dyDescent="0.25">
      <c r="A1362" s="1" t="s">
        <v>837</v>
      </c>
      <c r="B1362" s="1" t="s">
        <v>866</v>
      </c>
      <c r="D1362" s="1"/>
      <c r="E1362" s="3"/>
    </row>
    <row r="1363" spans="1:6" x14ac:dyDescent="0.25">
      <c r="A1363" s="1" t="s">
        <v>837</v>
      </c>
      <c r="B1363" s="1" t="s">
        <v>867</v>
      </c>
      <c r="D1363" s="1"/>
      <c r="E1363" s="3"/>
    </row>
    <row r="1364" spans="1:6" x14ac:dyDescent="0.25">
      <c r="A1364" s="1" t="s">
        <v>837</v>
      </c>
      <c r="B1364" s="1" t="s">
        <v>868</v>
      </c>
      <c r="D1364" s="1"/>
      <c r="E1364" s="3">
        <f>C1364*D1364</f>
        <v>0</v>
      </c>
      <c r="F1364" s="1">
        <f>C1364*(D1364+0.1)</f>
        <v>0</v>
      </c>
    </row>
    <row r="1365" spans="1:6" x14ac:dyDescent="0.25">
      <c r="A1365" s="1" t="s">
        <v>837</v>
      </c>
      <c r="B1365" s="1" t="s">
        <v>869</v>
      </c>
      <c r="D1365" s="1"/>
      <c r="E1365" s="3"/>
    </row>
    <row r="1366" spans="1:6" x14ac:dyDescent="0.25">
      <c r="A1366" s="1" t="s">
        <v>837</v>
      </c>
      <c r="B1366" s="1" t="s">
        <v>870</v>
      </c>
      <c r="D1366" s="1"/>
      <c r="E1366" s="3">
        <f>C1366*D1366</f>
        <v>0</v>
      </c>
      <c r="F1366" s="1">
        <f>C1366*(D1366+0.1)</f>
        <v>0</v>
      </c>
    </row>
    <row r="1367" spans="1:6" x14ac:dyDescent="0.25">
      <c r="A1367" s="1" t="s">
        <v>837</v>
      </c>
      <c r="B1367" s="1" t="s">
        <v>871</v>
      </c>
      <c r="D1367" s="1"/>
      <c r="E1367" s="3"/>
    </row>
    <row r="1368" spans="1:6" x14ac:dyDescent="0.25">
      <c r="A1368" s="1" t="s">
        <v>837</v>
      </c>
      <c r="B1368" s="1" t="s">
        <v>872</v>
      </c>
      <c r="D1368" s="1"/>
      <c r="E1368" s="3"/>
    </row>
    <row r="1369" spans="1:6" x14ac:dyDescent="0.25">
      <c r="A1369" s="1" t="s">
        <v>837</v>
      </c>
      <c r="B1369" s="1" t="s">
        <v>873</v>
      </c>
      <c r="D1369" s="1"/>
      <c r="E1369" s="3"/>
    </row>
    <row r="1370" spans="1:6" x14ac:dyDescent="0.25">
      <c r="A1370" s="1" t="s">
        <v>837</v>
      </c>
      <c r="B1370" s="1" t="s">
        <v>874</v>
      </c>
      <c r="D1370" s="1"/>
      <c r="E1370" s="3"/>
    </row>
    <row r="1371" spans="1:6" x14ac:dyDescent="0.25">
      <c r="A1371" s="1" t="s">
        <v>837</v>
      </c>
      <c r="B1371" s="1" t="s">
        <v>875</v>
      </c>
      <c r="D1371" s="1"/>
      <c r="E1371" s="3"/>
    </row>
    <row r="1372" spans="1:6" x14ac:dyDescent="0.25">
      <c r="A1372" s="1" t="s">
        <v>837</v>
      </c>
      <c r="B1372" s="1" t="s">
        <v>876</v>
      </c>
      <c r="D1372" s="1"/>
      <c r="E1372" s="3"/>
    </row>
    <row r="1373" spans="1:6" x14ac:dyDescent="0.25">
      <c r="A1373" s="1" t="s">
        <v>837</v>
      </c>
      <c r="B1373" s="1" t="s">
        <v>877</v>
      </c>
      <c r="D1373" s="1"/>
      <c r="E1373" s="3"/>
    </row>
    <row r="1374" spans="1:6" x14ac:dyDescent="0.25">
      <c r="A1374" s="1" t="s">
        <v>837</v>
      </c>
      <c r="B1374" s="1" t="s">
        <v>878</v>
      </c>
      <c r="D1374" s="1"/>
      <c r="E1374" s="3"/>
    </row>
    <row r="1375" spans="1:6" x14ac:dyDescent="0.25">
      <c r="A1375" s="1" t="s">
        <v>837</v>
      </c>
      <c r="B1375" s="1" t="s">
        <v>879</v>
      </c>
      <c r="D1375" s="1"/>
      <c r="E1375" s="3"/>
    </row>
    <row r="1376" spans="1:6" x14ac:dyDescent="0.25">
      <c r="A1376" s="1" t="s">
        <v>837</v>
      </c>
      <c r="B1376" s="1" t="s">
        <v>880</v>
      </c>
      <c r="D1376" s="1"/>
      <c r="E1376" s="3"/>
    </row>
    <row r="1377" spans="1:6" x14ac:dyDescent="0.25">
      <c r="A1377" s="1" t="s">
        <v>837</v>
      </c>
      <c r="B1377" s="1" t="s">
        <v>881</v>
      </c>
      <c r="D1377" s="1"/>
      <c r="E1377" s="3"/>
    </row>
    <row r="1378" spans="1:6" x14ac:dyDescent="0.25">
      <c r="A1378" s="1" t="s">
        <v>837</v>
      </c>
      <c r="B1378" s="1" t="s">
        <v>882</v>
      </c>
      <c r="C1378" s="1">
        <v>85</v>
      </c>
      <c r="D1378" s="1"/>
      <c r="E1378" s="3"/>
    </row>
    <row r="1379" spans="1:6" x14ac:dyDescent="0.25">
      <c r="A1379" s="1" t="s">
        <v>837</v>
      </c>
      <c r="B1379" s="1" t="s">
        <v>883</v>
      </c>
      <c r="C1379" s="1">
        <v>200</v>
      </c>
      <c r="D1379" s="1"/>
      <c r="E1379" s="3">
        <f>C1379*D1379</f>
        <v>0</v>
      </c>
      <c r="F1379" s="1">
        <f>C1379*(D1379+0.1)</f>
        <v>20</v>
      </c>
    </row>
    <row r="1380" spans="1:6" x14ac:dyDescent="0.25">
      <c r="A1380" s="1" t="s">
        <v>837</v>
      </c>
      <c r="B1380" s="1" t="s">
        <v>884</v>
      </c>
      <c r="D1380" s="1"/>
      <c r="E1380" s="3"/>
    </row>
    <row r="1381" spans="1:6" x14ac:dyDescent="0.25">
      <c r="A1381" s="1" t="s">
        <v>837</v>
      </c>
      <c r="B1381" s="1" t="s">
        <v>885</v>
      </c>
      <c r="C1381" s="1">
        <v>60</v>
      </c>
      <c r="D1381" s="1"/>
      <c r="E1381" s="3"/>
    </row>
    <row r="1382" spans="1:6" x14ac:dyDescent="0.25">
      <c r="A1382" s="1" t="s">
        <v>837</v>
      </c>
      <c r="B1382" s="1" t="s">
        <v>886</v>
      </c>
      <c r="D1382" s="1"/>
      <c r="E1382" s="3"/>
    </row>
    <row r="1383" spans="1:6" x14ac:dyDescent="0.25">
      <c r="A1383" s="1" t="s">
        <v>837</v>
      </c>
      <c r="B1383" s="1" t="s">
        <v>887</v>
      </c>
      <c r="D1383" s="1"/>
      <c r="E1383" s="3"/>
    </row>
    <row r="1384" spans="1:6" x14ac:dyDescent="0.25">
      <c r="A1384" s="1" t="s">
        <v>837</v>
      </c>
      <c r="B1384" s="1" t="s">
        <v>888</v>
      </c>
      <c r="C1384" s="1">
        <v>128</v>
      </c>
      <c r="D1384" s="1"/>
      <c r="E1384" s="3"/>
    </row>
    <row r="1385" spans="1:6" x14ac:dyDescent="0.25">
      <c r="A1385" s="1" t="s">
        <v>837</v>
      </c>
      <c r="B1385" s="1" t="s">
        <v>889</v>
      </c>
      <c r="D1385" s="1"/>
      <c r="E1385" s="3"/>
    </row>
    <row r="1386" spans="1:6" x14ac:dyDescent="0.25">
      <c r="A1386" s="1" t="s">
        <v>837</v>
      </c>
      <c r="B1386" s="1" t="s">
        <v>890</v>
      </c>
      <c r="D1386" s="1"/>
      <c r="E1386" s="3"/>
    </row>
    <row r="1387" spans="1:6" x14ac:dyDescent="0.25">
      <c r="A1387" s="1" t="s">
        <v>837</v>
      </c>
      <c r="B1387" s="1" t="s">
        <v>891</v>
      </c>
      <c r="D1387" s="1"/>
      <c r="E1387" s="3"/>
    </row>
    <row r="1388" spans="1:6" x14ac:dyDescent="0.25">
      <c r="A1388" s="1" t="s">
        <v>837</v>
      </c>
      <c r="B1388" s="1" t="s">
        <v>892</v>
      </c>
      <c r="D1388" s="1"/>
      <c r="E1388" s="3"/>
    </row>
    <row r="1389" spans="1:6" x14ac:dyDescent="0.25">
      <c r="A1389" s="1" t="s">
        <v>837</v>
      </c>
      <c r="B1389" s="1" t="s">
        <v>893</v>
      </c>
      <c r="D1389" s="1"/>
      <c r="E1389" s="3"/>
    </row>
    <row r="1390" spans="1:6" x14ac:dyDescent="0.25">
      <c r="A1390" s="1" t="s">
        <v>837</v>
      </c>
      <c r="B1390" s="1" t="s">
        <v>894</v>
      </c>
      <c r="D1390" s="1"/>
      <c r="E1390" s="3"/>
    </row>
    <row r="1391" spans="1:6" x14ac:dyDescent="0.25">
      <c r="A1391" s="1" t="s">
        <v>837</v>
      </c>
      <c r="B1391" s="1" t="s">
        <v>895</v>
      </c>
      <c r="D1391" s="1"/>
      <c r="E1391" s="3"/>
    </row>
    <row r="1392" spans="1:6" x14ac:dyDescent="0.25">
      <c r="A1392" s="1" t="s">
        <v>837</v>
      </c>
      <c r="B1392" s="1" t="s">
        <v>896</v>
      </c>
      <c r="D1392" s="1"/>
      <c r="E1392" s="3"/>
    </row>
    <row r="1393" spans="1:6" x14ac:dyDescent="0.25">
      <c r="A1393" s="1" t="s">
        <v>837</v>
      </c>
      <c r="B1393" s="1" t="s">
        <v>897</v>
      </c>
      <c r="D1393" s="1"/>
      <c r="E1393" s="3"/>
    </row>
    <row r="1394" spans="1:6" x14ac:dyDescent="0.25">
      <c r="A1394" s="1" t="s">
        <v>837</v>
      </c>
      <c r="B1394" s="1" t="s">
        <v>898</v>
      </c>
      <c r="D1394" s="1"/>
      <c r="E1394" s="3"/>
    </row>
    <row r="1395" spans="1:6" x14ac:dyDescent="0.25">
      <c r="A1395" s="1" t="s">
        <v>837</v>
      </c>
      <c r="B1395" s="1" t="s">
        <v>899</v>
      </c>
      <c r="D1395" s="1"/>
      <c r="E1395" s="3"/>
    </row>
    <row r="1396" spans="1:6" x14ac:dyDescent="0.25">
      <c r="A1396" s="1" t="s">
        <v>837</v>
      </c>
      <c r="B1396" s="1" t="s">
        <v>900</v>
      </c>
      <c r="D1396" s="1"/>
      <c r="E1396" s="3"/>
    </row>
    <row r="1397" spans="1:6" x14ac:dyDescent="0.25">
      <c r="A1397" s="1" t="s">
        <v>837</v>
      </c>
      <c r="B1397" s="1" t="s">
        <v>901</v>
      </c>
      <c r="D1397" s="1"/>
      <c r="E1397" s="3"/>
    </row>
    <row r="1398" spans="1:6" x14ac:dyDescent="0.25">
      <c r="A1398" s="1" t="s">
        <v>837</v>
      </c>
      <c r="B1398" s="1" t="s">
        <v>902</v>
      </c>
      <c r="D1398" s="1"/>
      <c r="E1398" s="3"/>
    </row>
    <row r="1399" spans="1:6" x14ac:dyDescent="0.25">
      <c r="A1399" s="1" t="s">
        <v>837</v>
      </c>
      <c r="B1399" s="1" t="s">
        <v>903</v>
      </c>
      <c r="D1399" s="1"/>
      <c r="E1399" s="3"/>
    </row>
    <row r="1400" spans="1:6" x14ac:dyDescent="0.25">
      <c r="A1400" s="1" t="s">
        <v>837</v>
      </c>
      <c r="B1400" s="1" t="s">
        <v>904</v>
      </c>
      <c r="D1400" s="1"/>
      <c r="E1400" s="3"/>
    </row>
    <row r="1401" spans="1:6" x14ac:dyDescent="0.25">
      <c r="A1401" s="1" t="s">
        <v>837</v>
      </c>
      <c r="B1401" s="1" t="s">
        <v>905</v>
      </c>
      <c r="D1401" s="1"/>
      <c r="E1401" s="3"/>
    </row>
    <row r="1402" spans="1:6" x14ac:dyDescent="0.25">
      <c r="A1402" s="1" t="s">
        <v>837</v>
      </c>
      <c r="B1402" s="1" t="s">
        <v>906</v>
      </c>
      <c r="D1402" s="1"/>
      <c r="E1402" s="3">
        <f>C1402*D1402</f>
        <v>0</v>
      </c>
      <c r="F1402" s="1">
        <f>C1402*(D1402+0.1)</f>
        <v>0</v>
      </c>
    </row>
    <row r="1403" spans="1:6" x14ac:dyDescent="0.25">
      <c r="A1403" s="1" t="s">
        <v>837</v>
      </c>
      <c r="B1403" s="1" t="s">
        <v>907</v>
      </c>
      <c r="D1403" s="1"/>
      <c r="E1403" s="3"/>
    </row>
    <row r="1404" spans="1:6" x14ac:dyDescent="0.25">
      <c r="A1404" s="1" t="s">
        <v>837</v>
      </c>
      <c r="B1404" s="1" t="s">
        <v>908</v>
      </c>
      <c r="D1404" s="1"/>
      <c r="E1404" s="3"/>
    </row>
    <row r="1405" spans="1:6" x14ac:dyDescent="0.25">
      <c r="A1405" s="1" t="s">
        <v>837</v>
      </c>
      <c r="B1405" s="1" t="s">
        <v>909</v>
      </c>
      <c r="D1405" s="1"/>
      <c r="E1405" s="3"/>
    </row>
    <row r="1406" spans="1:6" x14ac:dyDescent="0.25">
      <c r="A1406" s="1" t="s">
        <v>837</v>
      </c>
      <c r="B1406" s="1" t="s">
        <v>910</v>
      </c>
      <c r="D1406" s="1"/>
      <c r="E1406" s="3"/>
    </row>
    <row r="1407" spans="1:6" x14ac:dyDescent="0.25">
      <c r="A1407" s="1" t="s">
        <v>837</v>
      </c>
      <c r="B1407" s="1" t="s">
        <v>911</v>
      </c>
      <c r="D1407" s="1"/>
      <c r="E1407" s="3"/>
    </row>
    <row r="1408" spans="1:6" x14ac:dyDescent="0.25">
      <c r="A1408" s="1" t="s">
        <v>837</v>
      </c>
      <c r="B1408" s="1" t="s">
        <v>912</v>
      </c>
      <c r="D1408" s="1"/>
      <c r="E1408" s="3"/>
    </row>
    <row r="1409" spans="1:6" x14ac:dyDescent="0.25">
      <c r="A1409" s="1" t="s">
        <v>837</v>
      </c>
      <c r="B1409" s="1" t="s">
        <v>913</v>
      </c>
      <c r="D1409" s="1"/>
      <c r="E1409" s="3"/>
    </row>
    <row r="1410" spans="1:6" x14ac:dyDescent="0.25">
      <c r="A1410" s="1" t="s">
        <v>837</v>
      </c>
      <c r="B1410" s="1" t="s">
        <v>914</v>
      </c>
      <c r="D1410" s="1"/>
      <c r="E1410" s="3"/>
    </row>
    <row r="1411" spans="1:6" x14ac:dyDescent="0.25">
      <c r="A1411" s="1" t="s">
        <v>837</v>
      </c>
      <c r="B1411" s="1" t="s">
        <v>915</v>
      </c>
      <c r="D1411" s="1"/>
      <c r="E1411" s="3"/>
    </row>
    <row r="1412" spans="1:6" x14ac:dyDescent="0.25">
      <c r="A1412" s="1" t="s">
        <v>837</v>
      </c>
      <c r="B1412" s="1" t="s">
        <v>916</v>
      </c>
      <c r="D1412" s="1"/>
      <c r="E1412" s="3"/>
    </row>
    <row r="1413" spans="1:6" x14ac:dyDescent="0.25">
      <c r="A1413" s="1" t="s">
        <v>837</v>
      </c>
      <c r="B1413" s="1" t="s">
        <v>917</v>
      </c>
      <c r="D1413" s="1"/>
      <c r="E1413" s="3"/>
    </row>
    <row r="1414" spans="1:6" x14ac:dyDescent="0.25">
      <c r="A1414" s="1" t="s">
        <v>837</v>
      </c>
      <c r="B1414" s="1" t="s">
        <v>918</v>
      </c>
      <c r="D1414" s="1"/>
      <c r="E1414" s="3"/>
    </row>
    <row r="1415" spans="1:6" x14ac:dyDescent="0.25">
      <c r="A1415" s="1" t="s">
        <v>837</v>
      </c>
      <c r="B1415" s="1" t="s">
        <v>919</v>
      </c>
      <c r="D1415" s="1"/>
      <c r="E1415" s="3"/>
    </row>
    <row r="1416" spans="1:6" x14ac:dyDescent="0.25">
      <c r="A1416" s="1" t="s">
        <v>837</v>
      </c>
      <c r="B1416" s="1" t="s">
        <v>920</v>
      </c>
      <c r="D1416" s="1"/>
      <c r="E1416" s="3">
        <f>C1416*D1416</f>
        <v>0</v>
      </c>
      <c r="F1416" s="1">
        <f>C1416*(D1416+0.1)</f>
        <v>0</v>
      </c>
    </row>
    <row r="1417" spans="1:6" x14ac:dyDescent="0.25">
      <c r="A1417" s="1" t="s">
        <v>837</v>
      </c>
      <c r="B1417" s="1" t="s">
        <v>889</v>
      </c>
      <c r="C1417" s="1">
        <v>290</v>
      </c>
      <c r="D1417" s="1"/>
      <c r="E1417" s="3"/>
    </row>
    <row r="1418" spans="1:6" x14ac:dyDescent="0.25">
      <c r="A1418" s="1" t="s">
        <v>837</v>
      </c>
      <c r="B1418" s="1" t="s">
        <v>921</v>
      </c>
      <c r="D1418" s="1"/>
      <c r="E1418" s="3"/>
    </row>
    <row r="1419" spans="1:6" x14ac:dyDescent="0.25">
      <c r="A1419" s="1" t="s">
        <v>837</v>
      </c>
      <c r="B1419" s="1" t="s">
        <v>922</v>
      </c>
      <c r="C1419" s="1">
        <v>55</v>
      </c>
      <c r="D1419" s="1"/>
      <c r="E1419" s="3"/>
    </row>
    <row r="1420" spans="1:6" x14ac:dyDescent="0.25">
      <c r="A1420" s="1" t="s">
        <v>837</v>
      </c>
      <c r="B1420" s="1" t="s">
        <v>43</v>
      </c>
      <c r="D1420" s="1"/>
      <c r="E1420" s="3"/>
    </row>
    <row r="1421" spans="1:6" x14ac:dyDescent="0.25">
      <c r="A1421" s="1" t="s">
        <v>837</v>
      </c>
      <c r="B1421" s="1" t="s">
        <v>923</v>
      </c>
      <c r="D1421" s="1"/>
      <c r="E1421" s="3"/>
    </row>
    <row r="1422" spans="1:6" x14ac:dyDescent="0.25">
      <c r="A1422" s="1" t="s">
        <v>837</v>
      </c>
      <c r="B1422" s="1" t="s">
        <v>924</v>
      </c>
      <c r="D1422" s="1"/>
      <c r="E1422" s="3"/>
    </row>
    <row r="1423" spans="1:6" x14ac:dyDescent="0.25">
      <c r="A1423" s="1" t="s">
        <v>837</v>
      </c>
      <c r="B1423" s="1" t="s">
        <v>925</v>
      </c>
      <c r="D1423" s="1"/>
      <c r="E1423" s="3"/>
    </row>
    <row r="1424" spans="1:6" x14ac:dyDescent="0.25">
      <c r="A1424" s="1" t="s">
        <v>837</v>
      </c>
      <c r="B1424" s="1" t="s">
        <v>926</v>
      </c>
      <c r="D1424" s="1"/>
      <c r="E1424" s="3"/>
    </row>
    <row r="1425" spans="1:6" x14ac:dyDescent="0.25">
      <c r="A1425" s="1" t="s">
        <v>837</v>
      </c>
      <c r="B1425" s="1" t="s">
        <v>927</v>
      </c>
      <c r="D1425" s="1"/>
      <c r="E1425" s="3"/>
    </row>
    <row r="1426" spans="1:6" x14ac:dyDescent="0.25">
      <c r="A1426" s="1" t="s">
        <v>837</v>
      </c>
      <c r="B1426" s="1" t="s">
        <v>928</v>
      </c>
      <c r="D1426" s="1"/>
      <c r="E1426" s="3"/>
    </row>
    <row r="1427" spans="1:6" x14ac:dyDescent="0.25">
      <c r="A1427" s="1" t="s">
        <v>837</v>
      </c>
      <c r="B1427" s="1" t="s">
        <v>929</v>
      </c>
      <c r="D1427" s="1"/>
      <c r="E1427" s="3"/>
    </row>
    <row r="1428" spans="1:6" x14ac:dyDescent="0.25">
      <c r="A1428" s="1" t="s">
        <v>837</v>
      </c>
      <c r="B1428" s="1" t="s">
        <v>930</v>
      </c>
      <c r="D1428" s="1"/>
      <c r="E1428" s="3"/>
    </row>
    <row r="1429" spans="1:6" x14ac:dyDescent="0.25">
      <c r="A1429" s="1" t="s">
        <v>837</v>
      </c>
      <c r="B1429" s="1" t="s">
        <v>931</v>
      </c>
      <c r="D1429" s="1"/>
      <c r="E1429" s="3">
        <f>C1429*D1429</f>
        <v>0</v>
      </c>
      <c r="F1429" s="1">
        <f>C1429*(D1429+0.1)</f>
        <v>0</v>
      </c>
    </row>
    <row r="1430" spans="1:6" x14ac:dyDescent="0.25">
      <c r="A1430" s="1" t="s">
        <v>837</v>
      </c>
      <c r="B1430" s="1" t="s">
        <v>932</v>
      </c>
      <c r="D1430" s="1"/>
      <c r="E1430" s="3"/>
    </row>
    <row r="1431" spans="1:6" x14ac:dyDescent="0.25">
      <c r="A1431" s="1" t="s">
        <v>837</v>
      </c>
      <c r="B1431" s="1" t="s">
        <v>933</v>
      </c>
      <c r="D1431" s="1"/>
      <c r="E1431" s="3"/>
    </row>
    <row r="1432" spans="1:6" x14ac:dyDescent="0.25">
      <c r="A1432" s="1" t="s">
        <v>837</v>
      </c>
      <c r="B1432" s="1" t="s">
        <v>934</v>
      </c>
      <c r="D1432" s="1"/>
      <c r="E1432" s="3"/>
    </row>
    <row r="1433" spans="1:6" x14ac:dyDescent="0.25">
      <c r="A1433" s="1" t="s">
        <v>837</v>
      </c>
      <c r="B1433" s="1" t="s">
        <v>935</v>
      </c>
      <c r="D1433" s="1"/>
      <c r="E1433" s="3"/>
    </row>
    <row r="1434" spans="1:6" x14ac:dyDescent="0.25">
      <c r="A1434" s="1" t="s">
        <v>837</v>
      </c>
      <c r="B1434" s="1" t="s">
        <v>936</v>
      </c>
      <c r="D1434" s="1"/>
      <c r="E1434" s="3"/>
    </row>
    <row r="1435" spans="1:6" x14ac:dyDescent="0.25">
      <c r="A1435" s="1" t="s">
        <v>837</v>
      </c>
      <c r="B1435" s="1" t="s">
        <v>937</v>
      </c>
      <c r="E1435" s="3"/>
    </row>
    <row r="1436" spans="1:6" x14ac:dyDescent="0.25">
      <c r="A1436" s="1" t="s">
        <v>837</v>
      </c>
      <c r="B1436" s="1" t="s">
        <v>938</v>
      </c>
      <c r="D1436" s="1"/>
      <c r="E1436" s="3"/>
    </row>
    <row r="1437" spans="1:6" x14ac:dyDescent="0.25">
      <c r="A1437" s="1" t="s">
        <v>837</v>
      </c>
      <c r="B1437" s="1" t="s">
        <v>939</v>
      </c>
      <c r="D1437" s="1"/>
      <c r="E1437" s="3"/>
    </row>
    <row r="1438" spans="1:6" x14ac:dyDescent="0.25">
      <c r="A1438" s="1" t="s">
        <v>837</v>
      </c>
      <c r="B1438" s="1" t="s">
        <v>940</v>
      </c>
      <c r="E1438" s="3"/>
    </row>
    <row r="1439" spans="1:6" x14ac:dyDescent="0.25">
      <c r="A1439" s="1" t="s">
        <v>837</v>
      </c>
      <c r="B1439" s="1" t="s">
        <v>567</v>
      </c>
      <c r="E1439" s="3"/>
    </row>
    <row r="1440" spans="1:6" x14ac:dyDescent="0.25">
      <c r="A1440" s="1" t="s">
        <v>837</v>
      </c>
      <c r="B1440" s="1" t="s">
        <v>565</v>
      </c>
      <c r="E1440" s="3"/>
    </row>
    <row r="1441" spans="1:6" x14ac:dyDescent="0.25">
      <c r="A1441" s="1" t="s">
        <v>837</v>
      </c>
      <c r="B1441" s="1" t="s">
        <v>941</v>
      </c>
      <c r="E1441" s="3"/>
    </row>
    <row r="1442" spans="1:6" s="9" customFormat="1" ht="15.75" thickBot="1" x14ac:dyDescent="0.3">
      <c r="A1442" s="9" t="s">
        <v>942</v>
      </c>
      <c r="B1442" s="9" t="s">
        <v>943</v>
      </c>
      <c r="D1442" s="10"/>
      <c r="E1442" s="11"/>
    </row>
    <row r="1443" spans="1:6" s="7" customFormat="1" x14ac:dyDescent="0.25">
      <c r="A1443" s="7" t="s">
        <v>944</v>
      </c>
      <c r="B1443" s="7" t="s">
        <v>945</v>
      </c>
      <c r="C1443" s="7">
        <v>282</v>
      </c>
      <c r="D1443" s="7">
        <v>0.41599999999999998</v>
      </c>
      <c r="E1443" s="8">
        <f t="shared" ref="E1443:E1474" si="91">C1443*D1443</f>
        <v>117.312</v>
      </c>
      <c r="F1443" s="7">
        <f t="shared" ref="F1443:F1474" si="92">C1443*(D1443+0.1)</f>
        <v>145.512</v>
      </c>
    </row>
    <row r="1444" spans="1:6" x14ac:dyDescent="0.25">
      <c r="A1444" s="1" t="s">
        <v>944</v>
      </c>
      <c r="B1444" s="1" t="s">
        <v>946</v>
      </c>
      <c r="C1444" s="1">
        <v>2121</v>
      </c>
      <c r="D1444" s="1">
        <v>0.41599999999999998</v>
      </c>
      <c r="E1444" s="3">
        <f t="shared" si="91"/>
        <v>882.33600000000001</v>
      </c>
      <c r="F1444" s="1">
        <f t="shared" si="92"/>
        <v>1094.4359999999999</v>
      </c>
    </row>
    <row r="1445" spans="1:6" x14ac:dyDescent="0.25">
      <c r="A1445" s="1" t="s">
        <v>944</v>
      </c>
      <c r="B1445" s="1" t="s">
        <v>947</v>
      </c>
      <c r="C1445" s="1">
        <v>947</v>
      </c>
      <c r="D1445" s="1">
        <v>0.41599999999999998</v>
      </c>
      <c r="E1445" s="3">
        <f t="shared" si="91"/>
        <v>393.952</v>
      </c>
      <c r="F1445" s="1">
        <f t="shared" si="92"/>
        <v>488.65199999999999</v>
      </c>
    </row>
    <row r="1446" spans="1:6" x14ac:dyDescent="0.25">
      <c r="A1446" s="1" t="s">
        <v>944</v>
      </c>
      <c r="B1446" s="1" t="s">
        <v>948</v>
      </c>
      <c r="C1446" s="1">
        <v>1364</v>
      </c>
      <c r="D1446" s="7">
        <v>0.41599999999999998</v>
      </c>
      <c r="E1446" s="3">
        <f t="shared" si="91"/>
        <v>567.42399999999998</v>
      </c>
      <c r="F1446" s="1">
        <f t="shared" si="92"/>
        <v>703.82400000000007</v>
      </c>
    </row>
    <row r="1447" spans="1:6" x14ac:dyDescent="0.25">
      <c r="A1447" s="1" t="s">
        <v>944</v>
      </c>
      <c r="B1447" s="1" t="s">
        <v>1856</v>
      </c>
      <c r="C1447" s="1">
        <v>212</v>
      </c>
      <c r="D1447" s="1">
        <v>0.41599999999999998</v>
      </c>
      <c r="E1447" s="3">
        <f t="shared" si="91"/>
        <v>88.191999999999993</v>
      </c>
      <c r="F1447" s="1">
        <f t="shared" si="92"/>
        <v>109.392</v>
      </c>
    </row>
    <row r="1448" spans="1:6" x14ac:dyDescent="0.25">
      <c r="A1448" s="1" t="s">
        <v>944</v>
      </c>
      <c r="B1448" s="1" t="s">
        <v>1435</v>
      </c>
      <c r="C1448" s="1">
        <v>35</v>
      </c>
      <c r="D1448" s="1">
        <v>0.41599999999999998</v>
      </c>
      <c r="E1448" s="3">
        <f t="shared" si="91"/>
        <v>14.559999999999999</v>
      </c>
      <c r="F1448" s="1">
        <f t="shared" si="92"/>
        <v>18.060000000000002</v>
      </c>
    </row>
    <row r="1449" spans="1:6" x14ac:dyDescent="0.25">
      <c r="A1449" s="1" t="s">
        <v>944</v>
      </c>
      <c r="B1449" s="1" t="s">
        <v>949</v>
      </c>
      <c r="C1449" s="1">
        <v>281</v>
      </c>
      <c r="D1449" s="7">
        <v>0.41599999999999998</v>
      </c>
      <c r="E1449" s="3">
        <f t="shared" si="91"/>
        <v>116.896</v>
      </c>
      <c r="F1449" s="1">
        <f t="shared" si="92"/>
        <v>144.99600000000001</v>
      </c>
    </row>
    <row r="1450" spans="1:6" x14ac:dyDescent="0.25">
      <c r="A1450" s="1" t="s">
        <v>944</v>
      </c>
      <c r="B1450" s="1" t="s">
        <v>1436</v>
      </c>
      <c r="C1450" s="1">
        <v>354</v>
      </c>
      <c r="D1450" s="1">
        <v>0.41599999999999998</v>
      </c>
      <c r="E1450" s="3">
        <f t="shared" si="91"/>
        <v>147.26399999999998</v>
      </c>
      <c r="F1450" s="1">
        <f t="shared" si="92"/>
        <v>182.66400000000002</v>
      </c>
    </row>
    <row r="1451" spans="1:6" x14ac:dyDescent="0.25">
      <c r="A1451" s="1" t="s">
        <v>944</v>
      </c>
      <c r="B1451" s="1" t="s">
        <v>950</v>
      </c>
      <c r="C1451" s="1">
        <v>49</v>
      </c>
      <c r="D1451" s="1">
        <v>0.41599999999999998</v>
      </c>
      <c r="E1451" s="3">
        <f t="shared" si="91"/>
        <v>20.384</v>
      </c>
      <c r="F1451" s="1">
        <f t="shared" si="92"/>
        <v>25.283999999999999</v>
      </c>
    </row>
    <row r="1452" spans="1:6" x14ac:dyDescent="0.25">
      <c r="A1452" s="1" t="s">
        <v>944</v>
      </c>
      <c r="B1452" s="1" t="s">
        <v>951</v>
      </c>
      <c r="C1452" s="1">
        <v>255</v>
      </c>
      <c r="D1452" s="7">
        <v>0.41599999999999998</v>
      </c>
      <c r="E1452" s="3">
        <f t="shared" si="91"/>
        <v>106.08</v>
      </c>
      <c r="F1452" s="1">
        <f t="shared" si="92"/>
        <v>131.58000000000001</v>
      </c>
    </row>
    <row r="1453" spans="1:6" x14ac:dyDescent="0.25">
      <c r="A1453" s="1" t="s">
        <v>944</v>
      </c>
      <c r="B1453" s="1" t="s">
        <v>952</v>
      </c>
      <c r="C1453" s="1">
        <v>57.8</v>
      </c>
      <c r="D1453" s="1">
        <v>0.41599999999999998</v>
      </c>
      <c r="E1453" s="3">
        <f t="shared" si="91"/>
        <v>24.044799999999999</v>
      </c>
      <c r="F1453" s="1">
        <f t="shared" si="92"/>
        <v>29.8248</v>
      </c>
    </row>
    <row r="1454" spans="1:6" x14ac:dyDescent="0.25">
      <c r="A1454" s="1" t="s">
        <v>944</v>
      </c>
      <c r="B1454" s="1" t="s">
        <v>953</v>
      </c>
      <c r="C1454" s="1">
        <v>266</v>
      </c>
      <c r="D1454" s="1">
        <v>0.41599999999999998</v>
      </c>
      <c r="E1454" s="3">
        <f t="shared" si="91"/>
        <v>110.65599999999999</v>
      </c>
      <c r="F1454" s="1">
        <f t="shared" si="92"/>
        <v>137.256</v>
      </c>
    </row>
    <row r="1455" spans="1:6" x14ac:dyDescent="0.25">
      <c r="A1455" s="1" t="s">
        <v>944</v>
      </c>
      <c r="B1455" s="1" t="s">
        <v>954</v>
      </c>
      <c r="C1455" s="1">
        <v>161</v>
      </c>
      <c r="D1455" s="7">
        <v>0.41599999999999998</v>
      </c>
      <c r="E1455" s="3">
        <f t="shared" si="91"/>
        <v>66.975999999999999</v>
      </c>
      <c r="F1455" s="1">
        <f t="shared" si="92"/>
        <v>83.076000000000008</v>
      </c>
    </row>
    <row r="1456" spans="1:6" x14ac:dyDescent="0.25">
      <c r="A1456" s="1" t="s">
        <v>944</v>
      </c>
      <c r="B1456" s="1" t="s">
        <v>1438</v>
      </c>
      <c r="C1456" s="1">
        <v>542</v>
      </c>
      <c r="D1456" s="1">
        <v>0.41599999999999998</v>
      </c>
      <c r="E1456" s="3">
        <f t="shared" si="91"/>
        <v>225.47199999999998</v>
      </c>
      <c r="F1456" s="1">
        <f t="shared" si="92"/>
        <v>279.67200000000003</v>
      </c>
    </row>
    <row r="1457" spans="1:6" x14ac:dyDescent="0.25">
      <c r="A1457" s="1" t="s">
        <v>944</v>
      </c>
      <c r="B1457" s="1" t="s">
        <v>1437</v>
      </c>
      <c r="C1457" s="1">
        <v>1016</v>
      </c>
      <c r="D1457" s="1">
        <v>0.41599999999999998</v>
      </c>
      <c r="E1457" s="3">
        <f t="shared" si="91"/>
        <v>422.65600000000001</v>
      </c>
      <c r="F1457" s="1">
        <f t="shared" si="92"/>
        <v>524.25599999999997</v>
      </c>
    </row>
    <row r="1458" spans="1:6" x14ac:dyDescent="0.25">
      <c r="A1458" s="1" t="s">
        <v>944</v>
      </c>
      <c r="B1458" s="1" t="s">
        <v>955</v>
      </c>
      <c r="C1458" s="1">
        <v>193</v>
      </c>
      <c r="D1458" s="1">
        <v>0.41599999999999998</v>
      </c>
      <c r="E1458" s="3">
        <f t="shared" si="91"/>
        <v>80.287999999999997</v>
      </c>
      <c r="F1458" s="1">
        <f t="shared" si="92"/>
        <v>99.588000000000008</v>
      </c>
    </row>
    <row r="1459" spans="1:6" x14ac:dyDescent="0.25">
      <c r="A1459" s="1" t="s">
        <v>944</v>
      </c>
      <c r="B1459" s="1" t="s">
        <v>956</v>
      </c>
      <c r="C1459" s="1">
        <v>57</v>
      </c>
      <c r="D1459" s="1">
        <v>0.41599999999999998</v>
      </c>
      <c r="E1459" s="3">
        <f t="shared" si="91"/>
        <v>23.712</v>
      </c>
      <c r="F1459" s="1">
        <f t="shared" si="92"/>
        <v>29.411999999999999</v>
      </c>
    </row>
    <row r="1460" spans="1:6" x14ac:dyDescent="0.25">
      <c r="A1460" s="1" t="s">
        <v>944</v>
      </c>
      <c r="B1460" s="1" t="s">
        <v>1439</v>
      </c>
      <c r="C1460" s="1">
        <v>775</v>
      </c>
      <c r="D1460" s="7">
        <v>0.41599999999999998</v>
      </c>
      <c r="E1460" s="3">
        <f t="shared" si="91"/>
        <v>322.39999999999998</v>
      </c>
      <c r="F1460" s="1">
        <f t="shared" si="92"/>
        <v>399.90000000000003</v>
      </c>
    </row>
    <row r="1461" spans="1:6" x14ac:dyDescent="0.25">
      <c r="A1461" s="1" t="s">
        <v>944</v>
      </c>
      <c r="B1461" s="1" t="s">
        <v>1440</v>
      </c>
      <c r="C1461" s="1">
        <v>1863</v>
      </c>
      <c r="D1461" s="1">
        <v>0.41599999999999998</v>
      </c>
      <c r="E1461" s="3">
        <f t="shared" si="91"/>
        <v>775.00799999999992</v>
      </c>
      <c r="F1461" s="1">
        <f t="shared" si="92"/>
        <v>961.30799999999999</v>
      </c>
    </row>
    <row r="1462" spans="1:6" x14ac:dyDescent="0.25">
      <c r="A1462" s="1" t="s">
        <v>944</v>
      </c>
      <c r="B1462" s="1" t="s">
        <v>957</v>
      </c>
      <c r="C1462" s="1">
        <v>63</v>
      </c>
      <c r="D1462" s="1">
        <v>0.41599999999999998</v>
      </c>
      <c r="E1462" s="3">
        <f t="shared" si="91"/>
        <v>26.207999999999998</v>
      </c>
      <c r="F1462" s="1">
        <f t="shared" si="92"/>
        <v>32.508000000000003</v>
      </c>
    </row>
    <row r="1463" spans="1:6" x14ac:dyDescent="0.25">
      <c r="A1463" s="1" t="s">
        <v>944</v>
      </c>
      <c r="B1463" s="1" t="s">
        <v>958</v>
      </c>
      <c r="C1463" s="1">
        <v>1436</v>
      </c>
      <c r="D1463" s="1">
        <v>0.41599999999999998</v>
      </c>
      <c r="E1463" s="3">
        <f t="shared" si="91"/>
        <v>597.37599999999998</v>
      </c>
      <c r="F1463" s="1">
        <f t="shared" si="92"/>
        <v>740.976</v>
      </c>
    </row>
    <row r="1464" spans="1:6" x14ac:dyDescent="0.25">
      <c r="A1464" s="1" t="s">
        <v>944</v>
      </c>
      <c r="B1464" s="1" t="s">
        <v>959</v>
      </c>
      <c r="C1464" s="1">
        <v>117</v>
      </c>
      <c r="D1464" s="1">
        <v>0.41599999999999998</v>
      </c>
      <c r="E1464" s="3">
        <f t="shared" si="91"/>
        <v>48.671999999999997</v>
      </c>
      <c r="F1464" s="1">
        <f t="shared" si="92"/>
        <v>60.372</v>
      </c>
    </row>
    <row r="1465" spans="1:6" x14ac:dyDescent="0.25">
      <c r="A1465" s="1" t="s">
        <v>944</v>
      </c>
      <c r="B1465" s="1" t="s">
        <v>960</v>
      </c>
      <c r="C1465" s="1">
        <v>327</v>
      </c>
      <c r="D1465" s="7">
        <v>0.41599999999999998</v>
      </c>
      <c r="E1465" s="3">
        <f t="shared" si="91"/>
        <v>136.03199999999998</v>
      </c>
      <c r="F1465" s="1">
        <f t="shared" si="92"/>
        <v>168.732</v>
      </c>
    </row>
    <row r="1466" spans="1:6" x14ac:dyDescent="0.25">
      <c r="A1466" s="1" t="s">
        <v>944</v>
      </c>
      <c r="B1466" s="1" t="s">
        <v>961</v>
      </c>
      <c r="C1466" s="1">
        <v>2043</v>
      </c>
      <c r="D1466" s="1">
        <v>0.41599999999999998</v>
      </c>
      <c r="E1466" s="3">
        <f t="shared" si="91"/>
        <v>849.88799999999992</v>
      </c>
      <c r="F1466" s="1">
        <f t="shared" si="92"/>
        <v>1054.1880000000001</v>
      </c>
    </row>
    <row r="1467" spans="1:6" x14ac:dyDescent="0.25">
      <c r="A1467" s="1" t="s">
        <v>944</v>
      </c>
      <c r="B1467" s="1" t="s">
        <v>1441</v>
      </c>
      <c r="C1467" s="1">
        <v>205</v>
      </c>
      <c r="D1467" s="1">
        <v>0.41599999999999998</v>
      </c>
      <c r="E1467" s="3">
        <f t="shared" si="91"/>
        <v>85.28</v>
      </c>
      <c r="F1467" s="1">
        <f t="shared" si="92"/>
        <v>105.78</v>
      </c>
    </row>
    <row r="1468" spans="1:6" x14ac:dyDescent="0.25">
      <c r="A1468" s="1" t="s">
        <v>944</v>
      </c>
      <c r="B1468" s="1" t="s">
        <v>1442</v>
      </c>
      <c r="C1468" s="1">
        <v>251</v>
      </c>
      <c r="D1468" s="1">
        <v>0.41599999999999998</v>
      </c>
      <c r="E1468" s="3">
        <f t="shared" si="91"/>
        <v>104.416</v>
      </c>
      <c r="F1468" s="1">
        <f t="shared" si="92"/>
        <v>129.51599999999999</v>
      </c>
    </row>
    <row r="1469" spans="1:6" x14ac:dyDescent="0.25">
      <c r="A1469" s="1" t="s">
        <v>944</v>
      </c>
      <c r="B1469" s="1" t="s">
        <v>962</v>
      </c>
      <c r="C1469" s="1">
        <v>58.1</v>
      </c>
      <c r="D1469" s="1">
        <v>0.41599999999999998</v>
      </c>
      <c r="E1469" s="3">
        <f t="shared" si="91"/>
        <v>24.169599999999999</v>
      </c>
      <c r="F1469" s="1">
        <f t="shared" si="92"/>
        <v>29.979600000000001</v>
      </c>
    </row>
    <row r="1470" spans="1:6" x14ac:dyDescent="0.25">
      <c r="A1470" s="1" t="s">
        <v>944</v>
      </c>
      <c r="B1470" s="1" t="s">
        <v>963</v>
      </c>
      <c r="C1470" s="1">
        <v>90.9</v>
      </c>
      <c r="D1470" s="1">
        <v>0.41599999999999998</v>
      </c>
      <c r="E1470" s="3">
        <f t="shared" si="91"/>
        <v>37.814399999999999</v>
      </c>
      <c r="F1470" s="1">
        <f t="shared" si="92"/>
        <v>46.904400000000003</v>
      </c>
    </row>
    <row r="1471" spans="1:6" x14ac:dyDescent="0.25">
      <c r="A1471" s="1" t="s">
        <v>944</v>
      </c>
      <c r="B1471" s="1" t="s">
        <v>964</v>
      </c>
      <c r="C1471" s="1">
        <v>236</v>
      </c>
      <c r="D1471" s="1">
        <v>0.41599999999999998</v>
      </c>
      <c r="E1471" s="3">
        <f t="shared" si="91"/>
        <v>98.176000000000002</v>
      </c>
      <c r="F1471" s="1">
        <f t="shared" si="92"/>
        <v>121.77600000000001</v>
      </c>
    </row>
    <row r="1472" spans="1:6" x14ac:dyDescent="0.25">
      <c r="A1472" s="1" t="s">
        <v>944</v>
      </c>
      <c r="B1472" s="1" t="s">
        <v>965</v>
      </c>
      <c r="C1472" s="1">
        <v>419</v>
      </c>
      <c r="D1472" s="7">
        <v>0.41599999999999998</v>
      </c>
      <c r="E1472" s="3">
        <f t="shared" si="91"/>
        <v>174.304</v>
      </c>
      <c r="F1472" s="1">
        <f t="shared" si="92"/>
        <v>216.20400000000001</v>
      </c>
    </row>
    <row r="1473" spans="1:6" x14ac:dyDescent="0.25">
      <c r="A1473" s="1" t="s">
        <v>944</v>
      </c>
      <c r="B1473" s="1" t="s">
        <v>1443</v>
      </c>
      <c r="C1473" s="1">
        <v>157</v>
      </c>
      <c r="D1473" s="1">
        <v>0.41599999999999998</v>
      </c>
      <c r="E1473" s="3">
        <f t="shared" si="91"/>
        <v>65.311999999999998</v>
      </c>
      <c r="F1473" s="1">
        <f t="shared" si="92"/>
        <v>81.012</v>
      </c>
    </row>
    <row r="1474" spans="1:6" x14ac:dyDescent="0.25">
      <c r="A1474" s="1" t="s">
        <v>944</v>
      </c>
      <c r="B1474" s="1" t="s">
        <v>1857</v>
      </c>
      <c r="C1474" s="1">
        <v>153</v>
      </c>
      <c r="D1474" s="7">
        <v>0.41599999999999998</v>
      </c>
      <c r="E1474" s="3">
        <f t="shared" si="91"/>
        <v>63.647999999999996</v>
      </c>
      <c r="F1474" s="1">
        <f t="shared" si="92"/>
        <v>78.948000000000008</v>
      </c>
    </row>
    <row r="1475" spans="1:6" x14ac:dyDescent="0.25">
      <c r="A1475" s="1" t="s">
        <v>944</v>
      </c>
      <c r="B1475" s="1" t="s">
        <v>966</v>
      </c>
      <c r="C1475" s="1">
        <v>567</v>
      </c>
      <c r="D1475" s="7">
        <v>0.41599999999999998</v>
      </c>
      <c r="E1475" s="3">
        <f t="shared" ref="E1475:E1506" si="93">C1475*D1475</f>
        <v>235.87199999999999</v>
      </c>
      <c r="F1475" s="1">
        <f t="shared" ref="F1475:F1506" si="94">C1475*(D1475+0.1)</f>
        <v>292.572</v>
      </c>
    </row>
    <row r="1476" spans="1:6" s="9" customFormat="1" ht="15.75" thickBot="1" x14ac:dyDescent="0.3">
      <c r="A1476" s="9" t="s">
        <v>944</v>
      </c>
      <c r="B1476" s="9" t="s">
        <v>967</v>
      </c>
      <c r="C1476" s="9">
        <v>912</v>
      </c>
      <c r="D1476" s="9">
        <v>0.41599999999999998</v>
      </c>
      <c r="E1476" s="11">
        <f t="shared" si="93"/>
        <v>379.392</v>
      </c>
      <c r="F1476" s="9">
        <f t="shared" si="94"/>
        <v>470.59199999999998</v>
      </c>
    </row>
    <row r="1477" spans="1:6" s="7" customFormat="1" x14ac:dyDescent="0.25">
      <c r="A1477" s="7" t="s">
        <v>968</v>
      </c>
      <c r="B1477" s="7" t="s">
        <v>969</v>
      </c>
      <c r="C1477" s="7">
        <v>218</v>
      </c>
      <c r="D1477" s="7">
        <v>0.5</v>
      </c>
      <c r="E1477" s="8">
        <f t="shared" si="93"/>
        <v>109</v>
      </c>
      <c r="F1477" s="7">
        <f t="shared" si="94"/>
        <v>130.79999999999998</v>
      </c>
    </row>
    <row r="1478" spans="1:6" x14ac:dyDescent="0.25">
      <c r="A1478" s="1" t="s">
        <v>968</v>
      </c>
      <c r="B1478" s="1" t="s">
        <v>970</v>
      </c>
      <c r="C1478" s="1">
        <v>360</v>
      </c>
      <c r="D1478" s="1">
        <v>0.5</v>
      </c>
      <c r="E1478" s="3">
        <f t="shared" si="93"/>
        <v>180</v>
      </c>
      <c r="F1478" s="1">
        <f t="shared" si="94"/>
        <v>216</v>
      </c>
    </row>
    <row r="1479" spans="1:6" x14ac:dyDescent="0.25">
      <c r="A1479" s="1" t="s">
        <v>968</v>
      </c>
      <c r="B1479" s="1" t="s">
        <v>971</v>
      </c>
      <c r="C1479" s="1">
        <v>33.200000000000003</v>
      </c>
      <c r="D1479" s="1">
        <v>0.5</v>
      </c>
      <c r="E1479" s="3">
        <f t="shared" si="93"/>
        <v>16.600000000000001</v>
      </c>
      <c r="F1479" s="1">
        <f t="shared" si="94"/>
        <v>19.920000000000002</v>
      </c>
    </row>
    <row r="1480" spans="1:6" x14ac:dyDescent="0.25">
      <c r="A1480" s="1" t="s">
        <v>968</v>
      </c>
      <c r="B1480" s="1" t="s">
        <v>1391</v>
      </c>
      <c r="C1480" s="1">
        <v>300</v>
      </c>
      <c r="D1480" s="1">
        <v>0.5</v>
      </c>
      <c r="E1480" s="3">
        <f t="shared" si="93"/>
        <v>150</v>
      </c>
      <c r="F1480" s="1">
        <f t="shared" si="94"/>
        <v>180</v>
      </c>
    </row>
    <row r="1481" spans="1:6" x14ac:dyDescent="0.25">
      <c r="A1481" s="1" t="s">
        <v>968</v>
      </c>
      <c r="B1481" s="1" t="s">
        <v>972</v>
      </c>
      <c r="C1481" s="1">
        <v>330</v>
      </c>
      <c r="D1481" s="1">
        <v>0.5</v>
      </c>
      <c r="E1481" s="3">
        <f t="shared" si="93"/>
        <v>165</v>
      </c>
      <c r="F1481" s="1">
        <f t="shared" si="94"/>
        <v>198</v>
      </c>
    </row>
    <row r="1482" spans="1:6" x14ac:dyDescent="0.25">
      <c r="A1482" s="1" t="s">
        <v>968</v>
      </c>
      <c r="B1482" s="1" t="s">
        <v>973</v>
      </c>
      <c r="C1482" s="1">
        <v>190</v>
      </c>
      <c r="D1482" s="1">
        <v>0.5</v>
      </c>
      <c r="E1482" s="3">
        <f t="shared" si="93"/>
        <v>95</v>
      </c>
      <c r="F1482" s="1">
        <f t="shared" si="94"/>
        <v>114</v>
      </c>
    </row>
    <row r="1483" spans="1:6" x14ac:dyDescent="0.25">
      <c r="A1483" s="1" t="s">
        <v>968</v>
      </c>
      <c r="B1483" s="1" t="s">
        <v>974</v>
      </c>
      <c r="C1483" s="1">
        <v>600</v>
      </c>
      <c r="D1483" s="1">
        <v>0.5</v>
      </c>
      <c r="E1483" s="3">
        <f t="shared" si="93"/>
        <v>300</v>
      </c>
      <c r="F1483" s="1">
        <f t="shared" si="94"/>
        <v>360</v>
      </c>
    </row>
    <row r="1484" spans="1:6" x14ac:dyDescent="0.25">
      <c r="A1484" s="1" t="s">
        <v>968</v>
      </c>
      <c r="B1484" s="1" t="s">
        <v>975</v>
      </c>
      <c r="C1484" s="1">
        <v>64</v>
      </c>
      <c r="D1484" s="1">
        <v>0.5</v>
      </c>
      <c r="E1484" s="3">
        <f t="shared" si="93"/>
        <v>32</v>
      </c>
      <c r="F1484" s="1">
        <f t="shared" si="94"/>
        <v>38.4</v>
      </c>
    </row>
    <row r="1485" spans="1:6" x14ac:dyDescent="0.25">
      <c r="A1485" s="1" t="s">
        <v>968</v>
      </c>
      <c r="B1485" s="1" t="s">
        <v>976</v>
      </c>
      <c r="C1485" s="1">
        <v>330</v>
      </c>
      <c r="D1485" s="1">
        <v>0.5</v>
      </c>
      <c r="E1485" s="3">
        <f t="shared" si="93"/>
        <v>165</v>
      </c>
      <c r="F1485" s="1">
        <f t="shared" si="94"/>
        <v>198</v>
      </c>
    </row>
    <row r="1486" spans="1:6" x14ac:dyDescent="0.25">
      <c r="A1486" s="1" t="s">
        <v>968</v>
      </c>
      <c r="B1486" s="1" t="s">
        <v>977</v>
      </c>
      <c r="C1486" s="1">
        <v>180</v>
      </c>
      <c r="D1486" s="1">
        <v>0.5</v>
      </c>
      <c r="E1486" s="3">
        <f t="shared" si="93"/>
        <v>90</v>
      </c>
      <c r="F1486" s="1">
        <f t="shared" si="94"/>
        <v>108</v>
      </c>
    </row>
    <row r="1487" spans="1:6" x14ac:dyDescent="0.25">
      <c r="A1487" s="1" t="s">
        <v>968</v>
      </c>
      <c r="B1487" s="1" t="s">
        <v>1858</v>
      </c>
      <c r="C1487" s="1">
        <v>1500</v>
      </c>
      <c r="D1487" s="1">
        <v>0.5</v>
      </c>
      <c r="E1487" s="3">
        <f t="shared" si="93"/>
        <v>750</v>
      </c>
      <c r="F1487" s="1">
        <f t="shared" si="94"/>
        <v>900</v>
      </c>
    </row>
    <row r="1488" spans="1:6" x14ac:dyDescent="0.25">
      <c r="A1488" s="1" t="s">
        <v>968</v>
      </c>
      <c r="B1488" s="1" t="s">
        <v>1859</v>
      </c>
      <c r="C1488" s="1">
        <v>2750</v>
      </c>
      <c r="D1488" s="1">
        <v>0.5</v>
      </c>
      <c r="E1488" s="3">
        <f t="shared" si="93"/>
        <v>1375</v>
      </c>
      <c r="F1488" s="1">
        <f t="shared" si="94"/>
        <v>1650</v>
      </c>
    </row>
    <row r="1489" spans="1:6" x14ac:dyDescent="0.25">
      <c r="A1489" s="1" t="s">
        <v>968</v>
      </c>
      <c r="B1489" s="1" t="s">
        <v>978</v>
      </c>
      <c r="C1489" s="1">
        <v>41.2</v>
      </c>
      <c r="D1489" s="1">
        <v>0.5</v>
      </c>
      <c r="E1489" s="3">
        <f t="shared" si="93"/>
        <v>20.6</v>
      </c>
      <c r="F1489" s="1">
        <f t="shared" si="94"/>
        <v>24.720000000000002</v>
      </c>
    </row>
    <row r="1490" spans="1:6" x14ac:dyDescent="0.25">
      <c r="A1490" s="1" t="s">
        <v>968</v>
      </c>
      <c r="B1490" s="1" t="s">
        <v>979</v>
      </c>
      <c r="C1490" s="1">
        <v>620</v>
      </c>
      <c r="D1490" s="1">
        <v>0.5</v>
      </c>
      <c r="E1490" s="3">
        <f t="shared" si="93"/>
        <v>310</v>
      </c>
      <c r="F1490" s="1">
        <f t="shared" si="94"/>
        <v>372</v>
      </c>
    </row>
    <row r="1491" spans="1:6" x14ac:dyDescent="0.25">
      <c r="A1491" s="1" t="s">
        <v>968</v>
      </c>
      <c r="B1491" s="1" t="s">
        <v>980</v>
      </c>
      <c r="C1491" s="1">
        <v>340</v>
      </c>
      <c r="D1491" s="1">
        <v>0.5</v>
      </c>
      <c r="E1491" s="3">
        <f t="shared" si="93"/>
        <v>170</v>
      </c>
      <c r="F1491" s="1">
        <f t="shared" si="94"/>
        <v>204</v>
      </c>
    </row>
    <row r="1492" spans="1:6" x14ac:dyDescent="0.25">
      <c r="A1492" s="1" t="s">
        <v>968</v>
      </c>
      <c r="B1492" s="1" t="s">
        <v>981</v>
      </c>
      <c r="C1492" s="1">
        <v>320</v>
      </c>
      <c r="D1492" s="1">
        <v>0.5</v>
      </c>
      <c r="E1492" s="3">
        <f t="shared" si="93"/>
        <v>160</v>
      </c>
      <c r="F1492" s="1">
        <f t="shared" si="94"/>
        <v>192</v>
      </c>
    </row>
    <row r="1493" spans="1:6" x14ac:dyDescent="0.25">
      <c r="A1493" s="1" t="s">
        <v>968</v>
      </c>
      <c r="B1493" s="1" t="s">
        <v>982</v>
      </c>
      <c r="C1493" s="1">
        <v>172</v>
      </c>
      <c r="D1493" s="1">
        <v>0.5</v>
      </c>
      <c r="E1493" s="3">
        <f t="shared" si="93"/>
        <v>86</v>
      </c>
      <c r="F1493" s="1">
        <f t="shared" si="94"/>
        <v>103.2</v>
      </c>
    </row>
    <row r="1494" spans="1:6" x14ac:dyDescent="0.25">
      <c r="A1494" s="1" t="s">
        <v>968</v>
      </c>
      <c r="B1494" s="1" t="s">
        <v>983</v>
      </c>
      <c r="C1494" s="1">
        <v>150</v>
      </c>
      <c r="D1494" s="1">
        <v>0.5</v>
      </c>
      <c r="E1494" s="3">
        <f t="shared" si="93"/>
        <v>75</v>
      </c>
      <c r="F1494" s="1">
        <f t="shared" si="94"/>
        <v>90</v>
      </c>
    </row>
    <row r="1495" spans="1:6" x14ac:dyDescent="0.25">
      <c r="A1495" s="1" t="s">
        <v>968</v>
      </c>
      <c r="B1495" s="1" t="s">
        <v>984</v>
      </c>
      <c r="C1495" s="1">
        <v>260</v>
      </c>
      <c r="D1495" s="1">
        <v>0.5</v>
      </c>
      <c r="E1495" s="3">
        <f t="shared" si="93"/>
        <v>130</v>
      </c>
      <c r="F1495" s="1">
        <f t="shared" si="94"/>
        <v>156</v>
      </c>
    </row>
    <row r="1496" spans="1:6" x14ac:dyDescent="0.25">
      <c r="A1496" s="1" t="s">
        <v>968</v>
      </c>
      <c r="B1496" s="1" t="s">
        <v>985</v>
      </c>
      <c r="C1496" s="1">
        <v>141</v>
      </c>
      <c r="D1496" s="1">
        <v>0.5</v>
      </c>
      <c r="E1496" s="3">
        <f t="shared" si="93"/>
        <v>70.5</v>
      </c>
      <c r="F1496" s="1">
        <f t="shared" si="94"/>
        <v>84.6</v>
      </c>
    </row>
    <row r="1497" spans="1:6" x14ac:dyDescent="0.25">
      <c r="A1497" s="1" t="s">
        <v>968</v>
      </c>
      <c r="B1497" s="1" t="s">
        <v>986</v>
      </c>
      <c r="C1497" s="1">
        <v>230</v>
      </c>
      <c r="D1497" s="1">
        <v>0.5</v>
      </c>
      <c r="E1497" s="3">
        <f t="shared" si="93"/>
        <v>115</v>
      </c>
      <c r="F1497" s="1">
        <f t="shared" si="94"/>
        <v>138</v>
      </c>
    </row>
    <row r="1498" spans="1:6" x14ac:dyDescent="0.25">
      <c r="A1498" s="1" t="s">
        <v>968</v>
      </c>
      <c r="B1498" s="1" t="s">
        <v>987</v>
      </c>
      <c r="C1498" s="1">
        <v>410</v>
      </c>
      <c r="D1498" s="1">
        <v>0.5</v>
      </c>
      <c r="E1498" s="3">
        <f t="shared" si="93"/>
        <v>205</v>
      </c>
      <c r="F1498" s="1">
        <f t="shared" si="94"/>
        <v>246</v>
      </c>
    </row>
    <row r="1499" spans="1:6" x14ac:dyDescent="0.25">
      <c r="A1499" s="1" t="s">
        <v>968</v>
      </c>
      <c r="B1499" s="1" t="s">
        <v>988</v>
      </c>
      <c r="C1499" s="1">
        <v>128</v>
      </c>
      <c r="D1499" s="1">
        <v>0.5</v>
      </c>
      <c r="E1499" s="3">
        <f t="shared" si="93"/>
        <v>64</v>
      </c>
      <c r="F1499" s="1">
        <f t="shared" si="94"/>
        <v>76.8</v>
      </c>
    </row>
    <row r="1500" spans="1:6" x14ac:dyDescent="0.25">
      <c r="A1500" s="1" t="s">
        <v>968</v>
      </c>
      <c r="B1500" s="1" t="s">
        <v>989</v>
      </c>
      <c r="C1500" s="1">
        <v>645</v>
      </c>
      <c r="D1500" s="1">
        <v>0.5</v>
      </c>
      <c r="E1500" s="3">
        <f t="shared" si="93"/>
        <v>322.5</v>
      </c>
      <c r="F1500" s="1">
        <f t="shared" si="94"/>
        <v>387</v>
      </c>
    </row>
    <row r="1501" spans="1:6" x14ac:dyDescent="0.25">
      <c r="A1501" s="1" t="s">
        <v>968</v>
      </c>
      <c r="B1501" s="1" t="s">
        <v>990</v>
      </c>
      <c r="C1501" s="1">
        <v>350</v>
      </c>
      <c r="D1501" s="1">
        <v>0.5</v>
      </c>
      <c r="E1501" s="3">
        <f t="shared" si="93"/>
        <v>175</v>
      </c>
      <c r="F1501" s="1">
        <f t="shared" si="94"/>
        <v>210</v>
      </c>
    </row>
    <row r="1502" spans="1:6" x14ac:dyDescent="0.25">
      <c r="A1502" s="1" t="s">
        <v>968</v>
      </c>
      <c r="B1502" s="1" t="s">
        <v>991</v>
      </c>
      <c r="C1502" s="1">
        <v>315</v>
      </c>
      <c r="D1502" s="1">
        <v>0.5</v>
      </c>
      <c r="E1502" s="3">
        <f t="shared" si="93"/>
        <v>157.5</v>
      </c>
      <c r="F1502" s="1">
        <f t="shared" si="94"/>
        <v>189</v>
      </c>
    </row>
    <row r="1503" spans="1:6" x14ac:dyDescent="0.25">
      <c r="A1503" s="1" t="s">
        <v>968</v>
      </c>
      <c r="B1503" s="1" t="s">
        <v>992</v>
      </c>
      <c r="C1503" s="1">
        <v>180</v>
      </c>
      <c r="D1503" s="1">
        <v>0.5</v>
      </c>
      <c r="E1503" s="3">
        <f t="shared" si="93"/>
        <v>90</v>
      </c>
      <c r="F1503" s="1">
        <f t="shared" si="94"/>
        <v>108</v>
      </c>
    </row>
    <row r="1504" spans="1:6" x14ac:dyDescent="0.25">
      <c r="A1504" s="1" t="s">
        <v>968</v>
      </c>
      <c r="B1504" s="1" t="s">
        <v>993</v>
      </c>
      <c r="C1504" s="1">
        <v>50</v>
      </c>
      <c r="D1504" s="1">
        <v>0.5</v>
      </c>
      <c r="E1504" s="3">
        <f t="shared" si="93"/>
        <v>25</v>
      </c>
      <c r="F1504" s="1">
        <f t="shared" si="94"/>
        <v>30</v>
      </c>
    </row>
    <row r="1505" spans="1:6" s="9" customFormat="1" ht="15.75" thickBot="1" x14ac:dyDescent="0.3">
      <c r="A1505" s="9" t="s">
        <v>968</v>
      </c>
      <c r="B1505" s="9" t="s">
        <v>994</v>
      </c>
      <c r="C1505" s="9">
        <v>127.2</v>
      </c>
      <c r="D1505" s="9">
        <v>0.5</v>
      </c>
      <c r="E1505" s="11">
        <f t="shared" si="93"/>
        <v>63.6</v>
      </c>
      <c r="F1505" s="9">
        <f t="shared" si="94"/>
        <v>76.319999999999993</v>
      </c>
    </row>
    <row r="1506" spans="1:6" x14ac:dyDescent="0.25">
      <c r="A1506" s="1" t="s">
        <v>995</v>
      </c>
      <c r="B1506" s="1" t="s">
        <v>996</v>
      </c>
      <c r="C1506" s="1">
        <v>369</v>
      </c>
      <c r="D1506" s="1">
        <v>0.45</v>
      </c>
      <c r="E1506" s="8">
        <f t="shared" si="93"/>
        <v>166.05</v>
      </c>
      <c r="F1506" s="7">
        <f t="shared" si="94"/>
        <v>202.95000000000002</v>
      </c>
    </row>
    <row r="1507" spans="1:6" x14ac:dyDescent="0.25">
      <c r="A1507" s="1" t="s">
        <v>995</v>
      </c>
      <c r="B1507" s="1" t="s">
        <v>1847</v>
      </c>
      <c r="C1507" s="1">
        <v>2309</v>
      </c>
      <c r="D1507" s="1">
        <v>0.36</v>
      </c>
      <c r="E1507" s="8">
        <f t="shared" ref="E1507:E1538" si="95">C1507*D1507</f>
        <v>831.24</v>
      </c>
      <c r="F1507" s="7">
        <f t="shared" ref="F1507:F1538" si="96">C1507*(D1507+0.1)</f>
        <v>1062.1399999999999</v>
      </c>
    </row>
    <row r="1508" spans="1:6" x14ac:dyDescent="0.25">
      <c r="A1508" s="1" t="s">
        <v>995</v>
      </c>
      <c r="B1508" s="1" t="s">
        <v>1423</v>
      </c>
      <c r="C1508" s="1">
        <v>440</v>
      </c>
      <c r="D1508" s="1">
        <v>0.49</v>
      </c>
      <c r="E1508" s="8">
        <f t="shared" si="95"/>
        <v>215.6</v>
      </c>
      <c r="F1508" s="7">
        <f t="shared" si="96"/>
        <v>259.59999999999997</v>
      </c>
    </row>
    <row r="1509" spans="1:6" x14ac:dyDescent="0.25">
      <c r="A1509" s="1" t="s">
        <v>995</v>
      </c>
      <c r="B1509" s="1" t="s">
        <v>1424</v>
      </c>
      <c r="C1509" s="1">
        <v>2610</v>
      </c>
      <c r="D1509" s="1">
        <v>0.49</v>
      </c>
      <c r="E1509" s="8">
        <f t="shared" si="95"/>
        <v>1278.8999999999999</v>
      </c>
      <c r="F1509" s="7">
        <f t="shared" si="96"/>
        <v>1539.8999999999999</v>
      </c>
    </row>
    <row r="1510" spans="1:6" x14ac:dyDescent="0.25">
      <c r="A1510" s="1" t="s">
        <v>995</v>
      </c>
      <c r="B1510" s="1" t="s">
        <v>1006</v>
      </c>
      <c r="C1510" s="1">
        <v>489</v>
      </c>
      <c r="D1510" s="1">
        <v>0.42</v>
      </c>
      <c r="E1510" s="3">
        <f t="shared" si="95"/>
        <v>205.38</v>
      </c>
      <c r="F1510" s="1">
        <f t="shared" si="96"/>
        <v>254.28</v>
      </c>
    </row>
    <row r="1511" spans="1:6" x14ac:dyDescent="0.25">
      <c r="A1511" s="1" t="s">
        <v>995</v>
      </c>
      <c r="B1511" s="1" t="s">
        <v>1007</v>
      </c>
      <c r="C1511" s="1">
        <v>489</v>
      </c>
      <c r="D1511" s="1">
        <v>0.32</v>
      </c>
      <c r="E1511" s="3">
        <f t="shared" si="95"/>
        <v>156.47999999999999</v>
      </c>
      <c r="F1511" s="1">
        <f t="shared" si="96"/>
        <v>205.38000000000002</v>
      </c>
    </row>
    <row r="1512" spans="1:6" x14ac:dyDescent="0.25">
      <c r="A1512" s="1" t="s">
        <v>995</v>
      </c>
      <c r="B1512" s="1" t="s">
        <v>1638</v>
      </c>
      <c r="C1512" s="1">
        <v>1475</v>
      </c>
      <c r="D1512" s="1">
        <v>0.41499999999999998</v>
      </c>
      <c r="E1512" s="3">
        <f t="shared" si="95"/>
        <v>612.125</v>
      </c>
      <c r="F1512" s="1">
        <f t="shared" si="96"/>
        <v>759.625</v>
      </c>
    </row>
    <row r="1513" spans="1:6" x14ac:dyDescent="0.25">
      <c r="A1513" s="1" t="s">
        <v>995</v>
      </c>
      <c r="B1513" s="1" t="s">
        <v>998</v>
      </c>
      <c r="C1513" s="1">
        <v>475</v>
      </c>
      <c r="D1513" s="1">
        <v>0.45</v>
      </c>
      <c r="E1513" s="3">
        <f t="shared" si="95"/>
        <v>213.75</v>
      </c>
      <c r="F1513" s="1">
        <f t="shared" si="96"/>
        <v>261.25</v>
      </c>
    </row>
    <row r="1514" spans="1:6" x14ac:dyDescent="0.25">
      <c r="A1514" s="1" t="s">
        <v>995</v>
      </c>
      <c r="B1514" s="1" t="s">
        <v>997</v>
      </c>
      <c r="C1514" s="1">
        <v>289</v>
      </c>
      <c r="D1514" s="1">
        <v>0.45</v>
      </c>
      <c r="E1514" s="3">
        <f t="shared" si="95"/>
        <v>130.05000000000001</v>
      </c>
      <c r="F1514" s="1">
        <f t="shared" si="96"/>
        <v>158.95000000000002</v>
      </c>
    </row>
    <row r="1515" spans="1:6" x14ac:dyDescent="0.25">
      <c r="A1515" s="1" t="s">
        <v>995</v>
      </c>
      <c r="B1515" s="1" t="s">
        <v>1003</v>
      </c>
      <c r="C1515" s="1">
        <v>450</v>
      </c>
      <c r="D1515" s="1">
        <v>0.44400000000000001</v>
      </c>
      <c r="E1515" s="3">
        <f t="shared" si="95"/>
        <v>199.8</v>
      </c>
      <c r="F1515" s="1">
        <f t="shared" si="96"/>
        <v>244.8</v>
      </c>
    </row>
    <row r="1516" spans="1:6" x14ac:dyDescent="0.25">
      <c r="A1516" s="1" t="s">
        <v>995</v>
      </c>
      <c r="B1516" s="1" t="s">
        <v>1419</v>
      </c>
      <c r="C1516" s="1">
        <v>581</v>
      </c>
      <c r="D1516" s="1">
        <v>0.4</v>
      </c>
      <c r="E1516" s="3">
        <f t="shared" si="95"/>
        <v>232.4</v>
      </c>
      <c r="F1516" s="1">
        <f t="shared" si="96"/>
        <v>290.5</v>
      </c>
    </row>
    <row r="1517" spans="1:6" x14ac:dyDescent="0.25">
      <c r="A1517" s="1" t="s">
        <v>995</v>
      </c>
      <c r="B1517" s="1" t="s">
        <v>1853</v>
      </c>
      <c r="C1517" s="1">
        <v>113</v>
      </c>
      <c r="D1517" s="1">
        <v>0.47</v>
      </c>
      <c r="E1517" s="3">
        <f t="shared" si="95"/>
        <v>53.11</v>
      </c>
      <c r="F1517" s="1">
        <f t="shared" si="96"/>
        <v>64.41</v>
      </c>
    </row>
    <row r="1518" spans="1:6" x14ac:dyDescent="0.25">
      <c r="A1518" s="1" t="s">
        <v>995</v>
      </c>
      <c r="B1518" s="1" t="s">
        <v>1428</v>
      </c>
      <c r="C1518" s="1">
        <v>320</v>
      </c>
      <c r="D1518" s="1">
        <v>0.44</v>
      </c>
      <c r="E1518" s="3">
        <f t="shared" si="95"/>
        <v>140.80000000000001</v>
      </c>
      <c r="F1518" s="1">
        <f t="shared" si="96"/>
        <v>172.8</v>
      </c>
    </row>
    <row r="1519" spans="1:6" x14ac:dyDescent="0.25">
      <c r="A1519" s="1" t="s">
        <v>995</v>
      </c>
      <c r="B1519" s="1" t="s">
        <v>1425</v>
      </c>
      <c r="C1519" s="1">
        <v>899</v>
      </c>
      <c r="D1519" s="1">
        <v>0.5</v>
      </c>
      <c r="E1519" s="3">
        <f t="shared" si="95"/>
        <v>449.5</v>
      </c>
      <c r="F1519" s="1">
        <f t="shared" si="96"/>
        <v>539.4</v>
      </c>
    </row>
    <row r="1520" spans="1:6" x14ac:dyDescent="0.25">
      <c r="A1520" s="1" t="s">
        <v>995</v>
      </c>
      <c r="B1520" s="1" t="s">
        <v>1005</v>
      </c>
      <c r="C1520" s="1">
        <v>590</v>
      </c>
      <c r="D1520" s="1">
        <v>0.42</v>
      </c>
      <c r="E1520" s="3">
        <f t="shared" si="95"/>
        <v>247.79999999999998</v>
      </c>
      <c r="F1520" s="1">
        <f t="shared" si="96"/>
        <v>306.8</v>
      </c>
    </row>
    <row r="1521" spans="1:6" x14ac:dyDescent="0.25">
      <c r="A1521" s="1" t="s">
        <v>995</v>
      </c>
      <c r="B1521" s="1" t="s">
        <v>1639</v>
      </c>
      <c r="C1521" s="1">
        <v>1399</v>
      </c>
      <c r="D1521" s="1">
        <v>0.41</v>
      </c>
      <c r="E1521" s="3">
        <f t="shared" si="95"/>
        <v>573.58999999999992</v>
      </c>
      <c r="F1521" s="1">
        <f t="shared" si="96"/>
        <v>713.49</v>
      </c>
    </row>
    <row r="1522" spans="1:6" x14ac:dyDescent="0.25">
      <c r="A1522" s="1" t="s">
        <v>995</v>
      </c>
      <c r="B1522" s="1" t="s">
        <v>1008</v>
      </c>
      <c r="C1522" s="1">
        <v>439</v>
      </c>
      <c r="D1522" s="1">
        <v>0.45</v>
      </c>
      <c r="E1522" s="3">
        <f t="shared" si="95"/>
        <v>197.55</v>
      </c>
      <c r="F1522" s="1">
        <f t="shared" si="96"/>
        <v>241.45000000000002</v>
      </c>
    </row>
    <row r="1523" spans="1:6" x14ac:dyDescent="0.25">
      <c r="A1523" s="1" t="s">
        <v>995</v>
      </c>
      <c r="B1523" s="1" t="s">
        <v>1012</v>
      </c>
      <c r="C1523" s="1">
        <v>1</v>
      </c>
      <c r="D1523" s="1">
        <v>0.5</v>
      </c>
      <c r="E1523" s="3">
        <f t="shared" si="95"/>
        <v>0.5</v>
      </c>
      <c r="F1523" s="1">
        <f t="shared" si="96"/>
        <v>0.6</v>
      </c>
    </row>
    <row r="1524" spans="1:6" x14ac:dyDescent="0.25">
      <c r="A1524" s="1" t="s">
        <v>995</v>
      </c>
      <c r="B1524" s="1" t="s">
        <v>1849</v>
      </c>
      <c r="C1524" s="1">
        <v>970</v>
      </c>
      <c r="D1524" s="1">
        <v>0.42</v>
      </c>
      <c r="E1524" s="3">
        <f t="shared" si="95"/>
        <v>407.4</v>
      </c>
      <c r="F1524" s="1">
        <f t="shared" si="96"/>
        <v>504.40000000000003</v>
      </c>
    </row>
    <row r="1525" spans="1:6" x14ac:dyDescent="0.25">
      <c r="A1525" s="1" t="s">
        <v>995</v>
      </c>
      <c r="B1525" s="1" t="s">
        <v>1848</v>
      </c>
      <c r="C1525" s="1">
        <v>319</v>
      </c>
      <c r="D1525" s="1">
        <v>0.42</v>
      </c>
      <c r="E1525" s="3">
        <f t="shared" si="95"/>
        <v>133.97999999999999</v>
      </c>
      <c r="F1525" s="1">
        <f t="shared" si="96"/>
        <v>165.88</v>
      </c>
    </row>
    <row r="1526" spans="1:6" x14ac:dyDescent="0.25">
      <c r="A1526" s="1" t="s">
        <v>995</v>
      </c>
      <c r="B1526" s="1" t="s">
        <v>1009</v>
      </c>
      <c r="C1526" s="1">
        <v>542</v>
      </c>
      <c r="D1526" s="1">
        <v>0.45</v>
      </c>
      <c r="E1526" s="3">
        <f t="shared" si="95"/>
        <v>243.9</v>
      </c>
      <c r="F1526" s="1">
        <f t="shared" si="96"/>
        <v>298.10000000000002</v>
      </c>
    </row>
    <row r="1527" spans="1:6" x14ac:dyDescent="0.25">
      <c r="A1527" s="1" t="s">
        <v>995</v>
      </c>
      <c r="B1527" s="1" t="s">
        <v>1851</v>
      </c>
      <c r="C1527" s="1">
        <v>264</v>
      </c>
      <c r="D1527" s="1">
        <v>0.42</v>
      </c>
      <c r="E1527" s="3">
        <f t="shared" si="95"/>
        <v>110.88</v>
      </c>
      <c r="F1527" s="1">
        <f t="shared" si="96"/>
        <v>137.28</v>
      </c>
    </row>
    <row r="1528" spans="1:6" x14ac:dyDescent="0.25">
      <c r="A1528" s="1" t="s">
        <v>995</v>
      </c>
      <c r="B1528" s="1" t="s">
        <v>1420</v>
      </c>
      <c r="C1528" s="1">
        <v>225</v>
      </c>
      <c r="D1528" s="1">
        <v>0.42</v>
      </c>
      <c r="E1528" s="3">
        <f t="shared" si="95"/>
        <v>94.5</v>
      </c>
      <c r="F1528" s="1">
        <f t="shared" si="96"/>
        <v>117</v>
      </c>
    </row>
    <row r="1529" spans="1:6" x14ac:dyDescent="0.25">
      <c r="A1529" s="1" t="s">
        <v>995</v>
      </c>
      <c r="B1529" s="1" t="s">
        <v>1852</v>
      </c>
      <c r="C1529" s="1">
        <v>264</v>
      </c>
      <c r="D1529" s="1">
        <v>0.42</v>
      </c>
      <c r="E1529" s="3">
        <f t="shared" si="95"/>
        <v>110.88</v>
      </c>
      <c r="F1529" s="1">
        <f t="shared" si="96"/>
        <v>137.28</v>
      </c>
    </row>
    <row r="1530" spans="1:6" x14ac:dyDescent="0.25">
      <c r="A1530" s="1" t="s">
        <v>995</v>
      </c>
      <c r="B1530" s="1" t="s">
        <v>1000</v>
      </c>
      <c r="C1530" s="1">
        <v>222</v>
      </c>
      <c r="D1530" s="1">
        <v>0.5</v>
      </c>
      <c r="E1530" s="3">
        <f t="shared" si="95"/>
        <v>111</v>
      </c>
      <c r="F1530" s="1">
        <f t="shared" si="96"/>
        <v>133.19999999999999</v>
      </c>
    </row>
    <row r="1531" spans="1:6" s="26" customFormat="1" ht="15.75" thickBot="1" x14ac:dyDescent="0.3">
      <c r="A1531" s="9" t="s">
        <v>995</v>
      </c>
      <c r="B1531" s="9" t="s">
        <v>1010</v>
      </c>
      <c r="C1531" s="9">
        <v>323</v>
      </c>
      <c r="D1531" s="9">
        <v>0.45</v>
      </c>
      <c r="E1531" s="3">
        <f t="shared" si="95"/>
        <v>145.35</v>
      </c>
      <c r="F1531" s="1">
        <f t="shared" si="96"/>
        <v>177.65</v>
      </c>
    </row>
    <row r="1532" spans="1:6" s="26" customFormat="1" x14ac:dyDescent="0.25">
      <c r="A1532" s="38" t="s">
        <v>995</v>
      </c>
      <c r="B1532" s="38" t="s">
        <v>1850</v>
      </c>
      <c r="C1532" s="38">
        <v>637</v>
      </c>
      <c r="D1532" s="38">
        <v>0.42</v>
      </c>
      <c r="E1532" s="39">
        <f t="shared" si="95"/>
        <v>267.53999999999996</v>
      </c>
      <c r="F1532" s="38">
        <f t="shared" si="96"/>
        <v>331.24</v>
      </c>
    </row>
    <row r="1533" spans="1:6" s="26" customFormat="1" x14ac:dyDescent="0.25">
      <c r="A1533" s="38" t="s">
        <v>995</v>
      </c>
      <c r="B1533" s="38" t="s">
        <v>1427</v>
      </c>
      <c r="C1533" s="38">
        <v>610</v>
      </c>
      <c r="D1533" s="38">
        <v>0.44400000000000001</v>
      </c>
      <c r="E1533" s="39">
        <f t="shared" si="95"/>
        <v>270.84000000000003</v>
      </c>
      <c r="F1533" s="38">
        <f t="shared" si="96"/>
        <v>331.84000000000003</v>
      </c>
    </row>
    <row r="1534" spans="1:6" s="26" customFormat="1" x14ac:dyDescent="0.25">
      <c r="A1534" s="38" t="s">
        <v>995</v>
      </c>
      <c r="B1534" s="38" t="s">
        <v>1421</v>
      </c>
      <c r="C1534" s="38">
        <v>315</v>
      </c>
      <c r="D1534" s="38">
        <v>0.45</v>
      </c>
      <c r="E1534" s="39">
        <f t="shared" si="95"/>
        <v>141.75</v>
      </c>
      <c r="F1534" s="38">
        <f t="shared" si="96"/>
        <v>173.25</v>
      </c>
    </row>
    <row r="1535" spans="1:6" s="26" customFormat="1" x14ac:dyDescent="0.25">
      <c r="A1535" s="38" t="s">
        <v>995</v>
      </c>
      <c r="B1535" s="38" t="s">
        <v>1640</v>
      </c>
      <c r="C1535" s="38">
        <v>285</v>
      </c>
      <c r="D1535" s="38">
        <v>0.41</v>
      </c>
      <c r="E1535" s="39">
        <f t="shared" si="95"/>
        <v>116.85</v>
      </c>
      <c r="F1535" s="38">
        <f t="shared" si="96"/>
        <v>145.35</v>
      </c>
    </row>
    <row r="1536" spans="1:6" s="26" customFormat="1" x14ac:dyDescent="0.25">
      <c r="A1536" s="38" t="s">
        <v>995</v>
      </c>
      <c r="B1536" s="38" t="s">
        <v>1642</v>
      </c>
      <c r="C1536" s="38">
        <v>1289</v>
      </c>
      <c r="D1536" s="38">
        <v>0.42</v>
      </c>
      <c r="E1536" s="39">
        <f t="shared" si="95"/>
        <v>541.38</v>
      </c>
      <c r="F1536" s="38">
        <f t="shared" si="96"/>
        <v>670.28</v>
      </c>
    </row>
    <row r="1537" spans="1:6" s="26" customFormat="1" x14ac:dyDescent="0.25">
      <c r="A1537" s="38" t="s">
        <v>995</v>
      </c>
      <c r="B1537" s="38" t="s">
        <v>1013</v>
      </c>
      <c r="C1537" s="38">
        <v>1</v>
      </c>
      <c r="D1537" s="38">
        <v>0.5</v>
      </c>
      <c r="E1537" s="39">
        <f t="shared" si="95"/>
        <v>0.5</v>
      </c>
      <c r="F1537" s="38">
        <f t="shared" si="96"/>
        <v>0.6</v>
      </c>
    </row>
    <row r="1538" spans="1:6" s="26" customFormat="1" x14ac:dyDescent="0.25">
      <c r="A1538" s="38" t="s">
        <v>995</v>
      </c>
      <c r="B1538" s="38" t="s">
        <v>1422</v>
      </c>
      <c r="C1538" s="38">
        <v>750</v>
      </c>
      <c r="D1538" s="38">
        <v>0.49</v>
      </c>
      <c r="E1538" s="39">
        <f t="shared" si="95"/>
        <v>367.5</v>
      </c>
      <c r="F1538" s="38">
        <f t="shared" si="96"/>
        <v>442.5</v>
      </c>
    </row>
    <row r="1539" spans="1:6" s="26" customFormat="1" x14ac:dyDescent="0.25">
      <c r="A1539" s="38" t="s">
        <v>995</v>
      </c>
      <c r="B1539" s="38" t="s">
        <v>999</v>
      </c>
      <c r="C1539" s="38">
        <v>1</v>
      </c>
      <c r="D1539" s="38">
        <v>0.5</v>
      </c>
      <c r="E1539" s="39">
        <f t="shared" ref="E1539:E1545" si="97">C1539*D1539</f>
        <v>0.5</v>
      </c>
      <c r="F1539" s="38">
        <f t="shared" ref="F1539:F1570" si="98">C1539*(D1539+0.1)</f>
        <v>0.6</v>
      </c>
    </row>
    <row r="1540" spans="1:6" s="26" customFormat="1" x14ac:dyDescent="0.25">
      <c r="A1540" s="38" t="s">
        <v>995</v>
      </c>
      <c r="B1540" s="38" t="s">
        <v>1426</v>
      </c>
      <c r="C1540" s="38">
        <v>479</v>
      </c>
      <c r="D1540" s="38">
        <v>0.43</v>
      </c>
      <c r="E1540" s="39">
        <f t="shared" si="97"/>
        <v>205.97</v>
      </c>
      <c r="F1540" s="38">
        <f t="shared" si="98"/>
        <v>253.87</v>
      </c>
    </row>
    <row r="1541" spans="1:6" s="26" customFormat="1" x14ac:dyDescent="0.25">
      <c r="A1541" s="38" t="s">
        <v>995</v>
      </c>
      <c r="B1541" s="38" t="s">
        <v>1001</v>
      </c>
      <c r="C1541" s="38">
        <v>1</v>
      </c>
      <c r="D1541" s="38">
        <v>0.5</v>
      </c>
      <c r="E1541" s="39">
        <f t="shared" si="97"/>
        <v>0.5</v>
      </c>
      <c r="F1541" s="38">
        <f t="shared" si="98"/>
        <v>0.6</v>
      </c>
    </row>
    <row r="1542" spans="1:6" s="26" customFormat="1" x14ac:dyDescent="0.25">
      <c r="A1542" s="38" t="s">
        <v>995</v>
      </c>
      <c r="B1542" s="38" t="s">
        <v>1641</v>
      </c>
      <c r="C1542" s="38">
        <v>275</v>
      </c>
      <c r="D1542" s="38">
        <v>0.44</v>
      </c>
      <c r="E1542" s="39">
        <f t="shared" si="97"/>
        <v>121</v>
      </c>
      <c r="F1542" s="38">
        <f t="shared" si="98"/>
        <v>148.5</v>
      </c>
    </row>
    <row r="1543" spans="1:6" s="26" customFormat="1" x14ac:dyDescent="0.25">
      <c r="A1543" s="38" t="s">
        <v>995</v>
      </c>
      <c r="B1543" s="38" t="s">
        <v>1002</v>
      </c>
      <c r="C1543" s="38">
        <v>1</v>
      </c>
      <c r="D1543" s="38">
        <v>0.5</v>
      </c>
      <c r="E1543" s="39">
        <f t="shared" si="97"/>
        <v>0.5</v>
      </c>
      <c r="F1543" s="38">
        <f t="shared" si="98"/>
        <v>0.6</v>
      </c>
    </row>
    <row r="1544" spans="1:6" s="26" customFormat="1" x14ac:dyDescent="0.25">
      <c r="A1544" s="38" t="s">
        <v>995</v>
      </c>
      <c r="B1544" s="38" t="s">
        <v>1011</v>
      </c>
      <c r="C1544" s="38">
        <v>1</v>
      </c>
      <c r="D1544" s="38">
        <v>0.5</v>
      </c>
      <c r="E1544" s="39">
        <f t="shared" si="97"/>
        <v>0.5</v>
      </c>
      <c r="F1544" s="38">
        <f t="shared" si="98"/>
        <v>0.6</v>
      </c>
    </row>
    <row r="1545" spans="1:6" s="26" customFormat="1" x14ac:dyDescent="0.25">
      <c r="A1545" s="38" t="s">
        <v>995</v>
      </c>
      <c r="B1545" s="38" t="s">
        <v>1004</v>
      </c>
      <c r="C1545" s="38">
        <v>553</v>
      </c>
      <c r="D1545" s="38">
        <v>0.42</v>
      </c>
      <c r="E1545" s="39">
        <f t="shared" si="97"/>
        <v>232.26</v>
      </c>
      <c r="F1545" s="38">
        <f t="shared" si="98"/>
        <v>287.56</v>
      </c>
    </row>
    <row r="1546" spans="1:6" s="7" customFormat="1" x14ac:dyDescent="0.25">
      <c r="A1546" s="1" t="s">
        <v>1014</v>
      </c>
      <c r="B1546" s="7" t="s">
        <v>1015</v>
      </c>
      <c r="C1546" s="7">
        <v>1161</v>
      </c>
      <c r="D1546" s="7">
        <v>0.54</v>
      </c>
      <c r="E1546" s="8">
        <f t="shared" ref="E1546:E1577" si="99">(C1546*D1546)</f>
        <v>626.94000000000005</v>
      </c>
      <c r="F1546" s="7">
        <f t="shared" si="98"/>
        <v>743.04</v>
      </c>
    </row>
    <row r="1547" spans="1:6" s="7" customFormat="1" x14ac:dyDescent="0.25">
      <c r="A1547" s="1" t="s">
        <v>1014</v>
      </c>
      <c r="B1547" s="7" t="s">
        <v>1315</v>
      </c>
      <c r="C1547" s="7">
        <v>305</v>
      </c>
      <c r="D1547" s="7">
        <v>0.54</v>
      </c>
      <c r="E1547" s="8">
        <f t="shared" si="99"/>
        <v>164.70000000000002</v>
      </c>
      <c r="F1547" s="7">
        <f t="shared" si="98"/>
        <v>195.20000000000002</v>
      </c>
    </row>
    <row r="1548" spans="1:6" x14ac:dyDescent="0.25">
      <c r="A1548" s="1" t="s">
        <v>1014</v>
      </c>
      <c r="B1548" s="1" t="s">
        <v>1031</v>
      </c>
      <c r="C1548" s="1">
        <v>419</v>
      </c>
      <c r="D1548" s="1">
        <v>0.54</v>
      </c>
      <c r="E1548" s="8">
        <f t="shared" si="99"/>
        <v>226.26000000000002</v>
      </c>
      <c r="F1548" s="7">
        <f t="shared" si="98"/>
        <v>268.16000000000003</v>
      </c>
    </row>
    <row r="1549" spans="1:6" x14ac:dyDescent="0.25">
      <c r="A1549" s="1" t="s">
        <v>1014</v>
      </c>
      <c r="B1549" s="1" t="s">
        <v>1313</v>
      </c>
      <c r="C1549" s="1">
        <v>720</v>
      </c>
      <c r="D1549" s="1">
        <v>0.54</v>
      </c>
      <c r="E1549" s="8">
        <f t="shared" si="99"/>
        <v>388.8</v>
      </c>
      <c r="F1549" s="7">
        <f t="shared" si="98"/>
        <v>460.8</v>
      </c>
    </row>
    <row r="1550" spans="1:6" x14ac:dyDescent="0.25">
      <c r="A1550" s="1" t="s">
        <v>1014</v>
      </c>
      <c r="B1550" s="1" t="s">
        <v>1314</v>
      </c>
      <c r="C1550" s="1">
        <v>820</v>
      </c>
      <c r="D1550" s="1">
        <v>0.54</v>
      </c>
      <c r="E1550" s="8">
        <f t="shared" si="99"/>
        <v>442.8</v>
      </c>
      <c r="F1550" s="7">
        <f t="shared" si="98"/>
        <v>524.79999999999995</v>
      </c>
    </row>
    <row r="1551" spans="1:6" x14ac:dyDescent="0.25">
      <c r="A1551" s="1" t="s">
        <v>1014</v>
      </c>
      <c r="B1551" s="1" t="s">
        <v>1312</v>
      </c>
      <c r="C1551" s="1">
        <v>595</v>
      </c>
      <c r="D1551" s="1">
        <v>0.54</v>
      </c>
      <c r="E1551" s="8">
        <f t="shared" si="99"/>
        <v>321.3</v>
      </c>
      <c r="F1551" s="7">
        <f t="shared" si="98"/>
        <v>380.8</v>
      </c>
    </row>
    <row r="1552" spans="1:6" x14ac:dyDescent="0.25">
      <c r="A1552" s="1" t="s">
        <v>1014</v>
      </c>
      <c r="B1552" s="1" t="s">
        <v>1311</v>
      </c>
      <c r="C1552" s="1">
        <v>680</v>
      </c>
      <c r="D1552" s="1">
        <v>0.54</v>
      </c>
      <c r="E1552" s="8">
        <f t="shared" si="99"/>
        <v>367.20000000000005</v>
      </c>
      <c r="F1552" s="7">
        <f t="shared" si="98"/>
        <v>435.2</v>
      </c>
    </row>
    <row r="1553" spans="1:6" x14ac:dyDescent="0.25">
      <c r="A1553" s="1" t="s">
        <v>1014</v>
      </c>
      <c r="B1553" s="1" t="s">
        <v>1016</v>
      </c>
      <c r="C1553" s="1">
        <v>415</v>
      </c>
      <c r="D1553" s="1">
        <v>0.54</v>
      </c>
      <c r="E1553" s="8">
        <f t="shared" si="99"/>
        <v>224.10000000000002</v>
      </c>
      <c r="F1553" s="7">
        <f t="shared" si="98"/>
        <v>265.60000000000002</v>
      </c>
    </row>
    <row r="1554" spans="1:6" x14ac:dyDescent="0.25">
      <c r="A1554" s="1" t="s">
        <v>1014</v>
      </c>
      <c r="B1554" s="1" t="s">
        <v>1462</v>
      </c>
      <c r="C1554" s="1">
        <v>168</v>
      </c>
      <c r="D1554" s="1">
        <v>0.54</v>
      </c>
      <c r="E1554" s="8">
        <f t="shared" si="99"/>
        <v>90.72</v>
      </c>
      <c r="F1554" s="7">
        <f t="shared" si="98"/>
        <v>107.52</v>
      </c>
    </row>
    <row r="1555" spans="1:6" x14ac:dyDescent="0.25">
      <c r="A1555" s="1" t="s">
        <v>1014</v>
      </c>
      <c r="B1555" s="1" t="s">
        <v>1020</v>
      </c>
      <c r="C1555" s="1">
        <v>174</v>
      </c>
      <c r="D1555" s="1">
        <v>0.54</v>
      </c>
      <c r="E1555" s="8">
        <f t="shared" si="99"/>
        <v>93.960000000000008</v>
      </c>
      <c r="F1555" s="7">
        <f t="shared" si="98"/>
        <v>111.36</v>
      </c>
    </row>
    <row r="1556" spans="1:6" x14ac:dyDescent="0.25">
      <c r="A1556" s="1" t="s">
        <v>1014</v>
      </c>
      <c r="B1556" s="1" t="s">
        <v>1021</v>
      </c>
      <c r="C1556" s="1">
        <v>175</v>
      </c>
      <c r="D1556" s="1">
        <v>0.54</v>
      </c>
      <c r="E1556" s="8">
        <f t="shared" si="99"/>
        <v>94.5</v>
      </c>
      <c r="F1556" s="7">
        <f t="shared" si="98"/>
        <v>112</v>
      </c>
    </row>
    <row r="1557" spans="1:6" x14ac:dyDescent="0.25">
      <c r="A1557" s="1" t="s">
        <v>1014</v>
      </c>
      <c r="B1557" s="1" t="s">
        <v>1307</v>
      </c>
      <c r="C1557" s="1">
        <v>172.5</v>
      </c>
      <c r="D1557" s="1">
        <v>0.54</v>
      </c>
      <c r="E1557" s="8">
        <f t="shared" si="99"/>
        <v>93.15</v>
      </c>
      <c r="F1557" s="7">
        <f t="shared" si="98"/>
        <v>110.4</v>
      </c>
    </row>
    <row r="1558" spans="1:6" x14ac:dyDescent="0.25">
      <c r="A1558" s="1" t="s">
        <v>1014</v>
      </c>
      <c r="B1558" s="1" t="s">
        <v>1022</v>
      </c>
      <c r="C1558" s="1">
        <v>140</v>
      </c>
      <c r="D1558" s="1">
        <v>0.54</v>
      </c>
      <c r="E1558" s="8">
        <f t="shared" si="99"/>
        <v>75.600000000000009</v>
      </c>
      <c r="F1558" s="7">
        <f t="shared" si="98"/>
        <v>89.600000000000009</v>
      </c>
    </row>
    <row r="1559" spans="1:6" x14ac:dyDescent="0.25">
      <c r="A1559" s="1" t="s">
        <v>1014</v>
      </c>
      <c r="B1559" s="1" t="s">
        <v>1463</v>
      </c>
      <c r="C1559" s="1">
        <v>170</v>
      </c>
      <c r="D1559" s="1">
        <v>0.54</v>
      </c>
      <c r="E1559" s="8">
        <f t="shared" si="99"/>
        <v>91.800000000000011</v>
      </c>
      <c r="F1559" s="7">
        <f t="shared" si="98"/>
        <v>108.8</v>
      </c>
    </row>
    <row r="1560" spans="1:6" x14ac:dyDescent="0.25">
      <c r="A1560" s="1" t="s">
        <v>1014</v>
      </c>
      <c r="B1560" s="1" t="s">
        <v>1319</v>
      </c>
      <c r="C1560" s="1">
        <v>955</v>
      </c>
      <c r="D1560" s="1">
        <v>0.54</v>
      </c>
      <c r="E1560" s="8">
        <f t="shared" si="99"/>
        <v>515.70000000000005</v>
      </c>
      <c r="F1560" s="7">
        <f t="shared" si="98"/>
        <v>611.20000000000005</v>
      </c>
    </row>
    <row r="1561" spans="1:6" x14ac:dyDescent="0.25">
      <c r="A1561" s="1" t="s">
        <v>1014</v>
      </c>
      <c r="B1561" s="1" t="s">
        <v>1320</v>
      </c>
      <c r="C1561" s="1">
        <v>765</v>
      </c>
      <c r="D1561" s="1">
        <v>0.54</v>
      </c>
      <c r="E1561" s="8">
        <f t="shared" si="99"/>
        <v>413.1</v>
      </c>
      <c r="F1561" s="7">
        <f t="shared" si="98"/>
        <v>489.6</v>
      </c>
    </row>
    <row r="1562" spans="1:6" x14ac:dyDescent="0.25">
      <c r="A1562" s="1" t="s">
        <v>1014</v>
      </c>
      <c r="B1562" s="1" t="s">
        <v>1321</v>
      </c>
      <c r="C1562" s="1">
        <v>555</v>
      </c>
      <c r="D1562" s="1">
        <v>0.54</v>
      </c>
      <c r="E1562" s="8">
        <f t="shared" si="99"/>
        <v>299.70000000000005</v>
      </c>
      <c r="F1562" s="7">
        <f t="shared" si="98"/>
        <v>355.2</v>
      </c>
    </row>
    <row r="1563" spans="1:6" x14ac:dyDescent="0.25">
      <c r="A1563" s="1" t="s">
        <v>1014</v>
      </c>
      <c r="B1563" s="1" t="s">
        <v>1032</v>
      </c>
      <c r="C1563" s="1">
        <v>560</v>
      </c>
      <c r="D1563" s="1">
        <v>0.54</v>
      </c>
      <c r="E1563" s="8">
        <f t="shared" si="99"/>
        <v>302.40000000000003</v>
      </c>
      <c r="F1563" s="7">
        <f t="shared" si="98"/>
        <v>358.40000000000003</v>
      </c>
    </row>
    <row r="1564" spans="1:6" x14ac:dyDescent="0.25">
      <c r="A1564" s="1" t="s">
        <v>1014</v>
      </c>
      <c r="B1564" s="1" t="s">
        <v>1335</v>
      </c>
      <c r="C1564" s="1">
        <v>0</v>
      </c>
      <c r="D1564" s="1">
        <v>0.56000000000000005</v>
      </c>
      <c r="E1564" s="8">
        <f t="shared" si="99"/>
        <v>0</v>
      </c>
      <c r="F1564" s="7">
        <f t="shared" si="98"/>
        <v>0</v>
      </c>
    </row>
    <row r="1565" spans="1:6" x14ac:dyDescent="0.25">
      <c r="A1565" s="1" t="s">
        <v>1014</v>
      </c>
      <c r="B1565" s="1" t="s">
        <v>1336</v>
      </c>
      <c r="C1565" s="1">
        <v>0</v>
      </c>
      <c r="D1565" s="1">
        <v>0.56000000000000005</v>
      </c>
      <c r="E1565" s="8">
        <f t="shared" si="99"/>
        <v>0</v>
      </c>
      <c r="F1565" s="7">
        <f t="shared" si="98"/>
        <v>0</v>
      </c>
    </row>
    <row r="1566" spans="1:6" x14ac:dyDescent="0.25">
      <c r="A1566" s="1" t="s">
        <v>1014</v>
      </c>
      <c r="B1566" s="1" t="s">
        <v>1337</v>
      </c>
      <c r="C1566" s="1">
        <v>0</v>
      </c>
      <c r="D1566" s="1">
        <v>0.56999999999999995</v>
      </c>
      <c r="E1566" s="8">
        <f t="shared" si="99"/>
        <v>0</v>
      </c>
      <c r="F1566" s="7">
        <f t="shared" si="98"/>
        <v>0</v>
      </c>
    </row>
    <row r="1567" spans="1:6" x14ac:dyDescent="0.25">
      <c r="A1567" s="1" t="s">
        <v>1014</v>
      </c>
      <c r="B1567" s="1" t="s">
        <v>1338</v>
      </c>
      <c r="C1567" s="1">
        <v>0</v>
      </c>
      <c r="D1567" s="1">
        <v>0.56999999999999995</v>
      </c>
      <c r="E1567" s="8">
        <f t="shared" si="99"/>
        <v>0</v>
      </c>
      <c r="F1567" s="7">
        <f t="shared" si="98"/>
        <v>0</v>
      </c>
    </row>
    <row r="1568" spans="1:6" x14ac:dyDescent="0.25">
      <c r="A1568" s="1" t="s">
        <v>1014</v>
      </c>
      <c r="B1568" s="1" t="s">
        <v>1466</v>
      </c>
      <c r="C1568" s="1">
        <v>185</v>
      </c>
      <c r="D1568" s="1">
        <v>0.6</v>
      </c>
      <c r="E1568" s="8">
        <f t="shared" si="99"/>
        <v>111</v>
      </c>
      <c r="F1568" s="7">
        <f t="shared" si="98"/>
        <v>129.5</v>
      </c>
    </row>
    <row r="1569" spans="1:6" x14ac:dyDescent="0.25">
      <c r="A1569" s="1" t="s">
        <v>1014</v>
      </c>
      <c r="B1569" s="1" t="s">
        <v>1467</v>
      </c>
      <c r="C1569" s="1">
        <v>200</v>
      </c>
      <c r="D1569" s="1">
        <v>0.6</v>
      </c>
      <c r="E1569" s="8">
        <f t="shared" si="99"/>
        <v>120</v>
      </c>
      <c r="F1569" s="7">
        <f t="shared" si="98"/>
        <v>140</v>
      </c>
    </row>
    <row r="1570" spans="1:6" x14ac:dyDescent="0.25">
      <c r="A1570" s="1" t="s">
        <v>1014</v>
      </c>
      <c r="B1570" s="1" t="s">
        <v>1024</v>
      </c>
      <c r="C1570" s="1">
        <v>290</v>
      </c>
      <c r="D1570" s="1">
        <v>0.54</v>
      </c>
      <c r="E1570" s="8">
        <f t="shared" si="99"/>
        <v>156.60000000000002</v>
      </c>
      <c r="F1570" s="7">
        <f t="shared" si="98"/>
        <v>185.6</v>
      </c>
    </row>
    <row r="1571" spans="1:6" x14ac:dyDescent="0.25">
      <c r="A1571" s="1" t="s">
        <v>1014</v>
      </c>
      <c r="B1571" s="1" t="s">
        <v>1023</v>
      </c>
      <c r="C1571" s="1">
        <v>420</v>
      </c>
      <c r="D1571" s="1">
        <v>0.54</v>
      </c>
      <c r="E1571" s="8">
        <f t="shared" si="99"/>
        <v>226.8</v>
      </c>
      <c r="F1571" s="7">
        <f t="shared" ref="F1571:F1602" si="100">C1571*(D1571+0.1)</f>
        <v>268.8</v>
      </c>
    </row>
    <row r="1572" spans="1:6" x14ac:dyDescent="0.25">
      <c r="A1572" s="1" t="s">
        <v>1014</v>
      </c>
      <c r="B1572" s="1" t="s">
        <v>1030</v>
      </c>
      <c r="C1572" s="1">
        <v>495</v>
      </c>
      <c r="D1572" s="1">
        <v>0.54</v>
      </c>
      <c r="E1572" s="8">
        <f t="shared" si="99"/>
        <v>267.3</v>
      </c>
      <c r="F1572" s="7">
        <f t="shared" si="100"/>
        <v>316.8</v>
      </c>
    </row>
    <row r="1573" spans="1:6" x14ac:dyDescent="0.25">
      <c r="A1573" s="1" t="s">
        <v>1014</v>
      </c>
      <c r="B1573" s="1" t="s">
        <v>1027</v>
      </c>
      <c r="D1573" s="1">
        <v>0.52</v>
      </c>
      <c r="E1573" s="8">
        <f t="shared" si="99"/>
        <v>0</v>
      </c>
      <c r="F1573" s="7">
        <f t="shared" si="100"/>
        <v>0</v>
      </c>
    </row>
    <row r="1574" spans="1:6" x14ac:dyDescent="0.25">
      <c r="A1574" s="1" t="s">
        <v>1014</v>
      </c>
      <c r="B1574" s="1" t="s">
        <v>1025</v>
      </c>
      <c r="C1574" s="1">
        <v>43.3</v>
      </c>
      <c r="D1574" s="1">
        <v>0.54</v>
      </c>
      <c r="E1574" s="8">
        <f t="shared" si="99"/>
        <v>23.382000000000001</v>
      </c>
      <c r="F1574" s="7">
        <f t="shared" si="100"/>
        <v>27.712</v>
      </c>
    </row>
    <row r="1575" spans="1:6" x14ac:dyDescent="0.25">
      <c r="A1575" s="1" t="s">
        <v>1014</v>
      </c>
      <c r="B1575" s="1" t="s">
        <v>1026</v>
      </c>
      <c r="C1575" s="1">
        <v>23.75</v>
      </c>
      <c r="D1575" s="1">
        <v>0.54</v>
      </c>
      <c r="E1575" s="8">
        <f t="shared" si="99"/>
        <v>12.825000000000001</v>
      </c>
      <c r="F1575" s="7">
        <f t="shared" si="100"/>
        <v>15.200000000000001</v>
      </c>
    </row>
    <row r="1576" spans="1:6" x14ac:dyDescent="0.25">
      <c r="A1576" s="1" t="s">
        <v>1014</v>
      </c>
      <c r="B1576" s="1" t="s">
        <v>1028</v>
      </c>
      <c r="C1576" s="1">
        <v>100</v>
      </c>
      <c r="D1576" s="1">
        <v>0.54</v>
      </c>
      <c r="E1576" s="8">
        <f t="shared" si="99"/>
        <v>54</v>
      </c>
      <c r="F1576" s="7">
        <f t="shared" si="100"/>
        <v>64</v>
      </c>
    </row>
    <row r="1577" spans="1:6" x14ac:dyDescent="0.25">
      <c r="A1577" s="1" t="s">
        <v>1014</v>
      </c>
      <c r="B1577" s="1" t="s">
        <v>1324</v>
      </c>
      <c r="C1577" s="1">
        <v>560</v>
      </c>
      <c r="D1577" s="1">
        <v>0.54</v>
      </c>
      <c r="E1577" s="8">
        <f t="shared" si="99"/>
        <v>302.40000000000003</v>
      </c>
      <c r="F1577" s="7">
        <f t="shared" si="100"/>
        <v>358.40000000000003</v>
      </c>
    </row>
    <row r="1578" spans="1:6" x14ac:dyDescent="0.25">
      <c r="A1578" s="1" t="s">
        <v>1014</v>
      </c>
      <c r="B1578" s="1" t="s">
        <v>1325</v>
      </c>
      <c r="C1578" s="1">
        <v>575</v>
      </c>
      <c r="D1578" s="1">
        <v>0.54</v>
      </c>
      <c r="E1578" s="8">
        <f t="shared" ref="E1578:E1609" si="101">(C1578*D1578)</f>
        <v>310.5</v>
      </c>
      <c r="F1578" s="7">
        <f t="shared" si="100"/>
        <v>368</v>
      </c>
    </row>
    <row r="1579" spans="1:6" x14ac:dyDescent="0.25">
      <c r="A1579" s="1" t="s">
        <v>1014</v>
      </c>
      <c r="B1579" s="1" t="s">
        <v>1326</v>
      </c>
      <c r="C1579" s="1">
        <v>584</v>
      </c>
      <c r="D1579" s="1">
        <v>0.54</v>
      </c>
      <c r="E1579" s="8">
        <f t="shared" si="101"/>
        <v>315.36</v>
      </c>
      <c r="F1579" s="7">
        <f t="shared" si="100"/>
        <v>373.76</v>
      </c>
    </row>
    <row r="1580" spans="1:6" x14ac:dyDescent="0.25">
      <c r="A1580" s="1" t="s">
        <v>1014</v>
      </c>
      <c r="B1580" s="1" t="s">
        <v>1327</v>
      </c>
      <c r="C1580" s="1">
        <v>625</v>
      </c>
      <c r="D1580" s="1">
        <v>0.54</v>
      </c>
      <c r="E1580" s="8">
        <f t="shared" si="101"/>
        <v>337.5</v>
      </c>
      <c r="F1580" s="7">
        <f t="shared" si="100"/>
        <v>400</v>
      </c>
    </row>
    <row r="1581" spans="1:6" x14ac:dyDescent="0.25">
      <c r="A1581" s="1" t="s">
        <v>1014</v>
      </c>
      <c r="B1581" s="1" t="s">
        <v>1328</v>
      </c>
      <c r="C1581" s="1">
        <v>650</v>
      </c>
      <c r="D1581" s="1">
        <v>0.54</v>
      </c>
      <c r="E1581" s="8">
        <f t="shared" si="101"/>
        <v>351</v>
      </c>
      <c r="F1581" s="7">
        <f t="shared" si="100"/>
        <v>416</v>
      </c>
    </row>
    <row r="1582" spans="1:6" x14ac:dyDescent="0.25">
      <c r="A1582" s="1" t="s">
        <v>1014</v>
      </c>
      <c r="B1582" s="1" t="s">
        <v>1329</v>
      </c>
      <c r="C1582" s="1">
        <v>490</v>
      </c>
      <c r="D1582" s="1">
        <v>0.54</v>
      </c>
      <c r="E1582" s="8">
        <f t="shared" si="101"/>
        <v>264.60000000000002</v>
      </c>
      <c r="F1582" s="7">
        <f t="shared" si="100"/>
        <v>313.60000000000002</v>
      </c>
    </row>
    <row r="1583" spans="1:6" x14ac:dyDescent="0.25">
      <c r="A1583" s="1" t="s">
        <v>1014</v>
      </c>
      <c r="B1583" s="1" t="s">
        <v>1330</v>
      </c>
      <c r="C1583" s="1">
        <v>495</v>
      </c>
      <c r="D1583" s="1">
        <v>0.54</v>
      </c>
      <c r="E1583" s="8">
        <f t="shared" si="101"/>
        <v>267.3</v>
      </c>
      <c r="F1583" s="7">
        <f t="shared" si="100"/>
        <v>316.8</v>
      </c>
    </row>
    <row r="1584" spans="1:6" x14ac:dyDescent="0.25">
      <c r="A1584" s="1" t="s">
        <v>1014</v>
      </c>
      <c r="B1584" s="1" t="s">
        <v>1331</v>
      </c>
      <c r="C1584" s="1">
        <v>530</v>
      </c>
      <c r="D1584" s="1">
        <v>0.54</v>
      </c>
      <c r="E1584" s="8">
        <f t="shared" si="101"/>
        <v>286.20000000000005</v>
      </c>
      <c r="F1584" s="7">
        <f t="shared" si="100"/>
        <v>339.2</v>
      </c>
    </row>
    <row r="1585" spans="1:6" x14ac:dyDescent="0.25">
      <c r="A1585" s="1" t="s">
        <v>1014</v>
      </c>
      <c r="B1585" s="1" t="s">
        <v>1332</v>
      </c>
      <c r="C1585" s="1">
        <v>550</v>
      </c>
      <c r="D1585" s="1">
        <v>0.54</v>
      </c>
      <c r="E1585" s="8">
        <f t="shared" si="101"/>
        <v>297</v>
      </c>
      <c r="F1585" s="7">
        <f t="shared" si="100"/>
        <v>352</v>
      </c>
    </row>
    <row r="1586" spans="1:6" x14ac:dyDescent="0.25">
      <c r="A1586" s="1" t="s">
        <v>1014</v>
      </c>
      <c r="B1586" s="1" t="s">
        <v>1333</v>
      </c>
      <c r="C1586" s="1">
        <v>580</v>
      </c>
      <c r="D1586" s="1">
        <v>0.54</v>
      </c>
      <c r="E1586" s="8">
        <f t="shared" si="101"/>
        <v>313.20000000000005</v>
      </c>
      <c r="F1586" s="7">
        <f t="shared" si="100"/>
        <v>371.2</v>
      </c>
    </row>
    <row r="1587" spans="1:6" x14ac:dyDescent="0.25">
      <c r="A1587" s="1" t="s">
        <v>1014</v>
      </c>
      <c r="B1587" s="1" t="s">
        <v>1334</v>
      </c>
      <c r="C1587" s="1">
        <v>605</v>
      </c>
      <c r="D1587" s="1">
        <v>0.54</v>
      </c>
      <c r="E1587" s="8">
        <f t="shared" si="101"/>
        <v>326.70000000000005</v>
      </c>
      <c r="F1587" s="7">
        <f t="shared" si="100"/>
        <v>387.2</v>
      </c>
    </row>
    <row r="1588" spans="1:6" x14ac:dyDescent="0.25">
      <c r="A1588" s="1" t="s">
        <v>1014</v>
      </c>
      <c r="B1588" s="1" t="s">
        <v>1029</v>
      </c>
      <c r="C1588" s="1">
        <v>324</v>
      </c>
      <c r="D1588" s="1">
        <v>0.54</v>
      </c>
      <c r="E1588" s="8">
        <f t="shared" si="101"/>
        <v>174.96</v>
      </c>
      <c r="F1588" s="7">
        <f t="shared" si="100"/>
        <v>207.36</v>
      </c>
    </row>
    <row r="1589" spans="1:6" x14ac:dyDescent="0.25">
      <c r="A1589" s="1" t="s">
        <v>1014</v>
      </c>
      <c r="B1589" s="1" t="s">
        <v>1344</v>
      </c>
      <c r="C1589" s="1">
        <v>186</v>
      </c>
      <c r="D1589" s="1">
        <v>0.54</v>
      </c>
      <c r="E1589" s="8">
        <f t="shared" si="101"/>
        <v>100.44000000000001</v>
      </c>
      <c r="F1589" s="7">
        <f t="shared" si="100"/>
        <v>119.04</v>
      </c>
    </row>
    <row r="1590" spans="1:6" x14ac:dyDescent="0.25">
      <c r="A1590" s="1" t="s">
        <v>1014</v>
      </c>
      <c r="B1590" s="1" t="s">
        <v>1318</v>
      </c>
      <c r="C1590" s="1">
        <v>300</v>
      </c>
      <c r="D1590" s="1">
        <v>0.54</v>
      </c>
      <c r="E1590" s="8">
        <f t="shared" si="101"/>
        <v>162</v>
      </c>
      <c r="F1590" s="7">
        <f t="shared" si="100"/>
        <v>192</v>
      </c>
    </row>
    <row r="1591" spans="1:6" x14ac:dyDescent="0.25">
      <c r="A1591" s="1" t="s">
        <v>1014</v>
      </c>
      <c r="B1591" s="1" t="s">
        <v>1464</v>
      </c>
      <c r="C1591" s="1">
        <v>150</v>
      </c>
      <c r="D1591" s="1">
        <v>0.54</v>
      </c>
      <c r="E1591" s="8">
        <f t="shared" si="101"/>
        <v>81</v>
      </c>
      <c r="F1591" s="7">
        <f t="shared" si="100"/>
        <v>96</v>
      </c>
    </row>
    <row r="1592" spans="1:6" x14ac:dyDescent="0.25">
      <c r="A1592" s="1" t="s">
        <v>1014</v>
      </c>
      <c r="B1592" s="1" t="s">
        <v>1465</v>
      </c>
      <c r="C1592" s="1">
        <v>202</v>
      </c>
      <c r="D1592" s="1">
        <v>0.54</v>
      </c>
      <c r="E1592" s="8">
        <f t="shared" si="101"/>
        <v>109.08000000000001</v>
      </c>
      <c r="F1592" s="7">
        <f t="shared" si="100"/>
        <v>129.28</v>
      </c>
    </row>
    <row r="1593" spans="1:6" x14ac:dyDescent="0.25">
      <c r="A1593" s="1" t="s">
        <v>1014</v>
      </c>
      <c r="B1593" s="1" t="s">
        <v>1034</v>
      </c>
      <c r="C1593" s="1">
        <v>312</v>
      </c>
      <c r="D1593" s="1">
        <v>0.54</v>
      </c>
      <c r="E1593" s="8">
        <f t="shared" si="101"/>
        <v>168.48000000000002</v>
      </c>
      <c r="F1593" s="7">
        <f t="shared" si="100"/>
        <v>199.68</v>
      </c>
    </row>
    <row r="1594" spans="1:6" x14ac:dyDescent="0.25">
      <c r="A1594" s="1" t="s">
        <v>1014</v>
      </c>
      <c r="B1594" s="1" t="s">
        <v>1310</v>
      </c>
      <c r="C1594" s="1">
        <v>242</v>
      </c>
      <c r="D1594" s="1">
        <v>0.54</v>
      </c>
      <c r="E1594" s="8">
        <f t="shared" si="101"/>
        <v>130.68</v>
      </c>
      <c r="F1594" s="7">
        <f t="shared" si="100"/>
        <v>154.88</v>
      </c>
    </row>
    <row r="1595" spans="1:6" x14ac:dyDescent="0.25">
      <c r="A1595" s="1" t="s">
        <v>1014</v>
      </c>
      <c r="B1595" s="1" t="s">
        <v>1316</v>
      </c>
      <c r="C1595" s="1">
        <v>365</v>
      </c>
      <c r="D1595" s="1">
        <v>0.54</v>
      </c>
      <c r="E1595" s="8">
        <f t="shared" si="101"/>
        <v>197.10000000000002</v>
      </c>
      <c r="F1595" s="7">
        <f t="shared" si="100"/>
        <v>233.6</v>
      </c>
    </row>
    <row r="1596" spans="1:6" x14ac:dyDescent="0.25">
      <c r="A1596" s="1" t="s">
        <v>1014</v>
      </c>
      <c r="B1596" s="1" t="s">
        <v>1033</v>
      </c>
      <c r="C1596" s="1">
        <v>473</v>
      </c>
      <c r="D1596" s="1">
        <v>0.54</v>
      </c>
      <c r="E1596" s="8">
        <f t="shared" si="101"/>
        <v>255.42000000000002</v>
      </c>
      <c r="F1596" s="7">
        <f t="shared" si="100"/>
        <v>302.72000000000003</v>
      </c>
    </row>
    <row r="1597" spans="1:6" x14ac:dyDescent="0.25">
      <c r="A1597" s="1" t="s">
        <v>1014</v>
      </c>
      <c r="B1597" s="1" t="s">
        <v>1469</v>
      </c>
      <c r="C1597" s="1">
        <v>384</v>
      </c>
      <c r="D1597" s="1">
        <v>0.54</v>
      </c>
      <c r="E1597" s="8">
        <f t="shared" si="101"/>
        <v>207.36</v>
      </c>
      <c r="F1597" s="7">
        <f t="shared" si="100"/>
        <v>245.76</v>
      </c>
    </row>
    <row r="1598" spans="1:6" x14ac:dyDescent="0.25">
      <c r="A1598" s="1" t="s">
        <v>1014</v>
      </c>
      <c r="B1598" s="1" t="s">
        <v>1044</v>
      </c>
      <c r="C1598" s="1">
        <v>0</v>
      </c>
      <c r="D1598" s="1">
        <v>0.54</v>
      </c>
      <c r="E1598" s="8">
        <f t="shared" si="101"/>
        <v>0</v>
      </c>
      <c r="F1598" s="7">
        <f t="shared" si="100"/>
        <v>0</v>
      </c>
    </row>
    <row r="1599" spans="1:6" x14ac:dyDescent="0.25">
      <c r="A1599" s="1" t="s">
        <v>1014</v>
      </c>
      <c r="B1599" s="1" t="s">
        <v>1322</v>
      </c>
      <c r="C1599" s="1">
        <v>360</v>
      </c>
      <c r="D1599" s="1">
        <v>0.54</v>
      </c>
      <c r="E1599" s="8">
        <f t="shared" si="101"/>
        <v>194.4</v>
      </c>
      <c r="F1599" s="7">
        <f t="shared" si="100"/>
        <v>230.4</v>
      </c>
    </row>
    <row r="1600" spans="1:6" x14ac:dyDescent="0.25">
      <c r="A1600" s="1" t="s">
        <v>1014</v>
      </c>
      <c r="B1600" s="1" t="s">
        <v>1323</v>
      </c>
      <c r="C1600" s="1">
        <v>360</v>
      </c>
      <c r="D1600" s="1">
        <v>0.54</v>
      </c>
      <c r="E1600" s="8">
        <f t="shared" si="101"/>
        <v>194.4</v>
      </c>
      <c r="F1600" s="7">
        <f t="shared" si="100"/>
        <v>230.4</v>
      </c>
    </row>
    <row r="1601" spans="1:6" x14ac:dyDescent="0.25">
      <c r="A1601" s="1" t="s">
        <v>1014</v>
      </c>
      <c r="B1601" s="1" t="s">
        <v>1037</v>
      </c>
      <c r="C1601" s="1">
        <v>360</v>
      </c>
      <c r="D1601" s="1">
        <v>0.54</v>
      </c>
      <c r="E1601" s="8">
        <f t="shared" si="101"/>
        <v>194.4</v>
      </c>
      <c r="F1601" s="7">
        <f t="shared" si="100"/>
        <v>230.4</v>
      </c>
    </row>
    <row r="1602" spans="1:6" x14ac:dyDescent="0.25">
      <c r="A1602" s="1" t="s">
        <v>1014</v>
      </c>
      <c r="B1602" s="1" t="s">
        <v>1038</v>
      </c>
      <c r="C1602" s="1">
        <v>260</v>
      </c>
      <c r="D1602" s="1">
        <v>0.54</v>
      </c>
      <c r="E1602" s="8">
        <f t="shared" si="101"/>
        <v>140.4</v>
      </c>
      <c r="F1602" s="7">
        <f t="shared" si="100"/>
        <v>166.4</v>
      </c>
    </row>
    <row r="1603" spans="1:6" x14ac:dyDescent="0.25">
      <c r="A1603" s="1" t="s">
        <v>1014</v>
      </c>
      <c r="B1603" s="1" t="s">
        <v>1039</v>
      </c>
      <c r="C1603" s="1">
        <v>398</v>
      </c>
      <c r="D1603" s="1">
        <v>0.54</v>
      </c>
      <c r="E1603" s="8">
        <f t="shared" si="101"/>
        <v>214.92000000000002</v>
      </c>
      <c r="F1603" s="7">
        <f t="shared" ref="F1603:F1615" si="102">C1603*(D1603+0.1)</f>
        <v>254.72</v>
      </c>
    </row>
    <row r="1604" spans="1:6" x14ac:dyDescent="0.25">
      <c r="A1604" s="1" t="s">
        <v>1014</v>
      </c>
      <c r="B1604" s="1" t="s">
        <v>1040</v>
      </c>
      <c r="C1604" s="1">
        <v>117</v>
      </c>
      <c r="D1604" s="1">
        <v>0.54</v>
      </c>
      <c r="E1604" s="8">
        <f t="shared" si="101"/>
        <v>63.180000000000007</v>
      </c>
      <c r="F1604" s="7">
        <f t="shared" si="102"/>
        <v>74.88</v>
      </c>
    </row>
    <row r="1605" spans="1:6" x14ac:dyDescent="0.25">
      <c r="A1605" s="1" t="s">
        <v>1014</v>
      </c>
      <c r="B1605" s="1" t="s">
        <v>1646</v>
      </c>
      <c r="C1605" s="1">
        <v>175</v>
      </c>
      <c r="D1605" s="1">
        <v>0.54</v>
      </c>
      <c r="E1605" s="8">
        <f t="shared" si="101"/>
        <v>94.5</v>
      </c>
      <c r="F1605" s="7">
        <f t="shared" si="102"/>
        <v>112</v>
      </c>
    </row>
    <row r="1606" spans="1:6" x14ac:dyDescent="0.25">
      <c r="A1606" s="1" t="s">
        <v>1014</v>
      </c>
      <c r="B1606" s="1" t="s">
        <v>1339</v>
      </c>
      <c r="C1606" s="1">
        <v>1960</v>
      </c>
      <c r="D1606" s="1">
        <v>0.54</v>
      </c>
      <c r="E1606" s="8">
        <f t="shared" si="101"/>
        <v>1058.4000000000001</v>
      </c>
      <c r="F1606" s="7">
        <f t="shared" si="102"/>
        <v>1254.4000000000001</v>
      </c>
    </row>
    <row r="1607" spans="1:6" x14ac:dyDescent="0.25">
      <c r="A1607" s="1" t="s">
        <v>1014</v>
      </c>
      <c r="B1607" s="1" t="s">
        <v>1035</v>
      </c>
      <c r="C1607" s="1">
        <v>298</v>
      </c>
      <c r="D1607" s="1">
        <v>0.54</v>
      </c>
      <c r="E1607" s="8">
        <f t="shared" si="101"/>
        <v>160.92000000000002</v>
      </c>
      <c r="F1607" s="7">
        <f t="shared" si="102"/>
        <v>190.72</v>
      </c>
    </row>
    <row r="1608" spans="1:6" x14ac:dyDescent="0.25">
      <c r="A1608" s="1" t="s">
        <v>1014</v>
      </c>
      <c r="B1608" s="1" t="s">
        <v>1308</v>
      </c>
      <c r="C1608" s="1">
        <v>68</v>
      </c>
      <c r="D1608" s="1">
        <v>0.54</v>
      </c>
      <c r="E1608" s="8">
        <f t="shared" si="101"/>
        <v>36.72</v>
      </c>
      <c r="F1608" s="7">
        <f t="shared" si="102"/>
        <v>43.52</v>
      </c>
    </row>
    <row r="1609" spans="1:6" x14ac:dyDescent="0.25">
      <c r="A1609" s="1" t="s">
        <v>1014</v>
      </c>
      <c r="B1609" s="1" t="s">
        <v>1017</v>
      </c>
      <c r="C1609" s="1">
        <v>360</v>
      </c>
      <c r="D1609" s="1">
        <v>0.54</v>
      </c>
      <c r="E1609" s="8">
        <f t="shared" si="101"/>
        <v>194.4</v>
      </c>
      <c r="F1609" s="7">
        <f t="shared" si="102"/>
        <v>230.4</v>
      </c>
    </row>
    <row r="1610" spans="1:6" x14ac:dyDescent="0.25">
      <c r="A1610" s="1" t="s">
        <v>1014</v>
      </c>
      <c r="B1610" s="1" t="s">
        <v>1047</v>
      </c>
      <c r="C1610" s="1">
        <v>500</v>
      </c>
      <c r="D1610" s="1">
        <v>0.54</v>
      </c>
      <c r="E1610" s="8">
        <f t="shared" ref="E1610:E1615" si="103">(C1610*D1610)</f>
        <v>270</v>
      </c>
      <c r="F1610" s="7">
        <f t="shared" si="102"/>
        <v>320</v>
      </c>
    </row>
    <row r="1611" spans="1:6" x14ac:dyDescent="0.25">
      <c r="A1611" s="1" t="s">
        <v>1014</v>
      </c>
      <c r="B1611" s="1" t="s">
        <v>1045</v>
      </c>
      <c r="C1611" s="1">
        <v>230</v>
      </c>
      <c r="D1611" s="1">
        <v>0.54</v>
      </c>
      <c r="E1611" s="8">
        <f t="shared" si="103"/>
        <v>124.2</v>
      </c>
      <c r="F1611" s="7">
        <f t="shared" si="102"/>
        <v>147.20000000000002</v>
      </c>
    </row>
    <row r="1612" spans="1:6" x14ac:dyDescent="0.25">
      <c r="A1612" s="1" t="s">
        <v>1014</v>
      </c>
      <c r="B1612" s="1" t="s">
        <v>1046</v>
      </c>
      <c r="D1612" s="1">
        <v>0.52</v>
      </c>
      <c r="E1612" s="8">
        <f t="shared" si="103"/>
        <v>0</v>
      </c>
      <c r="F1612" s="7">
        <f t="shared" si="102"/>
        <v>0</v>
      </c>
    </row>
    <row r="1613" spans="1:6" x14ac:dyDescent="0.25">
      <c r="A1613" s="1" t="s">
        <v>1014</v>
      </c>
      <c r="B1613" s="1" t="s">
        <v>1297</v>
      </c>
      <c r="D1613" s="1">
        <v>0.52</v>
      </c>
      <c r="E1613" s="8">
        <f t="shared" si="103"/>
        <v>0</v>
      </c>
      <c r="F1613" s="7">
        <f t="shared" si="102"/>
        <v>0</v>
      </c>
    </row>
    <row r="1614" spans="1:6" x14ac:dyDescent="0.25">
      <c r="A1614" s="1" t="s">
        <v>1014</v>
      </c>
      <c r="B1614" s="1" t="s">
        <v>1298</v>
      </c>
      <c r="D1614" s="1">
        <v>0.52</v>
      </c>
      <c r="E1614" s="8">
        <f t="shared" si="103"/>
        <v>0</v>
      </c>
      <c r="F1614" s="7">
        <f t="shared" si="102"/>
        <v>0</v>
      </c>
    </row>
    <row r="1615" spans="1:6" x14ac:dyDescent="0.25">
      <c r="A1615" s="1" t="s">
        <v>1014</v>
      </c>
      <c r="B1615" s="1" t="s">
        <v>1317</v>
      </c>
      <c r="C1615" s="1">
        <v>178</v>
      </c>
      <c r="D1615" s="1">
        <v>0.62</v>
      </c>
      <c r="E1615" s="8">
        <f t="shared" si="103"/>
        <v>110.36</v>
      </c>
      <c r="F1615" s="7">
        <f t="shared" si="102"/>
        <v>128.16</v>
      </c>
    </row>
    <row r="1616" spans="1:6" x14ac:dyDescent="0.25">
      <c r="A1616" s="1" t="s">
        <v>1014</v>
      </c>
      <c r="B1616" s="1" t="s">
        <v>1051</v>
      </c>
      <c r="D1616" s="1"/>
      <c r="E1616" s="8">
        <v>200.5</v>
      </c>
      <c r="F1616" s="7">
        <v>240.6</v>
      </c>
    </row>
    <row r="1617" spans="1:16347" x14ac:dyDescent="0.25">
      <c r="A1617" s="1" t="s">
        <v>1014</v>
      </c>
      <c r="B1617" s="1" t="s">
        <v>1301</v>
      </c>
      <c r="D1617" s="1"/>
      <c r="E1617" s="8">
        <v>85</v>
      </c>
      <c r="F1617" s="7">
        <v>102</v>
      </c>
    </row>
    <row r="1618" spans="1:16347" x14ac:dyDescent="0.25">
      <c r="A1618" s="1" t="s">
        <v>1014</v>
      </c>
      <c r="B1618" s="1" t="s">
        <v>1647</v>
      </c>
      <c r="C1618" s="1">
        <v>340</v>
      </c>
      <c r="D1618" s="1">
        <v>0.62</v>
      </c>
      <c r="E1618" s="8">
        <f t="shared" ref="E1618:E1649" si="104">(C1618*D1618)</f>
        <v>210.8</v>
      </c>
      <c r="F1618" s="7">
        <f t="shared" ref="F1618:F1681" si="105">C1618*(D1618+0.1)</f>
        <v>244.79999999999998</v>
      </c>
    </row>
    <row r="1619" spans="1:16347" x14ac:dyDescent="0.25">
      <c r="A1619" s="1" t="s">
        <v>1014</v>
      </c>
      <c r="B1619" s="1" t="s">
        <v>1052</v>
      </c>
      <c r="C1619" s="1">
        <v>198</v>
      </c>
      <c r="D1619" s="1">
        <v>0.54</v>
      </c>
      <c r="E1619" s="8">
        <f t="shared" si="104"/>
        <v>106.92</v>
      </c>
      <c r="F1619" s="7">
        <f t="shared" si="105"/>
        <v>126.72</v>
      </c>
    </row>
    <row r="1620" spans="1:16347" x14ac:dyDescent="0.25">
      <c r="A1620" s="1" t="s">
        <v>1014</v>
      </c>
      <c r="B1620" s="1" t="s">
        <v>1053</v>
      </c>
      <c r="C1620" s="1">
        <v>302</v>
      </c>
      <c r="D1620" s="1">
        <v>0.54</v>
      </c>
      <c r="E1620" s="8">
        <f t="shared" si="104"/>
        <v>163.08000000000001</v>
      </c>
      <c r="F1620" s="7">
        <f t="shared" si="105"/>
        <v>193.28</v>
      </c>
    </row>
    <row r="1621" spans="1:16347" x14ac:dyDescent="0.25">
      <c r="A1621" s="1" t="s">
        <v>1014</v>
      </c>
      <c r="B1621" s="1" t="s">
        <v>1058</v>
      </c>
      <c r="C1621" s="1">
        <v>675</v>
      </c>
      <c r="D1621" s="1">
        <v>0.54</v>
      </c>
      <c r="E1621" s="8">
        <f t="shared" si="104"/>
        <v>364.5</v>
      </c>
      <c r="F1621" s="7">
        <f t="shared" si="105"/>
        <v>432</v>
      </c>
    </row>
    <row r="1622" spans="1:16347" x14ac:dyDescent="0.25">
      <c r="A1622" s="1" t="s">
        <v>1014</v>
      </c>
      <c r="B1622" s="1" t="s">
        <v>1059</v>
      </c>
      <c r="C1622" s="1">
        <v>480</v>
      </c>
      <c r="D1622" s="1">
        <v>0.54</v>
      </c>
      <c r="E1622" s="8">
        <f t="shared" si="104"/>
        <v>259.20000000000005</v>
      </c>
      <c r="F1622" s="7">
        <f t="shared" si="105"/>
        <v>307.2</v>
      </c>
    </row>
    <row r="1623" spans="1:16347" x14ac:dyDescent="0.25">
      <c r="A1623" s="1" t="s">
        <v>1014</v>
      </c>
      <c r="B1623" s="1" t="s">
        <v>1309</v>
      </c>
      <c r="C1623" s="1">
        <v>2680</v>
      </c>
      <c r="D1623" s="1">
        <v>0.54</v>
      </c>
      <c r="E1623" s="8">
        <f t="shared" si="104"/>
        <v>1447.2</v>
      </c>
      <c r="F1623" s="7">
        <f t="shared" si="105"/>
        <v>1715.2</v>
      </c>
    </row>
    <row r="1624" spans="1:16347" s="26" customFormat="1" x14ac:dyDescent="0.25">
      <c r="A1624" s="1" t="s">
        <v>1014</v>
      </c>
      <c r="B1624" s="1" t="s">
        <v>1018</v>
      </c>
      <c r="C1624" s="1">
        <v>364</v>
      </c>
      <c r="D1624" s="1">
        <v>0.5</v>
      </c>
      <c r="E1624" s="8">
        <f t="shared" si="104"/>
        <v>182</v>
      </c>
      <c r="F1624" s="7">
        <f t="shared" si="105"/>
        <v>218.4</v>
      </c>
    </row>
    <row r="1625" spans="1:16347" s="26" customFormat="1" x14ac:dyDescent="0.25">
      <c r="A1625" s="1" t="s">
        <v>1014</v>
      </c>
      <c r="B1625" s="1" t="s">
        <v>1019</v>
      </c>
      <c r="C1625" s="1">
        <v>820</v>
      </c>
      <c r="D1625" s="1">
        <v>0.5</v>
      </c>
      <c r="E1625" s="3">
        <f t="shared" si="104"/>
        <v>410</v>
      </c>
      <c r="F1625" s="1">
        <f t="shared" si="105"/>
        <v>492</v>
      </c>
    </row>
    <row r="1626" spans="1:16347" s="26" customFormat="1" x14ac:dyDescent="0.25">
      <c r="A1626" s="1" t="s">
        <v>1014</v>
      </c>
      <c r="B1626" s="1" t="s">
        <v>1302</v>
      </c>
      <c r="C1626" s="1">
        <v>540</v>
      </c>
      <c r="D1626" s="1">
        <v>0.5</v>
      </c>
      <c r="E1626" s="3">
        <f t="shared" si="104"/>
        <v>270</v>
      </c>
      <c r="F1626" s="1">
        <f t="shared" si="105"/>
        <v>324</v>
      </c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  <c r="BF1626" s="1"/>
      <c r="BG1626" s="1"/>
      <c r="BH1626" s="1"/>
      <c r="BI1626" s="1"/>
      <c r="BJ1626" s="1"/>
      <c r="BK1626" s="1"/>
      <c r="BL1626" s="1"/>
      <c r="BM1626" s="1"/>
      <c r="BN1626" s="1"/>
      <c r="BO1626" s="1"/>
      <c r="BP1626" s="1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  <c r="CC1626" s="1"/>
      <c r="CD1626" s="1"/>
      <c r="CE1626" s="1"/>
      <c r="CF1626" s="1"/>
      <c r="CG1626" s="1"/>
      <c r="CH1626" s="1"/>
      <c r="CI1626" s="1"/>
      <c r="CJ1626" s="1"/>
      <c r="CK1626" s="1"/>
      <c r="CL1626" s="1"/>
      <c r="CM1626" s="1"/>
      <c r="CN1626" s="1"/>
      <c r="CO1626" s="1"/>
      <c r="CP1626" s="1"/>
      <c r="CQ1626" s="1"/>
      <c r="CR1626" s="1"/>
      <c r="CS1626" s="1"/>
      <c r="CT1626" s="1"/>
      <c r="CU1626" s="1"/>
      <c r="CV1626" s="1"/>
      <c r="CW1626" s="1"/>
      <c r="CX1626" s="1"/>
      <c r="CY1626" s="1"/>
      <c r="CZ1626" s="1"/>
      <c r="DA1626" s="1"/>
      <c r="DB1626" s="1"/>
      <c r="DC1626" s="1"/>
      <c r="DD1626" s="1"/>
      <c r="DE1626" s="1"/>
      <c r="DF1626" s="1"/>
      <c r="DG1626" s="1"/>
      <c r="DH1626" s="1"/>
      <c r="DI1626" s="1"/>
      <c r="DJ1626" s="1"/>
      <c r="DK1626" s="1"/>
      <c r="DL1626" s="1"/>
      <c r="DM1626" s="1"/>
      <c r="DN1626" s="1"/>
      <c r="DO1626" s="1"/>
      <c r="DP1626" s="1"/>
      <c r="DQ1626" s="1"/>
      <c r="DR1626" s="1"/>
      <c r="DS1626" s="1"/>
      <c r="DT1626" s="1"/>
      <c r="DU1626" s="1"/>
      <c r="DV1626" s="1"/>
      <c r="DW1626" s="1"/>
      <c r="DX1626" s="1"/>
      <c r="DY1626" s="1"/>
      <c r="DZ1626" s="1"/>
      <c r="EA1626" s="1"/>
      <c r="EB1626" s="1"/>
      <c r="EC1626" s="1"/>
      <c r="ED1626" s="1"/>
      <c r="EE1626" s="1"/>
      <c r="EF1626" s="1"/>
      <c r="EG1626" s="1"/>
      <c r="EH1626" s="1"/>
      <c r="EI1626" s="1"/>
      <c r="EJ1626" s="1"/>
      <c r="EK1626" s="1"/>
      <c r="EL1626" s="1"/>
      <c r="EM1626" s="1"/>
      <c r="EN1626" s="1"/>
      <c r="EO1626" s="1"/>
      <c r="EP1626" s="1"/>
      <c r="EQ1626" s="1"/>
      <c r="ER1626" s="1"/>
      <c r="ES1626" s="1"/>
      <c r="ET1626" s="1"/>
      <c r="EU1626" s="1"/>
      <c r="EV1626" s="1"/>
      <c r="EW1626" s="1"/>
      <c r="EX1626" s="1"/>
      <c r="EY1626" s="1"/>
      <c r="EZ1626" s="1"/>
      <c r="FA1626" s="1"/>
      <c r="FB1626" s="1"/>
      <c r="FC1626" s="1"/>
      <c r="FD1626" s="1"/>
      <c r="FE1626" s="1"/>
      <c r="FF1626" s="1"/>
      <c r="FG1626" s="1"/>
      <c r="FH1626" s="1"/>
      <c r="FI1626" s="1"/>
      <c r="FJ1626" s="1"/>
      <c r="FK1626" s="1"/>
      <c r="FL1626" s="1"/>
      <c r="FM1626" s="1"/>
      <c r="FN1626" s="1"/>
      <c r="FO1626" s="1"/>
      <c r="FP1626" s="1"/>
      <c r="FQ1626" s="1"/>
      <c r="FR1626" s="1"/>
      <c r="FS1626" s="1"/>
      <c r="FT1626" s="1"/>
      <c r="FU1626" s="1"/>
      <c r="FV1626" s="1"/>
      <c r="FW1626" s="1"/>
      <c r="FX1626" s="1"/>
      <c r="FY1626" s="1"/>
      <c r="FZ1626" s="1"/>
      <c r="GA1626" s="1"/>
      <c r="GB1626" s="1"/>
      <c r="GC1626" s="1"/>
      <c r="GD1626" s="1"/>
      <c r="GE1626" s="1"/>
      <c r="GF1626" s="1"/>
      <c r="GG1626" s="1"/>
      <c r="GH1626" s="1"/>
      <c r="GI1626" s="1"/>
      <c r="GJ1626" s="1"/>
      <c r="GK1626" s="1"/>
      <c r="GL1626" s="1"/>
      <c r="GM1626" s="1"/>
      <c r="GN1626" s="1"/>
      <c r="GO1626" s="1"/>
      <c r="GP1626" s="1"/>
      <c r="GQ1626" s="1"/>
      <c r="GR1626" s="1"/>
      <c r="GS1626" s="1"/>
      <c r="GT1626" s="1"/>
      <c r="GU1626" s="1"/>
      <c r="GV1626" s="1"/>
      <c r="GW1626" s="1"/>
      <c r="GX1626" s="1"/>
      <c r="GY1626" s="1"/>
      <c r="GZ1626" s="1"/>
      <c r="HA1626" s="1"/>
      <c r="HB1626" s="1"/>
      <c r="HC1626" s="1"/>
      <c r="HD1626" s="1"/>
      <c r="HE1626" s="1"/>
      <c r="HF1626" s="1"/>
      <c r="HG1626" s="1"/>
      <c r="HH1626" s="1"/>
      <c r="HI1626" s="1"/>
      <c r="HJ1626" s="1"/>
      <c r="HK1626" s="1"/>
      <c r="HL1626" s="1"/>
      <c r="HM1626" s="1"/>
      <c r="HN1626" s="1"/>
      <c r="HO1626" s="1"/>
      <c r="HP1626" s="1"/>
      <c r="HQ1626" s="1"/>
      <c r="HR1626" s="1"/>
      <c r="HS1626" s="1"/>
      <c r="HT1626" s="1"/>
      <c r="HU1626" s="1"/>
      <c r="HV1626" s="1"/>
      <c r="HW1626" s="1"/>
      <c r="HX1626" s="1"/>
      <c r="HY1626" s="1"/>
      <c r="HZ1626" s="1"/>
      <c r="IA1626" s="1"/>
      <c r="IB1626" s="1"/>
      <c r="IC1626" s="1"/>
      <c r="ID1626" s="1"/>
      <c r="IE1626" s="1"/>
      <c r="IF1626" s="1"/>
      <c r="IG1626" s="1"/>
      <c r="IH1626" s="1"/>
      <c r="II1626" s="1"/>
      <c r="IJ1626" s="1"/>
      <c r="IK1626" s="1"/>
      <c r="IL1626" s="1"/>
      <c r="IM1626" s="1"/>
      <c r="IN1626" s="1"/>
      <c r="IO1626" s="1"/>
      <c r="IP1626" s="1"/>
      <c r="IQ1626" s="1"/>
      <c r="IR1626" s="1"/>
      <c r="IS1626" s="1"/>
      <c r="IT1626" s="1"/>
      <c r="IU1626" s="1"/>
      <c r="IV1626" s="1"/>
      <c r="IW1626" s="1"/>
      <c r="IX1626" s="1"/>
      <c r="IY1626" s="1"/>
      <c r="IZ1626" s="1"/>
      <c r="JA1626" s="1"/>
      <c r="JB1626" s="1"/>
      <c r="JC1626" s="1"/>
      <c r="JD1626" s="1"/>
      <c r="JE1626" s="1"/>
      <c r="JF1626" s="1"/>
      <c r="JG1626" s="1"/>
      <c r="JH1626" s="1"/>
      <c r="JI1626" s="1"/>
      <c r="JJ1626" s="1"/>
      <c r="JK1626" s="1"/>
      <c r="JL1626" s="1"/>
      <c r="JM1626" s="1"/>
      <c r="JN1626" s="1"/>
      <c r="JO1626" s="1"/>
      <c r="JP1626" s="1"/>
      <c r="JQ1626" s="1"/>
      <c r="JR1626" s="1"/>
      <c r="JS1626" s="1"/>
      <c r="JT1626" s="1"/>
      <c r="JU1626" s="1"/>
      <c r="JV1626" s="1"/>
      <c r="JW1626" s="1"/>
      <c r="JX1626" s="1"/>
      <c r="JY1626" s="1"/>
      <c r="JZ1626" s="1"/>
      <c r="KA1626" s="1"/>
      <c r="KB1626" s="1"/>
      <c r="KC1626" s="1"/>
      <c r="KD1626" s="1"/>
      <c r="KE1626" s="1"/>
      <c r="KF1626" s="1"/>
      <c r="KG1626" s="1"/>
      <c r="KH1626" s="1"/>
      <c r="KI1626" s="1"/>
      <c r="KJ1626" s="1"/>
      <c r="KK1626" s="1"/>
      <c r="KL1626" s="1"/>
      <c r="KM1626" s="1"/>
      <c r="KN1626" s="1"/>
      <c r="KO1626" s="1"/>
      <c r="KP1626" s="1"/>
      <c r="KQ1626" s="1"/>
      <c r="KR1626" s="1"/>
      <c r="KS1626" s="1"/>
      <c r="KT1626" s="1"/>
      <c r="KU1626" s="1"/>
      <c r="KV1626" s="1"/>
      <c r="KW1626" s="1"/>
      <c r="KX1626" s="1"/>
      <c r="KY1626" s="1"/>
      <c r="KZ1626" s="1"/>
      <c r="LA1626" s="1"/>
      <c r="LB1626" s="1"/>
      <c r="LC1626" s="1"/>
      <c r="LD1626" s="1"/>
      <c r="LE1626" s="1"/>
      <c r="LF1626" s="1"/>
      <c r="LG1626" s="1"/>
      <c r="LH1626" s="1"/>
      <c r="LI1626" s="1"/>
      <c r="LJ1626" s="1"/>
      <c r="LK1626" s="1"/>
      <c r="LL1626" s="1"/>
      <c r="LM1626" s="1"/>
      <c r="LN1626" s="1"/>
      <c r="LO1626" s="1"/>
      <c r="LP1626" s="1"/>
      <c r="LQ1626" s="1"/>
      <c r="LR1626" s="1"/>
      <c r="LS1626" s="1"/>
      <c r="LT1626" s="1"/>
      <c r="LU1626" s="1"/>
      <c r="LV1626" s="1"/>
      <c r="LW1626" s="1"/>
      <c r="LX1626" s="1"/>
      <c r="LY1626" s="1"/>
      <c r="LZ1626" s="1"/>
      <c r="MA1626" s="1"/>
      <c r="MB1626" s="1"/>
      <c r="MC1626" s="1"/>
      <c r="MD1626" s="1"/>
      <c r="ME1626" s="1"/>
      <c r="MF1626" s="1"/>
      <c r="MG1626" s="1"/>
      <c r="MH1626" s="1"/>
      <c r="MI1626" s="1"/>
      <c r="MJ1626" s="1"/>
      <c r="MK1626" s="1"/>
      <c r="ML1626" s="1"/>
      <c r="MM1626" s="1"/>
      <c r="MN1626" s="1"/>
      <c r="MO1626" s="1"/>
      <c r="MP1626" s="1"/>
      <c r="MQ1626" s="1"/>
      <c r="MR1626" s="1"/>
      <c r="MS1626" s="1"/>
      <c r="MT1626" s="1"/>
      <c r="MU1626" s="1"/>
      <c r="MV1626" s="1"/>
      <c r="MW1626" s="1"/>
      <c r="MX1626" s="1"/>
      <c r="MY1626" s="1"/>
      <c r="MZ1626" s="1"/>
      <c r="NA1626" s="1"/>
      <c r="NB1626" s="1"/>
      <c r="NC1626" s="1"/>
      <c r="ND1626" s="1"/>
      <c r="NE1626" s="1"/>
      <c r="NF1626" s="1"/>
      <c r="NG1626" s="1"/>
      <c r="NH1626" s="1"/>
      <c r="NI1626" s="1"/>
      <c r="NJ1626" s="1"/>
      <c r="NK1626" s="1"/>
      <c r="NL1626" s="1"/>
      <c r="NM1626" s="1"/>
      <c r="NN1626" s="1"/>
      <c r="NO1626" s="1"/>
      <c r="NP1626" s="1"/>
      <c r="NQ1626" s="1"/>
      <c r="NR1626" s="1"/>
      <c r="NS1626" s="1"/>
      <c r="NT1626" s="1"/>
      <c r="NU1626" s="1"/>
      <c r="NV1626" s="1"/>
      <c r="NW1626" s="1"/>
      <c r="NX1626" s="1"/>
      <c r="NY1626" s="1"/>
      <c r="NZ1626" s="1"/>
      <c r="OA1626" s="1"/>
      <c r="OB1626" s="1"/>
      <c r="OC1626" s="1"/>
      <c r="OD1626" s="1"/>
      <c r="OE1626" s="1"/>
      <c r="OF1626" s="1"/>
      <c r="OG1626" s="1"/>
      <c r="OH1626" s="1"/>
      <c r="OI1626" s="1"/>
      <c r="OJ1626" s="1"/>
      <c r="OK1626" s="1"/>
      <c r="OL1626" s="1"/>
      <c r="OM1626" s="1"/>
      <c r="ON1626" s="1"/>
      <c r="OO1626" s="1"/>
      <c r="OP1626" s="1"/>
      <c r="OQ1626" s="1"/>
      <c r="OR1626" s="1"/>
      <c r="OS1626" s="1"/>
      <c r="OT1626" s="1"/>
      <c r="OU1626" s="1"/>
      <c r="OV1626" s="1"/>
      <c r="OW1626" s="1"/>
      <c r="OX1626" s="1"/>
      <c r="OY1626" s="1"/>
      <c r="OZ1626" s="1"/>
      <c r="PA1626" s="1"/>
      <c r="PB1626" s="1"/>
      <c r="PC1626" s="1"/>
      <c r="PD1626" s="1"/>
      <c r="PE1626" s="1"/>
      <c r="PF1626" s="1"/>
      <c r="PG1626" s="1"/>
      <c r="PH1626" s="1"/>
      <c r="PI1626" s="1"/>
      <c r="PJ1626" s="1"/>
      <c r="PK1626" s="1"/>
      <c r="PL1626" s="1"/>
      <c r="PM1626" s="1"/>
      <c r="PN1626" s="1"/>
      <c r="PO1626" s="1"/>
      <c r="PP1626" s="1"/>
      <c r="PQ1626" s="1"/>
      <c r="PR1626" s="1"/>
      <c r="PS1626" s="1"/>
      <c r="PT1626" s="1"/>
      <c r="PU1626" s="1"/>
      <c r="PV1626" s="1"/>
      <c r="PW1626" s="1"/>
      <c r="PX1626" s="1"/>
      <c r="PY1626" s="1"/>
      <c r="PZ1626" s="1"/>
      <c r="QA1626" s="1"/>
      <c r="QB1626" s="1"/>
      <c r="QC1626" s="1"/>
      <c r="QD1626" s="1"/>
      <c r="QE1626" s="1"/>
      <c r="QF1626" s="1"/>
      <c r="QG1626" s="1"/>
      <c r="QH1626" s="1"/>
      <c r="QI1626" s="1"/>
      <c r="QJ1626" s="1"/>
      <c r="QK1626" s="1"/>
      <c r="QL1626" s="1"/>
      <c r="QM1626" s="1"/>
      <c r="QN1626" s="1"/>
      <c r="QO1626" s="1"/>
      <c r="QP1626" s="1"/>
      <c r="QQ1626" s="1"/>
      <c r="QR1626" s="1"/>
      <c r="QS1626" s="1"/>
      <c r="QT1626" s="1"/>
      <c r="QU1626" s="1"/>
      <c r="QV1626" s="1"/>
      <c r="QW1626" s="1"/>
      <c r="QX1626" s="1"/>
      <c r="QY1626" s="1"/>
      <c r="QZ1626" s="1"/>
      <c r="RA1626" s="1"/>
      <c r="RB1626" s="1"/>
      <c r="RC1626" s="1"/>
      <c r="RD1626" s="1"/>
      <c r="RE1626" s="1"/>
      <c r="RF1626" s="1"/>
      <c r="RG1626" s="1"/>
      <c r="RH1626" s="1"/>
      <c r="RI1626" s="1"/>
      <c r="RJ1626" s="1"/>
      <c r="RK1626" s="1"/>
      <c r="RL1626" s="1"/>
      <c r="RM1626" s="1"/>
      <c r="RN1626" s="1"/>
      <c r="RO1626" s="1"/>
      <c r="RP1626" s="1"/>
      <c r="RQ1626" s="1"/>
      <c r="RR1626" s="1"/>
      <c r="RS1626" s="1"/>
      <c r="RT1626" s="1"/>
      <c r="RU1626" s="1"/>
      <c r="RV1626" s="1"/>
      <c r="RW1626" s="1"/>
      <c r="RX1626" s="1"/>
      <c r="RY1626" s="1"/>
      <c r="RZ1626" s="1"/>
      <c r="SA1626" s="1"/>
      <c r="SB1626" s="1"/>
      <c r="SC1626" s="1"/>
      <c r="SD1626" s="1"/>
      <c r="SE1626" s="1"/>
      <c r="SF1626" s="1"/>
      <c r="SG1626" s="1"/>
      <c r="SH1626" s="1"/>
      <c r="SI1626" s="1"/>
      <c r="SJ1626" s="1"/>
      <c r="SK1626" s="1"/>
      <c r="SL1626" s="1"/>
      <c r="SM1626" s="1"/>
      <c r="SN1626" s="1"/>
      <c r="SO1626" s="1"/>
      <c r="SP1626" s="1"/>
      <c r="SQ1626" s="1"/>
      <c r="SR1626" s="1"/>
      <c r="SS1626" s="1"/>
      <c r="ST1626" s="1"/>
      <c r="SU1626" s="1"/>
      <c r="SV1626" s="1"/>
      <c r="SW1626" s="1"/>
      <c r="SX1626" s="1"/>
      <c r="SY1626" s="1"/>
      <c r="SZ1626" s="1"/>
      <c r="TA1626" s="1"/>
      <c r="TB1626" s="1"/>
      <c r="TC1626" s="1"/>
      <c r="TD1626" s="1"/>
      <c r="TE1626" s="1"/>
      <c r="TF1626" s="1"/>
      <c r="TG1626" s="1"/>
      <c r="TH1626" s="1"/>
      <c r="TI1626" s="1"/>
      <c r="TJ1626" s="1"/>
      <c r="TK1626" s="1"/>
      <c r="TL1626" s="1"/>
      <c r="TM1626" s="1"/>
      <c r="TN1626" s="1"/>
      <c r="TO1626" s="1"/>
      <c r="TP1626" s="1"/>
      <c r="TQ1626" s="1"/>
      <c r="TR1626" s="1"/>
      <c r="TS1626" s="1"/>
      <c r="TT1626" s="1"/>
      <c r="TU1626" s="1"/>
      <c r="TV1626" s="1"/>
      <c r="TW1626" s="1"/>
      <c r="TX1626" s="1"/>
      <c r="TY1626" s="1"/>
      <c r="TZ1626" s="1"/>
      <c r="UA1626" s="1"/>
      <c r="UB1626" s="1"/>
      <c r="UC1626" s="1"/>
      <c r="UD1626" s="1"/>
      <c r="UE1626" s="1"/>
      <c r="UF1626" s="1"/>
      <c r="UG1626" s="1"/>
      <c r="UH1626" s="1"/>
      <c r="UI1626" s="1"/>
      <c r="UJ1626" s="1"/>
      <c r="UK1626" s="1"/>
      <c r="UL1626" s="1"/>
      <c r="UM1626" s="1"/>
      <c r="UN1626" s="1"/>
      <c r="UO1626" s="1"/>
      <c r="UP1626" s="1"/>
      <c r="UQ1626" s="1"/>
      <c r="UR1626" s="1"/>
      <c r="US1626" s="1"/>
      <c r="UT1626" s="1"/>
      <c r="UU1626" s="1"/>
      <c r="UV1626" s="1"/>
      <c r="UW1626" s="1"/>
      <c r="UX1626" s="1"/>
      <c r="UY1626" s="1"/>
      <c r="UZ1626" s="1"/>
      <c r="VA1626" s="1"/>
      <c r="VB1626" s="1"/>
      <c r="VC1626" s="1"/>
      <c r="VD1626" s="1"/>
      <c r="VE1626" s="1"/>
      <c r="VF1626" s="1"/>
      <c r="VG1626" s="1"/>
      <c r="VH1626" s="1"/>
      <c r="VI1626" s="1"/>
      <c r="VJ1626" s="1"/>
      <c r="VK1626" s="1"/>
      <c r="VL1626" s="1"/>
      <c r="VM1626" s="1"/>
      <c r="VN1626" s="1"/>
      <c r="VO1626" s="1"/>
      <c r="VP1626" s="1"/>
      <c r="VQ1626" s="1"/>
      <c r="VR1626" s="1"/>
      <c r="VS1626" s="1"/>
      <c r="VT1626" s="1"/>
      <c r="VU1626" s="1"/>
      <c r="VV1626" s="1"/>
      <c r="VW1626" s="1"/>
      <c r="VX1626" s="1"/>
      <c r="VY1626" s="1"/>
      <c r="VZ1626" s="1"/>
      <c r="WA1626" s="1"/>
      <c r="WB1626" s="1"/>
      <c r="WC1626" s="1"/>
      <c r="WD1626" s="1"/>
      <c r="WE1626" s="1"/>
      <c r="WF1626" s="1"/>
      <c r="WG1626" s="1"/>
      <c r="WH1626" s="1"/>
      <c r="WI1626" s="1"/>
      <c r="WJ1626" s="1"/>
      <c r="WK1626" s="1"/>
      <c r="WL1626" s="1"/>
      <c r="WM1626" s="1"/>
      <c r="WN1626" s="1"/>
      <c r="WO1626" s="1"/>
      <c r="WP1626" s="1"/>
      <c r="WQ1626" s="1"/>
      <c r="WR1626" s="1"/>
      <c r="WS1626" s="1"/>
      <c r="WT1626" s="1"/>
      <c r="WU1626" s="1"/>
      <c r="WV1626" s="1"/>
      <c r="WW1626" s="1"/>
      <c r="WX1626" s="1"/>
      <c r="WY1626" s="1"/>
      <c r="WZ1626" s="1"/>
      <c r="XA1626" s="1"/>
      <c r="XB1626" s="1"/>
      <c r="XC1626" s="1"/>
      <c r="XD1626" s="1"/>
      <c r="XE1626" s="1"/>
      <c r="XF1626" s="1"/>
      <c r="XG1626" s="1"/>
      <c r="XH1626" s="1"/>
      <c r="XI1626" s="1"/>
      <c r="XJ1626" s="1"/>
      <c r="XK1626" s="1"/>
      <c r="XL1626" s="1"/>
      <c r="XM1626" s="1"/>
      <c r="XN1626" s="1"/>
      <c r="XO1626" s="1"/>
      <c r="XP1626" s="1"/>
      <c r="XQ1626" s="1"/>
      <c r="XR1626" s="1"/>
      <c r="XS1626" s="1"/>
      <c r="XT1626" s="1"/>
      <c r="XU1626" s="1"/>
      <c r="XV1626" s="1"/>
      <c r="XW1626" s="1"/>
      <c r="XX1626" s="1"/>
      <c r="XY1626" s="1"/>
      <c r="XZ1626" s="1"/>
      <c r="YA1626" s="1"/>
      <c r="YB1626" s="1"/>
      <c r="YC1626" s="1"/>
      <c r="YD1626" s="1"/>
      <c r="YE1626" s="1"/>
      <c r="YF1626" s="1"/>
      <c r="YG1626" s="1"/>
      <c r="YH1626" s="1"/>
      <c r="YI1626" s="1"/>
      <c r="YJ1626" s="1"/>
      <c r="YK1626" s="1"/>
      <c r="YL1626" s="1"/>
      <c r="YM1626" s="1"/>
      <c r="YN1626" s="1"/>
      <c r="YO1626" s="1"/>
      <c r="YP1626" s="1"/>
      <c r="YQ1626" s="1"/>
      <c r="YR1626" s="1"/>
      <c r="YS1626" s="1"/>
      <c r="YT1626" s="1"/>
      <c r="YU1626" s="1"/>
      <c r="YV1626" s="1"/>
      <c r="YW1626" s="1"/>
      <c r="YX1626" s="1"/>
      <c r="YY1626" s="1"/>
      <c r="YZ1626" s="1"/>
      <c r="ZA1626" s="1"/>
      <c r="ZB1626" s="1"/>
      <c r="ZC1626" s="1"/>
      <c r="ZD1626" s="1"/>
      <c r="ZE1626" s="1"/>
      <c r="ZF1626" s="1"/>
      <c r="ZG1626" s="1"/>
      <c r="ZH1626" s="1"/>
      <c r="ZI1626" s="1"/>
      <c r="ZJ1626" s="1"/>
      <c r="ZK1626" s="1"/>
      <c r="ZL1626" s="1"/>
      <c r="ZM1626" s="1"/>
      <c r="ZN1626" s="1"/>
      <c r="ZO1626" s="1"/>
      <c r="ZP1626" s="1"/>
      <c r="ZQ1626" s="1"/>
      <c r="ZR1626" s="1"/>
      <c r="ZS1626" s="1"/>
      <c r="ZT1626" s="1"/>
      <c r="ZU1626" s="1"/>
      <c r="ZV1626" s="1"/>
      <c r="ZW1626" s="1"/>
      <c r="ZX1626" s="1"/>
      <c r="ZY1626" s="1"/>
      <c r="ZZ1626" s="1"/>
      <c r="AAA1626" s="1"/>
      <c r="AAB1626" s="1"/>
      <c r="AAC1626" s="1"/>
      <c r="AAD1626" s="1"/>
      <c r="AAE1626" s="1"/>
      <c r="AAF1626" s="1"/>
      <c r="AAG1626" s="1"/>
      <c r="AAH1626" s="1"/>
      <c r="AAI1626" s="1"/>
      <c r="AAJ1626" s="1"/>
      <c r="AAK1626" s="1"/>
      <c r="AAL1626" s="1"/>
      <c r="AAM1626" s="1"/>
      <c r="AAN1626" s="1"/>
      <c r="AAO1626" s="1"/>
      <c r="AAP1626" s="1"/>
      <c r="AAQ1626" s="1"/>
      <c r="AAR1626" s="1"/>
      <c r="AAS1626" s="1"/>
      <c r="AAT1626" s="1"/>
      <c r="AAU1626" s="1"/>
      <c r="AAV1626" s="1"/>
      <c r="AAW1626" s="1"/>
      <c r="AAX1626" s="1"/>
      <c r="AAY1626" s="1"/>
      <c r="AAZ1626" s="1"/>
      <c r="ABA1626" s="1"/>
      <c r="ABB1626" s="1"/>
      <c r="ABC1626" s="1"/>
      <c r="ABD1626" s="1"/>
      <c r="ABE1626" s="1"/>
      <c r="ABF1626" s="1"/>
      <c r="ABG1626" s="1"/>
      <c r="ABH1626" s="1"/>
      <c r="ABI1626" s="1"/>
      <c r="ABJ1626" s="1"/>
      <c r="ABK1626" s="1"/>
      <c r="ABL1626" s="1"/>
      <c r="ABM1626" s="1"/>
      <c r="ABN1626" s="1"/>
      <c r="ABO1626" s="1"/>
      <c r="ABP1626" s="1"/>
      <c r="ABQ1626" s="1"/>
      <c r="ABR1626" s="1"/>
      <c r="ABS1626" s="1"/>
      <c r="ABT1626" s="1"/>
      <c r="ABU1626" s="1"/>
      <c r="ABV1626" s="1"/>
      <c r="ABW1626" s="1"/>
      <c r="ABX1626" s="1"/>
      <c r="ABY1626" s="1"/>
      <c r="ABZ1626" s="1"/>
      <c r="ACA1626" s="1"/>
      <c r="ACB1626" s="1"/>
      <c r="ACC1626" s="1"/>
      <c r="ACD1626" s="1"/>
      <c r="ACE1626" s="1"/>
      <c r="ACF1626" s="1"/>
      <c r="ACG1626" s="1"/>
      <c r="ACH1626" s="1"/>
      <c r="ACI1626" s="1"/>
      <c r="ACJ1626" s="1"/>
      <c r="ACK1626" s="1"/>
      <c r="ACL1626" s="1"/>
      <c r="ACM1626" s="1"/>
      <c r="ACN1626" s="1"/>
      <c r="ACO1626" s="1"/>
      <c r="ACP1626" s="1"/>
      <c r="ACQ1626" s="1"/>
      <c r="ACR1626" s="1"/>
      <c r="ACS1626" s="1"/>
      <c r="ACT1626" s="1"/>
      <c r="ACU1626" s="1"/>
      <c r="ACV1626" s="1"/>
      <c r="ACW1626" s="1"/>
      <c r="ACX1626" s="1"/>
      <c r="ACY1626" s="1"/>
      <c r="ACZ1626" s="1"/>
      <c r="ADA1626" s="1"/>
      <c r="ADB1626" s="1"/>
      <c r="ADC1626" s="1"/>
      <c r="ADD1626" s="1"/>
      <c r="ADE1626" s="1"/>
      <c r="ADF1626" s="1"/>
      <c r="ADG1626" s="1"/>
      <c r="ADH1626" s="1"/>
      <c r="ADI1626" s="1"/>
      <c r="ADJ1626" s="1"/>
      <c r="ADK1626" s="1"/>
      <c r="ADL1626" s="1"/>
      <c r="ADM1626" s="1"/>
      <c r="ADN1626" s="1"/>
      <c r="ADO1626" s="1"/>
      <c r="ADP1626" s="1"/>
      <c r="ADQ1626" s="1"/>
      <c r="ADR1626" s="1"/>
      <c r="ADS1626" s="1"/>
      <c r="ADT1626" s="1"/>
      <c r="ADU1626" s="1"/>
      <c r="ADV1626" s="1"/>
      <c r="ADW1626" s="1"/>
      <c r="ADX1626" s="1"/>
      <c r="ADY1626" s="1"/>
      <c r="ADZ1626" s="1"/>
      <c r="AEA1626" s="1"/>
      <c r="AEB1626" s="1"/>
      <c r="AEC1626" s="1"/>
      <c r="AED1626" s="1"/>
      <c r="AEE1626" s="1"/>
      <c r="AEF1626" s="1"/>
      <c r="AEG1626" s="1"/>
      <c r="AEH1626" s="1"/>
      <c r="AEI1626" s="1"/>
      <c r="AEJ1626" s="1"/>
      <c r="AEK1626" s="1"/>
      <c r="AEL1626" s="1"/>
      <c r="AEM1626" s="1"/>
      <c r="AEN1626" s="1"/>
      <c r="AEO1626" s="1"/>
      <c r="AEP1626" s="1"/>
      <c r="AEQ1626" s="1"/>
      <c r="AER1626" s="1"/>
      <c r="AES1626" s="1"/>
      <c r="AET1626" s="1"/>
      <c r="AEU1626" s="1"/>
      <c r="AEV1626" s="1"/>
      <c r="AEW1626" s="1"/>
      <c r="AEX1626" s="1"/>
      <c r="AEY1626" s="1"/>
      <c r="AEZ1626" s="1"/>
      <c r="AFA1626" s="1"/>
      <c r="AFB1626" s="1"/>
      <c r="AFC1626" s="1"/>
      <c r="AFD1626" s="1"/>
      <c r="AFE1626" s="1"/>
      <c r="AFF1626" s="1"/>
      <c r="AFG1626" s="1"/>
      <c r="AFH1626" s="1"/>
      <c r="AFI1626" s="1"/>
      <c r="AFJ1626" s="1"/>
      <c r="AFK1626" s="1"/>
      <c r="AFL1626" s="1"/>
      <c r="AFM1626" s="1"/>
      <c r="AFN1626" s="1"/>
      <c r="AFO1626" s="1"/>
      <c r="AFP1626" s="1"/>
      <c r="AFQ1626" s="1"/>
      <c r="AFR1626" s="1"/>
      <c r="AFS1626" s="1"/>
      <c r="AFT1626" s="1"/>
      <c r="AFU1626" s="1"/>
      <c r="AFV1626" s="1"/>
      <c r="AFW1626" s="1"/>
      <c r="AFX1626" s="1"/>
      <c r="AFY1626" s="1"/>
      <c r="AFZ1626" s="1"/>
      <c r="AGA1626" s="1"/>
      <c r="AGB1626" s="1"/>
      <c r="AGC1626" s="1"/>
      <c r="AGD1626" s="1"/>
      <c r="AGE1626" s="1"/>
      <c r="AGF1626" s="1"/>
      <c r="AGG1626" s="1"/>
      <c r="AGH1626" s="1"/>
      <c r="AGI1626" s="1"/>
      <c r="AGJ1626" s="1"/>
      <c r="AGK1626" s="1"/>
      <c r="AGL1626" s="1"/>
      <c r="AGM1626" s="1"/>
      <c r="AGN1626" s="1"/>
      <c r="AGO1626" s="1"/>
      <c r="AGP1626" s="1"/>
      <c r="AGQ1626" s="1"/>
      <c r="AGR1626" s="1"/>
      <c r="AGS1626" s="1"/>
      <c r="AGT1626" s="1"/>
      <c r="AGU1626" s="1"/>
      <c r="AGV1626" s="1"/>
      <c r="AGW1626" s="1"/>
      <c r="AGX1626" s="1"/>
      <c r="AGY1626" s="1"/>
      <c r="AGZ1626" s="1"/>
      <c r="AHA1626" s="1"/>
      <c r="AHB1626" s="1"/>
      <c r="AHC1626" s="1"/>
      <c r="AHD1626" s="1"/>
      <c r="AHE1626" s="1"/>
      <c r="AHF1626" s="1"/>
      <c r="AHG1626" s="1"/>
      <c r="AHH1626" s="1"/>
      <c r="AHI1626" s="1"/>
      <c r="AHJ1626" s="1"/>
      <c r="AHK1626" s="1"/>
      <c r="AHL1626" s="1"/>
      <c r="AHM1626" s="1"/>
      <c r="AHN1626" s="1"/>
      <c r="AHO1626" s="1"/>
      <c r="AHP1626" s="1"/>
      <c r="AHQ1626" s="1"/>
      <c r="AHR1626" s="1"/>
      <c r="AHS1626" s="1"/>
      <c r="AHT1626" s="1"/>
      <c r="AHU1626" s="1"/>
      <c r="AHV1626" s="1"/>
      <c r="AHW1626" s="1"/>
      <c r="AHX1626" s="1"/>
      <c r="AHY1626" s="1"/>
      <c r="AHZ1626" s="1"/>
      <c r="AIA1626" s="1"/>
      <c r="AIB1626" s="1"/>
      <c r="AIC1626" s="1"/>
      <c r="AID1626" s="1"/>
      <c r="AIE1626" s="1"/>
      <c r="AIF1626" s="1"/>
      <c r="AIG1626" s="1"/>
      <c r="AIH1626" s="1"/>
      <c r="AII1626" s="1"/>
      <c r="AIJ1626" s="1"/>
      <c r="AIK1626" s="1"/>
      <c r="AIL1626" s="1"/>
      <c r="AIM1626" s="1"/>
      <c r="AIN1626" s="1"/>
      <c r="AIO1626" s="1"/>
      <c r="AIP1626" s="1"/>
      <c r="AIQ1626" s="1"/>
      <c r="AIR1626" s="1"/>
      <c r="AIS1626" s="1"/>
      <c r="AIT1626" s="1"/>
      <c r="AIU1626" s="1"/>
      <c r="AIV1626" s="1"/>
      <c r="AIW1626" s="1"/>
      <c r="AIX1626" s="1"/>
      <c r="AIY1626" s="1"/>
      <c r="AIZ1626" s="1"/>
      <c r="AJA1626" s="1"/>
      <c r="AJB1626" s="1"/>
      <c r="AJC1626" s="1"/>
      <c r="AJD1626" s="1"/>
      <c r="AJE1626" s="1"/>
      <c r="AJF1626" s="1"/>
      <c r="AJG1626" s="1"/>
      <c r="AJH1626" s="1"/>
      <c r="AJI1626" s="1"/>
      <c r="AJJ1626" s="1"/>
      <c r="AJK1626" s="1"/>
      <c r="AJL1626" s="1"/>
      <c r="AJM1626" s="1"/>
      <c r="AJN1626" s="1"/>
      <c r="AJO1626" s="1"/>
      <c r="AJP1626" s="1"/>
      <c r="AJQ1626" s="1"/>
      <c r="AJR1626" s="1"/>
      <c r="AJS1626" s="1"/>
      <c r="AJT1626" s="1"/>
      <c r="AJU1626" s="1"/>
      <c r="AJV1626" s="1"/>
      <c r="AJW1626" s="1"/>
      <c r="AJX1626" s="1"/>
      <c r="AJY1626" s="1"/>
      <c r="AJZ1626" s="1"/>
      <c r="AKA1626" s="1"/>
      <c r="AKB1626" s="1"/>
      <c r="AKC1626" s="1"/>
      <c r="AKD1626" s="1"/>
      <c r="AKE1626" s="1"/>
      <c r="AKF1626" s="1"/>
      <c r="AKG1626" s="1"/>
      <c r="AKH1626" s="1"/>
      <c r="AKI1626" s="1"/>
      <c r="AKJ1626" s="1"/>
      <c r="AKK1626" s="1"/>
      <c r="AKL1626" s="1"/>
      <c r="AKM1626" s="1"/>
      <c r="AKN1626" s="1"/>
      <c r="AKO1626" s="1"/>
      <c r="AKP1626" s="1"/>
      <c r="AKQ1626" s="1"/>
      <c r="AKR1626" s="1"/>
      <c r="AKS1626" s="1"/>
      <c r="AKT1626" s="1"/>
      <c r="AKU1626" s="1"/>
      <c r="AKV1626" s="1"/>
      <c r="AKW1626" s="1"/>
      <c r="AKX1626" s="1"/>
      <c r="AKY1626" s="1"/>
      <c r="AKZ1626" s="1"/>
      <c r="ALA1626" s="1"/>
      <c r="ALB1626" s="1"/>
      <c r="ALC1626" s="1"/>
      <c r="ALD1626" s="1"/>
      <c r="ALE1626" s="1"/>
      <c r="ALF1626" s="1"/>
      <c r="ALG1626" s="1"/>
      <c r="ALH1626" s="1"/>
      <c r="ALI1626" s="1"/>
      <c r="ALJ1626" s="1"/>
      <c r="ALK1626" s="1"/>
      <c r="ALL1626" s="1"/>
      <c r="ALM1626" s="1"/>
      <c r="ALN1626" s="1"/>
      <c r="ALO1626" s="1"/>
      <c r="ALP1626" s="1"/>
      <c r="ALQ1626" s="1"/>
      <c r="ALR1626" s="1"/>
      <c r="ALS1626" s="1"/>
      <c r="ALT1626" s="1"/>
      <c r="ALU1626" s="1"/>
      <c r="ALV1626" s="1"/>
      <c r="ALW1626" s="1"/>
      <c r="ALX1626" s="1"/>
      <c r="ALY1626" s="1"/>
      <c r="ALZ1626" s="1"/>
      <c r="AMA1626" s="1"/>
      <c r="AMB1626" s="1"/>
      <c r="AMC1626" s="1"/>
      <c r="AMD1626" s="1"/>
      <c r="AME1626" s="1"/>
      <c r="AMF1626" s="1"/>
      <c r="AMG1626" s="1"/>
      <c r="AMH1626" s="1"/>
      <c r="AMI1626" s="1"/>
      <c r="AMJ1626" s="1"/>
      <c r="AMK1626" s="1"/>
      <c r="AML1626" s="1"/>
      <c r="AMM1626" s="1"/>
      <c r="AMN1626" s="1"/>
      <c r="AMO1626" s="1"/>
      <c r="AMP1626" s="1"/>
      <c r="AMQ1626" s="1"/>
      <c r="AMR1626" s="1"/>
      <c r="AMS1626" s="1"/>
      <c r="AMT1626" s="1"/>
      <c r="AMU1626" s="1"/>
      <c r="AMV1626" s="1"/>
      <c r="AMW1626" s="1"/>
      <c r="AMX1626" s="1"/>
      <c r="AMY1626" s="1"/>
      <c r="AMZ1626" s="1"/>
      <c r="ANA1626" s="1"/>
      <c r="ANB1626" s="1"/>
      <c r="ANC1626" s="1"/>
      <c r="AND1626" s="1"/>
      <c r="ANE1626" s="1"/>
      <c r="ANF1626" s="1"/>
      <c r="ANG1626" s="1"/>
      <c r="ANH1626" s="1"/>
      <c r="ANI1626" s="1"/>
      <c r="ANJ1626" s="1"/>
      <c r="ANK1626" s="1"/>
      <c r="ANL1626" s="1"/>
      <c r="ANM1626" s="1"/>
      <c r="ANN1626" s="1"/>
      <c r="ANO1626" s="1"/>
      <c r="ANP1626" s="1"/>
      <c r="ANQ1626" s="1"/>
      <c r="ANR1626" s="1"/>
      <c r="ANS1626" s="1"/>
      <c r="ANT1626" s="1"/>
      <c r="ANU1626" s="1"/>
      <c r="ANV1626" s="1"/>
      <c r="ANW1626" s="1"/>
      <c r="ANX1626" s="1"/>
      <c r="ANY1626" s="1"/>
      <c r="ANZ1626" s="1"/>
      <c r="AOA1626" s="1"/>
      <c r="AOB1626" s="1"/>
      <c r="AOC1626" s="1"/>
      <c r="AOD1626" s="1"/>
      <c r="AOE1626" s="1"/>
      <c r="AOF1626" s="1"/>
      <c r="AOG1626" s="1"/>
      <c r="AOH1626" s="1"/>
      <c r="AOI1626" s="1"/>
      <c r="AOJ1626" s="1"/>
      <c r="AOK1626" s="1"/>
      <c r="AOL1626" s="1"/>
      <c r="AOM1626" s="1"/>
      <c r="AON1626" s="1"/>
      <c r="AOO1626" s="1"/>
      <c r="AOP1626" s="1"/>
      <c r="AOQ1626" s="1"/>
      <c r="AOR1626" s="1"/>
      <c r="AOS1626" s="1"/>
      <c r="AOT1626" s="1"/>
      <c r="AOU1626" s="1"/>
      <c r="AOV1626" s="1"/>
      <c r="AOW1626" s="1"/>
      <c r="AOX1626" s="1"/>
      <c r="AOY1626" s="1"/>
      <c r="AOZ1626" s="1"/>
      <c r="APA1626" s="1"/>
      <c r="APB1626" s="1"/>
      <c r="APC1626" s="1"/>
      <c r="APD1626" s="1"/>
      <c r="APE1626" s="1"/>
      <c r="APF1626" s="1"/>
      <c r="APG1626" s="1"/>
      <c r="APH1626" s="1"/>
      <c r="API1626" s="1"/>
      <c r="APJ1626" s="1"/>
      <c r="APK1626" s="1"/>
      <c r="APL1626" s="1"/>
      <c r="APM1626" s="1"/>
      <c r="APN1626" s="1"/>
      <c r="APO1626" s="1"/>
      <c r="APP1626" s="1"/>
      <c r="APQ1626" s="1"/>
      <c r="APR1626" s="1"/>
      <c r="APS1626" s="1"/>
      <c r="APT1626" s="1"/>
      <c r="APU1626" s="1"/>
      <c r="APV1626" s="1"/>
      <c r="APW1626" s="1"/>
      <c r="APX1626" s="1"/>
      <c r="APY1626" s="1"/>
      <c r="APZ1626" s="1"/>
      <c r="AQA1626" s="1"/>
      <c r="AQB1626" s="1"/>
      <c r="AQC1626" s="1"/>
      <c r="AQD1626" s="1"/>
      <c r="AQE1626" s="1"/>
      <c r="AQF1626" s="1"/>
      <c r="AQG1626" s="1"/>
      <c r="AQH1626" s="1"/>
      <c r="AQI1626" s="1"/>
      <c r="AQJ1626" s="1"/>
      <c r="AQK1626" s="1"/>
      <c r="AQL1626" s="1"/>
      <c r="AQM1626" s="1"/>
      <c r="AQN1626" s="1"/>
      <c r="AQO1626" s="1"/>
      <c r="AQP1626" s="1"/>
      <c r="AQQ1626" s="1"/>
      <c r="AQR1626" s="1"/>
      <c r="AQS1626" s="1"/>
      <c r="AQT1626" s="1"/>
      <c r="AQU1626" s="1"/>
      <c r="AQV1626" s="1"/>
      <c r="AQW1626" s="1"/>
      <c r="AQX1626" s="1"/>
      <c r="AQY1626" s="1"/>
      <c r="AQZ1626" s="1"/>
      <c r="ARA1626" s="1"/>
      <c r="ARB1626" s="1"/>
      <c r="ARC1626" s="1"/>
      <c r="ARD1626" s="1"/>
      <c r="ARE1626" s="1"/>
      <c r="ARF1626" s="1"/>
      <c r="ARG1626" s="1"/>
      <c r="ARH1626" s="1"/>
      <c r="ARI1626" s="1"/>
      <c r="ARJ1626" s="1"/>
      <c r="ARK1626" s="1"/>
      <c r="ARL1626" s="1"/>
      <c r="ARM1626" s="1"/>
      <c r="ARN1626" s="1"/>
      <c r="ARO1626" s="1"/>
      <c r="ARP1626" s="1"/>
      <c r="ARQ1626" s="1"/>
      <c r="ARR1626" s="1"/>
      <c r="ARS1626" s="1"/>
      <c r="ART1626" s="1"/>
      <c r="ARU1626" s="1"/>
      <c r="ARV1626" s="1"/>
      <c r="ARW1626" s="1"/>
      <c r="ARX1626" s="1"/>
      <c r="ARY1626" s="1"/>
      <c r="ARZ1626" s="1"/>
      <c r="ASA1626" s="1"/>
      <c r="ASB1626" s="1"/>
      <c r="ASC1626" s="1"/>
      <c r="ASD1626" s="1"/>
      <c r="ASE1626" s="1"/>
      <c r="ASF1626" s="1"/>
      <c r="ASG1626" s="1"/>
      <c r="ASH1626" s="1"/>
      <c r="ASI1626" s="1"/>
      <c r="ASJ1626" s="1"/>
      <c r="ASK1626" s="1"/>
      <c r="ASL1626" s="1"/>
      <c r="ASM1626" s="1"/>
      <c r="ASN1626" s="1"/>
      <c r="ASO1626" s="1"/>
      <c r="ASP1626" s="1"/>
      <c r="ASQ1626" s="1"/>
      <c r="ASR1626" s="1"/>
      <c r="ASS1626" s="1"/>
      <c r="AST1626" s="1"/>
      <c r="ASU1626" s="1"/>
      <c r="ASV1626" s="1"/>
      <c r="ASW1626" s="1"/>
      <c r="ASX1626" s="1"/>
      <c r="ASY1626" s="1"/>
      <c r="ASZ1626" s="1"/>
      <c r="ATA1626" s="1"/>
      <c r="ATB1626" s="1"/>
      <c r="ATC1626" s="1"/>
      <c r="ATD1626" s="1"/>
      <c r="ATE1626" s="1"/>
      <c r="ATF1626" s="1"/>
      <c r="ATG1626" s="1"/>
      <c r="ATH1626" s="1"/>
      <c r="ATI1626" s="1"/>
      <c r="ATJ1626" s="1"/>
      <c r="ATK1626" s="1"/>
      <c r="ATL1626" s="1"/>
      <c r="ATM1626" s="1"/>
      <c r="ATN1626" s="1"/>
      <c r="ATO1626" s="1"/>
      <c r="ATP1626" s="1"/>
      <c r="ATQ1626" s="1"/>
      <c r="ATR1626" s="1"/>
      <c r="ATS1626" s="1"/>
      <c r="ATT1626" s="1"/>
      <c r="ATU1626" s="1"/>
      <c r="ATV1626" s="1"/>
      <c r="ATW1626" s="1"/>
      <c r="ATX1626" s="1"/>
      <c r="ATY1626" s="1"/>
      <c r="ATZ1626" s="1"/>
      <c r="AUA1626" s="1"/>
      <c r="AUB1626" s="1"/>
      <c r="AUC1626" s="1"/>
      <c r="AUD1626" s="1"/>
      <c r="AUE1626" s="1"/>
      <c r="AUF1626" s="1"/>
      <c r="AUG1626" s="1"/>
      <c r="AUH1626" s="1"/>
      <c r="AUI1626" s="1"/>
      <c r="AUJ1626" s="1"/>
      <c r="AUK1626" s="1"/>
      <c r="AUL1626" s="1"/>
      <c r="AUM1626" s="1"/>
      <c r="AUN1626" s="1"/>
      <c r="AUO1626" s="1"/>
      <c r="AUP1626" s="1"/>
      <c r="AUQ1626" s="1"/>
      <c r="AUR1626" s="1"/>
      <c r="AUS1626" s="1"/>
      <c r="AUT1626" s="1"/>
      <c r="AUU1626" s="1"/>
      <c r="AUV1626" s="1"/>
      <c r="AUW1626" s="1"/>
      <c r="AUX1626" s="1"/>
      <c r="AUY1626" s="1"/>
      <c r="AUZ1626" s="1"/>
      <c r="AVA1626" s="1"/>
      <c r="AVB1626" s="1"/>
      <c r="AVC1626" s="1"/>
      <c r="AVD1626" s="1"/>
      <c r="AVE1626" s="1"/>
      <c r="AVF1626" s="1"/>
      <c r="AVG1626" s="1"/>
      <c r="AVH1626" s="1"/>
      <c r="AVI1626" s="1"/>
      <c r="AVJ1626" s="1"/>
      <c r="AVK1626" s="1"/>
      <c r="AVL1626" s="1"/>
      <c r="AVM1626" s="1"/>
      <c r="AVN1626" s="1"/>
      <c r="AVO1626" s="1"/>
      <c r="AVP1626" s="1"/>
      <c r="AVQ1626" s="1"/>
      <c r="AVR1626" s="1"/>
      <c r="AVS1626" s="1"/>
      <c r="AVT1626" s="1"/>
      <c r="AVU1626" s="1"/>
      <c r="AVV1626" s="1"/>
      <c r="AVW1626" s="1"/>
      <c r="AVX1626" s="1"/>
      <c r="AVY1626" s="1"/>
      <c r="AVZ1626" s="1"/>
      <c r="AWA1626" s="1"/>
      <c r="AWB1626" s="1"/>
      <c r="AWC1626" s="1"/>
      <c r="AWD1626" s="1"/>
      <c r="AWE1626" s="1"/>
      <c r="AWF1626" s="1"/>
      <c r="AWG1626" s="1"/>
      <c r="AWH1626" s="1"/>
      <c r="AWI1626" s="1"/>
      <c r="AWJ1626" s="1"/>
      <c r="AWK1626" s="1"/>
      <c r="AWL1626" s="1"/>
      <c r="AWM1626" s="1"/>
      <c r="AWN1626" s="1"/>
      <c r="AWO1626" s="1"/>
      <c r="AWP1626" s="1"/>
      <c r="AWQ1626" s="1"/>
      <c r="AWR1626" s="1"/>
      <c r="AWS1626" s="1"/>
      <c r="AWT1626" s="1"/>
      <c r="AWU1626" s="1"/>
      <c r="AWV1626" s="1"/>
      <c r="AWW1626" s="1"/>
      <c r="AWX1626" s="1"/>
      <c r="AWY1626" s="1"/>
      <c r="AWZ1626" s="1"/>
      <c r="AXA1626" s="1"/>
      <c r="AXB1626" s="1"/>
      <c r="AXC1626" s="1"/>
      <c r="AXD1626" s="1"/>
      <c r="AXE1626" s="1"/>
      <c r="AXF1626" s="1"/>
      <c r="AXG1626" s="1"/>
      <c r="AXH1626" s="1"/>
      <c r="AXI1626" s="1"/>
      <c r="AXJ1626" s="1"/>
      <c r="AXK1626" s="1"/>
      <c r="AXL1626" s="1"/>
      <c r="AXM1626" s="1"/>
      <c r="AXN1626" s="1"/>
      <c r="AXO1626" s="1"/>
      <c r="AXP1626" s="1"/>
      <c r="AXQ1626" s="1"/>
      <c r="AXR1626" s="1"/>
      <c r="AXS1626" s="1"/>
      <c r="AXT1626" s="1"/>
      <c r="AXU1626" s="1"/>
      <c r="AXV1626" s="1"/>
      <c r="AXW1626" s="1"/>
      <c r="AXX1626" s="1"/>
      <c r="AXY1626" s="1"/>
      <c r="AXZ1626" s="1"/>
      <c r="AYA1626" s="1"/>
      <c r="AYB1626" s="1"/>
      <c r="AYC1626" s="1"/>
      <c r="AYD1626" s="1"/>
      <c r="AYE1626" s="1"/>
      <c r="AYF1626" s="1"/>
      <c r="AYG1626" s="1"/>
      <c r="AYH1626" s="1"/>
      <c r="AYI1626" s="1"/>
      <c r="AYJ1626" s="1"/>
      <c r="AYK1626" s="1"/>
      <c r="AYL1626" s="1"/>
      <c r="AYM1626" s="1"/>
      <c r="AYN1626" s="1"/>
      <c r="AYO1626" s="1"/>
      <c r="AYP1626" s="1"/>
      <c r="AYQ1626" s="1"/>
      <c r="AYR1626" s="1"/>
      <c r="AYS1626" s="1"/>
      <c r="AYT1626" s="1"/>
      <c r="AYU1626" s="1"/>
      <c r="AYV1626" s="1"/>
      <c r="AYW1626" s="1"/>
      <c r="AYX1626" s="1"/>
      <c r="AYY1626" s="1"/>
      <c r="AYZ1626" s="1"/>
      <c r="AZA1626" s="1"/>
      <c r="AZB1626" s="1"/>
      <c r="AZC1626" s="1"/>
      <c r="AZD1626" s="1"/>
      <c r="AZE1626" s="1"/>
      <c r="AZF1626" s="1"/>
      <c r="AZG1626" s="1"/>
      <c r="AZH1626" s="1"/>
      <c r="AZI1626" s="1"/>
      <c r="AZJ1626" s="1"/>
      <c r="AZK1626" s="1"/>
      <c r="AZL1626" s="1"/>
      <c r="AZM1626" s="1"/>
      <c r="AZN1626" s="1"/>
      <c r="AZO1626" s="1"/>
      <c r="AZP1626" s="1"/>
      <c r="AZQ1626" s="1"/>
      <c r="AZR1626" s="1"/>
      <c r="AZS1626" s="1"/>
      <c r="AZT1626" s="1"/>
      <c r="AZU1626" s="1"/>
      <c r="AZV1626" s="1"/>
      <c r="AZW1626" s="1"/>
      <c r="AZX1626" s="1"/>
      <c r="AZY1626" s="1"/>
      <c r="AZZ1626" s="1"/>
      <c r="BAA1626" s="1"/>
      <c r="BAB1626" s="1"/>
      <c r="BAC1626" s="1"/>
      <c r="BAD1626" s="1"/>
      <c r="BAE1626" s="1"/>
      <c r="BAF1626" s="1"/>
      <c r="BAG1626" s="1"/>
      <c r="BAH1626" s="1"/>
      <c r="BAI1626" s="1"/>
      <c r="BAJ1626" s="1"/>
      <c r="BAK1626" s="1"/>
      <c r="BAL1626" s="1"/>
      <c r="BAM1626" s="1"/>
      <c r="BAN1626" s="1"/>
      <c r="BAO1626" s="1"/>
      <c r="BAP1626" s="1"/>
      <c r="BAQ1626" s="1"/>
      <c r="BAR1626" s="1"/>
      <c r="BAS1626" s="1"/>
      <c r="BAT1626" s="1"/>
      <c r="BAU1626" s="1"/>
      <c r="BAV1626" s="1"/>
      <c r="BAW1626" s="1"/>
      <c r="BAX1626" s="1"/>
      <c r="BAY1626" s="1"/>
      <c r="BAZ1626" s="1"/>
      <c r="BBA1626" s="1"/>
      <c r="BBB1626" s="1"/>
      <c r="BBC1626" s="1"/>
      <c r="BBD1626" s="1"/>
      <c r="BBE1626" s="1"/>
      <c r="BBF1626" s="1"/>
      <c r="BBG1626" s="1"/>
      <c r="BBH1626" s="1"/>
      <c r="BBI1626" s="1"/>
      <c r="BBJ1626" s="1"/>
      <c r="BBK1626" s="1"/>
      <c r="BBL1626" s="1"/>
      <c r="BBM1626" s="1"/>
      <c r="BBN1626" s="1"/>
      <c r="BBO1626" s="1"/>
      <c r="BBP1626" s="1"/>
      <c r="BBQ1626" s="1"/>
      <c r="BBR1626" s="1"/>
      <c r="BBS1626" s="1"/>
      <c r="BBT1626" s="1"/>
      <c r="BBU1626" s="1"/>
      <c r="BBV1626" s="1"/>
      <c r="BBW1626" s="1"/>
      <c r="BBX1626" s="1"/>
      <c r="BBY1626" s="1"/>
      <c r="BBZ1626" s="1"/>
      <c r="BCA1626" s="1"/>
      <c r="BCB1626" s="1"/>
      <c r="BCC1626" s="1"/>
      <c r="BCD1626" s="1"/>
      <c r="BCE1626" s="1"/>
      <c r="BCF1626" s="1"/>
      <c r="BCG1626" s="1"/>
      <c r="BCH1626" s="1"/>
      <c r="BCI1626" s="1"/>
      <c r="BCJ1626" s="1"/>
      <c r="BCK1626" s="1"/>
      <c r="BCL1626" s="1"/>
      <c r="BCM1626" s="1"/>
      <c r="BCN1626" s="1"/>
      <c r="BCO1626" s="1"/>
      <c r="BCP1626" s="1"/>
      <c r="BCQ1626" s="1"/>
      <c r="BCR1626" s="1"/>
      <c r="BCS1626" s="1"/>
      <c r="BCT1626" s="1"/>
      <c r="BCU1626" s="1"/>
      <c r="BCV1626" s="1"/>
      <c r="BCW1626" s="1"/>
      <c r="BCX1626" s="1"/>
      <c r="BCY1626" s="1"/>
      <c r="BCZ1626" s="1"/>
      <c r="BDA1626" s="1"/>
      <c r="BDB1626" s="1"/>
      <c r="BDC1626" s="1"/>
      <c r="BDD1626" s="1"/>
      <c r="BDE1626" s="1"/>
      <c r="BDF1626" s="1"/>
      <c r="BDG1626" s="1"/>
      <c r="BDH1626" s="1"/>
      <c r="BDI1626" s="1"/>
      <c r="BDJ1626" s="1"/>
      <c r="BDK1626" s="1"/>
      <c r="BDL1626" s="1"/>
      <c r="BDM1626" s="1"/>
      <c r="BDN1626" s="1"/>
      <c r="BDO1626" s="1"/>
      <c r="BDP1626" s="1"/>
      <c r="BDQ1626" s="1"/>
      <c r="BDR1626" s="1"/>
      <c r="BDS1626" s="1"/>
      <c r="BDT1626" s="1"/>
      <c r="BDU1626" s="1"/>
      <c r="BDV1626" s="1"/>
      <c r="BDW1626" s="1"/>
      <c r="BDX1626" s="1"/>
      <c r="BDY1626" s="1"/>
      <c r="BDZ1626" s="1"/>
      <c r="BEA1626" s="1"/>
      <c r="BEB1626" s="1"/>
      <c r="BEC1626" s="1"/>
      <c r="BED1626" s="1"/>
      <c r="BEE1626" s="1"/>
      <c r="BEF1626" s="1"/>
      <c r="BEG1626" s="1"/>
      <c r="BEH1626" s="1"/>
      <c r="BEI1626" s="1"/>
      <c r="BEJ1626" s="1"/>
      <c r="BEK1626" s="1"/>
      <c r="BEL1626" s="1"/>
      <c r="BEM1626" s="1"/>
      <c r="BEN1626" s="1"/>
      <c r="BEO1626" s="1"/>
      <c r="BEP1626" s="1"/>
      <c r="BEQ1626" s="1"/>
      <c r="BER1626" s="1"/>
      <c r="BES1626" s="1"/>
      <c r="BET1626" s="1"/>
      <c r="BEU1626" s="1"/>
      <c r="BEV1626" s="1"/>
      <c r="BEW1626" s="1"/>
      <c r="BEX1626" s="1"/>
      <c r="BEY1626" s="1"/>
      <c r="BEZ1626" s="1"/>
      <c r="BFA1626" s="1"/>
      <c r="BFB1626" s="1"/>
      <c r="BFC1626" s="1"/>
      <c r="BFD1626" s="1"/>
      <c r="BFE1626" s="1"/>
      <c r="BFF1626" s="1"/>
      <c r="BFG1626" s="1"/>
      <c r="BFH1626" s="1"/>
      <c r="BFI1626" s="1"/>
      <c r="BFJ1626" s="1"/>
      <c r="BFK1626" s="1"/>
      <c r="BFL1626" s="1"/>
      <c r="BFM1626" s="1"/>
      <c r="BFN1626" s="1"/>
      <c r="BFO1626" s="1"/>
      <c r="BFP1626" s="1"/>
      <c r="BFQ1626" s="1"/>
      <c r="BFR1626" s="1"/>
      <c r="BFS1626" s="1"/>
      <c r="BFT1626" s="1"/>
      <c r="BFU1626" s="1"/>
      <c r="BFV1626" s="1"/>
      <c r="BFW1626" s="1"/>
      <c r="BFX1626" s="1"/>
      <c r="BFY1626" s="1"/>
      <c r="BFZ1626" s="1"/>
      <c r="BGA1626" s="1"/>
      <c r="BGB1626" s="1"/>
      <c r="BGC1626" s="1"/>
      <c r="BGD1626" s="1"/>
      <c r="BGE1626" s="1"/>
      <c r="BGF1626" s="1"/>
      <c r="BGG1626" s="1"/>
      <c r="BGH1626" s="1"/>
      <c r="BGI1626" s="1"/>
      <c r="BGJ1626" s="1"/>
      <c r="BGK1626" s="1"/>
      <c r="BGL1626" s="1"/>
      <c r="BGM1626" s="1"/>
      <c r="BGN1626" s="1"/>
      <c r="BGO1626" s="1"/>
      <c r="BGP1626" s="1"/>
      <c r="BGQ1626" s="1"/>
      <c r="BGR1626" s="1"/>
      <c r="BGS1626" s="1"/>
      <c r="BGT1626" s="1"/>
      <c r="BGU1626" s="1"/>
      <c r="BGV1626" s="1"/>
      <c r="BGW1626" s="1"/>
      <c r="BGX1626" s="1"/>
      <c r="BGY1626" s="1"/>
      <c r="BGZ1626" s="1"/>
      <c r="BHA1626" s="1"/>
      <c r="BHB1626" s="1"/>
      <c r="BHC1626" s="1"/>
      <c r="BHD1626" s="1"/>
      <c r="BHE1626" s="1"/>
      <c r="BHF1626" s="1"/>
      <c r="BHG1626" s="1"/>
      <c r="BHH1626" s="1"/>
      <c r="BHI1626" s="1"/>
      <c r="BHJ1626" s="1"/>
      <c r="BHK1626" s="1"/>
      <c r="BHL1626" s="1"/>
      <c r="BHM1626" s="1"/>
      <c r="BHN1626" s="1"/>
      <c r="BHO1626" s="1"/>
      <c r="BHP1626" s="1"/>
      <c r="BHQ1626" s="1"/>
      <c r="BHR1626" s="1"/>
      <c r="BHS1626" s="1"/>
      <c r="BHT1626" s="1"/>
      <c r="BHU1626" s="1"/>
      <c r="BHV1626" s="1"/>
      <c r="BHW1626" s="1"/>
      <c r="BHX1626" s="1"/>
      <c r="BHY1626" s="1"/>
      <c r="BHZ1626" s="1"/>
      <c r="BIA1626" s="1"/>
      <c r="BIB1626" s="1"/>
      <c r="BIC1626" s="1"/>
      <c r="BID1626" s="1"/>
      <c r="BIE1626" s="1"/>
      <c r="BIF1626" s="1"/>
      <c r="BIG1626" s="1"/>
      <c r="BIH1626" s="1"/>
      <c r="BII1626" s="1"/>
      <c r="BIJ1626" s="1"/>
      <c r="BIK1626" s="1"/>
      <c r="BIL1626" s="1"/>
      <c r="BIM1626" s="1"/>
      <c r="BIN1626" s="1"/>
      <c r="BIO1626" s="1"/>
      <c r="BIP1626" s="1"/>
      <c r="BIQ1626" s="1"/>
      <c r="BIR1626" s="1"/>
      <c r="BIS1626" s="1"/>
      <c r="BIT1626" s="1"/>
      <c r="BIU1626" s="1"/>
      <c r="BIV1626" s="1"/>
      <c r="BIW1626" s="1"/>
      <c r="BIX1626" s="1"/>
      <c r="BIY1626" s="1"/>
      <c r="BIZ1626" s="1"/>
      <c r="BJA1626" s="1"/>
      <c r="BJB1626" s="1"/>
      <c r="BJC1626" s="1"/>
      <c r="BJD1626" s="1"/>
      <c r="BJE1626" s="1"/>
      <c r="BJF1626" s="1"/>
      <c r="BJG1626" s="1"/>
      <c r="BJH1626" s="1"/>
      <c r="BJI1626" s="1"/>
      <c r="BJJ1626" s="1"/>
      <c r="BJK1626" s="1"/>
      <c r="BJL1626" s="1"/>
      <c r="BJM1626" s="1"/>
      <c r="BJN1626" s="1"/>
      <c r="BJO1626" s="1"/>
      <c r="BJP1626" s="1"/>
      <c r="BJQ1626" s="1"/>
      <c r="BJR1626" s="1"/>
      <c r="BJS1626" s="1"/>
      <c r="BJT1626" s="1"/>
      <c r="BJU1626" s="1"/>
      <c r="BJV1626" s="1"/>
      <c r="BJW1626" s="1"/>
      <c r="BJX1626" s="1"/>
      <c r="BJY1626" s="1"/>
      <c r="BJZ1626" s="1"/>
      <c r="BKA1626" s="1"/>
      <c r="BKB1626" s="1"/>
      <c r="BKC1626" s="1"/>
      <c r="BKD1626" s="1"/>
      <c r="BKE1626" s="1"/>
      <c r="BKF1626" s="1"/>
      <c r="BKG1626" s="1"/>
      <c r="BKH1626" s="1"/>
      <c r="BKI1626" s="1"/>
      <c r="BKJ1626" s="1"/>
      <c r="BKK1626" s="1"/>
      <c r="BKL1626" s="1"/>
      <c r="BKM1626" s="1"/>
      <c r="BKN1626" s="1"/>
      <c r="BKO1626" s="1"/>
      <c r="BKP1626" s="1"/>
      <c r="BKQ1626" s="1"/>
      <c r="BKR1626" s="1"/>
      <c r="BKS1626" s="1"/>
      <c r="BKT1626" s="1"/>
      <c r="BKU1626" s="1"/>
      <c r="BKV1626" s="1"/>
      <c r="BKW1626" s="1"/>
      <c r="BKX1626" s="1"/>
      <c r="BKY1626" s="1"/>
      <c r="BKZ1626" s="1"/>
      <c r="BLA1626" s="1"/>
      <c r="BLB1626" s="1"/>
      <c r="BLC1626" s="1"/>
      <c r="BLD1626" s="1"/>
      <c r="BLE1626" s="1"/>
      <c r="BLF1626" s="1"/>
      <c r="BLG1626" s="1"/>
      <c r="BLH1626" s="1"/>
      <c r="BLI1626" s="1"/>
      <c r="BLJ1626" s="1"/>
      <c r="BLK1626" s="1"/>
      <c r="BLL1626" s="1"/>
      <c r="BLM1626" s="1"/>
      <c r="BLN1626" s="1"/>
      <c r="BLO1626" s="1"/>
      <c r="BLP1626" s="1"/>
      <c r="BLQ1626" s="1"/>
      <c r="BLR1626" s="1"/>
      <c r="BLS1626" s="1"/>
      <c r="BLT1626" s="1"/>
      <c r="BLU1626" s="1"/>
      <c r="BLV1626" s="1"/>
      <c r="BLW1626" s="1"/>
      <c r="BLX1626" s="1"/>
      <c r="BLY1626" s="1"/>
      <c r="BLZ1626" s="1"/>
      <c r="BMA1626" s="1"/>
      <c r="BMB1626" s="1"/>
      <c r="BMC1626" s="1"/>
      <c r="BMD1626" s="1"/>
      <c r="BME1626" s="1"/>
      <c r="BMF1626" s="1"/>
      <c r="BMG1626" s="1"/>
      <c r="BMH1626" s="1"/>
      <c r="BMI1626" s="1"/>
      <c r="BMJ1626" s="1"/>
      <c r="BMK1626" s="1"/>
      <c r="BML1626" s="1"/>
      <c r="BMM1626" s="1"/>
      <c r="BMN1626" s="1"/>
      <c r="BMO1626" s="1"/>
      <c r="BMP1626" s="1"/>
      <c r="BMQ1626" s="1"/>
      <c r="BMR1626" s="1"/>
      <c r="BMS1626" s="1"/>
      <c r="BMT1626" s="1"/>
      <c r="BMU1626" s="1"/>
      <c r="BMV1626" s="1"/>
      <c r="BMW1626" s="1"/>
      <c r="BMX1626" s="1"/>
      <c r="BMY1626" s="1"/>
      <c r="BMZ1626" s="1"/>
      <c r="BNA1626" s="1"/>
      <c r="BNB1626" s="1"/>
      <c r="BNC1626" s="1"/>
      <c r="BND1626" s="1"/>
      <c r="BNE1626" s="1"/>
      <c r="BNF1626" s="1"/>
      <c r="BNG1626" s="1"/>
      <c r="BNH1626" s="1"/>
      <c r="BNI1626" s="1"/>
      <c r="BNJ1626" s="1"/>
      <c r="BNK1626" s="1"/>
      <c r="BNL1626" s="1"/>
      <c r="BNM1626" s="1"/>
      <c r="BNN1626" s="1"/>
      <c r="BNO1626" s="1"/>
      <c r="BNP1626" s="1"/>
      <c r="BNQ1626" s="1"/>
      <c r="BNR1626" s="1"/>
      <c r="BNS1626" s="1"/>
      <c r="BNT1626" s="1"/>
      <c r="BNU1626" s="1"/>
      <c r="BNV1626" s="1"/>
      <c r="BNW1626" s="1"/>
      <c r="BNX1626" s="1"/>
      <c r="BNY1626" s="1"/>
      <c r="BNZ1626" s="1"/>
      <c r="BOA1626" s="1"/>
      <c r="BOB1626" s="1"/>
      <c r="BOC1626" s="1"/>
      <c r="BOD1626" s="1"/>
      <c r="BOE1626" s="1"/>
      <c r="BOF1626" s="1"/>
      <c r="BOG1626" s="1"/>
      <c r="BOH1626" s="1"/>
      <c r="BOI1626" s="1"/>
      <c r="BOJ1626" s="1"/>
      <c r="BOK1626" s="1"/>
      <c r="BOL1626" s="1"/>
      <c r="BOM1626" s="1"/>
      <c r="BON1626" s="1"/>
      <c r="BOO1626" s="1"/>
      <c r="BOP1626" s="1"/>
      <c r="BOQ1626" s="1"/>
      <c r="BOR1626" s="1"/>
      <c r="BOS1626" s="1"/>
      <c r="BOT1626" s="1"/>
      <c r="BOU1626" s="1"/>
      <c r="BOV1626" s="1"/>
      <c r="BOW1626" s="1"/>
      <c r="BOX1626" s="1"/>
      <c r="BOY1626" s="1"/>
      <c r="BOZ1626" s="1"/>
      <c r="BPA1626" s="1"/>
      <c r="BPB1626" s="1"/>
      <c r="BPC1626" s="1"/>
      <c r="BPD1626" s="1"/>
      <c r="BPE1626" s="1"/>
      <c r="BPF1626" s="1"/>
      <c r="BPG1626" s="1"/>
      <c r="BPH1626" s="1"/>
      <c r="BPI1626" s="1"/>
      <c r="BPJ1626" s="1"/>
      <c r="BPK1626" s="1"/>
      <c r="BPL1626" s="1"/>
      <c r="BPM1626" s="1"/>
      <c r="BPN1626" s="1"/>
      <c r="BPO1626" s="1"/>
      <c r="BPP1626" s="1"/>
      <c r="BPQ1626" s="1"/>
      <c r="BPR1626" s="1"/>
      <c r="BPS1626" s="1"/>
      <c r="BPT1626" s="1"/>
      <c r="BPU1626" s="1"/>
      <c r="BPV1626" s="1"/>
      <c r="BPW1626" s="1"/>
      <c r="BPX1626" s="1"/>
      <c r="BPY1626" s="1"/>
      <c r="BPZ1626" s="1"/>
      <c r="BQA1626" s="1"/>
      <c r="BQB1626" s="1"/>
      <c r="BQC1626" s="1"/>
      <c r="BQD1626" s="1"/>
      <c r="BQE1626" s="1"/>
      <c r="BQF1626" s="1"/>
      <c r="BQG1626" s="1"/>
      <c r="BQH1626" s="1"/>
      <c r="BQI1626" s="1"/>
      <c r="BQJ1626" s="1"/>
      <c r="BQK1626" s="1"/>
      <c r="BQL1626" s="1"/>
      <c r="BQM1626" s="1"/>
      <c r="BQN1626" s="1"/>
      <c r="BQO1626" s="1"/>
      <c r="BQP1626" s="1"/>
      <c r="BQQ1626" s="1"/>
      <c r="BQR1626" s="1"/>
      <c r="BQS1626" s="1"/>
      <c r="BQT1626" s="1"/>
      <c r="BQU1626" s="1"/>
      <c r="BQV1626" s="1"/>
      <c r="BQW1626" s="1"/>
      <c r="BQX1626" s="1"/>
      <c r="BQY1626" s="1"/>
      <c r="BQZ1626" s="1"/>
      <c r="BRA1626" s="1"/>
      <c r="BRB1626" s="1"/>
      <c r="BRC1626" s="1"/>
      <c r="BRD1626" s="1"/>
      <c r="BRE1626" s="1"/>
      <c r="BRF1626" s="1"/>
      <c r="BRG1626" s="1"/>
      <c r="BRH1626" s="1"/>
      <c r="BRI1626" s="1"/>
      <c r="BRJ1626" s="1"/>
      <c r="BRK1626" s="1"/>
      <c r="BRL1626" s="1"/>
      <c r="BRM1626" s="1"/>
      <c r="BRN1626" s="1"/>
      <c r="BRO1626" s="1"/>
      <c r="BRP1626" s="1"/>
      <c r="BRQ1626" s="1"/>
      <c r="BRR1626" s="1"/>
      <c r="BRS1626" s="1"/>
      <c r="BRT1626" s="1"/>
      <c r="BRU1626" s="1"/>
      <c r="BRV1626" s="1"/>
      <c r="BRW1626" s="1"/>
      <c r="BRX1626" s="1"/>
      <c r="BRY1626" s="1"/>
      <c r="BRZ1626" s="1"/>
      <c r="BSA1626" s="1"/>
      <c r="BSB1626" s="1"/>
      <c r="BSC1626" s="1"/>
      <c r="BSD1626" s="1"/>
      <c r="BSE1626" s="1"/>
      <c r="BSF1626" s="1"/>
      <c r="BSG1626" s="1"/>
      <c r="BSH1626" s="1"/>
      <c r="BSI1626" s="1"/>
      <c r="BSJ1626" s="1"/>
      <c r="BSK1626" s="1"/>
      <c r="BSL1626" s="1"/>
      <c r="BSM1626" s="1"/>
      <c r="BSN1626" s="1"/>
      <c r="BSO1626" s="1"/>
      <c r="BSP1626" s="1"/>
      <c r="BSQ1626" s="1"/>
      <c r="BSR1626" s="1"/>
      <c r="BSS1626" s="1"/>
      <c r="BST1626" s="1"/>
      <c r="BSU1626" s="1"/>
      <c r="BSV1626" s="1"/>
      <c r="BSW1626" s="1"/>
      <c r="BSX1626" s="1"/>
      <c r="BSY1626" s="1"/>
      <c r="BSZ1626" s="1"/>
      <c r="BTA1626" s="1"/>
      <c r="BTB1626" s="1"/>
      <c r="BTC1626" s="1"/>
      <c r="BTD1626" s="1"/>
      <c r="BTE1626" s="1"/>
      <c r="BTF1626" s="1"/>
      <c r="BTG1626" s="1"/>
      <c r="BTH1626" s="1"/>
      <c r="BTI1626" s="1"/>
      <c r="BTJ1626" s="1"/>
      <c r="BTK1626" s="1"/>
      <c r="BTL1626" s="1"/>
      <c r="BTM1626" s="1"/>
      <c r="BTN1626" s="1"/>
      <c r="BTO1626" s="1"/>
      <c r="BTP1626" s="1"/>
      <c r="BTQ1626" s="1"/>
      <c r="BTR1626" s="1"/>
      <c r="BTS1626" s="1"/>
      <c r="BTT1626" s="1"/>
      <c r="BTU1626" s="1"/>
      <c r="BTV1626" s="1"/>
      <c r="BTW1626" s="1"/>
      <c r="BTX1626" s="1"/>
      <c r="BTY1626" s="1"/>
      <c r="BTZ1626" s="1"/>
      <c r="BUA1626" s="1"/>
      <c r="BUB1626" s="1"/>
      <c r="BUC1626" s="1"/>
      <c r="BUD1626" s="1"/>
      <c r="BUE1626" s="1"/>
      <c r="BUF1626" s="1"/>
      <c r="BUG1626" s="1"/>
      <c r="BUH1626" s="1"/>
      <c r="BUI1626" s="1"/>
      <c r="BUJ1626" s="1"/>
      <c r="BUK1626" s="1"/>
      <c r="BUL1626" s="1"/>
      <c r="BUM1626" s="1"/>
      <c r="BUN1626" s="1"/>
      <c r="BUO1626" s="1"/>
      <c r="BUP1626" s="1"/>
      <c r="BUQ1626" s="1"/>
      <c r="BUR1626" s="1"/>
      <c r="BUS1626" s="1"/>
      <c r="BUT1626" s="1"/>
      <c r="BUU1626" s="1"/>
      <c r="BUV1626" s="1"/>
      <c r="BUW1626" s="1"/>
      <c r="BUX1626" s="1"/>
      <c r="BUY1626" s="1"/>
      <c r="BUZ1626" s="1"/>
      <c r="BVA1626" s="1"/>
      <c r="BVB1626" s="1"/>
      <c r="BVC1626" s="1"/>
      <c r="BVD1626" s="1"/>
      <c r="BVE1626" s="1"/>
      <c r="BVF1626" s="1"/>
      <c r="BVG1626" s="1"/>
      <c r="BVH1626" s="1"/>
      <c r="BVI1626" s="1"/>
      <c r="BVJ1626" s="1"/>
      <c r="BVK1626" s="1"/>
      <c r="BVL1626" s="1"/>
      <c r="BVM1626" s="1"/>
      <c r="BVN1626" s="1"/>
      <c r="BVO1626" s="1"/>
      <c r="BVP1626" s="1"/>
      <c r="BVQ1626" s="1"/>
      <c r="BVR1626" s="1"/>
      <c r="BVS1626" s="1"/>
      <c r="BVT1626" s="1"/>
      <c r="BVU1626" s="1"/>
      <c r="BVV1626" s="1"/>
      <c r="BVW1626" s="1"/>
      <c r="BVX1626" s="1"/>
      <c r="BVY1626" s="1"/>
      <c r="BVZ1626" s="1"/>
      <c r="BWA1626" s="1"/>
      <c r="BWB1626" s="1"/>
      <c r="BWC1626" s="1"/>
      <c r="BWD1626" s="1"/>
      <c r="BWE1626" s="1"/>
      <c r="BWF1626" s="1"/>
      <c r="BWG1626" s="1"/>
      <c r="BWH1626" s="1"/>
      <c r="BWI1626" s="1"/>
      <c r="BWJ1626" s="1"/>
      <c r="BWK1626" s="1"/>
      <c r="BWL1626" s="1"/>
      <c r="BWM1626" s="1"/>
      <c r="BWN1626" s="1"/>
      <c r="BWO1626" s="1"/>
      <c r="BWP1626" s="1"/>
      <c r="BWQ1626" s="1"/>
      <c r="BWR1626" s="1"/>
      <c r="BWS1626" s="1"/>
      <c r="BWT1626" s="1"/>
      <c r="BWU1626" s="1"/>
      <c r="BWV1626" s="1"/>
      <c r="BWW1626" s="1"/>
      <c r="BWX1626" s="1"/>
      <c r="BWY1626" s="1"/>
      <c r="BWZ1626" s="1"/>
      <c r="BXA1626" s="1"/>
      <c r="BXB1626" s="1"/>
      <c r="BXC1626" s="1"/>
      <c r="BXD1626" s="1"/>
      <c r="BXE1626" s="1"/>
      <c r="BXF1626" s="1"/>
      <c r="BXG1626" s="1"/>
      <c r="BXH1626" s="1"/>
      <c r="BXI1626" s="1"/>
      <c r="BXJ1626" s="1"/>
      <c r="BXK1626" s="1"/>
      <c r="BXL1626" s="1"/>
      <c r="BXM1626" s="1"/>
      <c r="BXN1626" s="1"/>
      <c r="BXO1626" s="1"/>
      <c r="BXP1626" s="1"/>
      <c r="BXQ1626" s="1"/>
      <c r="BXR1626" s="1"/>
      <c r="BXS1626" s="1"/>
      <c r="BXT1626" s="1"/>
      <c r="BXU1626" s="1"/>
      <c r="BXV1626" s="1"/>
      <c r="BXW1626" s="1"/>
      <c r="BXX1626" s="1"/>
      <c r="BXY1626" s="1"/>
      <c r="BXZ1626" s="1"/>
      <c r="BYA1626" s="1"/>
      <c r="BYB1626" s="1"/>
      <c r="BYC1626" s="1"/>
      <c r="BYD1626" s="1"/>
      <c r="BYE1626" s="1"/>
      <c r="BYF1626" s="1"/>
      <c r="BYG1626" s="1"/>
      <c r="BYH1626" s="1"/>
      <c r="BYI1626" s="1"/>
      <c r="BYJ1626" s="1"/>
      <c r="BYK1626" s="1"/>
      <c r="BYL1626" s="1"/>
      <c r="BYM1626" s="1"/>
      <c r="BYN1626" s="1"/>
      <c r="BYO1626" s="1"/>
      <c r="BYP1626" s="1"/>
      <c r="BYQ1626" s="1"/>
      <c r="BYR1626" s="1"/>
      <c r="BYS1626" s="1"/>
      <c r="BYT1626" s="1"/>
      <c r="BYU1626" s="1"/>
      <c r="BYV1626" s="1"/>
      <c r="BYW1626" s="1"/>
      <c r="BYX1626" s="1"/>
      <c r="BYY1626" s="1"/>
      <c r="BYZ1626" s="1"/>
      <c r="BZA1626" s="1"/>
      <c r="BZB1626" s="1"/>
      <c r="BZC1626" s="1"/>
      <c r="BZD1626" s="1"/>
      <c r="BZE1626" s="1"/>
      <c r="BZF1626" s="1"/>
      <c r="BZG1626" s="1"/>
      <c r="BZH1626" s="1"/>
      <c r="BZI1626" s="1"/>
      <c r="BZJ1626" s="1"/>
      <c r="BZK1626" s="1"/>
      <c r="BZL1626" s="1"/>
      <c r="BZM1626" s="1"/>
      <c r="BZN1626" s="1"/>
      <c r="BZO1626" s="1"/>
      <c r="BZP1626" s="1"/>
      <c r="BZQ1626" s="1"/>
      <c r="BZR1626" s="1"/>
      <c r="BZS1626" s="1"/>
      <c r="BZT1626" s="1"/>
      <c r="BZU1626" s="1"/>
      <c r="BZV1626" s="1"/>
      <c r="BZW1626" s="1"/>
      <c r="BZX1626" s="1"/>
      <c r="BZY1626" s="1"/>
      <c r="BZZ1626" s="1"/>
      <c r="CAA1626" s="1"/>
      <c r="CAB1626" s="1"/>
      <c r="CAC1626" s="1"/>
      <c r="CAD1626" s="1"/>
      <c r="CAE1626" s="1"/>
      <c r="CAF1626" s="1"/>
      <c r="CAG1626" s="1"/>
      <c r="CAH1626" s="1"/>
      <c r="CAI1626" s="1"/>
      <c r="CAJ1626" s="1"/>
      <c r="CAK1626" s="1"/>
      <c r="CAL1626" s="1"/>
      <c r="CAM1626" s="1"/>
      <c r="CAN1626" s="1"/>
      <c r="CAO1626" s="1"/>
      <c r="CAP1626" s="1"/>
      <c r="CAQ1626" s="1"/>
      <c r="CAR1626" s="1"/>
      <c r="CAS1626" s="1"/>
      <c r="CAT1626" s="1"/>
      <c r="CAU1626" s="1"/>
      <c r="CAV1626" s="1"/>
      <c r="CAW1626" s="1"/>
      <c r="CAX1626" s="1"/>
      <c r="CAY1626" s="1"/>
      <c r="CAZ1626" s="1"/>
      <c r="CBA1626" s="1"/>
      <c r="CBB1626" s="1"/>
      <c r="CBC1626" s="1"/>
      <c r="CBD1626" s="1"/>
      <c r="CBE1626" s="1"/>
      <c r="CBF1626" s="1"/>
      <c r="CBG1626" s="1"/>
      <c r="CBH1626" s="1"/>
      <c r="CBI1626" s="1"/>
      <c r="CBJ1626" s="1"/>
      <c r="CBK1626" s="1"/>
      <c r="CBL1626" s="1"/>
      <c r="CBM1626" s="1"/>
      <c r="CBN1626" s="1"/>
      <c r="CBO1626" s="1"/>
      <c r="CBP1626" s="1"/>
      <c r="CBQ1626" s="1"/>
      <c r="CBR1626" s="1"/>
      <c r="CBS1626" s="1"/>
      <c r="CBT1626" s="1"/>
      <c r="CBU1626" s="1"/>
      <c r="CBV1626" s="1"/>
      <c r="CBW1626" s="1"/>
      <c r="CBX1626" s="1"/>
      <c r="CBY1626" s="1"/>
      <c r="CBZ1626" s="1"/>
      <c r="CCA1626" s="1"/>
      <c r="CCB1626" s="1"/>
      <c r="CCC1626" s="1"/>
      <c r="CCD1626" s="1"/>
      <c r="CCE1626" s="1"/>
      <c r="CCF1626" s="1"/>
      <c r="CCG1626" s="1"/>
      <c r="CCH1626" s="1"/>
      <c r="CCI1626" s="1"/>
      <c r="CCJ1626" s="1"/>
      <c r="CCK1626" s="1"/>
      <c r="CCL1626" s="1"/>
      <c r="CCM1626" s="1"/>
      <c r="CCN1626" s="1"/>
      <c r="CCO1626" s="1"/>
      <c r="CCP1626" s="1"/>
      <c r="CCQ1626" s="1"/>
      <c r="CCR1626" s="1"/>
      <c r="CCS1626" s="1"/>
      <c r="CCT1626" s="1"/>
      <c r="CCU1626" s="1"/>
      <c r="CCV1626" s="1"/>
      <c r="CCW1626" s="1"/>
      <c r="CCX1626" s="1"/>
      <c r="CCY1626" s="1"/>
      <c r="CCZ1626" s="1"/>
      <c r="CDA1626" s="1"/>
      <c r="CDB1626" s="1"/>
      <c r="CDC1626" s="1"/>
      <c r="CDD1626" s="1"/>
      <c r="CDE1626" s="1"/>
      <c r="CDF1626" s="1"/>
      <c r="CDG1626" s="1"/>
      <c r="CDH1626" s="1"/>
      <c r="CDI1626" s="1"/>
      <c r="CDJ1626" s="1"/>
      <c r="CDK1626" s="1"/>
      <c r="CDL1626" s="1"/>
      <c r="CDM1626" s="1"/>
      <c r="CDN1626" s="1"/>
      <c r="CDO1626" s="1"/>
      <c r="CDP1626" s="1"/>
      <c r="CDQ1626" s="1"/>
      <c r="CDR1626" s="1"/>
      <c r="CDS1626" s="1"/>
      <c r="CDT1626" s="1"/>
      <c r="CDU1626" s="1"/>
      <c r="CDV1626" s="1"/>
      <c r="CDW1626" s="1"/>
      <c r="CDX1626" s="1"/>
      <c r="CDY1626" s="1"/>
      <c r="CDZ1626" s="1"/>
      <c r="CEA1626" s="1"/>
      <c r="CEB1626" s="1"/>
      <c r="CEC1626" s="1"/>
      <c r="CED1626" s="1"/>
      <c r="CEE1626" s="1"/>
      <c r="CEF1626" s="1"/>
      <c r="CEG1626" s="1"/>
      <c r="CEH1626" s="1"/>
      <c r="CEI1626" s="1"/>
      <c r="CEJ1626" s="1"/>
      <c r="CEK1626" s="1"/>
      <c r="CEL1626" s="1"/>
      <c r="CEM1626" s="1"/>
      <c r="CEN1626" s="1"/>
      <c r="CEO1626" s="1"/>
      <c r="CEP1626" s="1"/>
      <c r="CEQ1626" s="1"/>
      <c r="CER1626" s="1"/>
      <c r="CES1626" s="1"/>
      <c r="CET1626" s="1"/>
      <c r="CEU1626" s="1"/>
      <c r="CEV1626" s="1"/>
      <c r="CEW1626" s="1"/>
      <c r="CEX1626" s="1"/>
      <c r="CEY1626" s="1"/>
      <c r="CEZ1626" s="1"/>
      <c r="CFA1626" s="1"/>
      <c r="CFB1626" s="1"/>
      <c r="CFC1626" s="1"/>
      <c r="CFD1626" s="1"/>
      <c r="CFE1626" s="1"/>
      <c r="CFF1626" s="1"/>
      <c r="CFG1626" s="1"/>
      <c r="CFH1626" s="1"/>
      <c r="CFI1626" s="1"/>
      <c r="CFJ1626" s="1"/>
      <c r="CFK1626" s="1"/>
      <c r="CFL1626" s="1"/>
      <c r="CFM1626" s="1"/>
      <c r="CFN1626" s="1"/>
      <c r="CFO1626" s="1"/>
      <c r="CFP1626" s="1"/>
      <c r="CFQ1626" s="1"/>
      <c r="CFR1626" s="1"/>
      <c r="CFS1626" s="1"/>
      <c r="CFT1626" s="1"/>
      <c r="CFU1626" s="1"/>
      <c r="CFV1626" s="1"/>
      <c r="CFW1626" s="1"/>
      <c r="CFX1626" s="1"/>
      <c r="CFY1626" s="1"/>
      <c r="CFZ1626" s="1"/>
      <c r="CGA1626" s="1"/>
      <c r="CGB1626" s="1"/>
      <c r="CGC1626" s="1"/>
      <c r="CGD1626" s="1"/>
      <c r="CGE1626" s="1"/>
      <c r="CGF1626" s="1"/>
      <c r="CGG1626" s="1"/>
      <c r="CGH1626" s="1"/>
      <c r="CGI1626" s="1"/>
      <c r="CGJ1626" s="1"/>
      <c r="CGK1626" s="1"/>
      <c r="CGL1626" s="1"/>
      <c r="CGM1626" s="1"/>
      <c r="CGN1626" s="1"/>
      <c r="CGO1626" s="1"/>
      <c r="CGP1626" s="1"/>
      <c r="CGQ1626" s="1"/>
      <c r="CGR1626" s="1"/>
      <c r="CGS1626" s="1"/>
      <c r="CGT1626" s="1"/>
      <c r="CGU1626" s="1"/>
      <c r="CGV1626" s="1"/>
      <c r="CGW1626" s="1"/>
      <c r="CGX1626" s="1"/>
      <c r="CGY1626" s="1"/>
      <c r="CGZ1626" s="1"/>
      <c r="CHA1626" s="1"/>
      <c r="CHB1626" s="1"/>
      <c r="CHC1626" s="1"/>
      <c r="CHD1626" s="1"/>
      <c r="CHE1626" s="1"/>
      <c r="CHF1626" s="1"/>
      <c r="CHG1626" s="1"/>
      <c r="CHH1626" s="1"/>
      <c r="CHI1626" s="1"/>
      <c r="CHJ1626" s="1"/>
      <c r="CHK1626" s="1"/>
      <c r="CHL1626" s="1"/>
      <c r="CHM1626" s="1"/>
      <c r="CHN1626" s="1"/>
      <c r="CHO1626" s="1"/>
      <c r="CHP1626" s="1"/>
      <c r="CHQ1626" s="1"/>
      <c r="CHR1626" s="1"/>
      <c r="CHS1626" s="1"/>
      <c r="CHT1626" s="1"/>
      <c r="CHU1626" s="1"/>
      <c r="CHV1626" s="1"/>
      <c r="CHW1626" s="1"/>
      <c r="CHX1626" s="1"/>
      <c r="CHY1626" s="1"/>
      <c r="CHZ1626" s="1"/>
      <c r="CIA1626" s="1"/>
      <c r="CIB1626" s="1"/>
      <c r="CIC1626" s="1"/>
      <c r="CID1626" s="1"/>
      <c r="CIE1626" s="1"/>
      <c r="CIF1626" s="1"/>
      <c r="CIG1626" s="1"/>
      <c r="CIH1626" s="1"/>
      <c r="CII1626" s="1"/>
      <c r="CIJ1626" s="1"/>
      <c r="CIK1626" s="1"/>
      <c r="CIL1626" s="1"/>
      <c r="CIM1626" s="1"/>
      <c r="CIN1626" s="1"/>
      <c r="CIO1626" s="1"/>
      <c r="CIP1626" s="1"/>
      <c r="CIQ1626" s="1"/>
      <c r="CIR1626" s="1"/>
      <c r="CIS1626" s="1"/>
      <c r="CIT1626" s="1"/>
      <c r="CIU1626" s="1"/>
      <c r="CIV1626" s="1"/>
      <c r="CIW1626" s="1"/>
      <c r="CIX1626" s="1"/>
      <c r="CIY1626" s="1"/>
      <c r="CIZ1626" s="1"/>
      <c r="CJA1626" s="1"/>
      <c r="CJB1626" s="1"/>
      <c r="CJC1626" s="1"/>
      <c r="CJD1626" s="1"/>
      <c r="CJE1626" s="1"/>
      <c r="CJF1626" s="1"/>
      <c r="CJG1626" s="1"/>
      <c r="CJH1626" s="1"/>
      <c r="CJI1626" s="1"/>
      <c r="CJJ1626" s="1"/>
      <c r="CJK1626" s="1"/>
      <c r="CJL1626" s="1"/>
      <c r="CJM1626" s="1"/>
      <c r="CJN1626" s="1"/>
      <c r="CJO1626" s="1"/>
      <c r="CJP1626" s="1"/>
      <c r="CJQ1626" s="1"/>
      <c r="CJR1626" s="1"/>
      <c r="CJS1626" s="1"/>
      <c r="CJT1626" s="1"/>
      <c r="CJU1626" s="1"/>
      <c r="CJV1626" s="1"/>
      <c r="CJW1626" s="1"/>
      <c r="CJX1626" s="1"/>
      <c r="CJY1626" s="1"/>
      <c r="CJZ1626" s="1"/>
      <c r="CKA1626" s="1"/>
      <c r="CKB1626" s="1"/>
      <c r="CKC1626" s="1"/>
      <c r="CKD1626" s="1"/>
      <c r="CKE1626" s="1"/>
      <c r="CKF1626" s="1"/>
      <c r="CKG1626" s="1"/>
      <c r="CKH1626" s="1"/>
      <c r="CKI1626" s="1"/>
      <c r="CKJ1626" s="1"/>
      <c r="CKK1626" s="1"/>
      <c r="CKL1626" s="1"/>
      <c r="CKM1626" s="1"/>
      <c r="CKN1626" s="1"/>
      <c r="CKO1626" s="1"/>
      <c r="CKP1626" s="1"/>
      <c r="CKQ1626" s="1"/>
      <c r="CKR1626" s="1"/>
      <c r="CKS1626" s="1"/>
      <c r="CKT1626" s="1"/>
      <c r="CKU1626" s="1"/>
      <c r="CKV1626" s="1"/>
      <c r="CKW1626" s="1"/>
      <c r="CKX1626" s="1"/>
      <c r="CKY1626" s="1"/>
      <c r="CKZ1626" s="1"/>
      <c r="CLA1626" s="1"/>
      <c r="CLB1626" s="1"/>
      <c r="CLC1626" s="1"/>
      <c r="CLD1626" s="1"/>
      <c r="CLE1626" s="1"/>
      <c r="CLF1626" s="1"/>
      <c r="CLG1626" s="1"/>
      <c r="CLH1626" s="1"/>
      <c r="CLI1626" s="1"/>
      <c r="CLJ1626" s="1"/>
      <c r="CLK1626" s="1"/>
      <c r="CLL1626" s="1"/>
      <c r="CLM1626" s="1"/>
      <c r="CLN1626" s="1"/>
      <c r="CLO1626" s="1"/>
      <c r="CLP1626" s="1"/>
      <c r="CLQ1626" s="1"/>
      <c r="CLR1626" s="1"/>
      <c r="CLS1626" s="1"/>
      <c r="CLT1626" s="1"/>
      <c r="CLU1626" s="1"/>
      <c r="CLV1626" s="1"/>
      <c r="CLW1626" s="1"/>
      <c r="CLX1626" s="1"/>
      <c r="CLY1626" s="1"/>
      <c r="CLZ1626" s="1"/>
      <c r="CMA1626" s="1"/>
      <c r="CMB1626" s="1"/>
      <c r="CMC1626" s="1"/>
      <c r="CMD1626" s="1"/>
      <c r="CME1626" s="1"/>
      <c r="CMF1626" s="1"/>
      <c r="CMG1626" s="1"/>
      <c r="CMH1626" s="1"/>
      <c r="CMI1626" s="1"/>
      <c r="CMJ1626" s="1"/>
      <c r="CMK1626" s="1"/>
      <c r="CML1626" s="1"/>
      <c r="CMM1626" s="1"/>
      <c r="CMN1626" s="1"/>
      <c r="CMO1626" s="1"/>
      <c r="CMP1626" s="1"/>
      <c r="CMQ1626" s="1"/>
      <c r="CMR1626" s="1"/>
      <c r="CMS1626" s="1"/>
      <c r="CMT1626" s="1"/>
      <c r="CMU1626" s="1"/>
      <c r="CMV1626" s="1"/>
      <c r="CMW1626" s="1"/>
      <c r="CMX1626" s="1"/>
      <c r="CMY1626" s="1"/>
      <c r="CMZ1626" s="1"/>
      <c r="CNA1626" s="1"/>
      <c r="CNB1626" s="1"/>
      <c r="CNC1626" s="1"/>
      <c r="CND1626" s="1"/>
      <c r="CNE1626" s="1"/>
      <c r="CNF1626" s="1"/>
      <c r="CNG1626" s="1"/>
      <c r="CNH1626" s="1"/>
      <c r="CNI1626" s="1"/>
      <c r="CNJ1626" s="1"/>
      <c r="CNK1626" s="1"/>
      <c r="CNL1626" s="1"/>
      <c r="CNM1626" s="1"/>
      <c r="CNN1626" s="1"/>
      <c r="CNO1626" s="1"/>
      <c r="CNP1626" s="1"/>
      <c r="CNQ1626" s="1"/>
      <c r="CNR1626" s="1"/>
      <c r="CNS1626" s="1"/>
      <c r="CNT1626" s="1"/>
      <c r="CNU1626" s="1"/>
      <c r="CNV1626" s="1"/>
      <c r="CNW1626" s="1"/>
      <c r="CNX1626" s="1"/>
      <c r="CNY1626" s="1"/>
      <c r="CNZ1626" s="1"/>
      <c r="COA1626" s="1"/>
      <c r="COB1626" s="1"/>
      <c r="COC1626" s="1"/>
      <c r="COD1626" s="1"/>
      <c r="COE1626" s="1"/>
      <c r="COF1626" s="1"/>
      <c r="COG1626" s="1"/>
      <c r="COH1626" s="1"/>
      <c r="COI1626" s="1"/>
      <c r="COJ1626" s="1"/>
      <c r="COK1626" s="1"/>
      <c r="COL1626" s="1"/>
      <c r="COM1626" s="1"/>
      <c r="CON1626" s="1"/>
      <c r="COO1626" s="1"/>
      <c r="COP1626" s="1"/>
      <c r="COQ1626" s="1"/>
      <c r="COR1626" s="1"/>
      <c r="COS1626" s="1"/>
      <c r="COT1626" s="1"/>
      <c r="COU1626" s="1"/>
      <c r="COV1626" s="1"/>
      <c r="COW1626" s="1"/>
      <c r="COX1626" s="1"/>
      <c r="COY1626" s="1"/>
      <c r="COZ1626" s="1"/>
      <c r="CPA1626" s="1"/>
      <c r="CPB1626" s="1"/>
      <c r="CPC1626" s="1"/>
      <c r="CPD1626" s="1"/>
      <c r="CPE1626" s="1"/>
      <c r="CPF1626" s="1"/>
      <c r="CPG1626" s="1"/>
      <c r="CPH1626" s="1"/>
      <c r="CPI1626" s="1"/>
      <c r="CPJ1626" s="1"/>
      <c r="CPK1626" s="1"/>
      <c r="CPL1626" s="1"/>
      <c r="CPM1626" s="1"/>
      <c r="CPN1626" s="1"/>
      <c r="CPO1626" s="1"/>
      <c r="CPP1626" s="1"/>
      <c r="CPQ1626" s="1"/>
      <c r="CPR1626" s="1"/>
      <c r="CPS1626" s="1"/>
      <c r="CPT1626" s="1"/>
      <c r="CPU1626" s="1"/>
      <c r="CPV1626" s="1"/>
      <c r="CPW1626" s="1"/>
      <c r="CPX1626" s="1"/>
      <c r="CPY1626" s="1"/>
      <c r="CPZ1626" s="1"/>
      <c r="CQA1626" s="1"/>
      <c r="CQB1626" s="1"/>
      <c r="CQC1626" s="1"/>
      <c r="CQD1626" s="1"/>
      <c r="CQE1626" s="1"/>
      <c r="CQF1626" s="1"/>
      <c r="CQG1626" s="1"/>
      <c r="CQH1626" s="1"/>
      <c r="CQI1626" s="1"/>
      <c r="CQJ1626" s="1"/>
      <c r="CQK1626" s="1"/>
      <c r="CQL1626" s="1"/>
      <c r="CQM1626" s="1"/>
      <c r="CQN1626" s="1"/>
      <c r="CQO1626" s="1"/>
      <c r="CQP1626" s="1"/>
      <c r="CQQ1626" s="1"/>
      <c r="CQR1626" s="1"/>
      <c r="CQS1626" s="1"/>
      <c r="CQT1626" s="1"/>
      <c r="CQU1626" s="1"/>
      <c r="CQV1626" s="1"/>
      <c r="CQW1626" s="1"/>
      <c r="CQX1626" s="1"/>
      <c r="CQY1626" s="1"/>
      <c r="CQZ1626" s="1"/>
      <c r="CRA1626" s="1"/>
      <c r="CRB1626" s="1"/>
      <c r="CRC1626" s="1"/>
      <c r="CRD1626" s="1"/>
      <c r="CRE1626" s="1"/>
      <c r="CRF1626" s="1"/>
      <c r="CRG1626" s="1"/>
      <c r="CRH1626" s="1"/>
      <c r="CRI1626" s="1"/>
      <c r="CRJ1626" s="1"/>
      <c r="CRK1626" s="1"/>
      <c r="CRL1626" s="1"/>
      <c r="CRM1626" s="1"/>
      <c r="CRN1626" s="1"/>
      <c r="CRO1626" s="1"/>
      <c r="CRP1626" s="1"/>
      <c r="CRQ1626" s="1"/>
      <c r="CRR1626" s="1"/>
      <c r="CRS1626" s="1"/>
      <c r="CRT1626" s="1"/>
      <c r="CRU1626" s="1"/>
      <c r="CRV1626" s="1"/>
      <c r="CRW1626" s="1"/>
      <c r="CRX1626" s="1"/>
      <c r="CRY1626" s="1"/>
      <c r="CRZ1626" s="1"/>
      <c r="CSA1626" s="1"/>
      <c r="CSB1626" s="1"/>
      <c r="CSC1626" s="1"/>
      <c r="CSD1626" s="1"/>
      <c r="CSE1626" s="1"/>
      <c r="CSF1626" s="1"/>
      <c r="CSG1626" s="1"/>
      <c r="CSH1626" s="1"/>
      <c r="CSI1626" s="1"/>
      <c r="CSJ1626" s="1"/>
      <c r="CSK1626" s="1"/>
      <c r="CSL1626" s="1"/>
      <c r="CSM1626" s="1"/>
      <c r="CSN1626" s="1"/>
      <c r="CSO1626" s="1"/>
      <c r="CSP1626" s="1"/>
      <c r="CSQ1626" s="1"/>
      <c r="CSR1626" s="1"/>
      <c r="CSS1626" s="1"/>
      <c r="CST1626" s="1"/>
      <c r="CSU1626" s="1"/>
      <c r="CSV1626" s="1"/>
      <c r="CSW1626" s="1"/>
      <c r="CSX1626" s="1"/>
      <c r="CSY1626" s="1"/>
      <c r="CSZ1626" s="1"/>
      <c r="CTA1626" s="1"/>
      <c r="CTB1626" s="1"/>
      <c r="CTC1626" s="1"/>
      <c r="CTD1626" s="1"/>
      <c r="CTE1626" s="1"/>
      <c r="CTF1626" s="1"/>
      <c r="CTG1626" s="1"/>
      <c r="CTH1626" s="1"/>
      <c r="CTI1626" s="1"/>
      <c r="CTJ1626" s="1"/>
      <c r="CTK1626" s="1"/>
      <c r="CTL1626" s="1"/>
      <c r="CTM1626" s="1"/>
      <c r="CTN1626" s="1"/>
      <c r="CTO1626" s="1"/>
      <c r="CTP1626" s="1"/>
      <c r="CTQ1626" s="1"/>
      <c r="CTR1626" s="1"/>
      <c r="CTS1626" s="1"/>
      <c r="CTT1626" s="1"/>
      <c r="CTU1626" s="1"/>
      <c r="CTV1626" s="1"/>
      <c r="CTW1626" s="1"/>
      <c r="CTX1626" s="1"/>
      <c r="CTY1626" s="1"/>
      <c r="CTZ1626" s="1"/>
      <c r="CUA1626" s="1"/>
      <c r="CUB1626" s="1"/>
      <c r="CUC1626" s="1"/>
      <c r="CUD1626" s="1"/>
      <c r="CUE1626" s="1"/>
      <c r="CUF1626" s="1"/>
      <c r="CUG1626" s="1"/>
      <c r="CUH1626" s="1"/>
      <c r="CUI1626" s="1"/>
      <c r="CUJ1626" s="1"/>
      <c r="CUK1626" s="1"/>
      <c r="CUL1626" s="1"/>
      <c r="CUM1626" s="1"/>
      <c r="CUN1626" s="1"/>
      <c r="CUO1626" s="1"/>
      <c r="CUP1626" s="1"/>
      <c r="CUQ1626" s="1"/>
      <c r="CUR1626" s="1"/>
      <c r="CUS1626" s="1"/>
      <c r="CUT1626" s="1"/>
      <c r="CUU1626" s="1"/>
      <c r="CUV1626" s="1"/>
      <c r="CUW1626" s="1"/>
      <c r="CUX1626" s="1"/>
      <c r="CUY1626" s="1"/>
      <c r="CUZ1626" s="1"/>
      <c r="CVA1626" s="1"/>
      <c r="CVB1626" s="1"/>
      <c r="CVC1626" s="1"/>
      <c r="CVD1626" s="1"/>
      <c r="CVE1626" s="1"/>
      <c r="CVF1626" s="1"/>
      <c r="CVG1626" s="1"/>
      <c r="CVH1626" s="1"/>
      <c r="CVI1626" s="1"/>
      <c r="CVJ1626" s="1"/>
      <c r="CVK1626" s="1"/>
      <c r="CVL1626" s="1"/>
      <c r="CVM1626" s="1"/>
      <c r="CVN1626" s="1"/>
      <c r="CVO1626" s="1"/>
      <c r="CVP1626" s="1"/>
      <c r="CVQ1626" s="1"/>
      <c r="CVR1626" s="1"/>
      <c r="CVS1626" s="1"/>
      <c r="CVT1626" s="1"/>
      <c r="CVU1626" s="1"/>
      <c r="CVV1626" s="1"/>
      <c r="CVW1626" s="1"/>
      <c r="CVX1626" s="1"/>
      <c r="CVY1626" s="1"/>
      <c r="CVZ1626" s="1"/>
      <c r="CWA1626" s="1"/>
      <c r="CWB1626" s="1"/>
      <c r="CWC1626" s="1"/>
      <c r="CWD1626" s="1"/>
      <c r="CWE1626" s="1"/>
      <c r="CWF1626" s="1"/>
      <c r="CWG1626" s="1"/>
      <c r="CWH1626" s="1"/>
      <c r="CWI1626" s="1"/>
      <c r="CWJ1626" s="1"/>
      <c r="CWK1626" s="1"/>
      <c r="CWL1626" s="1"/>
      <c r="CWM1626" s="1"/>
      <c r="CWN1626" s="1"/>
      <c r="CWO1626" s="1"/>
      <c r="CWP1626" s="1"/>
      <c r="CWQ1626" s="1"/>
      <c r="CWR1626" s="1"/>
      <c r="CWS1626" s="1"/>
      <c r="CWT1626" s="1"/>
      <c r="CWU1626" s="1"/>
      <c r="CWV1626" s="1"/>
      <c r="CWW1626" s="1"/>
      <c r="CWX1626" s="1"/>
      <c r="CWY1626" s="1"/>
      <c r="CWZ1626" s="1"/>
      <c r="CXA1626" s="1"/>
      <c r="CXB1626" s="1"/>
      <c r="CXC1626" s="1"/>
      <c r="CXD1626" s="1"/>
      <c r="CXE1626" s="1"/>
      <c r="CXF1626" s="1"/>
      <c r="CXG1626" s="1"/>
      <c r="CXH1626" s="1"/>
      <c r="CXI1626" s="1"/>
      <c r="CXJ1626" s="1"/>
      <c r="CXK1626" s="1"/>
      <c r="CXL1626" s="1"/>
      <c r="CXM1626" s="1"/>
      <c r="CXN1626" s="1"/>
      <c r="CXO1626" s="1"/>
      <c r="CXP1626" s="1"/>
      <c r="CXQ1626" s="1"/>
      <c r="CXR1626" s="1"/>
      <c r="CXS1626" s="1"/>
      <c r="CXT1626" s="1"/>
      <c r="CXU1626" s="1"/>
      <c r="CXV1626" s="1"/>
      <c r="CXW1626" s="1"/>
      <c r="CXX1626" s="1"/>
      <c r="CXY1626" s="1"/>
      <c r="CXZ1626" s="1"/>
      <c r="CYA1626" s="1"/>
      <c r="CYB1626" s="1"/>
      <c r="CYC1626" s="1"/>
      <c r="CYD1626" s="1"/>
      <c r="CYE1626" s="1"/>
      <c r="CYF1626" s="1"/>
      <c r="CYG1626" s="1"/>
      <c r="CYH1626" s="1"/>
      <c r="CYI1626" s="1"/>
      <c r="CYJ1626" s="1"/>
      <c r="CYK1626" s="1"/>
      <c r="CYL1626" s="1"/>
      <c r="CYM1626" s="1"/>
      <c r="CYN1626" s="1"/>
      <c r="CYO1626" s="1"/>
      <c r="CYP1626" s="1"/>
      <c r="CYQ1626" s="1"/>
      <c r="CYR1626" s="1"/>
      <c r="CYS1626" s="1"/>
      <c r="CYT1626" s="1"/>
      <c r="CYU1626" s="1"/>
      <c r="CYV1626" s="1"/>
      <c r="CYW1626" s="1"/>
      <c r="CYX1626" s="1"/>
      <c r="CYY1626" s="1"/>
      <c r="CYZ1626" s="1"/>
      <c r="CZA1626" s="1"/>
      <c r="CZB1626" s="1"/>
      <c r="CZC1626" s="1"/>
      <c r="CZD1626" s="1"/>
      <c r="CZE1626" s="1"/>
      <c r="CZF1626" s="1"/>
      <c r="CZG1626" s="1"/>
      <c r="CZH1626" s="1"/>
      <c r="CZI1626" s="1"/>
      <c r="CZJ1626" s="1"/>
      <c r="CZK1626" s="1"/>
      <c r="CZL1626" s="1"/>
      <c r="CZM1626" s="1"/>
      <c r="CZN1626" s="1"/>
      <c r="CZO1626" s="1"/>
      <c r="CZP1626" s="1"/>
      <c r="CZQ1626" s="1"/>
      <c r="CZR1626" s="1"/>
      <c r="CZS1626" s="1"/>
      <c r="CZT1626" s="1"/>
      <c r="CZU1626" s="1"/>
      <c r="CZV1626" s="1"/>
      <c r="CZW1626" s="1"/>
      <c r="CZX1626" s="1"/>
      <c r="CZY1626" s="1"/>
      <c r="CZZ1626" s="1"/>
      <c r="DAA1626" s="1"/>
      <c r="DAB1626" s="1"/>
      <c r="DAC1626" s="1"/>
      <c r="DAD1626" s="1"/>
      <c r="DAE1626" s="1"/>
      <c r="DAF1626" s="1"/>
      <c r="DAG1626" s="1"/>
      <c r="DAH1626" s="1"/>
      <c r="DAI1626" s="1"/>
      <c r="DAJ1626" s="1"/>
      <c r="DAK1626" s="1"/>
      <c r="DAL1626" s="1"/>
      <c r="DAM1626" s="1"/>
      <c r="DAN1626" s="1"/>
      <c r="DAO1626" s="1"/>
      <c r="DAP1626" s="1"/>
      <c r="DAQ1626" s="1"/>
      <c r="DAR1626" s="1"/>
      <c r="DAS1626" s="1"/>
      <c r="DAT1626" s="1"/>
      <c r="DAU1626" s="1"/>
      <c r="DAV1626" s="1"/>
      <c r="DAW1626" s="1"/>
      <c r="DAX1626" s="1"/>
      <c r="DAY1626" s="1"/>
      <c r="DAZ1626" s="1"/>
      <c r="DBA1626" s="1"/>
      <c r="DBB1626" s="1"/>
      <c r="DBC1626" s="1"/>
      <c r="DBD1626" s="1"/>
      <c r="DBE1626" s="1"/>
      <c r="DBF1626" s="1"/>
      <c r="DBG1626" s="1"/>
      <c r="DBH1626" s="1"/>
      <c r="DBI1626" s="1"/>
      <c r="DBJ1626" s="1"/>
      <c r="DBK1626" s="1"/>
      <c r="DBL1626" s="1"/>
      <c r="DBM1626" s="1"/>
      <c r="DBN1626" s="1"/>
      <c r="DBO1626" s="1"/>
      <c r="DBP1626" s="1"/>
      <c r="DBQ1626" s="1"/>
      <c r="DBR1626" s="1"/>
      <c r="DBS1626" s="1"/>
      <c r="DBT1626" s="1"/>
      <c r="DBU1626" s="1"/>
      <c r="DBV1626" s="1"/>
      <c r="DBW1626" s="1"/>
      <c r="DBX1626" s="1"/>
      <c r="DBY1626" s="1"/>
      <c r="DBZ1626" s="1"/>
      <c r="DCA1626" s="1"/>
      <c r="DCB1626" s="1"/>
      <c r="DCC1626" s="1"/>
      <c r="DCD1626" s="1"/>
      <c r="DCE1626" s="1"/>
      <c r="DCF1626" s="1"/>
      <c r="DCG1626" s="1"/>
      <c r="DCH1626" s="1"/>
      <c r="DCI1626" s="1"/>
      <c r="DCJ1626" s="1"/>
      <c r="DCK1626" s="1"/>
      <c r="DCL1626" s="1"/>
      <c r="DCM1626" s="1"/>
      <c r="DCN1626" s="1"/>
      <c r="DCO1626" s="1"/>
      <c r="DCP1626" s="1"/>
      <c r="DCQ1626" s="1"/>
      <c r="DCR1626" s="1"/>
      <c r="DCS1626" s="1"/>
      <c r="DCT1626" s="1"/>
      <c r="DCU1626" s="1"/>
      <c r="DCV1626" s="1"/>
      <c r="DCW1626" s="1"/>
      <c r="DCX1626" s="1"/>
      <c r="DCY1626" s="1"/>
      <c r="DCZ1626" s="1"/>
      <c r="DDA1626" s="1"/>
      <c r="DDB1626" s="1"/>
      <c r="DDC1626" s="1"/>
      <c r="DDD1626" s="1"/>
      <c r="DDE1626" s="1"/>
      <c r="DDF1626" s="1"/>
      <c r="DDG1626" s="1"/>
      <c r="DDH1626" s="1"/>
      <c r="DDI1626" s="1"/>
      <c r="DDJ1626" s="1"/>
      <c r="DDK1626" s="1"/>
      <c r="DDL1626" s="1"/>
      <c r="DDM1626" s="1"/>
      <c r="DDN1626" s="1"/>
      <c r="DDO1626" s="1"/>
      <c r="DDP1626" s="1"/>
      <c r="DDQ1626" s="1"/>
      <c r="DDR1626" s="1"/>
      <c r="DDS1626" s="1"/>
      <c r="DDT1626" s="1"/>
      <c r="DDU1626" s="1"/>
      <c r="DDV1626" s="1"/>
      <c r="DDW1626" s="1"/>
      <c r="DDX1626" s="1"/>
      <c r="DDY1626" s="1"/>
      <c r="DDZ1626" s="1"/>
      <c r="DEA1626" s="1"/>
      <c r="DEB1626" s="1"/>
      <c r="DEC1626" s="1"/>
      <c r="DED1626" s="1"/>
      <c r="DEE1626" s="1"/>
      <c r="DEF1626" s="1"/>
      <c r="DEG1626" s="1"/>
      <c r="DEH1626" s="1"/>
      <c r="DEI1626" s="1"/>
      <c r="DEJ1626" s="1"/>
      <c r="DEK1626" s="1"/>
      <c r="DEL1626" s="1"/>
      <c r="DEM1626" s="1"/>
      <c r="DEN1626" s="1"/>
      <c r="DEO1626" s="1"/>
      <c r="DEP1626" s="1"/>
      <c r="DEQ1626" s="1"/>
      <c r="DER1626" s="1"/>
      <c r="DES1626" s="1"/>
      <c r="DET1626" s="1"/>
      <c r="DEU1626" s="1"/>
      <c r="DEV1626" s="1"/>
      <c r="DEW1626" s="1"/>
      <c r="DEX1626" s="1"/>
      <c r="DEY1626" s="1"/>
      <c r="DEZ1626" s="1"/>
      <c r="DFA1626" s="1"/>
      <c r="DFB1626" s="1"/>
      <c r="DFC1626" s="1"/>
      <c r="DFD1626" s="1"/>
      <c r="DFE1626" s="1"/>
      <c r="DFF1626" s="1"/>
      <c r="DFG1626" s="1"/>
      <c r="DFH1626" s="1"/>
      <c r="DFI1626" s="1"/>
      <c r="DFJ1626" s="1"/>
      <c r="DFK1626" s="1"/>
      <c r="DFL1626" s="1"/>
      <c r="DFM1626" s="1"/>
      <c r="DFN1626" s="1"/>
      <c r="DFO1626" s="1"/>
      <c r="DFP1626" s="1"/>
      <c r="DFQ1626" s="1"/>
      <c r="DFR1626" s="1"/>
      <c r="DFS1626" s="1"/>
      <c r="DFT1626" s="1"/>
      <c r="DFU1626" s="1"/>
      <c r="DFV1626" s="1"/>
      <c r="DFW1626" s="1"/>
      <c r="DFX1626" s="1"/>
      <c r="DFY1626" s="1"/>
      <c r="DFZ1626" s="1"/>
      <c r="DGA1626" s="1"/>
      <c r="DGB1626" s="1"/>
      <c r="DGC1626" s="1"/>
      <c r="DGD1626" s="1"/>
      <c r="DGE1626" s="1"/>
      <c r="DGF1626" s="1"/>
      <c r="DGG1626" s="1"/>
      <c r="DGH1626" s="1"/>
      <c r="DGI1626" s="1"/>
      <c r="DGJ1626" s="1"/>
      <c r="DGK1626" s="1"/>
      <c r="DGL1626" s="1"/>
      <c r="DGM1626" s="1"/>
      <c r="DGN1626" s="1"/>
      <c r="DGO1626" s="1"/>
      <c r="DGP1626" s="1"/>
      <c r="DGQ1626" s="1"/>
      <c r="DGR1626" s="1"/>
      <c r="DGS1626" s="1"/>
      <c r="DGT1626" s="1"/>
      <c r="DGU1626" s="1"/>
      <c r="DGV1626" s="1"/>
      <c r="DGW1626" s="1"/>
      <c r="DGX1626" s="1"/>
      <c r="DGY1626" s="1"/>
      <c r="DGZ1626" s="1"/>
      <c r="DHA1626" s="1"/>
      <c r="DHB1626" s="1"/>
      <c r="DHC1626" s="1"/>
      <c r="DHD1626" s="1"/>
      <c r="DHE1626" s="1"/>
      <c r="DHF1626" s="1"/>
      <c r="DHG1626" s="1"/>
      <c r="DHH1626" s="1"/>
      <c r="DHI1626" s="1"/>
      <c r="DHJ1626" s="1"/>
      <c r="DHK1626" s="1"/>
      <c r="DHL1626" s="1"/>
      <c r="DHM1626" s="1"/>
      <c r="DHN1626" s="1"/>
      <c r="DHO1626" s="1"/>
      <c r="DHP1626" s="1"/>
      <c r="DHQ1626" s="1"/>
      <c r="DHR1626" s="1"/>
      <c r="DHS1626" s="1"/>
      <c r="DHT1626" s="1"/>
      <c r="DHU1626" s="1"/>
      <c r="DHV1626" s="1"/>
      <c r="DHW1626" s="1"/>
      <c r="DHX1626" s="1"/>
      <c r="DHY1626" s="1"/>
      <c r="DHZ1626" s="1"/>
      <c r="DIA1626" s="1"/>
      <c r="DIB1626" s="1"/>
      <c r="DIC1626" s="1"/>
      <c r="DID1626" s="1"/>
      <c r="DIE1626" s="1"/>
      <c r="DIF1626" s="1"/>
      <c r="DIG1626" s="1"/>
      <c r="DIH1626" s="1"/>
      <c r="DII1626" s="1"/>
      <c r="DIJ1626" s="1"/>
      <c r="DIK1626" s="1"/>
      <c r="DIL1626" s="1"/>
      <c r="DIM1626" s="1"/>
      <c r="DIN1626" s="1"/>
      <c r="DIO1626" s="1"/>
      <c r="DIP1626" s="1"/>
      <c r="DIQ1626" s="1"/>
      <c r="DIR1626" s="1"/>
      <c r="DIS1626" s="1"/>
      <c r="DIT1626" s="1"/>
      <c r="DIU1626" s="1"/>
      <c r="DIV1626" s="1"/>
      <c r="DIW1626" s="1"/>
      <c r="DIX1626" s="1"/>
      <c r="DIY1626" s="1"/>
      <c r="DIZ1626" s="1"/>
      <c r="DJA1626" s="1"/>
      <c r="DJB1626" s="1"/>
      <c r="DJC1626" s="1"/>
      <c r="DJD1626" s="1"/>
      <c r="DJE1626" s="1"/>
      <c r="DJF1626" s="1"/>
      <c r="DJG1626" s="1"/>
      <c r="DJH1626" s="1"/>
      <c r="DJI1626" s="1"/>
      <c r="DJJ1626" s="1"/>
      <c r="DJK1626" s="1"/>
      <c r="DJL1626" s="1"/>
      <c r="DJM1626" s="1"/>
      <c r="DJN1626" s="1"/>
      <c r="DJO1626" s="1"/>
      <c r="DJP1626" s="1"/>
      <c r="DJQ1626" s="1"/>
      <c r="DJR1626" s="1"/>
      <c r="DJS1626" s="1"/>
      <c r="DJT1626" s="1"/>
      <c r="DJU1626" s="1"/>
      <c r="DJV1626" s="1"/>
      <c r="DJW1626" s="1"/>
      <c r="DJX1626" s="1"/>
      <c r="DJY1626" s="1"/>
      <c r="DJZ1626" s="1"/>
      <c r="DKA1626" s="1"/>
      <c r="DKB1626" s="1"/>
      <c r="DKC1626" s="1"/>
      <c r="DKD1626" s="1"/>
      <c r="DKE1626" s="1"/>
      <c r="DKF1626" s="1"/>
      <c r="DKG1626" s="1"/>
      <c r="DKH1626" s="1"/>
      <c r="DKI1626" s="1"/>
      <c r="DKJ1626" s="1"/>
      <c r="DKK1626" s="1"/>
      <c r="DKL1626" s="1"/>
      <c r="DKM1626" s="1"/>
      <c r="DKN1626" s="1"/>
      <c r="DKO1626" s="1"/>
      <c r="DKP1626" s="1"/>
      <c r="DKQ1626" s="1"/>
      <c r="DKR1626" s="1"/>
      <c r="DKS1626" s="1"/>
      <c r="DKT1626" s="1"/>
      <c r="DKU1626" s="1"/>
      <c r="DKV1626" s="1"/>
      <c r="DKW1626" s="1"/>
      <c r="DKX1626" s="1"/>
      <c r="DKY1626" s="1"/>
      <c r="DKZ1626" s="1"/>
      <c r="DLA1626" s="1"/>
      <c r="DLB1626" s="1"/>
      <c r="DLC1626" s="1"/>
      <c r="DLD1626" s="1"/>
      <c r="DLE1626" s="1"/>
      <c r="DLF1626" s="1"/>
      <c r="DLG1626" s="1"/>
      <c r="DLH1626" s="1"/>
      <c r="DLI1626" s="1"/>
      <c r="DLJ1626" s="1"/>
      <c r="DLK1626" s="1"/>
      <c r="DLL1626" s="1"/>
      <c r="DLM1626" s="1"/>
      <c r="DLN1626" s="1"/>
      <c r="DLO1626" s="1"/>
      <c r="DLP1626" s="1"/>
      <c r="DLQ1626" s="1"/>
      <c r="DLR1626" s="1"/>
      <c r="DLS1626" s="1"/>
      <c r="DLT1626" s="1"/>
      <c r="DLU1626" s="1"/>
      <c r="DLV1626" s="1"/>
      <c r="DLW1626" s="1"/>
      <c r="DLX1626" s="1"/>
      <c r="DLY1626" s="1"/>
      <c r="DLZ1626" s="1"/>
      <c r="DMA1626" s="1"/>
      <c r="DMB1626" s="1"/>
      <c r="DMC1626" s="1"/>
      <c r="DMD1626" s="1"/>
      <c r="DME1626" s="1"/>
      <c r="DMF1626" s="1"/>
      <c r="DMG1626" s="1"/>
      <c r="DMH1626" s="1"/>
      <c r="DMI1626" s="1"/>
      <c r="DMJ1626" s="1"/>
      <c r="DMK1626" s="1"/>
      <c r="DML1626" s="1"/>
      <c r="DMM1626" s="1"/>
      <c r="DMN1626" s="1"/>
      <c r="DMO1626" s="1"/>
      <c r="DMP1626" s="1"/>
      <c r="DMQ1626" s="1"/>
      <c r="DMR1626" s="1"/>
      <c r="DMS1626" s="1"/>
      <c r="DMT1626" s="1"/>
      <c r="DMU1626" s="1"/>
      <c r="DMV1626" s="1"/>
      <c r="DMW1626" s="1"/>
      <c r="DMX1626" s="1"/>
      <c r="DMY1626" s="1"/>
      <c r="DMZ1626" s="1"/>
      <c r="DNA1626" s="1"/>
      <c r="DNB1626" s="1"/>
      <c r="DNC1626" s="1"/>
      <c r="DND1626" s="1"/>
      <c r="DNE1626" s="1"/>
      <c r="DNF1626" s="1"/>
      <c r="DNG1626" s="1"/>
      <c r="DNH1626" s="1"/>
      <c r="DNI1626" s="1"/>
      <c r="DNJ1626" s="1"/>
      <c r="DNK1626" s="1"/>
      <c r="DNL1626" s="1"/>
      <c r="DNM1626" s="1"/>
      <c r="DNN1626" s="1"/>
      <c r="DNO1626" s="1"/>
      <c r="DNP1626" s="1"/>
      <c r="DNQ1626" s="1"/>
      <c r="DNR1626" s="1"/>
      <c r="DNS1626" s="1"/>
      <c r="DNT1626" s="1"/>
      <c r="DNU1626" s="1"/>
      <c r="DNV1626" s="1"/>
      <c r="DNW1626" s="1"/>
      <c r="DNX1626" s="1"/>
      <c r="DNY1626" s="1"/>
      <c r="DNZ1626" s="1"/>
      <c r="DOA1626" s="1"/>
      <c r="DOB1626" s="1"/>
      <c r="DOC1626" s="1"/>
      <c r="DOD1626" s="1"/>
      <c r="DOE1626" s="1"/>
      <c r="DOF1626" s="1"/>
      <c r="DOG1626" s="1"/>
      <c r="DOH1626" s="1"/>
      <c r="DOI1626" s="1"/>
      <c r="DOJ1626" s="1"/>
      <c r="DOK1626" s="1"/>
      <c r="DOL1626" s="1"/>
      <c r="DOM1626" s="1"/>
      <c r="DON1626" s="1"/>
      <c r="DOO1626" s="1"/>
      <c r="DOP1626" s="1"/>
      <c r="DOQ1626" s="1"/>
      <c r="DOR1626" s="1"/>
      <c r="DOS1626" s="1"/>
      <c r="DOT1626" s="1"/>
      <c r="DOU1626" s="1"/>
      <c r="DOV1626" s="1"/>
      <c r="DOW1626" s="1"/>
      <c r="DOX1626" s="1"/>
      <c r="DOY1626" s="1"/>
      <c r="DOZ1626" s="1"/>
      <c r="DPA1626" s="1"/>
      <c r="DPB1626" s="1"/>
      <c r="DPC1626" s="1"/>
      <c r="DPD1626" s="1"/>
      <c r="DPE1626" s="1"/>
      <c r="DPF1626" s="1"/>
      <c r="DPG1626" s="1"/>
      <c r="DPH1626" s="1"/>
      <c r="DPI1626" s="1"/>
      <c r="DPJ1626" s="1"/>
      <c r="DPK1626" s="1"/>
      <c r="DPL1626" s="1"/>
      <c r="DPM1626" s="1"/>
      <c r="DPN1626" s="1"/>
      <c r="DPO1626" s="1"/>
      <c r="DPP1626" s="1"/>
      <c r="DPQ1626" s="1"/>
      <c r="DPR1626" s="1"/>
      <c r="DPS1626" s="1"/>
      <c r="DPT1626" s="1"/>
      <c r="DPU1626" s="1"/>
      <c r="DPV1626" s="1"/>
      <c r="DPW1626" s="1"/>
      <c r="DPX1626" s="1"/>
      <c r="DPY1626" s="1"/>
      <c r="DPZ1626" s="1"/>
      <c r="DQA1626" s="1"/>
      <c r="DQB1626" s="1"/>
      <c r="DQC1626" s="1"/>
      <c r="DQD1626" s="1"/>
      <c r="DQE1626" s="1"/>
      <c r="DQF1626" s="1"/>
      <c r="DQG1626" s="1"/>
      <c r="DQH1626" s="1"/>
      <c r="DQI1626" s="1"/>
      <c r="DQJ1626" s="1"/>
      <c r="DQK1626" s="1"/>
      <c r="DQL1626" s="1"/>
      <c r="DQM1626" s="1"/>
      <c r="DQN1626" s="1"/>
      <c r="DQO1626" s="1"/>
      <c r="DQP1626" s="1"/>
      <c r="DQQ1626" s="1"/>
      <c r="DQR1626" s="1"/>
      <c r="DQS1626" s="1"/>
      <c r="DQT1626" s="1"/>
      <c r="DQU1626" s="1"/>
      <c r="DQV1626" s="1"/>
      <c r="DQW1626" s="1"/>
      <c r="DQX1626" s="1"/>
      <c r="DQY1626" s="1"/>
      <c r="DQZ1626" s="1"/>
      <c r="DRA1626" s="1"/>
      <c r="DRB1626" s="1"/>
      <c r="DRC1626" s="1"/>
      <c r="DRD1626" s="1"/>
      <c r="DRE1626" s="1"/>
      <c r="DRF1626" s="1"/>
      <c r="DRG1626" s="1"/>
      <c r="DRH1626" s="1"/>
      <c r="DRI1626" s="1"/>
      <c r="DRJ1626" s="1"/>
      <c r="DRK1626" s="1"/>
      <c r="DRL1626" s="1"/>
      <c r="DRM1626" s="1"/>
      <c r="DRN1626" s="1"/>
      <c r="DRO1626" s="1"/>
      <c r="DRP1626" s="1"/>
      <c r="DRQ1626" s="1"/>
      <c r="DRR1626" s="1"/>
      <c r="DRS1626" s="1"/>
      <c r="DRT1626" s="1"/>
      <c r="DRU1626" s="1"/>
      <c r="DRV1626" s="1"/>
      <c r="DRW1626" s="1"/>
      <c r="DRX1626" s="1"/>
      <c r="DRY1626" s="1"/>
      <c r="DRZ1626" s="1"/>
      <c r="DSA1626" s="1"/>
      <c r="DSB1626" s="1"/>
      <c r="DSC1626" s="1"/>
      <c r="DSD1626" s="1"/>
      <c r="DSE1626" s="1"/>
      <c r="DSF1626" s="1"/>
      <c r="DSG1626" s="1"/>
      <c r="DSH1626" s="1"/>
      <c r="DSI1626" s="1"/>
      <c r="DSJ1626" s="1"/>
      <c r="DSK1626" s="1"/>
      <c r="DSL1626" s="1"/>
      <c r="DSM1626" s="1"/>
      <c r="DSN1626" s="1"/>
      <c r="DSO1626" s="1"/>
      <c r="DSP1626" s="1"/>
      <c r="DSQ1626" s="1"/>
      <c r="DSR1626" s="1"/>
      <c r="DSS1626" s="1"/>
      <c r="DST1626" s="1"/>
      <c r="DSU1626" s="1"/>
      <c r="DSV1626" s="1"/>
      <c r="DSW1626" s="1"/>
      <c r="DSX1626" s="1"/>
      <c r="DSY1626" s="1"/>
      <c r="DSZ1626" s="1"/>
      <c r="DTA1626" s="1"/>
      <c r="DTB1626" s="1"/>
      <c r="DTC1626" s="1"/>
      <c r="DTD1626" s="1"/>
      <c r="DTE1626" s="1"/>
      <c r="DTF1626" s="1"/>
      <c r="DTG1626" s="1"/>
      <c r="DTH1626" s="1"/>
      <c r="DTI1626" s="1"/>
      <c r="DTJ1626" s="1"/>
      <c r="DTK1626" s="1"/>
      <c r="DTL1626" s="1"/>
      <c r="DTM1626" s="1"/>
      <c r="DTN1626" s="1"/>
      <c r="DTO1626" s="1"/>
      <c r="DTP1626" s="1"/>
      <c r="DTQ1626" s="1"/>
      <c r="DTR1626" s="1"/>
      <c r="DTS1626" s="1"/>
      <c r="DTT1626" s="1"/>
      <c r="DTU1626" s="1"/>
      <c r="DTV1626" s="1"/>
      <c r="DTW1626" s="1"/>
      <c r="DTX1626" s="1"/>
      <c r="DTY1626" s="1"/>
      <c r="DTZ1626" s="1"/>
      <c r="DUA1626" s="1"/>
      <c r="DUB1626" s="1"/>
      <c r="DUC1626" s="1"/>
      <c r="DUD1626" s="1"/>
      <c r="DUE1626" s="1"/>
      <c r="DUF1626" s="1"/>
      <c r="DUG1626" s="1"/>
      <c r="DUH1626" s="1"/>
      <c r="DUI1626" s="1"/>
      <c r="DUJ1626" s="1"/>
      <c r="DUK1626" s="1"/>
      <c r="DUL1626" s="1"/>
      <c r="DUM1626" s="1"/>
      <c r="DUN1626" s="1"/>
      <c r="DUO1626" s="1"/>
      <c r="DUP1626" s="1"/>
      <c r="DUQ1626" s="1"/>
      <c r="DUR1626" s="1"/>
      <c r="DUS1626" s="1"/>
      <c r="DUT1626" s="1"/>
      <c r="DUU1626" s="1"/>
      <c r="DUV1626" s="1"/>
      <c r="DUW1626" s="1"/>
      <c r="DUX1626" s="1"/>
      <c r="DUY1626" s="1"/>
      <c r="DUZ1626" s="1"/>
      <c r="DVA1626" s="1"/>
      <c r="DVB1626" s="1"/>
      <c r="DVC1626" s="1"/>
      <c r="DVD1626" s="1"/>
      <c r="DVE1626" s="1"/>
      <c r="DVF1626" s="1"/>
      <c r="DVG1626" s="1"/>
      <c r="DVH1626" s="1"/>
      <c r="DVI1626" s="1"/>
      <c r="DVJ1626" s="1"/>
      <c r="DVK1626" s="1"/>
      <c r="DVL1626" s="1"/>
      <c r="DVM1626" s="1"/>
      <c r="DVN1626" s="1"/>
      <c r="DVO1626" s="1"/>
      <c r="DVP1626" s="1"/>
      <c r="DVQ1626" s="1"/>
      <c r="DVR1626" s="1"/>
      <c r="DVS1626" s="1"/>
      <c r="DVT1626" s="1"/>
      <c r="DVU1626" s="1"/>
      <c r="DVV1626" s="1"/>
      <c r="DVW1626" s="1"/>
      <c r="DVX1626" s="1"/>
      <c r="DVY1626" s="1"/>
      <c r="DVZ1626" s="1"/>
      <c r="DWA1626" s="1"/>
      <c r="DWB1626" s="1"/>
      <c r="DWC1626" s="1"/>
      <c r="DWD1626" s="1"/>
      <c r="DWE1626" s="1"/>
      <c r="DWF1626" s="1"/>
      <c r="DWG1626" s="1"/>
      <c r="DWH1626" s="1"/>
      <c r="DWI1626" s="1"/>
      <c r="DWJ1626" s="1"/>
      <c r="DWK1626" s="1"/>
      <c r="DWL1626" s="1"/>
      <c r="DWM1626" s="1"/>
      <c r="DWN1626" s="1"/>
      <c r="DWO1626" s="1"/>
      <c r="DWP1626" s="1"/>
      <c r="DWQ1626" s="1"/>
      <c r="DWR1626" s="1"/>
      <c r="DWS1626" s="1"/>
      <c r="DWT1626" s="1"/>
      <c r="DWU1626" s="1"/>
      <c r="DWV1626" s="1"/>
      <c r="DWW1626" s="1"/>
      <c r="DWX1626" s="1"/>
      <c r="DWY1626" s="1"/>
      <c r="DWZ1626" s="1"/>
      <c r="DXA1626" s="1"/>
      <c r="DXB1626" s="1"/>
      <c r="DXC1626" s="1"/>
      <c r="DXD1626" s="1"/>
      <c r="DXE1626" s="1"/>
      <c r="DXF1626" s="1"/>
      <c r="DXG1626" s="1"/>
      <c r="DXH1626" s="1"/>
      <c r="DXI1626" s="1"/>
      <c r="DXJ1626" s="1"/>
      <c r="DXK1626" s="1"/>
      <c r="DXL1626" s="1"/>
      <c r="DXM1626" s="1"/>
      <c r="DXN1626" s="1"/>
      <c r="DXO1626" s="1"/>
      <c r="DXP1626" s="1"/>
      <c r="DXQ1626" s="1"/>
      <c r="DXR1626" s="1"/>
      <c r="DXS1626" s="1"/>
      <c r="DXT1626" s="1"/>
      <c r="DXU1626" s="1"/>
      <c r="DXV1626" s="1"/>
      <c r="DXW1626" s="1"/>
      <c r="DXX1626" s="1"/>
      <c r="DXY1626" s="1"/>
      <c r="DXZ1626" s="1"/>
      <c r="DYA1626" s="1"/>
      <c r="DYB1626" s="1"/>
      <c r="DYC1626" s="1"/>
      <c r="DYD1626" s="1"/>
      <c r="DYE1626" s="1"/>
      <c r="DYF1626" s="1"/>
      <c r="DYG1626" s="1"/>
      <c r="DYH1626" s="1"/>
      <c r="DYI1626" s="1"/>
      <c r="DYJ1626" s="1"/>
      <c r="DYK1626" s="1"/>
      <c r="DYL1626" s="1"/>
      <c r="DYM1626" s="1"/>
      <c r="DYN1626" s="1"/>
      <c r="DYO1626" s="1"/>
      <c r="DYP1626" s="1"/>
      <c r="DYQ1626" s="1"/>
      <c r="DYR1626" s="1"/>
      <c r="DYS1626" s="1"/>
      <c r="DYT1626" s="1"/>
      <c r="DYU1626" s="1"/>
      <c r="DYV1626" s="1"/>
      <c r="DYW1626" s="1"/>
      <c r="DYX1626" s="1"/>
      <c r="DYY1626" s="1"/>
      <c r="DYZ1626" s="1"/>
      <c r="DZA1626" s="1"/>
      <c r="DZB1626" s="1"/>
      <c r="DZC1626" s="1"/>
      <c r="DZD1626" s="1"/>
      <c r="DZE1626" s="1"/>
      <c r="DZF1626" s="1"/>
      <c r="DZG1626" s="1"/>
      <c r="DZH1626" s="1"/>
      <c r="DZI1626" s="1"/>
      <c r="DZJ1626" s="1"/>
      <c r="DZK1626" s="1"/>
      <c r="DZL1626" s="1"/>
      <c r="DZM1626" s="1"/>
      <c r="DZN1626" s="1"/>
      <c r="DZO1626" s="1"/>
      <c r="DZP1626" s="1"/>
      <c r="DZQ1626" s="1"/>
      <c r="DZR1626" s="1"/>
      <c r="DZS1626" s="1"/>
      <c r="DZT1626" s="1"/>
      <c r="DZU1626" s="1"/>
      <c r="DZV1626" s="1"/>
      <c r="DZW1626" s="1"/>
      <c r="DZX1626" s="1"/>
      <c r="DZY1626" s="1"/>
      <c r="DZZ1626" s="1"/>
      <c r="EAA1626" s="1"/>
      <c r="EAB1626" s="1"/>
      <c r="EAC1626" s="1"/>
      <c r="EAD1626" s="1"/>
      <c r="EAE1626" s="1"/>
      <c r="EAF1626" s="1"/>
      <c r="EAG1626" s="1"/>
      <c r="EAH1626" s="1"/>
      <c r="EAI1626" s="1"/>
      <c r="EAJ1626" s="1"/>
      <c r="EAK1626" s="1"/>
      <c r="EAL1626" s="1"/>
      <c r="EAM1626" s="1"/>
      <c r="EAN1626" s="1"/>
      <c r="EAO1626" s="1"/>
      <c r="EAP1626" s="1"/>
      <c r="EAQ1626" s="1"/>
      <c r="EAR1626" s="1"/>
      <c r="EAS1626" s="1"/>
      <c r="EAT1626" s="1"/>
      <c r="EAU1626" s="1"/>
      <c r="EAV1626" s="1"/>
      <c r="EAW1626" s="1"/>
      <c r="EAX1626" s="1"/>
      <c r="EAY1626" s="1"/>
      <c r="EAZ1626" s="1"/>
      <c r="EBA1626" s="1"/>
      <c r="EBB1626" s="1"/>
      <c r="EBC1626" s="1"/>
      <c r="EBD1626" s="1"/>
      <c r="EBE1626" s="1"/>
      <c r="EBF1626" s="1"/>
      <c r="EBG1626" s="1"/>
      <c r="EBH1626" s="1"/>
      <c r="EBI1626" s="1"/>
      <c r="EBJ1626" s="1"/>
      <c r="EBK1626" s="1"/>
      <c r="EBL1626" s="1"/>
      <c r="EBM1626" s="1"/>
      <c r="EBN1626" s="1"/>
      <c r="EBO1626" s="1"/>
      <c r="EBP1626" s="1"/>
      <c r="EBQ1626" s="1"/>
      <c r="EBR1626" s="1"/>
      <c r="EBS1626" s="1"/>
      <c r="EBT1626" s="1"/>
      <c r="EBU1626" s="1"/>
      <c r="EBV1626" s="1"/>
      <c r="EBW1626" s="1"/>
      <c r="EBX1626" s="1"/>
      <c r="EBY1626" s="1"/>
      <c r="EBZ1626" s="1"/>
      <c r="ECA1626" s="1"/>
      <c r="ECB1626" s="1"/>
      <c r="ECC1626" s="1"/>
      <c r="ECD1626" s="1"/>
      <c r="ECE1626" s="1"/>
      <c r="ECF1626" s="1"/>
      <c r="ECG1626" s="1"/>
      <c r="ECH1626" s="1"/>
      <c r="ECI1626" s="1"/>
      <c r="ECJ1626" s="1"/>
      <c r="ECK1626" s="1"/>
      <c r="ECL1626" s="1"/>
      <c r="ECM1626" s="1"/>
      <c r="ECN1626" s="1"/>
      <c r="ECO1626" s="1"/>
      <c r="ECP1626" s="1"/>
      <c r="ECQ1626" s="1"/>
      <c r="ECR1626" s="1"/>
      <c r="ECS1626" s="1"/>
      <c r="ECT1626" s="1"/>
      <c r="ECU1626" s="1"/>
      <c r="ECV1626" s="1"/>
      <c r="ECW1626" s="1"/>
      <c r="ECX1626" s="1"/>
      <c r="ECY1626" s="1"/>
      <c r="ECZ1626" s="1"/>
      <c r="EDA1626" s="1"/>
      <c r="EDB1626" s="1"/>
      <c r="EDC1626" s="1"/>
      <c r="EDD1626" s="1"/>
      <c r="EDE1626" s="1"/>
      <c r="EDF1626" s="1"/>
      <c r="EDG1626" s="1"/>
      <c r="EDH1626" s="1"/>
      <c r="EDI1626" s="1"/>
      <c r="EDJ1626" s="1"/>
      <c r="EDK1626" s="1"/>
      <c r="EDL1626" s="1"/>
      <c r="EDM1626" s="1"/>
      <c r="EDN1626" s="1"/>
      <c r="EDO1626" s="1"/>
      <c r="EDP1626" s="1"/>
      <c r="EDQ1626" s="1"/>
      <c r="EDR1626" s="1"/>
      <c r="EDS1626" s="1"/>
      <c r="EDT1626" s="1"/>
      <c r="EDU1626" s="1"/>
      <c r="EDV1626" s="1"/>
      <c r="EDW1626" s="1"/>
      <c r="EDX1626" s="1"/>
      <c r="EDY1626" s="1"/>
      <c r="EDZ1626" s="1"/>
      <c r="EEA1626" s="1"/>
      <c r="EEB1626" s="1"/>
      <c r="EEC1626" s="1"/>
      <c r="EED1626" s="1"/>
      <c r="EEE1626" s="1"/>
      <c r="EEF1626" s="1"/>
      <c r="EEG1626" s="1"/>
      <c r="EEH1626" s="1"/>
      <c r="EEI1626" s="1"/>
      <c r="EEJ1626" s="1"/>
      <c r="EEK1626" s="1"/>
      <c r="EEL1626" s="1"/>
      <c r="EEM1626" s="1"/>
      <c r="EEN1626" s="1"/>
      <c r="EEO1626" s="1"/>
      <c r="EEP1626" s="1"/>
      <c r="EEQ1626" s="1"/>
      <c r="EER1626" s="1"/>
      <c r="EES1626" s="1"/>
      <c r="EET1626" s="1"/>
      <c r="EEU1626" s="1"/>
      <c r="EEV1626" s="1"/>
      <c r="EEW1626" s="1"/>
      <c r="EEX1626" s="1"/>
      <c r="EEY1626" s="1"/>
      <c r="EEZ1626" s="1"/>
      <c r="EFA1626" s="1"/>
      <c r="EFB1626" s="1"/>
      <c r="EFC1626" s="1"/>
      <c r="EFD1626" s="1"/>
      <c r="EFE1626" s="1"/>
      <c r="EFF1626" s="1"/>
      <c r="EFG1626" s="1"/>
      <c r="EFH1626" s="1"/>
      <c r="EFI1626" s="1"/>
      <c r="EFJ1626" s="1"/>
      <c r="EFK1626" s="1"/>
      <c r="EFL1626" s="1"/>
      <c r="EFM1626" s="1"/>
      <c r="EFN1626" s="1"/>
      <c r="EFO1626" s="1"/>
      <c r="EFP1626" s="1"/>
      <c r="EFQ1626" s="1"/>
      <c r="EFR1626" s="1"/>
      <c r="EFS1626" s="1"/>
      <c r="EFT1626" s="1"/>
      <c r="EFU1626" s="1"/>
      <c r="EFV1626" s="1"/>
      <c r="EFW1626" s="1"/>
      <c r="EFX1626" s="1"/>
      <c r="EFY1626" s="1"/>
      <c r="EFZ1626" s="1"/>
      <c r="EGA1626" s="1"/>
      <c r="EGB1626" s="1"/>
      <c r="EGC1626" s="1"/>
      <c r="EGD1626" s="1"/>
      <c r="EGE1626" s="1"/>
      <c r="EGF1626" s="1"/>
      <c r="EGG1626" s="1"/>
      <c r="EGH1626" s="1"/>
      <c r="EGI1626" s="1"/>
      <c r="EGJ1626" s="1"/>
      <c r="EGK1626" s="1"/>
      <c r="EGL1626" s="1"/>
      <c r="EGM1626" s="1"/>
      <c r="EGN1626" s="1"/>
      <c r="EGO1626" s="1"/>
      <c r="EGP1626" s="1"/>
      <c r="EGQ1626" s="1"/>
      <c r="EGR1626" s="1"/>
      <c r="EGS1626" s="1"/>
      <c r="EGT1626" s="1"/>
      <c r="EGU1626" s="1"/>
      <c r="EGV1626" s="1"/>
      <c r="EGW1626" s="1"/>
      <c r="EGX1626" s="1"/>
      <c r="EGY1626" s="1"/>
      <c r="EGZ1626" s="1"/>
      <c r="EHA1626" s="1"/>
      <c r="EHB1626" s="1"/>
      <c r="EHC1626" s="1"/>
      <c r="EHD1626" s="1"/>
      <c r="EHE1626" s="1"/>
      <c r="EHF1626" s="1"/>
      <c r="EHG1626" s="1"/>
      <c r="EHH1626" s="1"/>
      <c r="EHI1626" s="1"/>
      <c r="EHJ1626" s="1"/>
      <c r="EHK1626" s="1"/>
      <c r="EHL1626" s="1"/>
      <c r="EHM1626" s="1"/>
      <c r="EHN1626" s="1"/>
      <c r="EHO1626" s="1"/>
      <c r="EHP1626" s="1"/>
      <c r="EHQ1626" s="1"/>
      <c r="EHR1626" s="1"/>
      <c r="EHS1626" s="1"/>
      <c r="EHT1626" s="1"/>
      <c r="EHU1626" s="1"/>
      <c r="EHV1626" s="1"/>
      <c r="EHW1626" s="1"/>
      <c r="EHX1626" s="1"/>
      <c r="EHY1626" s="1"/>
      <c r="EHZ1626" s="1"/>
      <c r="EIA1626" s="1"/>
      <c r="EIB1626" s="1"/>
      <c r="EIC1626" s="1"/>
      <c r="EID1626" s="1"/>
      <c r="EIE1626" s="1"/>
      <c r="EIF1626" s="1"/>
      <c r="EIG1626" s="1"/>
      <c r="EIH1626" s="1"/>
      <c r="EII1626" s="1"/>
      <c r="EIJ1626" s="1"/>
      <c r="EIK1626" s="1"/>
      <c r="EIL1626" s="1"/>
      <c r="EIM1626" s="1"/>
      <c r="EIN1626" s="1"/>
      <c r="EIO1626" s="1"/>
      <c r="EIP1626" s="1"/>
      <c r="EIQ1626" s="1"/>
      <c r="EIR1626" s="1"/>
      <c r="EIS1626" s="1"/>
      <c r="EIT1626" s="1"/>
      <c r="EIU1626" s="1"/>
      <c r="EIV1626" s="1"/>
      <c r="EIW1626" s="1"/>
      <c r="EIX1626" s="1"/>
      <c r="EIY1626" s="1"/>
      <c r="EIZ1626" s="1"/>
      <c r="EJA1626" s="1"/>
      <c r="EJB1626" s="1"/>
      <c r="EJC1626" s="1"/>
      <c r="EJD1626" s="1"/>
      <c r="EJE1626" s="1"/>
      <c r="EJF1626" s="1"/>
      <c r="EJG1626" s="1"/>
      <c r="EJH1626" s="1"/>
      <c r="EJI1626" s="1"/>
      <c r="EJJ1626" s="1"/>
      <c r="EJK1626" s="1"/>
      <c r="EJL1626" s="1"/>
      <c r="EJM1626" s="1"/>
      <c r="EJN1626" s="1"/>
      <c r="EJO1626" s="1"/>
      <c r="EJP1626" s="1"/>
      <c r="EJQ1626" s="1"/>
      <c r="EJR1626" s="1"/>
      <c r="EJS1626" s="1"/>
      <c r="EJT1626" s="1"/>
      <c r="EJU1626" s="1"/>
      <c r="EJV1626" s="1"/>
      <c r="EJW1626" s="1"/>
      <c r="EJX1626" s="1"/>
      <c r="EJY1626" s="1"/>
      <c r="EJZ1626" s="1"/>
      <c r="EKA1626" s="1"/>
      <c r="EKB1626" s="1"/>
      <c r="EKC1626" s="1"/>
      <c r="EKD1626" s="1"/>
      <c r="EKE1626" s="1"/>
      <c r="EKF1626" s="1"/>
      <c r="EKG1626" s="1"/>
      <c r="EKH1626" s="1"/>
      <c r="EKI1626" s="1"/>
      <c r="EKJ1626" s="1"/>
      <c r="EKK1626" s="1"/>
      <c r="EKL1626" s="1"/>
      <c r="EKM1626" s="1"/>
      <c r="EKN1626" s="1"/>
      <c r="EKO1626" s="1"/>
      <c r="EKP1626" s="1"/>
      <c r="EKQ1626" s="1"/>
      <c r="EKR1626" s="1"/>
      <c r="EKS1626" s="1"/>
      <c r="EKT1626" s="1"/>
      <c r="EKU1626" s="1"/>
      <c r="EKV1626" s="1"/>
      <c r="EKW1626" s="1"/>
      <c r="EKX1626" s="1"/>
      <c r="EKY1626" s="1"/>
      <c r="EKZ1626" s="1"/>
      <c r="ELA1626" s="1"/>
      <c r="ELB1626" s="1"/>
      <c r="ELC1626" s="1"/>
      <c r="ELD1626" s="1"/>
      <c r="ELE1626" s="1"/>
      <c r="ELF1626" s="1"/>
      <c r="ELG1626" s="1"/>
      <c r="ELH1626" s="1"/>
      <c r="ELI1626" s="1"/>
      <c r="ELJ1626" s="1"/>
      <c r="ELK1626" s="1"/>
      <c r="ELL1626" s="1"/>
      <c r="ELM1626" s="1"/>
      <c r="ELN1626" s="1"/>
      <c r="ELO1626" s="1"/>
      <c r="ELP1626" s="1"/>
      <c r="ELQ1626" s="1"/>
      <c r="ELR1626" s="1"/>
      <c r="ELS1626" s="1"/>
      <c r="ELT1626" s="1"/>
      <c r="ELU1626" s="1"/>
      <c r="ELV1626" s="1"/>
      <c r="ELW1626" s="1"/>
      <c r="ELX1626" s="1"/>
      <c r="ELY1626" s="1"/>
      <c r="ELZ1626" s="1"/>
      <c r="EMA1626" s="1"/>
      <c r="EMB1626" s="1"/>
      <c r="EMC1626" s="1"/>
      <c r="EMD1626" s="1"/>
      <c r="EME1626" s="1"/>
      <c r="EMF1626" s="1"/>
      <c r="EMG1626" s="1"/>
      <c r="EMH1626" s="1"/>
      <c r="EMI1626" s="1"/>
      <c r="EMJ1626" s="1"/>
      <c r="EMK1626" s="1"/>
      <c r="EML1626" s="1"/>
      <c r="EMM1626" s="1"/>
      <c r="EMN1626" s="1"/>
      <c r="EMO1626" s="1"/>
      <c r="EMP1626" s="1"/>
      <c r="EMQ1626" s="1"/>
      <c r="EMR1626" s="1"/>
      <c r="EMS1626" s="1"/>
      <c r="EMT1626" s="1"/>
      <c r="EMU1626" s="1"/>
      <c r="EMV1626" s="1"/>
      <c r="EMW1626" s="1"/>
      <c r="EMX1626" s="1"/>
      <c r="EMY1626" s="1"/>
      <c r="EMZ1626" s="1"/>
      <c r="ENA1626" s="1"/>
      <c r="ENB1626" s="1"/>
      <c r="ENC1626" s="1"/>
      <c r="END1626" s="1"/>
      <c r="ENE1626" s="1"/>
      <c r="ENF1626" s="1"/>
      <c r="ENG1626" s="1"/>
      <c r="ENH1626" s="1"/>
      <c r="ENI1626" s="1"/>
      <c r="ENJ1626" s="1"/>
      <c r="ENK1626" s="1"/>
      <c r="ENL1626" s="1"/>
      <c r="ENM1626" s="1"/>
      <c r="ENN1626" s="1"/>
      <c r="ENO1626" s="1"/>
      <c r="ENP1626" s="1"/>
      <c r="ENQ1626" s="1"/>
      <c r="ENR1626" s="1"/>
      <c r="ENS1626" s="1"/>
      <c r="ENT1626" s="1"/>
      <c r="ENU1626" s="1"/>
      <c r="ENV1626" s="1"/>
      <c r="ENW1626" s="1"/>
      <c r="ENX1626" s="1"/>
      <c r="ENY1626" s="1"/>
      <c r="ENZ1626" s="1"/>
      <c r="EOA1626" s="1"/>
      <c r="EOB1626" s="1"/>
      <c r="EOC1626" s="1"/>
      <c r="EOD1626" s="1"/>
      <c r="EOE1626" s="1"/>
      <c r="EOF1626" s="1"/>
      <c r="EOG1626" s="1"/>
      <c r="EOH1626" s="1"/>
      <c r="EOI1626" s="1"/>
      <c r="EOJ1626" s="1"/>
      <c r="EOK1626" s="1"/>
      <c r="EOL1626" s="1"/>
      <c r="EOM1626" s="1"/>
      <c r="EON1626" s="1"/>
      <c r="EOO1626" s="1"/>
      <c r="EOP1626" s="1"/>
      <c r="EOQ1626" s="1"/>
      <c r="EOR1626" s="1"/>
      <c r="EOS1626" s="1"/>
      <c r="EOT1626" s="1"/>
      <c r="EOU1626" s="1"/>
      <c r="EOV1626" s="1"/>
      <c r="EOW1626" s="1"/>
      <c r="EOX1626" s="1"/>
      <c r="EOY1626" s="1"/>
      <c r="EOZ1626" s="1"/>
      <c r="EPA1626" s="1"/>
      <c r="EPB1626" s="1"/>
      <c r="EPC1626" s="1"/>
      <c r="EPD1626" s="1"/>
      <c r="EPE1626" s="1"/>
      <c r="EPF1626" s="1"/>
      <c r="EPG1626" s="1"/>
      <c r="EPH1626" s="1"/>
      <c r="EPI1626" s="1"/>
      <c r="EPJ1626" s="1"/>
      <c r="EPK1626" s="1"/>
      <c r="EPL1626" s="1"/>
      <c r="EPM1626" s="1"/>
      <c r="EPN1626" s="1"/>
      <c r="EPO1626" s="1"/>
      <c r="EPP1626" s="1"/>
      <c r="EPQ1626" s="1"/>
      <c r="EPR1626" s="1"/>
      <c r="EPS1626" s="1"/>
      <c r="EPT1626" s="1"/>
      <c r="EPU1626" s="1"/>
      <c r="EPV1626" s="1"/>
      <c r="EPW1626" s="1"/>
      <c r="EPX1626" s="1"/>
      <c r="EPY1626" s="1"/>
      <c r="EPZ1626" s="1"/>
      <c r="EQA1626" s="1"/>
      <c r="EQB1626" s="1"/>
      <c r="EQC1626" s="1"/>
      <c r="EQD1626" s="1"/>
      <c r="EQE1626" s="1"/>
      <c r="EQF1626" s="1"/>
      <c r="EQG1626" s="1"/>
      <c r="EQH1626" s="1"/>
      <c r="EQI1626" s="1"/>
      <c r="EQJ1626" s="1"/>
      <c r="EQK1626" s="1"/>
      <c r="EQL1626" s="1"/>
      <c r="EQM1626" s="1"/>
      <c r="EQN1626" s="1"/>
      <c r="EQO1626" s="1"/>
      <c r="EQP1626" s="1"/>
      <c r="EQQ1626" s="1"/>
      <c r="EQR1626" s="1"/>
      <c r="EQS1626" s="1"/>
      <c r="EQT1626" s="1"/>
      <c r="EQU1626" s="1"/>
      <c r="EQV1626" s="1"/>
      <c r="EQW1626" s="1"/>
      <c r="EQX1626" s="1"/>
      <c r="EQY1626" s="1"/>
      <c r="EQZ1626" s="1"/>
      <c r="ERA1626" s="1"/>
      <c r="ERB1626" s="1"/>
      <c r="ERC1626" s="1"/>
      <c r="ERD1626" s="1"/>
      <c r="ERE1626" s="1"/>
      <c r="ERF1626" s="1"/>
      <c r="ERG1626" s="1"/>
      <c r="ERH1626" s="1"/>
      <c r="ERI1626" s="1"/>
      <c r="ERJ1626" s="1"/>
      <c r="ERK1626" s="1"/>
      <c r="ERL1626" s="1"/>
      <c r="ERM1626" s="1"/>
      <c r="ERN1626" s="1"/>
      <c r="ERO1626" s="1"/>
      <c r="ERP1626" s="1"/>
      <c r="ERQ1626" s="1"/>
      <c r="ERR1626" s="1"/>
      <c r="ERS1626" s="1"/>
      <c r="ERT1626" s="1"/>
      <c r="ERU1626" s="1"/>
      <c r="ERV1626" s="1"/>
      <c r="ERW1626" s="1"/>
      <c r="ERX1626" s="1"/>
      <c r="ERY1626" s="1"/>
      <c r="ERZ1626" s="1"/>
      <c r="ESA1626" s="1"/>
      <c r="ESB1626" s="1"/>
      <c r="ESC1626" s="1"/>
      <c r="ESD1626" s="1"/>
      <c r="ESE1626" s="1"/>
      <c r="ESF1626" s="1"/>
      <c r="ESG1626" s="1"/>
      <c r="ESH1626" s="1"/>
      <c r="ESI1626" s="1"/>
      <c r="ESJ1626" s="1"/>
      <c r="ESK1626" s="1"/>
      <c r="ESL1626" s="1"/>
      <c r="ESM1626" s="1"/>
      <c r="ESN1626" s="1"/>
      <c r="ESO1626" s="1"/>
      <c r="ESP1626" s="1"/>
      <c r="ESQ1626" s="1"/>
      <c r="ESR1626" s="1"/>
      <c r="ESS1626" s="1"/>
      <c r="EST1626" s="1"/>
      <c r="ESU1626" s="1"/>
      <c r="ESV1626" s="1"/>
      <c r="ESW1626" s="1"/>
      <c r="ESX1626" s="1"/>
      <c r="ESY1626" s="1"/>
      <c r="ESZ1626" s="1"/>
      <c r="ETA1626" s="1"/>
      <c r="ETB1626" s="1"/>
      <c r="ETC1626" s="1"/>
      <c r="ETD1626" s="1"/>
      <c r="ETE1626" s="1"/>
      <c r="ETF1626" s="1"/>
      <c r="ETG1626" s="1"/>
      <c r="ETH1626" s="1"/>
      <c r="ETI1626" s="1"/>
      <c r="ETJ1626" s="1"/>
      <c r="ETK1626" s="1"/>
      <c r="ETL1626" s="1"/>
      <c r="ETM1626" s="1"/>
      <c r="ETN1626" s="1"/>
      <c r="ETO1626" s="1"/>
      <c r="ETP1626" s="1"/>
      <c r="ETQ1626" s="1"/>
      <c r="ETR1626" s="1"/>
      <c r="ETS1626" s="1"/>
      <c r="ETT1626" s="1"/>
      <c r="ETU1626" s="1"/>
      <c r="ETV1626" s="1"/>
      <c r="ETW1626" s="1"/>
      <c r="ETX1626" s="1"/>
      <c r="ETY1626" s="1"/>
      <c r="ETZ1626" s="1"/>
      <c r="EUA1626" s="1"/>
      <c r="EUB1626" s="1"/>
      <c r="EUC1626" s="1"/>
      <c r="EUD1626" s="1"/>
      <c r="EUE1626" s="1"/>
      <c r="EUF1626" s="1"/>
      <c r="EUG1626" s="1"/>
      <c r="EUH1626" s="1"/>
      <c r="EUI1626" s="1"/>
      <c r="EUJ1626" s="1"/>
      <c r="EUK1626" s="1"/>
      <c r="EUL1626" s="1"/>
      <c r="EUM1626" s="1"/>
      <c r="EUN1626" s="1"/>
      <c r="EUO1626" s="1"/>
      <c r="EUP1626" s="1"/>
      <c r="EUQ1626" s="1"/>
      <c r="EUR1626" s="1"/>
      <c r="EUS1626" s="1"/>
      <c r="EUT1626" s="1"/>
      <c r="EUU1626" s="1"/>
      <c r="EUV1626" s="1"/>
      <c r="EUW1626" s="1"/>
      <c r="EUX1626" s="1"/>
      <c r="EUY1626" s="1"/>
      <c r="EUZ1626" s="1"/>
      <c r="EVA1626" s="1"/>
      <c r="EVB1626" s="1"/>
      <c r="EVC1626" s="1"/>
      <c r="EVD1626" s="1"/>
      <c r="EVE1626" s="1"/>
      <c r="EVF1626" s="1"/>
      <c r="EVG1626" s="1"/>
      <c r="EVH1626" s="1"/>
      <c r="EVI1626" s="1"/>
      <c r="EVJ1626" s="1"/>
      <c r="EVK1626" s="1"/>
      <c r="EVL1626" s="1"/>
      <c r="EVM1626" s="1"/>
      <c r="EVN1626" s="1"/>
      <c r="EVO1626" s="1"/>
      <c r="EVP1626" s="1"/>
      <c r="EVQ1626" s="1"/>
      <c r="EVR1626" s="1"/>
      <c r="EVS1626" s="1"/>
      <c r="EVT1626" s="1"/>
      <c r="EVU1626" s="1"/>
      <c r="EVV1626" s="1"/>
      <c r="EVW1626" s="1"/>
      <c r="EVX1626" s="1"/>
      <c r="EVY1626" s="1"/>
      <c r="EVZ1626" s="1"/>
      <c r="EWA1626" s="1"/>
      <c r="EWB1626" s="1"/>
      <c r="EWC1626" s="1"/>
      <c r="EWD1626" s="1"/>
      <c r="EWE1626" s="1"/>
      <c r="EWF1626" s="1"/>
      <c r="EWG1626" s="1"/>
      <c r="EWH1626" s="1"/>
      <c r="EWI1626" s="1"/>
      <c r="EWJ1626" s="1"/>
      <c r="EWK1626" s="1"/>
      <c r="EWL1626" s="1"/>
      <c r="EWM1626" s="1"/>
      <c r="EWN1626" s="1"/>
      <c r="EWO1626" s="1"/>
      <c r="EWP1626" s="1"/>
      <c r="EWQ1626" s="1"/>
      <c r="EWR1626" s="1"/>
      <c r="EWS1626" s="1"/>
      <c r="EWT1626" s="1"/>
      <c r="EWU1626" s="1"/>
      <c r="EWV1626" s="1"/>
      <c r="EWW1626" s="1"/>
      <c r="EWX1626" s="1"/>
      <c r="EWY1626" s="1"/>
      <c r="EWZ1626" s="1"/>
      <c r="EXA1626" s="1"/>
      <c r="EXB1626" s="1"/>
      <c r="EXC1626" s="1"/>
      <c r="EXD1626" s="1"/>
      <c r="EXE1626" s="1"/>
      <c r="EXF1626" s="1"/>
      <c r="EXG1626" s="1"/>
      <c r="EXH1626" s="1"/>
      <c r="EXI1626" s="1"/>
      <c r="EXJ1626" s="1"/>
      <c r="EXK1626" s="1"/>
      <c r="EXL1626" s="1"/>
      <c r="EXM1626" s="1"/>
      <c r="EXN1626" s="1"/>
      <c r="EXO1626" s="1"/>
      <c r="EXP1626" s="1"/>
      <c r="EXQ1626" s="1"/>
      <c r="EXR1626" s="1"/>
      <c r="EXS1626" s="1"/>
      <c r="EXT1626" s="1"/>
      <c r="EXU1626" s="1"/>
      <c r="EXV1626" s="1"/>
      <c r="EXW1626" s="1"/>
      <c r="EXX1626" s="1"/>
      <c r="EXY1626" s="1"/>
      <c r="EXZ1626" s="1"/>
      <c r="EYA1626" s="1"/>
      <c r="EYB1626" s="1"/>
      <c r="EYC1626" s="1"/>
      <c r="EYD1626" s="1"/>
      <c r="EYE1626" s="1"/>
      <c r="EYF1626" s="1"/>
      <c r="EYG1626" s="1"/>
      <c r="EYH1626" s="1"/>
      <c r="EYI1626" s="1"/>
      <c r="EYJ1626" s="1"/>
      <c r="EYK1626" s="1"/>
      <c r="EYL1626" s="1"/>
      <c r="EYM1626" s="1"/>
      <c r="EYN1626" s="1"/>
      <c r="EYO1626" s="1"/>
      <c r="EYP1626" s="1"/>
      <c r="EYQ1626" s="1"/>
      <c r="EYR1626" s="1"/>
      <c r="EYS1626" s="1"/>
      <c r="EYT1626" s="1"/>
      <c r="EYU1626" s="1"/>
      <c r="EYV1626" s="1"/>
      <c r="EYW1626" s="1"/>
      <c r="EYX1626" s="1"/>
      <c r="EYY1626" s="1"/>
      <c r="EYZ1626" s="1"/>
      <c r="EZA1626" s="1"/>
      <c r="EZB1626" s="1"/>
      <c r="EZC1626" s="1"/>
      <c r="EZD1626" s="1"/>
      <c r="EZE1626" s="1"/>
      <c r="EZF1626" s="1"/>
      <c r="EZG1626" s="1"/>
      <c r="EZH1626" s="1"/>
      <c r="EZI1626" s="1"/>
      <c r="EZJ1626" s="1"/>
      <c r="EZK1626" s="1"/>
      <c r="EZL1626" s="1"/>
      <c r="EZM1626" s="1"/>
      <c r="EZN1626" s="1"/>
      <c r="EZO1626" s="1"/>
      <c r="EZP1626" s="1"/>
      <c r="EZQ1626" s="1"/>
      <c r="EZR1626" s="1"/>
      <c r="EZS1626" s="1"/>
      <c r="EZT1626" s="1"/>
      <c r="EZU1626" s="1"/>
      <c r="EZV1626" s="1"/>
      <c r="EZW1626" s="1"/>
      <c r="EZX1626" s="1"/>
      <c r="EZY1626" s="1"/>
      <c r="EZZ1626" s="1"/>
      <c r="FAA1626" s="1"/>
      <c r="FAB1626" s="1"/>
      <c r="FAC1626" s="1"/>
      <c r="FAD1626" s="1"/>
      <c r="FAE1626" s="1"/>
      <c r="FAF1626" s="1"/>
      <c r="FAG1626" s="1"/>
      <c r="FAH1626" s="1"/>
      <c r="FAI1626" s="1"/>
      <c r="FAJ1626" s="1"/>
      <c r="FAK1626" s="1"/>
      <c r="FAL1626" s="1"/>
      <c r="FAM1626" s="1"/>
      <c r="FAN1626" s="1"/>
      <c r="FAO1626" s="1"/>
      <c r="FAP1626" s="1"/>
      <c r="FAQ1626" s="1"/>
      <c r="FAR1626" s="1"/>
      <c r="FAS1626" s="1"/>
      <c r="FAT1626" s="1"/>
      <c r="FAU1626" s="1"/>
      <c r="FAV1626" s="1"/>
      <c r="FAW1626" s="1"/>
      <c r="FAX1626" s="1"/>
      <c r="FAY1626" s="1"/>
      <c r="FAZ1626" s="1"/>
      <c r="FBA1626" s="1"/>
      <c r="FBB1626" s="1"/>
      <c r="FBC1626" s="1"/>
      <c r="FBD1626" s="1"/>
      <c r="FBE1626" s="1"/>
      <c r="FBF1626" s="1"/>
      <c r="FBG1626" s="1"/>
      <c r="FBH1626" s="1"/>
      <c r="FBI1626" s="1"/>
      <c r="FBJ1626" s="1"/>
      <c r="FBK1626" s="1"/>
      <c r="FBL1626" s="1"/>
      <c r="FBM1626" s="1"/>
      <c r="FBN1626" s="1"/>
      <c r="FBO1626" s="1"/>
      <c r="FBP1626" s="1"/>
      <c r="FBQ1626" s="1"/>
      <c r="FBR1626" s="1"/>
      <c r="FBS1626" s="1"/>
      <c r="FBT1626" s="1"/>
      <c r="FBU1626" s="1"/>
      <c r="FBV1626" s="1"/>
      <c r="FBW1626" s="1"/>
      <c r="FBX1626" s="1"/>
      <c r="FBY1626" s="1"/>
      <c r="FBZ1626" s="1"/>
      <c r="FCA1626" s="1"/>
      <c r="FCB1626" s="1"/>
      <c r="FCC1626" s="1"/>
      <c r="FCD1626" s="1"/>
      <c r="FCE1626" s="1"/>
      <c r="FCF1626" s="1"/>
      <c r="FCG1626" s="1"/>
      <c r="FCH1626" s="1"/>
      <c r="FCI1626" s="1"/>
      <c r="FCJ1626" s="1"/>
      <c r="FCK1626" s="1"/>
      <c r="FCL1626" s="1"/>
      <c r="FCM1626" s="1"/>
      <c r="FCN1626" s="1"/>
      <c r="FCO1626" s="1"/>
      <c r="FCP1626" s="1"/>
      <c r="FCQ1626" s="1"/>
      <c r="FCR1626" s="1"/>
      <c r="FCS1626" s="1"/>
      <c r="FCT1626" s="1"/>
      <c r="FCU1626" s="1"/>
      <c r="FCV1626" s="1"/>
      <c r="FCW1626" s="1"/>
      <c r="FCX1626" s="1"/>
      <c r="FCY1626" s="1"/>
      <c r="FCZ1626" s="1"/>
      <c r="FDA1626" s="1"/>
      <c r="FDB1626" s="1"/>
      <c r="FDC1626" s="1"/>
      <c r="FDD1626" s="1"/>
      <c r="FDE1626" s="1"/>
      <c r="FDF1626" s="1"/>
      <c r="FDG1626" s="1"/>
      <c r="FDH1626" s="1"/>
      <c r="FDI1626" s="1"/>
      <c r="FDJ1626" s="1"/>
      <c r="FDK1626" s="1"/>
      <c r="FDL1626" s="1"/>
      <c r="FDM1626" s="1"/>
      <c r="FDN1626" s="1"/>
      <c r="FDO1626" s="1"/>
      <c r="FDP1626" s="1"/>
      <c r="FDQ1626" s="1"/>
      <c r="FDR1626" s="1"/>
      <c r="FDS1626" s="1"/>
      <c r="FDT1626" s="1"/>
      <c r="FDU1626" s="1"/>
      <c r="FDV1626" s="1"/>
      <c r="FDW1626" s="1"/>
      <c r="FDX1626" s="1"/>
      <c r="FDY1626" s="1"/>
      <c r="FDZ1626" s="1"/>
      <c r="FEA1626" s="1"/>
      <c r="FEB1626" s="1"/>
      <c r="FEC1626" s="1"/>
      <c r="FED1626" s="1"/>
      <c r="FEE1626" s="1"/>
      <c r="FEF1626" s="1"/>
      <c r="FEG1626" s="1"/>
      <c r="FEH1626" s="1"/>
      <c r="FEI1626" s="1"/>
      <c r="FEJ1626" s="1"/>
      <c r="FEK1626" s="1"/>
      <c r="FEL1626" s="1"/>
      <c r="FEM1626" s="1"/>
      <c r="FEN1626" s="1"/>
      <c r="FEO1626" s="1"/>
      <c r="FEP1626" s="1"/>
      <c r="FEQ1626" s="1"/>
      <c r="FER1626" s="1"/>
      <c r="FES1626" s="1"/>
      <c r="FET1626" s="1"/>
      <c r="FEU1626" s="1"/>
      <c r="FEV1626" s="1"/>
      <c r="FEW1626" s="1"/>
      <c r="FEX1626" s="1"/>
      <c r="FEY1626" s="1"/>
      <c r="FEZ1626" s="1"/>
      <c r="FFA1626" s="1"/>
      <c r="FFB1626" s="1"/>
      <c r="FFC1626" s="1"/>
      <c r="FFD1626" s="1"/>
      <c r="FFE1626" s="1"/>
      <c r="FFF1626" s="1"/>
      <c r="FFG1626" s="1"/>
      <c r="FFH1626" s="1"/>
      <c r="FFI1626" s="1"/>
      <c r="FFJ1626" s="1"/>
      <c r="FFK1626" s="1"/>
      <c r="FFL1626" s="1"/>
      <c r="FFM1626" s="1"/>
      <c r="FFN1626" s="1"/>
      <c r="FFO1626" s="1"/>
      <c r="FFP1626" s="1"/>
      <c r="FFQ1626" s="1"/>
      <c r="FFR1626" s="1"/>
      <c r="FFS1626" s="1"/>
      <c r="FFT1626" s="1"/>
      <c r="FFU1626" s="1"/>
      <c r="FFV1626" s="1"/>
      <c r="FFW1626" s="1"/>
      <c r="FFX1626" s="1"/>
      <c r="FFY1626" s="1"/>
      <c r="FFZ1626" s="1"/>
      <c r="FGA1626" s="1"/>
      <c r="FGB1626" s="1"/>
      <c r="FGC1626" s="1"/>
      <c r="FGD1626" s="1"/>
      <c r="FGE1626" s="1"/>
      <c r="FGF1626" s="1"/>
      <c r="FGG1626" s="1"/>
      <c r="FGH1626" s="1"/>
      <c r="FGI1626" s="1"/>
      <c r="FGJ1626" s="1"/>
      <c r="FGK1626" s="1"/>
      <c r="FGL1626" s="1"/>
      <c r="FGM1626" s="1"/>
      <c r="FGN1626" s="1"/>
      <c r="FGO1626" s="1"/>
      <c r="FGP1626" s="1"/>
      <c r="FGQ1626" s="1"/>
      <c r="FGR1626" s="1"/>
      <c r="FGS1626" s="1"/>
      <c r="FGT1626" s="1"/>
      <c r="FGU1626" s="1"/>
      <c r="FGV1626" s="1"/>
      <c r="FGW1626" s="1"/>
      <c r="FGX1626" s="1"/>
      <c r="FGY1626" s="1"/>
      <c r="FGZ1626" s="1"/>
      <c r="FHA1626" s="1"/>
      <c r="FHB1626" s="1"/>
      <c r="FHC1626" s="1"/>
      <c r="FHD1626" s="1"/>
      <c r="FHE1626" s="1"/>
      <c r="FHF1626" s="1"/>
      <c r="FHG1626" s="1"/>
      <c r="FHH1626" s="1"/>
      <c r="FHI1626" s="1"/>
      <c r="FHJ1626" s="1"/>
      <c r="FHK1626" s="1"/>
      <c r="FHL1626" s="1"/>
      <c r="FHM1626" s="1"/>
      <c r="FHN1626" s="1"/>
      <c r="FHO1626" s="1"/>
      <c r="FHP1626" s="1"/>
      <c r="FHQ1626" s="1"/>
      <c r="FHR1626" s="1"/>
      <c r="FHS1626" s="1"/>
      <c r="FHT1626" s="1"/>
      <c r="FHU1626" s="1"/>
      <c r="FHV1626" s="1"/>
      <c r="FHW1626" s="1"/>
      <c r="FHX1626" s="1"/>
      <c r="FHY1626" s="1"/>
      <c r="FHZ1626" s="1"/>
      <c r="FIA1626" s="1"/>
      <c r="FIB1626" s="1"/>
      <c r="FIC1626" s="1"/>
      <c r="FID1626" s="1"/>
      <c r="FIE1626" s="1"/>
      <c r="FIF1626" s="1"/>
      <c r="FIG1626" s="1"/>
      <c r="FIH1626" s="1"/>
      <c r="FII1626" s="1"/>
      <c r="FIJ1626" s="1"/>
      <c r="FIK1626" s="1"/>
      <c r="FIL1626" s="1"/>
      <c r="FIM1626" s="1"/>
      <c r="FIN1626" s="1"/>
      <c r="FIO1626" s="1"/>
      <c r="FIP1626" s="1"/>
      <c r="FIQ1626" s="1"/>
      <c r="FIR1626" s="1"/>
      <c r="FIS1626" s="1"/>
      <c r="FIT1626" s="1"/>
      <c r="FIU1626" s="1"/>
      <c r="FIV1626" s="1"/>
      <c r="FIW1626" s="1"/>
      <c r="FIX1626" s="1"/>
      <c r="FIY1626" s="1"/>
      <c r="FIZ1626" s="1"/>
      <c r="FJA1626" s="1"/>
      <c r="FJB1626" s="1"/>
      <c r="FJC1626" s="1"/>
      <c r="FJD1626" s="1"/>
      <c r="FJE1626" s="1"/>
      <c r="FJF1626" s="1"/>
      <c r="FJG1626" s="1"/>
      <c r="FJH1626" s="1"/>
      <c r="FJI1626" s="1"/>
      <c r="FJJ1626" s="1"/>
      <c r="FJK1626" s="1"/>
      <c r="FJL1626" s="1"/>
      <c r="FJM1626" s="1"/>
      <c r="FJN1626" s="1"/>
      <c r="FJO1626" s="1"/>
      <c r="FJP1626" s="1"/>
      <c r="FJQ1626" s="1"/>
      <c r="FJR1626" s="1"/>
      <c r="FJS1626" s="1"/>
      <c r="FJT1626" s="1"/>
      <c r="FJU1626" s="1"/>
      <c r="FJV1626" s="1"/>
      <c r="FJW1626" s="1"/>
      <c r="FJX1626" s="1"/>
      <c r="FJY1626" s="1"/>
      <c r="FJZ1626" s="1"/>
      <c r="FKA1626" s="1"/>
      <c r="FKB1626" s="1"/>
      <c r="FKC1626" s="1"/>
      <c r="FKD1626" s="1"/>
      <c r="FKE1626" s="1"/>
      <c r="FKF1626" s="1"/>
      <c r="FKG1626" s="1"/>
      <c r="FKH1626" s="1"/>
      <c r="FKI1626" s="1"/>
      <c r="FKJ1626" s="1"/>
      <c r="FKK1626" s="1"/>
      <c r="FKL1626" s="1"/>
      <c r="FKM1626" s="1"/>
      <c r="FKN1626" s="1"/>
      <c r="FKO1626" s="1"/>
      <c r="FKP1626" s="1"/>
      <c r="FKQ1626" s="1"/>
      <c r="FKR1626" s="1"/>
      <c r="FKS1626" s="1"/>
      <c r="FKT1626" s="1"/>
      <c r="FKU1626" s="1"/>
      <c r="FKV1626" s="1"/>
      <c r="FKW1626" s="1"/>
      <c r="FKX1626" s="1"/>
      <c r="FKY1626" s="1"/>
      <c r="FKZ1626" s="1"/>
      <c r="FLA1626" s="1"/>
      <c r="FLB1626" s="1"/>
      <c r="FLC1626" s="1"/>
      <c r="FLD1626" s="1"/>
      <c r="FLE1626" s="1"/>
      <c r="FLF1626" s="1"/>
      <c r="FLG1626" s="1"/>
      <c r="FLH1626" s="1"/>
      <c r="FLI1626" s="1"/>
      <c r="FLJ1626" s="1"/>
      <c r="FLK1626" s="1"/>
      <c r="FLL1626" s="1"/>
      <c r="FLM1626" s="1"/>
      <c r="FLN1626" s="1"/>
      <c r="FLO1626" s="1"/>
      <c r="FLP1626" s="1"/>
      <c r="FLQ1626" s="1"/>
      <c r="FLR1626" s="1"/>
      <c r="FLS1626" s="1"/>
      <c r="FLT1626" s="1"/>
      <c r="FLU1626" s="1"/>
      <c r="FLV1626" s="1"/>
      <c r="FLW1626" s="1"/>
      <c r="FLX1626" s="1"/>
      <c r="FLY1626" s="1"/>
      <c r="FLZ1626" s="1"/>
      <c r="FMA1626" s="1"/>
      <c r="FMB1626" s="1"/>
      <c r="FMC1626" s="1"/>
      <c r="FMD1626" s="1"/>
      <c r="FME1626" s="1"/>
      <c r="FMF1626" s="1"/>
      <c r="FMG1626" s="1"/>
      <c r="FMH1626" s="1"/>
      <c r="FMI1626" s="1"/>
      <c r="FMJ1626" s="1"/>
      <c r="FMK1626" s="1"/>
      <c r="FML1626" s="1"/>
      <c r="FMM1626" s="1"/>
      <c r="FMN1626" s="1"/>
      <c r="FMO1626" s="1"/>
      <c r="FMP1626" s="1"/>
      <c r="FMQ1626" s="1"/>
      <c r="FMR1626" s="1"/>
      <c r="FMS1626" s="1"/>
      <c r="FMT1626" s="1"/>
      <c r="FMU1626" s="1"/>
      <c r="FMV1626" s="1"/>
      <c r="FMW1626" s="1"/>
      <c r="FMX1626" s="1"/>
      <c r="FMY1626" s="1"/>
      <c r="FMZ1626" s="1"/>
      <c r="FNA1626" s="1"/>
      <c r="FNB1626" s="1"/>
      <c r="FNC1626" s="1"/>
      <c r="FND1626" s="1"/>
      <c r="FNE1626" s="1"/>
      <c r="FNF1626" s="1"/>
      <c r="FNG1626" s="1"/>
      <c r="FNH1626" s="1"/>
      <c r="FNI1626" s="1"/>
      <c r="FNJ1626" s="1"/>
      <c r="FNK1626" s="1"/>
      <c r="FNL1626" s="1"/>
      <c r="FNM1626" s="1"/>
      <c r="FNN1626" s="1"/>
      <c r="FNO1626" s="1"/>
      <c r="FNP1626" s="1"/>
      <c r="FNQ1626" s="1"/>
      <c r="FNR1626" s="1"/>
      <c r="FNS1626" s="1"/>
      <c r="FNT1626" s="1"/>
      <c r="FNU1626" s="1"/>
      <c r="FNV1626" s="1"/>
      <c r="FNW1626" s="1"/>
      <c r="FNX1626" s="1"/>
      <c r="FNY1626" s="1"/>
      <c r="FNZ1626" s="1"/>
      <c r="FOA1626" s="1"/>
      <c r="FOB1626" s="1"/>
      <c r="FOC1626" s="1"/>
      <c r="FOD1626" s="1"/>
      <c r="FOE1626" s="1"/>
      <c r="FOF1626" s="1"/>
      <c r="FOG1626" s="1"/>
      <c r="FOH1626" s="1"/>
      <c r="FOI1626" s="1"/>
      <c r="FOJ1626" s="1"/>
      <c r="FOK1626" s="1"/>
      <c r="FOL1626" s="1"/>
      <c r="FOM1626" s="1"/>
      <c r="FON1626" s="1"/>
      <c r="FOO1626" s="1"/>
      <c r="FOP1626" s="1"/>
      <c r="FOQ1626" s="1"/>
      <c r="FOR1626" s="1"/>
      <c r="FOS1626" s="1"/>
      <c r="FOT1626" s="1"/>
      <c r="FOU1626" s="1"/>
      <c r="FOV1626" s="1"/>
      <c r="FOW1626" s="1"/>
      <c r="FOX1626" s="1"/>
      <c r="FOY1626" s="1"/>
      <c r="FOZ1626" s="1"/>
      <c r="FPA1626" s="1"/>
      <c r="FPB1626" s="1"/>
      <c r="FPC1626" s="1"/>
      <c r="FPD1626" s="1"/>
      <c r="FPE1626" s="1"/>
      <c r="FPF1626" s="1"/>
      <c r="FPG1626" s="1"/>
      <c r="FPH1626" s="1"/>
      <c r="FPI1626" s="1"/>
      <c r="FPJ1626" s="1"/>
      <c r="FPK1626" s="1"/>
      <c r="FPL1626" s="1"/>
      <c r="FPM1626" s="1"/>
      <c r="FPN1626" s="1"/>
      <c r="FPO1626" s="1"/>
      <c r="FPP1626" s="1"/>
      <c r="FPQ1626" s="1"/>
      <c r="FPR1626" s="1"/>
      <c r="FPS1626" s="1"/>
      <c r="FPT1626" s="1"/>
      <c r="FPU1626" s="1"/>
      <c r="FPV1626" s="1"/>
      <c r="FPW1626" s="1"/>
      <c r="FPX1626" s="1"/>
      <c r="FPY1626" s="1"/>
      <c r="FPZ1626" s="1"/>
      <c r="FQA1626" s="1"/>
      <c r="FQB1626" s="1"/>
      <c r="FQC1626" s="1"/>
      <c r="FQD1626" s="1"/>
      <c r="FQE1626" s="1"/>
      <c r="FQF1626" s="1"/>
      <c r="FQG1626" s="1"/>
      <c r="FQH1626" s="1"/>
      <c r="FQI1626" s="1"/>
      <c r="FQJ1626" s="1"/>
      <c r="FQK1626" s="1"/>
      <c r="FQL1626" s="1"/>
      <c r="FQM1626" s="1"/>
      <c r="FQN1626" s="1"/>
      <c r="FQO1626" s="1"/>
      <c r="FQP1626" s="1"/>
      <c r="FQQ1626" s="1"/>
      <c r="FQR1626" s="1"/>
      <c r="FQS1626" s="1"/>
      <c r="FQT1626" s="1"/>
      <c r="FQU1626" s="1"/>
      <c r="FQV1626" s="1"/>
      <c r="FQW1626" s="1"/>
      <c r="FQX1626" s="1"/>
      <c r="FQY1626" s="1"/>
      <c r="FQZ1626" s="1"/>
      <c r="FRA1626" s="1"/>
      <c r="FRB1626" s="1"/>
      <c r="FRC1626" s="1"/>
      <c r="FRD1626" s="1"/>
      <c r="FRE1626" s="1"/>
      <c r="FRF1626" s="1"/>
      <c r="FRG1626" s="1"/>
      <c r="FRH1626" s="1"/>
      <c r="FRI1626" s="1"/>
      <c r="FRJ1626" s="1"/>
      <c r="FRK1626" s="1"/>
      <c r="FRL1626" s="1"/>
      <c r="FRM1626" s="1"/>
      <c r="FRN1626" s="1"/>
      <c r="FRO1626" s="1"/>
      <c r="FRP1626" s="1"/>
      <c r="FRQ1626" s="1"/>
      <c r="FRR1626" s="1"/>
      <c r="FRS1626" s="1"/>
      <c r="FRT1626" s="1"/>
      <c r="FRU1626" s="1"/>
      <c r="FRV1626" s="1"/>
      <c r="FRW1626" s="1"/>
      <c r="FRX1626" s="1"/>
      <c r="FRY1626" s="1"/>
      <c r="FRZ1626" s="1"/>
      <c r="FSA1626" s="1"/>
      <c r="FSB1626" s="1"/>
      <c r="FSC1626" s="1"/>
      <c r="FSD1626" s="1"/>
      <c r="FSE1626" s="1"/>
      <c r="FSF1626" s="1"/>
      <c r="FSG1626" s="1"/>
      <c r="FSH1626" s="1"/>
      <c r="FSI1626" s="1"/>
      <c r="FSJ1626" s="1"/>
      <c r="FSK1626" s="1"/>
      <c r="FSL1626" s="1"/>
      <c r="FSM1626" s="1"/>
      <c r="FSN1626" s="1"/>
      <c r="FSO1626" s="1"/>
      <c r="FSP1626" s="1"/>
      <c r="FSQ1626" s="1"/>
      <c r="FSR1626" s="1"/>
      <c r="FSS1626" s="1"/>
      <c r="FST1626" s="1"/>
      <c r="FSU1626" s="1"/>
      <c r="FSV1626" s="1"/>
      <c r="FSW1626" s="1"/>
      <c r="FSX1626" s="1"/>
      <c r="FSY1626" s="1"/>
      <c r="FSZ1626" s="1"/>
      <c r="FTA1626" s="1"/>
      <c r="FTB1626" s="1"/>
      <c r="FTC1626" s="1"/>
      <c r="FTD1626" s="1"/>
      <c r="FTE1626" s="1"/>
      <c r="FTF1626" s="1"/>
      <c r="FTG1626" s="1"/>
      <c r="FTH1626" s="1"/>
      <c r="FTI1626" s="1"/>
      <c r="FTJ1626" s="1"/>
      <c r="FTK1626" s="1"/>
      <c r="FTL1626" s="1"/>
      <c r="FTM1626" s="1"/>
      <c r="FTN1626" s="1"/>
      <c r="FTO1626" s="1"/>
      <c r="FTP1626" s="1"/>
      <c r="FTQ1626" s="1"/>
      <c r="FTR1626" s="1"/>
      <c r="FTS1626" s="1"/>
      <c r="FTT1626" s="1"/>
      <c r="FTU1626" s="1"/>
      <c r="FTV1626" s="1"/>
      <c r="FTW1626" s="1"/>
      <c r="FTX1626" s="1"/>
      <c r="FTY1626" s="1"/>
      <c r="FTZ1626" s="1"/>
      <c r="FUA1626" s="1"/>
      <c r="FUB1626" s="1"/>
      <c r="FUC1626" s="1"/>
      <c r="FUD1626" s="1"/>
      <c r="FUE1626" s="1"/>
      <c r="FUF1626" s="1"/>
      <c r="FUG1626" s="1"/>
      <c r="FUH1626" s="1"/>
      <c r="FUI1626" s="1"/>
      <c r="FUJ1626" s="1"/>
      <c r="FUK1626" s="1"/>
      <c r="FUL1626" s="1"/>
      <c r="FUM1626" s="1"/>
      <c r="FUN1626" s="1"/>
      <c r="FUO1626" s="1"/>
      <c r="FUP1626" s="1"/>
      <c r="FUQ1626" s="1"/>
      <c r="FUR1626" s="1"/>
      <c r="FUS1626" s="1"/>
      <c r="FUT1626" s="1"/>
      <c r="FUU1626" s="1"/>
      <c r="FUV1626" s="1"/>
      <c r="FUW1626" s="1"/>
      <c r="FUX1626" s="1"/>
      <c r="FUY1626" s="1"/>
      <c r="FUZ1626" s="1"/>
      <c r="FVA1626" s="1"/>
      <c r="FVB1626" s="1"/>
      <c r="FVC1626" s="1"/>
      <c r="FVD1626" s="1"/>
      <c r="FVE1626" s="1"/>
      <c r="FVF1626" s="1"/>
      <c r="FVG1626" s="1"/>
      <c r="FVH1626" s="1"/>
      <c r="FVI1626" s="1"/>
      <c r="FVJ1626" s="1"/>
      <c r="FVK1626" s="1"/>
      <c r="FVL1626" s="1"/>
      <c r="FVM1626" s="1"/>
      <c r="FVN1626" s="1"/>
      <c r="FVO1626" s="1"/>
      <c r="FVP1626" s="1"/>
      <c r="FVQ1626" s="1"/>
      <c r="FVR1626" s="1"/>
      <c r="FVS1626" s="1"/>
      <c r="FVT1626" s="1"/>
      <c r="FVU1626" s="1"/>
      <c r="FVV1626" s="1"/>
      <c r="FVW1626" s="1"/>
      <c r="FVX1626" s="1"/>
      <c r="FVY1626" s="1"/>
      <c r="FVZ1626" s="1"/>
      <c r="FWA1626" s="1"/>
      <c r="FWB1626" s="1"/>
      <c r="FWC1626" s="1"/>
      <c r="FWD1626" s="1"/>
      <c r="FWE1626" s="1"/>
      <c r="FWF1626" s="1"/>
      <c r="FWG1626" s="1"/>
      <c r="FWH1626" s="1"/>
      <c r="FWI1626" s="1"/>
      <c r="FWJ1626" s="1"/>
      <c r="FWK1626" s="1"/>
      <c r="FWL1626" s="1"/>
      <c r="FWM1626" s="1"/>
      <c r="FWN1626" s="1"/>
      <c r="FWO1626" s="1"/>
      <c r="FWP1626" s="1"/>
      <c r="FWQ1626" s="1"/>
      <c r="FWR1626" s="1"/>
      <c r="FWS1626" s="1"/>
      <c r="FWT1626" s="1"/>
      <c r="FWU1626" s="1"/>
      <c r="FWV1626" s="1"/>
      <c r="FWW1626" s="1"/>
      <c r="FWX1626" s="1"/>
      <c r="FWY1626" s="1"/>
      <c r="FWZ1626" s="1"/>
      <c r="FXA1626" s="1"/>
      <c r="FXB1626" s="1"/>
      <c r="FXC1626" s="1"/>
      <c r="FXD1626" s="1"/>
      <c r="FXE1626" s="1"/>
      <c r="FXF1626" s="1"/>
      <c r="FXG1626" s="1"/>
      <c r="FXH1626" s="1"/>
      <c r="FXI1626" s="1"/>
      <c r="FXJ1626" s="1"/>
      <c r="FXK1626" s="1"/>
      <c r="FXL1626" s="1"/>
      <c r="FXM1626" s="1"/>
      <c r="FXN1626" s="1"/>
      <c r="FXO1626" s="1"/>
      <c r="FXP1626" s="1"/>
      <c r="FXQ1626" s="1"/>
      <c r="FXR1626" s="1"/>
      <c r="FXS1626" s="1"/>
      <c r="FXT1626" s="1"/>
      <c r="FXU1626" s="1"/>
      <c r="FXV1626" s="1"/>
      <c r="FXW1626" s="1"/>
      <c r="FXX1626" s="1"/>
      <c r="FXY1626" s="1"/>
      <c r="FXZ1626" s="1"/>
      <c r="FYA1626" s="1"/>
      <c r="FYB1626" s="1"/>
      <c r="FYC1626" s="1"/>
      <c r="FYD1626" s="1"/>
      <c r="FYE1626" s="1"/>
      <c r="FYF1626" s="1"/>
      <c r="FYG1626" s="1"/>
      <c r="FYH1626" s="1"/>
      <c r="FYI1626" s="1"/>
      <c r="FYJ1626" s="1"/>
      <c r="FYK1626" s="1"/>
      <c r="FYL1626" s="1"/>
      <c r="FYM1626" s="1"/>
      <c r="FYN1626" s="1"/>
      <c r="FYO1626" s="1"/>
      <c r="FYP1626" s="1"/>
      <c r="FYQ1626" s="1"/>
      <c r="FYR1626" s="1"/>
      <c r="FYS1626" s="1"/>
      <c r="FYT1626" s="1"/>
      <c r="FYU1626" s="1"/>
      <c r="FYV1626" s="1"/>
      <c r="FYW1626" s="1"/>
      <c r="FYX1626" s="1"/>
      <c r="FYY1626" s="1"/>
      <c r="FYZ1626" s="1"/>
      <c r="FZA1626" s="1"/>
      <c r="FZB1626" s="1"/>
      <c r="FZC1626" s="1"/>
      <c r="FZD1626" s="1"/>
      <c r="FZE1626" s="1"/>
      <c r="FZF1626" s="1"/>
      <c r="FZG1626" s="1"/>
      <c r="FZH1626" s="1"/>
      <c r="FZI1626" s="1"/>
      <c r="FZJ1626" s="1"/>
      <c r="FZK1626" s="1"/>
      <c r="FZL1626" s="1"/>
      <c r="FZM1626" s="1"/>
      <c r="FZN1626" s="1"/>
      <c r="FZO1626" s="1"/>
      <c r="FZP1626" s="1"/>
      <c r="FZQ1626" s="1"/>
      <c r="FZR1626" s="1"/>
      <c r="FZS1626" s="1"/>
      <c r="FZT1626" s="1"/>
      <c r="FZU1626" s="1"/>
      <c r="FZV1626" s="1"/>
      <c r="FZW1626" s="1"/>
      <c r="FZX1626" s="1"/>
      <c r="FZY1626" s="1"/>
      <c r="FZZ1626" s="1"/>
      <c r="GAA1626" s="1"/>
      <c r="GAB1626" s="1"/>
      <c r="GAC1626" s="1"/>
      <c r="GAD1626" s="1"/>
      <c r="GAE1626" s="1"/>
      <c r="GAF1626" s="1"/>
      <c r="GAG1626" s="1"/>
      <c r="GAH1626" s="1"/>
      <c r="GAI1626" s="1"/>
      <c r="GAJ1626" s="1"/>
      <c r="GAK1626" s="1"/>
      <c r="GAL1626" s="1"/>
      <c r="GAM1626" s="1"/>
      <c r="GAN1626" s="1"/>
      <c r="GAO1626" s="1"/>
      <c r="GAP1626" s="1"/>
      <c r="GAQ1626" s="1"/>
      <c r="GAR1626" s="1"/>
      <c r="GAS1626" s="1"/>
      <c r="GAT1626" s="1"/>
      <c r="GAU1626" s="1"/>
      <c r="GAV1626" s="1"/>
      <c r="GAW1626" s="1"/>
      <c r="GAX1626" s="1"/>
      <c r="GAY1626" s="1"/>
      <c r="GAZ1626" s="1"/>
      <c r="GBA1626" s="1"/>
      <c r="GBB1626" s="1"/>
      <c r="GBC1626" s="1"/>
      <c r="GBD1626" s="1"/>
      <c r="GBE1626" s="1"/>
      <c r="GBF1626" s="1"/>
      <c r="GBG1626" s="1"/>
      <c r="GBH1626" s="1"/>
      <c r="GBI1626" s="1"/>
      <c r="GBJ1626" s="1"/>
      <c r="GBK1626" s="1"/>
      <c r="GBL1626" s="1"/>
      <c r="GBM1626" s="1"/>
      <c r="GBN1626" s="1"/>
      <c r="GBO1626" s="1"/>
      <c r="GBP1626" s="1"/>
      <c r="GBQ1626" s="1"/>
      <c r="GBR1626" s="1"/>
      <c r="GBS1626" s="1"/>
      <c r="GBT1626" s="1"/>
      <c r="GBU1626" s="1"/>
      <c r="GBV1626" s="1"/>
      <c r="GBW1626" s="1"/>
      <c r="GBX1626" s="1"/>
      <c r="GBY1626" s="1"/>
      <c r="GBZ1626" s="1"/>
      <c r="GCA1626" s="1"/>
      <c r="GCB1626" s="1"/>
      <c r="GCC1626" s="1"/>
      <c r="GCD1626" s="1"/>
      <c r="GCE1626" s="1"/>
      <c r="GCF1626" s="1"/>
      <c r="GCG1626" s="1"/>
      <c r="GCH1626" s="1"/>
      <c r="GCI1626" s="1"/>
      <c r="GCJ1626" s="1"/>
      <c r="GCK1626" s="1"/>
      <c r="GCL1626" s="1"/>
      <c r="GCM1626" s="1"/>
      <c r="GCN1626" s="1"/>
      <c r="GCO1626" s="1"/>
      <c r="GCP1626" s="1"/>
      <c r="GCQ1626" s="1"/>
      <c r="GCR1626" s="1"/>
      <c r="GCS1626" s="1"/>
      <c r="GCT1626" s="1"/>
      <c r="GCU1626" s="1"/>
      <c r="GCV1626" s="1"/>
      <c r="GCW1626" s="1"/>
      <c r="GCX1626" s="1"/>
      <c r="GCY1626" s="1"/>
      <c r="GCZ1626" s="1"/>
      <c r="GDA1626" s="1"/>
      <c r="GDB1626" s="1"/>
      <c r="GDC1626" s="1"/>
      <c r="GDD1626" s="1"/>
      <c r="GDE1626" s="1"/>
      <c r="GDF1626" s="1"/>
      <c r="GDG1626" s="1"/>
      <c r="GDH1626" s="1"/>
      <c r="GDI1626" s="1"/>
      <c r="GDJ1626" s="1"/>
      <c r="GDK1626" s="1"/>
      <c r="GDL1626" s="1"/>
      <c r="GDM1626" s="1"/>
      <c r="GDN1626" s="1"/>
      <c r="GDO1626" s="1"/>
      <c r="GDP1626" s="1"/>
      <c r="GDQ1626" s="1"/>
      <c r="GDR1626" s="1"/>
      <c r="GDS1626" s="1"/>
      <c r="GDT1626" s="1"/>
      <c r="GDU1626" s="1"/>
      <c r="GDV1626" s="1"/>
      <c r="GDW1626" s="1"/>
      <c r="GDX1626" s="1"/>
      <c r="GDY1626" s="1"/>
      <c r="GDZ1626" s="1"/>
      <c r="GEA1626" s="1"/>
      <c r="GEB1626" s="1"/>
      <c r="GEC1626" s="1"/>
      <c r="GED1626" s="1"/>
      <c r="GEE1626" s="1"/>
      <c r="GEF1626" s="1"/>
      <c r="GEG1626" s="1"/>
      <c r="GEH1626" s="1"/>
      <c r="GEI1626" s="1"/>
      <c r="GEJ1626" s="1"/>
      <c r="GEK1626" s="1"/>
      <c r="GEL1626" s="1"/>
      <c r="GEM1626" s="1"/>
      <c r="GEN1626" s="1"/>
      <c r="GEO1626" s="1"/>
      <c r="GEP1626" s="1"/>
      <c r="GEQ1626" s="1"/>
      <c r="GER1626" s="1"/>
      <c r="GES1626" s="1"/>
      <c r="GET1626" s="1"/>
      <c r="GEU1626" s="1"/>
      <c r="GEV1626" s="1"/>
      <c r="GEW1626" s="1"/>
      <c r="GEX1626" s="1"/>
      <c r="GEY1626" s="1"/>
      <c r="GEZ1626" s="1"/>
      <c r="GFA1626" s="1"/>
      <c r="GFB1626" s="1"/>
      <c r="GFC1626" s="1"/>
      <c r="GFD1626" s="1"/>
      <c r="GFE1626" s="1"/>
      <c r="GFF1626" s="1"/>
      <c r="GFG1626" s="1"/>
      <c r="GFH1626" s="1"/>
      <c r="GFI1626" s="1"/>
      <c r="GFJ1626" s="1"/>
      <c r="GFK1626" s="1"/>
      <c r="GFL1626" s="1"/>
      <c r="GFM1626" s="1"/>
      <c r="GFN1626" s="1"/>
      <c r="GFO1626" s="1"/>
      <c r="GFP1626" s="1"/>
      <c r="GFQ1626" s="1"/>
      <c r="GFR1626" s="1"/>
      <c r="GFS1626" s="1"/>
      <c r="GFT1626" s="1"/>
      <c r="GFU1626" s="1"/>
      <c r="GFV1626" s="1"/>
      <c r="GFW1626" s="1"/>
      <c r="GFX1626" s="1"/>
      <c r="GFY1626" s="1"/>
      <c r="GFZ1626" s="1"/>
      <c r="GGA1626" s="1"/>
      <c r="GGB1626" s="1"/>
      <c r="GGC1626" s="1"/>
      <c r="GGD1626" s="1"/>
      <c r="GGE1626" s="1"/>
      <c r="GGF1626" s="1"/>
      <c r="GGG1626" s="1"/>
      <c r="GGH1626" s="1"/>
      <c r="GGI1626" s="1"/>
      <c r="GGJ1626" s="1"/>
      <c r="GGK1626" s="1"/>
      <c r="GGL1626" s="1"/>
      <c r="GGM1626" s="1"/>
      <c r="GGN1626" s="1"/>
      <c r="GGO1626" s="1"/>
      <c r="GGP1626" s="1"/>
      <c r="GGQ1626" s="1"/>
      <c r="GGR1626" s="1"/>
      <c r="GGS1626" s="1"/>
      <c r="GGT1626" s="1"/>
      <c r="GGU1626" s="1"/>
      <c r="GGV1626" s="1"/>
      <c r="GGW1626" s="1"/>
      <c r="GGX1626" s="1"/>
      <c r="GGY1626" s="1"/>
      <c r="GGZ1626" s="1"/>
      <c r="GHA1626" s="1"/>
      <c r="GHB1626" s="1"/>
      <c r="GHC1626" s="1"/>
      <c r="GHD1626" s="1"/>
      <c r="GHE1626" s="1"/>
      <c r="GHF1626" s="1"/>
      <c r="GHG1626" s="1"/>
      <c r="GHH1626" s="1"/>
      <c r="GHI1626" s="1"/>
      <c r="GHJ1626" s="1"/>
      <c r="GHK1626" s="1"/>
      <c r="GHL1626" s="1"/>
      <c r="GHM1626" s="1"/>
      <c r="GHN1626" s="1"/>
      <c r="GHO1626" s="1"/>
      <c r="GHP1626" s="1"/>
      <c r="GHQ1626" s="1"/>
      <c r="GHR1626" s="1"/>
      <c r="GHS1626" s="1"/>
      <c r="GHT1626" s="1"/>
      <c r="GHU1626" s="1"/>
      <c r="GHV1626" s="1"/>
      <c r="GHW1626" s="1"/>
      <c r="GHX1626" s="1"/>
      <c r="GHY1626" s="1"/>
      <c r="GHZ1626" s="1"/>
      <c r="GIA1626" s="1"/>
      <c r="GIB1626" s="1"/>
      <c r="GIC1626" s="1"/>
      <c r="GID1626" s="1"/>
      <c r="GIE1626" s="1"/>
      <c r="GIF1626" s="1"/>
      <c r="GIG1626" s="1"/>
      <c r="GIH1626" s="1"/>
      <c r="GII1626" s="1"/>
      <c r="GIJ1626" s="1"/>
      <c r="GIK1626" s="1"/>
      <c r="GIL1626" s="1"/>
      <c r="GIM1626" s="1"/>
      <c r="GIN1626" s="1"/>
      <c r="GIO1626" s="1"/>
      <c r="GIP1626" s="1"/>
      <c r="GIQ1626" s="1"/>
      <c r="GIR1626" s="1"/>
      <c r="GIS1626" s="1"/>
      <c r="GIT1626" s="1"/>
      <c r="GIU1626" s="1"/>
      <c r="GIV1626" s="1"/>
      <c r="GIW1626" s="1"/>
      <c r="GIX1626" s="1"/>
      <c r="GIY1626" s="1"/>
      <c r="GIZ1626" s="1"/>
      <c r="GJA1626" s="1"/>
      <c r="GJB1626" s="1"/>
      <c r="GJC1626" s="1"/>
      <c r="GJD1626" s="1"/>
      <c r="GJE1626" s="1"/>
      <c r="GJF1626" s="1"/>
      <c r="GJG1626" s="1"/>
      <c r="GJH1626" s="1"/>
      <c r="GJI1626" s="1"/>
      <c r="GJJ1626" s="1"/>
      <c r="GJK1626" s="1"/>
      <c r="GJL1626" s="1"/>
      <c r="GJM1626" s="1"/>
      <c r="GJN1626" s="1"/>
      <c r="GJO1626" s="1"/>
      <c r="GJP1626" s="1"/>
      <c r="GJQ1626" s="1"/>
      <c r="GJR1626" s="1"/>
      <c r="GJS1626" s="1"/>
      <c r="GJT1626" s="1"/>
      <c r="GJU1626" s="1"/>
      <c r="GJV1626" s="1"/>
      <c r="GJW1626" s="1"/>
      <c r="GJX1626" s="1"/>
      <c r="GJY1626" s="1"/>
      <c r="GJZ1626" s="1"/>
      <c r="GKA1626" s="1"/>
      <c r="GKB1626" s="1"/>
      <c r="GKC1626" s="1"/>
      <c r="GKD1626" s="1"/>
      <c r="GKE1626" s="1"/>
      <c r="GKF1626" s="1"/>
      <c r="GKG1626" s="1"/>
      <c r="GKH1626" s="1"/>
      <c r="GKI1626" s="1"/>
      <c r="GKJ1626" s="1"/>
      <c r="GKK1626" s="1"/>
      <c r="GKL1626" s="1"/>
      <c r="GKM1626" s="1"/>
      <c r="GKN1626" s="1"/>
      <c r="GKO1626" s="1"/>
      <c r="GKP1626" s="1"/>
      <c r="GKQ1626" s="1"/>
      <c r="GKR1626" s="1"/>
      <c r="GKS1626" s="1"/>
      <c r="GKT1626" s="1"/>
      <c r="GKU1626" s="1"/>
      <c r="GKV1626" s="1"/>
      <c r="GKW1626" s="1"/>
      <c r="GKX1626" s="1"/>
      <c r="GKY1626" s="1"/>
      <c r="GKZ1626" s="1"/>
      <c r="GLA1626" s="1"/>
      <c r="GLB1626" s="1"/>
      <c r="GLC1626" s="1"/>
      <c r="GLD1626" s="1"/>
      <c r="GLE1626" s="1"/>
      <c r="GLF1626" s="1"/>
      <c r="GLG1626" s="1"/>
      <c r="GLH1626" s="1"/>
      <c r="GLI1626" s="1"/>
      <c r="GLJ1626" s="1"/>
      <c r="GLK1626" s="1"/>
      <c r="GLL1626" s="1"/>
      <c r="GLM1626" s="1"/>
      <c r="GLN1626" s="1"/>
      <c r="GLO1626" s="1"/>
      <c r="GLP1626" s="1"/>
      <c r="GLQ1626" s="1"/>
      <c r="GLR1626" s="1"/>
      <c r="GLS1626" s="1"/>
      <c r="GLT1626" s="1"/>
      <c r="GLU1626" s="1"/>
      <c r="GLV1626" s="1"/>
      <c r="GLW1626" s="1"/>
      <c r="GLX1626" s="1"/>
      <c r="GLY1626" s="1"/>
      <c r="GLZ1626" s="1"/>
      <c r="GMA1626" s="1"/>
      <c r="GMB1626" s="1"/>
      <c r="GMC1626" s="1"/>
      <c r="GMD1626" s="1"/>
      <c r="GME1626" s="1"/>
      <c r="GMF1626" s="1"/>
      <c r="GMG1626" s="1"/>
      <c r="GMH1626" s="1"/>
      <c r="GMI1626" s="1"/>
      <c r="GMJ1626" s="1"/>
      <c r="GMK1626" s="1"/>
      <c r="GML1626" s="1"/>
      <c r="GMM1626" s="1"/>
      <c r="GMN1626" s="1"/>
      <c r="GMO1626" s="1"/>
      <c r="GMP1626" s="1"/>
      <c r="GMQ1626" s="1"/>
      <c r="GMR1626" s="1"/>
      <c r="GMS1626" s="1"/>
      <c r="GMT1626" s="1"/>
      <c r="GMU1626" s="1"/>
      <c r="GMV1626" s="1"/>
      <c r="GMW1626" s="1"/>
      <c r="GMX1626" s="1"/>
      <c r="GMY1626" s="1"/>
      <c r="GMZ1626" s="1"/>
      <c r="GNA1626" s="1"/>
      <c r="GNB1626" s="1"/>
      <c r="GNC1626" s="1"/>
      <c r="GND1626" s="1"/>
      <c r="GNE1626" s="1"/>
      <c r="GNF1626" s="1"/>
      <c r="GNG1626" s="1"/>
      <c r="GNH1626" s="1"/>
      <c r="GNI1626" s="1"/>
      <c r="GNJ1626" s="1"/>
      <c r="GNK1626" s="1"/>
      <c r="GNL1626" s="1"/>
      <c r="GNM1626" s="1"/>
      <c r="GNN1626" s="1"/>
      <c r="GNO1626" s="1"/>
      <c r="GNP1626" s="1"/>
      <c r="GNQ1626" s="1"/>
      <c r="GNR1626" s="1"/>
      <c r="GNS1626" s="1"/>
      <c r="GNT1626" s="1"/>
      <c r="GNU1626" s="1"/>
      <c r="GNV1626" s="1"/>
      <c r="GNW1626" s="1"/>
      <c r="GNX1626" s="1"/>
      <c r="GNY1626" s="1"/>
      <c r="GNZ1626" s="1"/>
      <c r="GOA1626" s="1"/>
      <c r="GOB1626" s="1"/>
      <c r="GOC1626" s="1"/>
      <c r="GOD1626" s="1"/>
      <c r="GOE1626" s="1"/>
      <c r="GOF1626" s="1"/>
      <c r="GOG1626" s="1"/>
      <c r="GOH1626" s="1"/>
      <c r="GOI1626" s="1"/>
      <c r="GOJ1626" s="1"/>
      <c r="GOK1626" s="1"/>
      <c r="GOL1626" s="1"/>
      <c r="GOM1626" s="1"/>
      <c r="GON1626" s="1"/>
      <c r="GOO1626" s="1"/>
      <c r="GOP1626" s="1"/>
      <c r="GOQ1626" s="1"/>
      <c r="GOR1626" s="1"/>
      <c r="GOS1626" s="1"/>
      <c r="GOT1626" s="1"/>
      <c r="GOU1626" s="1"/>
      <c r="GOV1626" s="1"/>
      <c r="GOW1626" s="1"/>
      <c r="GOX1626" s="1"/>
      <c r="GOY1626" s="1"/>
      <c r="GOZ1626" s="1"/>
      <c r="GPA1626" s="1"/>
      <c r="GPB1626" s="1"/>
      <c r="GPC1626" s="1"/>
      <c r="GPD1626" s="1"/>
      <c r="GPE1626" s="1"/>
      <c r="GPF1626" s="1"/>
      <c r="GPG1626" s="1"/>
      <c r="GPH1626" s="1"/>
      <c r="GPI1626" s="1"/>
      <c r="GPJ1626" s="1"/>
      <c r="GPK1626" s="1"/>
      <c r="GPL1626" s="1"/>
      <c r="GPM1626" s="1"/>
      <c r="GPN1626" s="1"/>
      <c r="GPO1626" s="1"/>
      <c r="GPP1626" s="1"/>
      <c r="GPQ1626" s="1"/>
      <c r="GPR1626" s="1"/>
      <c r="GPS1626" s="1"/>
      <c r="GPT1626" s="1"/>
      <c r="GPU1626" s="1"/>
      <c r="GPV1626" s="1"/>
      <c r="GPW1626" s="1"/>
      <c r="GPX1626" s="1"/>
      <c r="GPY1626" s="1"/>
      <c r="GPZ1626" s="1"/>
      <c r="GQA1626" s="1"/>
      <c r="GQB1626" s="1"/>
      <c r="GQC1626" s="1"/>
      <c r="GQD1626" s="1"/>
      <c r="GQE1626" s="1"/>
      <c r="GQF1626" s="1"/>
      <c r="GQG1626" s="1"/>
      <c r="GQH1626" s="1"/>
      <c r="GQI1626" s="1"/>
      <c r="GQJ1626" s="1"/>
      <c r="GQK1626" s="1"/>
      <c r="GQL1626" s="1"/>
      <c r="GQM1626" s="1"/>
      <c r="GQN1626" s="1"/>
      <c r="GQO1626" s="1"/>
      <c r="GQP1626" s="1"/>
      <c r="GQQ1626" s="1"/>
      <c r="GQR1626" s="1"/>
      <c r="GQS1626" s="1"/>
      <c r="GQT1626" s="1"/>
      <c r="GQU1626" s="1"/>
      <c r="GQV1626" s="1"/>
      <c r="GQW1626" s="1"/>
      <c r="GQX1626" s="1"/>
      <c r="GQY1626" s="1"/>
      <c r="GQZ1626" s="1"/>
      <c r="GRA1626" s="1"/>
      <c r="GRB1626" s="1"/>
      <c r="GRC1626" s="1"/>
      <c r="GRD1626" s="1"/>
      <c r="GRE1626" s="1"/>
      <c r="GRF1626" s="1"/>
      <c r="GRG1626" s="1"/>
      <c r="GRH1626" s="1"/>
      <c r="GRI1626" s="1"/>
      <c r="GRJ1626" s="1"/>
      <c r="GRK1626" s="1"/>
      <c r="GRL1626" s="1"/>
      <c r="GRM1626" s="1"/>
      <c r="GRN1626" s="1"/>
      <c r="GRO1626" s="1"/>
      <c r="GRP1626" s="1"/>
      <c r="GRQ1626" s="1"/>
      <c r="GRR1626" s="1"/>
      <c r="GRS1626" s="1"/>
      <c r="GRT1626" s="1"/>
      <c r="GRU1626" s="1"/>
      <c r="GRV1626" s="1"/>
      <c r="GRW1626" s="1"/>
      <c r="GRX1626" s="1"/>
      <c r="GRY1626" s="1"/>
      <c r="GRZ1626" s="1"/>
      <c r="GSA1626" s="1"/>
      <c r="GSB1626" s="1"/>
      <c r="GSC1626" s="1"/>
      <c r="GSD1626" s="1"/>
      <c r="GSE1626" s="1"/>
      <c r="GSF1626" s="1"/>
      <c r="GSG1626" s="1"/>
      <c r="GSH1626" s="1"/>
      <c r="GSI1626" s="1"/>
      <c r="GSJ1626" s="1"/>
      <c r="GSK1626" s="1"/>
      <c r="GSL1626" s="1"/>
      <c r="GSM1626" s="1"/>
      <c r="GSN1626" s="1"/>
      <c r="GSO1626" s="1"/>
      <c r="GSP1626" s="1"/>
      <c r="GSQ1626" s="1"/>
      <c r="GSR1626" s="1"/>
      <c r="GSS1626" s="1"/>
      <c r="GST1626" s="1"/>
      <c r="GSU1626" s="1"/>
      <c r="GSV1626" s="1"/>
      <c r="GSW1626" s="1"/>
      <c r="GSX1626" s="1"/>
      <c r="GSY1626" s="1"/>
      <c r="GSZ1626" s="1"/>
      <c r="GTA1626" s="1"/>
      <c r="GTB1626" s="1"/>
      <c r="GTC1626" s="1"/>
      <c r="GTD1626" s="1"/>
      <c r="GTE1626" s="1"/>
      <c r="GTF1626" s="1"/>
      <c r="GTG1626" s="1"/>
      <c r="GTH1626" s="1"/>
      <c r="GTI1626" s="1"/>
      <c r="GTJ1626" s="1"/>
      <c r="GTK1626" s="1"/>
      <c r="GTL1626" s="1"/>
      <c r="GTM1626" s="1"/>
      <c r="GTN1626" s="1"/>
      <c r="GTO1626" s="1"/>
      <c r="GTP1626" s="1"/>
      <c r="GTQ1626" s="1"/>
      <c r="GTR1626" s="1"/>
      <c r="GTS1626" s="1"/>
      <c r="GTT1626" s="1"/>
      <c r="GTU1626" s="1"/>
      <c r="GTV1626" s="1"/>
      <c r="GTW1626" s="1"/>
      <c r="GTX1626" s="1"/>
      <c r="GTY1626" s="1"/>
      <c r="GTZ1626" s="1"/>
      <c r="GUA1626" s="1"/>
      <c r="GUB1626" s="1"/>
      <c r="GUC1626" s="1"/>
      <c r="GUD1626" s="1"/>
      <c r="GUE1626" s="1"/>
      <c r="GUF1626" s="1"/>
      <c r="GUG1626" s="1"/>
      <c r="GUH1626" s="1"/>
      <c r="GUI1626" s="1"/>
      <c r="GUJ1626" s="1"/>
      <c r="GUK1626" s="1"/>
      <c r="GUL1626" s="1"/>
      <c r="GUM1626" s="1"/>
      <c r="GUN1626" s="1"/>
      <c r="GUO1626" s="1"/>
      <c r="GUP1626" s="1"/>
      <c r="GUQ1626" s="1"/>
      <c r="GUR1626" s="1"/>
      <c r="GUS1626" s="1"/>
      <c r="GUT1626" s="1"/>
      <c r="GUU1626" s="1"/>
      <c r="GUV1626" s="1"/>
      <c r="GUW1626" s="1"/>
      <c r="GUX1626" s="1"/>
      <c r="GUY1626" s="1"/>
      <c r="GUZ1626" s="1"/>
      <c r="GVA1626" s="1"/>
      <c r="GVB1626" s="1"/>
      <c r="GVC1626" s="1"/>
      <c r="GVD1626" s="1"/>
      <c r="GVE1626" s="1"/>
      <c r="GVF1626" s="1"/>
      <c r="GVG1626" s="1"/>
      <c r="GVH1626" s="1"/>
      <c r="GVI1626" s="1"/>
      <c r="GVJ1626" s="1"/>
      <c r="GVK1626" s="1"/>
      <c r="GVL1626" s="1"/>
      <c r="GVM1626" s="1"/>
      <c r="GVN1626" s="1"/>
      <c r="GVO1626" s="1"/>
      <c r="GVP1626" s="1"/>
      <c r="GVQ1626" s="1"/>
      <c r="GVR1626" s="1"/>
      <c r="GVS1626" s="1"/>
      <c r="GVT1626" s="1"/>
      <c r="GVU1626" s="1"/>
      <c r="GVV1626" s="1"/>
      <c r="GVW1626" s="1"/>
      <c r="GVX1626" s="1"/>
      <c r="GVY1626" s="1"/>
      <c r="GVZ1626" s="1"/>
      <c r="GWA1626" s="1"/>
      <c r="GWB1626" s="1"/>
      <c r="GWC1626" s="1"/>
      <c r="GWD1626" s="1"/>
      <c r="GWE1626" s="1"/>
      <c r="GWF1626" s="1"/>
      <c r="GWG1626" s="1"/>
      <c r="GWH1626" s="1"/>
      <c r="GWI1626" s="1"/>
      <c r="GWJ1626" s="1"/>
      <c r="GWK1626" s="1"/>
      <c r="GWL1626" s="1"/>
      <c r="GWM1626" s="1"/>
      <c r="GWN1626" s="1"/>
      <c r="GWO1626" s="1"/>
      <c r="GWP1626" s="1"/>
      <c r="GWQ1626" s="1"/>
      <c r="GWR1626" s="1"/>
      <c r="GWS1626" s="1"/>
      <c r="GWT1626" s="1"/>
      <c r="GWU1626" s="1"/>
      <c r="GWV1626" s="1"/>
      <c r="GWW1626" s="1"/>
      <c r="GWX1626" s="1"/>
      <c r="GWY1626" s="1"/>
      <c r="GWZ1626" s="1"/>
      <c r="GXA1626" s="1"/>
      <c r="GXB1626" s="1"/>
      <c r="GXC1626" s="1"/>
      <c r="GXD1626" s="1"/>
      <c r="GXE1626" s="1"/>
      <c r="GXF1626" s="1"/>
      <c r="GXG1626" s="1"/>
      <c r="GXH1626" s="1"/>
      <c r="GXI1626" s="1"/>
      <c r="GXJ1626" s="1"/>
      <c r="GXK1626" s="1"/>
      <c r="GXL1626" s="1"/>
      <c r="GXM1626" s="1"/>
      <c r="GXN1626" s="1"/>
      <c r="GXO1626" s="1"/>
      <c r="GXP1626" s="1"/>
      <c r="GXQ1626" s="1"/>
      <c r="GXR1626" s="1"/>
      <c r="GXS1626" s="1"/>
      <c r="GXT1626" s="1"/>
      <c r="GXU1626" s="1"/>
      <c r="GXV1626" s="1"/>
      <c r="GXW1626" s="1"/>
      <c r="GXX1626" s="1"/>
      <c r="GXY1626" s="1"/>
      <c r="GXZ1626" s="1"/>
      <c r="GYA1626" s="1"/>
      <c r="GYB1626" s="1"/>
      <c r="GYC1626" s="1"/>
      <c r="GYD1626" s="1"/>
      <c r="GYE1626" s="1"/>
      <c r="GYF1626" s="1"/>
      <c r="GYG1626" s="1"/>
      <c r="GYH1626" s="1"/>
      <c r="GYI1626" s="1"/>
      <c r="GYJ1626" s="1"/>
      <c r="GYK1626" s="1"/>
      <c r="GYL1626" s="1"/>
      <c r="GYM1626" s="1"/>
      <c r="GYN1626" s="1"/>
      <c r="GYO1626" s="1"/>
      <c r="GYP1626" s="1"/>
      <c r="GYQ1626" s="1"/>
      <c r="GYR1626" s="1"/>
      <c r="GYS1626" s="1"/>
      <c r="GYT1626" s="1"/>
      <c r="GYU1626" s="1"/>
      <c r="GYV1626" s="1"/>
      <c r="GYW1626" s="1"/>
      <c r="GYX1626" s="1"/>
      <c r="GYY1626" s="1"/>
      <c r="GYZ1626" s="1"/>
      <c r="GZA1626" s="1"/>
      <c r="GZB1626" s="1"/>
      <c r="GZC1626" s="1"/>
      <c r="GZD1626" s="1"/>
      <c r="GZE1626" s="1"/>
      <c r="GZF1626" s="1"/>
      <c r="GZG1626" s="1"/>
      <c r="GZH1626" s="1"/>
      <c r="GZI1626" s="1"/>
      <c r="GZJ1626" s="1"/>
      <c r="GZK1626" s="1"/>
      <c r="GZL1626" s="1"/>
      <c r="GZM1626" s="1"/>
      <c r="GZN1626" s="1"/>
      <c r="GZO1626" s="1"/>
      <c r="GZP1626" s="1"/>
      <c r="GZQ1626" s="1"/>
      <c r="GZR1626" s="1"/>
      <c r="GZS1626" s="1"/>
      <c r="GZT1626" s="1"/>
      <c r="GZU1626" s="1"/>
      <c r="GZV1626" s="1"/>
      <c r="GZW1626" s="1"/>
      <c r="GZX1626" s="1"/>
      <c r="GZY1626" s="1"/>
      <c r="GZZ1626" s="1"/>
      <c r="HAA1626" s="1"/>
      <c r="HAB1626" s="1"/>
      <c r="HAC1626" s="1"/>
      <c r="HAD1626" s="1"/>
      <c r="HAE1626" s="1"/>
      <c r="HAF1626" s="1"/>
      <c r="HAG1626" s="1"/>
      <c r="HAH1626" s="1"/>
      <c r="HAI1626" s="1"/>
      <c r="HAJ1626" s="1"/>
      <c r="HAK1626" s="1"/>
      <c r="HAL1626" s="1"/>
      <c r="HAM1626" s="1"/>
      <c r="HAN1626" s="1"/>
      <c r="HAO1626" s="1"/>
      <c r="HAP1626" s="1"/>
      <c r="HAQ1626" s="1"/>
      <c r="HAR1626" s="1"/>
      <c r="HAS1626" s="1"/>
      <c r="HAT1626" s="1"/>
      <c r="HAU1626" s="1"/>
      <c r="HAV1626" s="1"/>
      <c r="HAW1626" s="1"/>
      <c r="HAX1626" s="1"/>
      <c r="HAY1626" s="1"/>
      <c r="HAZ1626" s="1"/>
      <c r="HBA1626" s="1"/>
      <c r="HBB1626" s="1"/>
      <c r="HBC1626" s="1"/>
      <c r="HBD1626" s="1"/>
      <c r="HBE1626" s="1"/>
      <c r="HBF1626" s="1"/>
      <c r="HBG1626" s="1"/>
      <c r="HBH1626" s="1"/>
      <c r="HBI1626" s="1"/>
      <c r="HBJ1626" s="1"/>
      <c r="HBK1626" s="1"/>
      <c r="HBL1626" s="1"/>
      <c r="HBM1626" s="1"/>
      <c r="HBN1626" s="1"/>
      <c r="HBO1626" s="1"/>
      <c r="HBP1626" s="1"/>
      <c r="HBQ1626" s="1"/>
      <c r="HBR1626" s="1"/>
      <c r="HBS1626" s="1"/>
      <c r="HBT1626" s="1"/>
      <c r="HBU1626" s="1"/>
      <c r="HBV1626" s="1"/>
      <c r="HBW1626" s="1"/>
      <c r="HBX1626" s="1"/>
      <c r="HBY1626" s="1"/>
      <c r="HBZ1626" s="1"/>
      <c r="HCA1626" s="1"/>
      <c r="HCB1626" s="1"/>
      <c r="HCC1626" s="1"/>
      <c r="HCD1626" s="1"/>
      <c r="HCE1626" s="1"/>
      <c r="HCF1626" s="1"/>
      <c r="HCG1626" s="1"/>
      <c r="HCH1626" s="1"/>
      <c r="HCI1626" s="1"/>
      <c r="HCJ1626" s="1"/>
      <c r="HCK1626" s="1"/>
      <c r="HCL1626" s="1"/>
      <c r="HCM1626" s="1"/>
      <c r="HCN1626" s="1"/>
      <c r="HCO1626" s="1"/>
      <c r="HCP1626" s="1"/>
      <c r="HCQ1626" s="1"/>
      <c r="HCR1626" s="1"/>
      <c r="HCS1626" s="1"/>
      <c r="HCT1626" s="1"/>
      <c r="HCU1626" s="1"/>
      <c r="HCV1626" s="1"/>
      <c r="HCW1626" s="1"/>
      <c r="HCX1626" s="1"/>
      <c r="HCY1626" s="1"/>
      <c r="HCZ1626" s="1"/>
      <c r="HDA1626" s="1"/>
      <c r="HDB1626" s="1"/>
      <c r="HDC1626" s="1"/>
      <c r="HDD1626" s="1"/>
      <c r="HDE1626" s="1"/>
      <c r="HDF1626" s="1"/>
      <c r="HDG1626" s="1"/>
      <c r="HDH1626" s="1"/>
      <c r="HDI1626" s="1"/>
      <c r="HDJ1626" s="1"/>
      <c r="HDK1626" s="1"/>
      <c r="HDL1626" s="1"/>
      <c r="HDM1626" s="1"/>
      <c r="HDN1626" s="1"/>
      <c r="HDO1626" s="1"/>
      <c r="HDP1626" s="1"/>
      <c r="HDQ1626" s="1"/>
      <c r="HDR1626" s="1"/>
      <c r="HDS1626" s="1"/>
      <c r="HDT1626" s="1"/>
      <c r="HDU1626" s="1"/>
      <c r="HDV1626" s="1"/>
      <c r="HDW1626" s="1"/>
      <c r="HDX1626" s="1"/>
      <c r="HDY1626" s="1"/>
      <c r="HDZ1626" s="1"/>
      <c r="HEA1626" s="1"/>
      <c r="HEB1626" s="1"/>
      <c r="HEC1626" s="1"/>
      <c r="HED1626" s="1"/>
      <c r="HEE1626" s="1"/>
      <c r="HEF1626" s="1"/>
      <c r="HEG1626" s="1"/>
      <c r="HEH1626" s="1"/>
      <c r="HEI1626" s="1"/>
      <c r="HEJ1626" s="1"/>
      <c r="HEK1626" s="1"/>
      <c r="HEL1626" s="1"/>
      <c r="HEM1626" s="1"/>
      <c r="HEN1626" s="1"/>
      <c r="HEO1626" s="1"/>
      <c r="HEP1626" s="1"/>
      <c r="HEQ1626" s="1"/>
      <c r="HER1626" s="1"/>
      <c r="HES1626" s="1"/>
      <c r="HET1626" s="1"/>
      <c r="HEU1626" s="1"/>
      <c r="HEV1626" s="1"/>
      <c r="HEW1626" s="1"/>
      <c r="HEX1626" s="1"/>
      <c r="HEY1626" s="1"/>
      <c r="HEZ1626" s="1"/>
      <c r="HFA1626" s="1"/>
      <c r="HFB1626" s="1"/>
      <c r="HFC1626" s="1"/>
      <c r="HFD1626" s="1"/>
      <c r="HFE1626" s="1"/>
      <c r="HFF1626" s="1"/>
      <c r="HFG1626" s="1"/>
      <c r="HFH1626" s="1"/>
      <c r="HFI1626" s="1"/>
      <c r="HFJ1626" s="1"/>
      <c r="HFK1626" s="1"/>
      <c r="HFL1626" s="1"/>
      <c r="HFM1626" s="1"/>
      <c r="HFN1626" s="1"/>
      <c r="HFO1626" s="1"/>
      <c r="HFP1626" s="1"/>
      <c r="HFQ1626" s="1"/>
      <c r="HFR1626" s="1"/>
      <c r="HFS1626" s="1"/>
      <c r="HFT1626" s="1"/>
      <c r="HFU1626" s="1"/>
      <c r="HFV1626" s="1"/>
      <c r="HFW1626" s="1"/>
      <c r="HFX1626" s="1"/>
      <c r="HFY1626" s="1"/>
      <c r="HFZ1626" s="1"/>
      <c r="HGA1626" s="1"/>
      <c r="HGB1626" s="1"/>
      <c r="HGC1626" s="1"/>
      <c r="HGD1626" s="1"/>
      <c r="HGE1626" s="1"/>
      <c r="HGF1626" s="1"/>
      <c r="HGG1626" s="1"/>
      <c r="HGH1626" s="1"/>
      <c r="HGI1626" s="1"/>
      <c r="HGJ1626" s="1"/>
      <c r="HGK1626" s="1"/>
      <c r="HGL1626" s="1"/>
      <c r="HGM1626" s="1"/>
      <c r="HGN1626" s="1"/>
      <c r="HGO1626" s="1"/>
      <c r="HGP1626" s="1"/>
      <c r="HGQ1626" s="1"/>
      <c r="HGR1626" s="1"/>
      <c r="HGS1626" s="1"/>
      <c r="HGT1626" s="1"/>
      <c r="HGU1626" s="1"/>
      <c r="HGV1626" s="1"/>
      <c r="HGW1626" s="1"/>
      <c r="HGX1626" s="1"/>
      <c r="HGY1626" s="1"/>
      <c r="HGZ1626" s="1"/>
      <c r="HHA1626" s="1"/>
      <c r="HHB1626" s="1"/>
      <c r="HHC1626" s="1"/>
      <c r="HHD1626" s="1"/>
      <c r="HHE1626" s="1"/>
      <c r="HHF1626" s="1"/>
      <c r="HHG1626" s="1"/>
      <c r="HHH1626" s="1"/>
      <c r="HHI1626" s="1"/>
      <c r="HHJ1626" s="1"/>
      <c r="HHK1626" s="1"/>
      <c r="HHL1626" s="1"/>
      <c r="HHM1626" s="1"/>
      <c r="HHN1626" s="1"/>
      <c r="HHO1626" s="1"/>
      <c r="HHP1626" s="1"/>
      <c r="HHQ1626" s="1"/>
      <c r="HHR1626" s="1"/>
      <c r="HHS1626" s="1"/>
      <c r="HHT1626" s="1"/>
      <c r="HHU1626" s="1"/>
      <c r="HHV1626" s="1"/>
      <c r="HHW1626" s="1"/>
      <c r="HHX1626" s="1"/>
      <c r="HHY1626" s="1"/>
      <c r="HHZ1626" s="1"/>
      <c r="HIA1626" s="1"/>
      <c r="HIB1626" s="1"/>
      <c r="HIC1626" s="1"/>
      <c r="HID1626" s="1"/>
      <c r="HIE1626" s="1"/>
      <c r="HIF1626" s="1"/>
      <c r="HIG1626" s="1"/>
      <c r="HIH1626" s="1"/>
      <c r="HII1626" s="1"/>
      <c r="HIJ1626" s="1"/>
      <c r="HIK1626" s="1"/>
      <c r="HIL1626" s="1"/>
      <c r="HIM1626" s="1"/>
      <c r="HIN1626" s="1"/>
      <c r="HIO1626" s="1"/>
      <c r="HIP1626" s="1"/>
      <c r="HIQ1626" s="1"/>
      <c r="HIR1626" s="1"/>
      <c r="HIS1626" s="1"/>
      <c r="HIT1626" s="1"/>
      <c r="HIU1626" s="1"/>
      <c r="HIV1626" s="1"/>
      <c r="HIW1626" s="1"/>
      <c r="HIX1626" s="1"/>
      <c r="HIY1626" s="1"/>
      <c r="HIZ1626" s="1"/>
      <c r="HJA1626" s="1"/>
      <c r="HJB1626" s="1"/>
      <c r="HJC1626" s="1"/>
      <c r="HJD1626" s="1"/>
      <c r="HJE1626" s="1"/>
      <c r="HJF1626" s="1"/>
      <c r="HJG1626" s="1"/>
      <c r="HJH1626" s="1"/>
      <c r="HJI1626" s="1"/>
      <c r="HJJ1626" s="1"/>
      <c r="HJK1626" s="1"/>
      <c r="HJL1626" s="1"/>
      <c r="HJM1626" s="1"/>
      <c r="HJN1626" s="1"/>
      <c r="HJO1626" s="1"/>
      <c r="HJP1626" s="1"/>
      <c r="HJQ1626" s="1"/>
      <c r="HJR1626" s="1"/>
      <c r="HJS1626" s="1"/>
      <c r="HJT1626" s="1"/>
      <c r="HJU1626" s="1"/>
      <c r="HJV1626" s="1"/>
      <c r="HJW1626" s="1"/>
      <c r="HJX1626" s="1"/>
      <c r="HJY1626" s="1"/>
      <c r="HJZ1626" s="1"/>
      <c r="HKA1626" s="1"/>
      <c r="HKB1626" s="1"/>
      <c r="HKC1626" s="1"/>
      <c r="HKD1626" s="1"/>
      <c r="HKE1626" s="1"/>
      <c r="HKF1626" s="1"/>
      <c r="HKG1626" s="1"/>
      <c r="HKH1626" s="1"/>
      <c r="HKI1626" s="1"/>
      <c r="HKJ1626" s="1"/>
      <c r="HKK1626" s="1"/>
      <c r="HKL1626" s="1"/>
      <c r="HKM1626" s="1"/>
      <c r="HKN1626" s="1"/>
      <c r="HKO1626" s="1"/>
      <c r="HKP1626" s="1"/>
      <c r="HKQ1626" s="1"/>
      <c r="HKR1626" s="1"/>
      <c r="HKS1626" s="1"/>
      <c r="HKT1626" s="1"/>
      <c r="HKU1626" s="1"/>
      <c r="HKV1626" s="1"/>
      <c r="HKW1626" s="1"/>
      <c r="HKX1626" s="1"/>
      <c r="HKY1626" s="1"/>
      <c r="HKZ1626" s="1"/>
      <c r="HLA1626" s="1"/>
      <c r="HLB1626" s="1"/>
      <c r="HLC1626" s="1"/>
      <c r="HLD1626" s="1"/>
      <c r="HLE1626" s="1"/>
      <c r="HLF1626" s="1"/>
      <c r="HLG1626" s="1"/>
      <c r="HLH1626" s="1"/>
      <c r="HLI1626" s="1"/>
      <c r="HLJ1626" s="1"/>
      <c r="HLK1626" s="1"/>
      <c r="HLL1626" s="1"/>
      <c r="HLM1626" s="1"/>
      <c r="HLN1626" s="1"/>
      <c r="HLO1626" s="1"/>
      <c r="HLP1626" s="1"/>
      <c r="HLQ1626" s="1"/>
      <c r="HLR1626" s="1"/>
      <c r="HLS1626" s="1"/>
      <c r="HLT1626" s="1"/>
      <c r="HLU1626" s="1"/>
      <c r="HLV1626" s="1"/>
      <c r="HLW1626" s="1"/>
      <c r="HLX1626" s="1"/>
      <c r="HLY1626" s="1"/>
      <c r="HLZ1626" s="1"/>
      <c r="HMA1626" s="1"/>
      <c r="HMB1626" s="1"/>
      <c r="HMC1626" s="1"/>
      <c r="HMD1626" s="1"/>
      <c r="HME1626" s="1"/>
      <c r="HMF1626" s="1"/>
      <c r="HMG1626" s="1"/>
      <c r="HMH1626" s="1"/>
      <c r="HMI1626" s="1"/>
      <c r="HMJ1626" s="1"/>
      <c r="HMK1626" s="1"/>
      <c r="HML1626" s="1"/>
      <c r="HMM1626" s="1"/>
      <c r="HMN1626" s="1"/>
      <c r="HMO1626" s="1"/>
      <c r="HMP1626" s="1"/>
      <c r="HMQ1626" s="1"/>
      <c r="HMR1626" s="1"/>
      <c r="HMS1626" s="1"/>
      <c r="HMT1626" s="1"/>
      <c r="HMU1626" s="1"/>
      <c r="HMV1626" s="1"/>
      <c r="HMW1626" s="1"/>
      <c r="HMX1626" s="1"/>
      <c r="HMY1626" s="1"/>
      <c r="HMZ1626" s="1"/>
      <c r="HNA1626" s="1"/>
      <c r="HNB1626" s="1"/>
      <c r="HNC1626" s="1"/>
      <c r="HND1626" s="1"/>
      <c r="HNE1626" s="1"/>
      <c r="HNF1626" s="1"/>
      <c r="HNG1626" s="1"/>
      <c r="HNH1626" s="1"/>
      <c r="HNI1626" s="1"/>
      <c r="HNJ1626" s="1"/>
      <c r="HNK1626" s="1"/>
      <c r="HNL1626" s="1"/>
      <c r="HNM1626" s="1"/>
      <c r="HNN1626" s="1"/>
      <c r="HNO1626" s="1"/>
      <c r="HNP1626" s="1"/>
      <c r="HNQ1626" s="1"/>
      <c r="HNR1626" s="1"/>
      <c r="HNS1626" s="1"/>
      <c r="HNT1626" s="1"/>
      <c r="HNU1626" s="1"/>
      <c r="HNV1626" s="1"/>
      <c r="HNW1626" s="1"/>
      <c r="HNX1626" s="1"/>
      <c r="HNY1626" s="1"/>
      <c r="HNZ1626" s="1"/>
      <c r="HOA1626" s="1"/>
      <c r="HOB1626" s="1"/>
      <c r="HOC1626" s="1"/>
      <c r="HOD1626" s="1"/>
      <c r="HOE1626" s="1"/>
      <c r="HOF1626" s="1"/>
      <c r="HOG1626" s="1"/>
      <c r="HOH1626" s="1"/>
      <c r="HOI1626" s="1"/>
      <c r="HOJ1626" s="1"/>
      <c r="HOK1626" s="1"/>
      <c r="HOL1626" s="1"/>
      <c r="HOM1626" s="1"/>
      <c r="HON1626" s="1"/>
      <c r="HOO1626" s="1"/>
      <c r="HOP1626" s="1"/>
      <c r="HOQ1626" s="1"/>
      <c r="HOR1626" s="1"/>
      <c r="HOS1626" s="1"/>
      <c r="HOT1626" s="1"/>
      <c r="HOU1626" s="1"/>
      <c r="HOV1626" s="1"/>
      <c r="HOW1626" s="1"/>
      <c r="HOX1626" s="1"/>
      <c r="HOY1626" s="1"/>
      <c r="HOZ1626" s="1"/>
      <c r="HPA1626" s="1"/>
      <c r="HPB1626" s="1"/>
      <c r="HPC1626" s="1"/>
      <c r="HPD1626" s="1"/>
      <c r="HPE1626" s="1"/>
      <c r="HPF1626" s="1"/>
      <c r="HPG1626" s="1"/>
      <c r="HPH1626" s="1"/>
      <c r="HPI1626" s="1"/>
      <c r="HPJ1626" s="1"/>
      <c r="HPK1626" s="1"/>
      <c r="HPL1626" s="1"/>
      <c r="HPM1626" s="1"/>
      <c r="HPN1626" s="1"/>
      <c r="HPO1626" s="1"/>
      <c r="HPP1626" s="1"/>
      <c r="HPQ1626" s="1"/>
      <c r="HPR1626" s="1"/>
      <c r="HPS1626" s="1"/>
      <c r="HPT1626" s="1"/>
      <c r="HPU1626" s="1"/>
      <c r="HPV1626" s="1"/>
      <c r="HPW1626" s="1"/>
      <c r="HPX1626" s="1"/>
      <c r="HPY1626" s="1"/>
      <c r="HPZ1626" s="1"/>
      <c r="HQA1626" s="1"/>
      <c r="HQB1626" s="1"/>
      <c r="HQC1626" s="1"/>
      <c r="HQD1626" s="1"/>
      <c r="HQE1626" s="1"/>
      <c r="HQF1626" s="1"/>
      <c r="HQG1626" s="1"/>
      <c r="HQH1626" s="1"/>
      <c r="HQI1626" s="1"/>
      <c r="HQJ1626" s="1"/>
      <c r="HQK1626" s="1"/>
      <c r="HQL1626" s="1"/>
      <c r="HQM1626" s="1"/>
      <c r="HQN1626" s="1"/>
      <c r="HQO1626" s="1"/>
      <c r="HQP1626" s="1"/>
      <c r="HQQ1626" s="1"/>
      <c r="HQR1626" s="1"/>
      <c r="HQS1626" s="1"/>
      <c r="HQT1626" s="1"/>
      <c r="HQU1626" s="1"/>
      <c r="HQV1626" s="1"/>
      <c r="HQW1626" s="1"/>
      <c r="HQX1626" s="1"/>
      <c r="HQY1626" s="1"/>
      <c r="HQZ1626" s="1"/>
      <c r="HRA1626" s="1"/>
      <c r="HRB1626" s="1"/>
      <c r="HRC1626" s="1"/>
      <c r="HRD1626" s="1"/>
      <c r="HRE1626" s="1"/>
      <c r="HRF1626" s="1"/>
      <c r="HRG1626" s="1"/>
      <c r="HRH1626" s="1"/>
      <c r="HRI1626" s="1"/>
      <c r="HRJ1626" s="1"/>
      <c r="HRK1626" s="1"/>
      <c r="HRL1626" s="1"/>
      <c r="HRM1626" s="1"/>
      <c r="HRN1626" s="1"/>
      <c r="HRO1626" s="1"/>
      <c r="HRP1626" s="1"/>
      <c r="HRQ1626" s="1"/>
      <c r="HRR1626" s="1"/>
      <c r="HRS1626" s="1"/>
      <c r="HRT1626" s="1"/>
      <c r="HRU1626" s="1"/>
      <c r="HRV1626" s="1"/>
      <c r="HRW1626" s="1"/>
      <c r="HRX1626" s="1"/>
      <c r="HRY1626" s="1"/>
      <c r="HRZ1626" s="1"/>
      <c r="HSA1626" s="1"/>
      <c r="HSB1626" s="1"/>
      <c r="HSC1626" s="1"/>
      <c r="HSD1626" s="1"/>
      <c r="HSE1626" s="1"/>
      <c r="HSF1626" s="1"/>
      <c r="HSG1626" s="1"/>
      <c r="HSH1626" s="1"/>
      <c r="HSI1626" s="1"/>
      <c r="HSJ1626" s="1"/>
      <c r="HSK1626" s="1"/>
      <c r="HSL1626" s="1"/>
      <c r="HSM1626" s="1"/>
      <c r="HSN1626" s="1"/>
      <c r="HSO1626" s="1"/>
      <c r="HSP1626" s="1"/>
      <c r="HSQ1626" s="1"/>
      <c r="HSR1626" s="1"/>
      <c r="HSS1626" s="1"/>
      <c r="HST1626" s="1"/>
      <c r="HSU1626" s="1"/>
      <c r="HSV1626" s="1"/>
      <c r="HSW1626" s="1"/>
      <c r="HSX1626" s="1"/>
      <c r="HSY1626" s="1"/>
      <c r="HSZ1626" s="1"/>
      <c r="HTA1626" s="1"/>
      <c r="HTB1626" s="1"/>
      <c r="HTC1626" s="1"/>
      <c r="HTD1626" s="1"/>
      <c r="HTE1626" s="1"/>
      <c r="HTF1626" s="1"/>
      <c r="HTG1626" s="1"/>
      <c r="HTH1626" s="1"/>
      <c r="HTI1626" s="1"/>
      <c r="HTJ1626" s="1"/>
      <c r="HTK1626" s="1"/>
      <c r="HTL1626" s="1"/>
      <c r="HTM1626" s="1"/>
      <c r="HTN1626" s="1"/>
      <c r="HTO1626" s="1"/>
      <c r="HTP1626" s="1"/>
      <c r="HTQ1626" s="1"/>
      <c r="HTR1626" s="1"/>
      <c r="HTS1626" s="1"/>
      <c r="HTT1626" s="1"/>
      <c r="HTU1626" s="1"/>
      <c r="HTV1626" s="1"/>
      <c r="HTW1626" s="1"/>
      <c r="HTX1626" s="1"/>
      <c r="HTY1626" s="1"/>
      <c r="HTZ1626" s="1"/>
      <c r="HUA1626" s="1"/>
      <c r="HUB1626" s="1"/>
      <c r="HUC1626" s="1"/>
      <c r="HUD1626" s="1"/>
      <c r="HUE1626" s="1"/>
      <c r="HUF1626" s="1"/>
      <c r="HUG1626" s="1"/>
      <c r="HUH1626" s="1"/>
      <c r="HUI1626" s="1"/>
      <c r="HUJ1626" s="1"/>
      <c r="HUK1626" s="1"/>
      <c r="HUL1626" s="1"/>
      <c r="HUM1626" s="1"/>
      <c r="HUN1626" s="1"/>
      <c r="HUO1626" s="1"/>
      <c r="HUP1626" s="1"/>
      <c r="HUQ1626" s="1"/>
      <c r="HUR1626" s="1"/>
      <c r="HUS1626" s="1"/>
      <c r="HUT1626" s="1"/>
      <c r="HUU1626" s="1"/>
      <c r="HUV1626" s="1"/>
      <c r="HUW1626" s="1"/>
      <c r="HUX1626" s="1"/>
      <c r="HUY1626" s="1"/>
      <c r="HUZ1626" s="1"/>
      <c r="HVA1626" s="1"/>
      <c r="HVB1626" s="1"/>
      <c r="HVC1626" s="1"/>
      <c r="HVD1626" s="1"/>
      <c r="HVE1626" s="1"/>
      <c r="HVF1626" s="1"/>
      <c r="HVG1626" s="1"/>
      <c r="HVH1626" s="1"/>
      <c r="HVI1626" s="1"/>
      <c r="HVJ1626" s="1"/>
      <c r="HVK1626" s="1"/>
      <c r="HVL1626" s="1"/>
      <c r="HVM1626" s="1"/>
      <c r="HVN1626" s="1"/>
      <c r="HVO1626" s="1"/>
      <c r="HVP1626" s="1"/>
      <c r="HVQ1626" s="1"/>
      <c r="HVR1626" s="1"/>
      <c r="HVS1626" s="1"/>
      <c r="HVT1626" s="1"/>
      <c r="HVU1626" s="1"/>
      <c r="HVV1626" s="1"/>
      <c r="HVW1626" s="1"/>
      <c r="HVX1626" s="1"/>
      <c r="HVY1626" s="1"/>
      <c r="HVZ1626" s="1"/>
      <c r="HWA1626" s="1"/>
      <c r="HWB1626" s="1"/>
      <c r="HWC1626" s="1"/>
      <c r="HWD1626" s="1"/>
      <c r="HWE1626" s="1"/>
      <c r="HWF1626" s="1"/>
      <c r="HWG1626" s="1"/>
      <c r="HWH1626" s="1"/>
      <c r="HWI1626" s="1"/>
      <c r="HWJ1626" s="1"/>
      <c r="HWK1626" s="1"/>
      <c r="HWL1626" s="1"/>
      <c r="HWM1626" s="1"/>
      <c r="HWN1626" s="1"/>
      <c r="HWO1626" s="1"/>
      <c r="HWP1626" s="1"/>
      <c r="HWQ1626" s="1"/>
      <c r="HWR1626" s="1"/>
      <c r="HWS1626" s="1"/>
      <c r="HWT1626" s="1"/>
      <c r="HWU1626" s="1"/>
      <c r="HWV1626" s="1"/>
      <c r="HWW1626" s="1"/>
      <c r="HWX1626" s="1"/>
      <c r="HWY1626" s="1"/>
      <c r="HWZ1626" s="1"/>
      <c r="HXA1626" s="1"/>
      <c r="HXB1626" s="1"/>
      <c r="HXC1626" s="1"/>
      <c r="HXD1626" s="1"/>
      <c r="HXE1626" s="1"/>
      <c r="HXF1626" s="1"/>
      <c r="HXG1626" s="1"/>
      <c r="HXH1626" s="1"/>
      <c r="HXI1626" s="1"/>
      <c r="HXJ1626" s="1"/>
      <c r="HXK1626" s="1"/>
      <c r="HXL1626" s="1"/>
      <c r="HXM1626" s="1"/>
      <c r="HXN1626" s="1"/>
      <c r="HXO1626" s="1"/>
      <c r="HXP1626" s="1"/>
      <c r="HXQ1626" s="1"/>
      <c r="HXR1626" s="1"/>
      <c r="HXS1626" s="1"/>
      <c r="HXT1626" s="1"/>
      <c r="HXU1626" s="1"/>
      <c r="HXV1626" s="1"/>
      <c r="HXW1626" s="1"/>
      <c r="HXX1626" s="1"/>
      <c r="HXY1626" s="1"/>
      <c r="HXZ1626" s="1"/>
      <c r="HYA1626" s="1"/>
      <c r="HYB1626" s="1"/>
      <c r="HYC1626" s="1"/>
      <c r="HYD1626" s="1"/>
      <c r="HYE1626" s="1"/>
      <c r="HYF1626" s="1"/>
      <c r="HYG1626" s="1"/>
      <c r="HYH1626" s="1"/>
      <c r="HYI1626" s="1"/>
      <c r="HYJ1626" s="1"/>
      <c r="HYK1626" s="1"/>
      <c r="HYL1626" s="1"/>
      <c r="HYM1626" s="1"/>
      <c r="HYN1626" s="1"/>
      <c r="HYO1626" s="1"/>
      <c r="HYP1626" s="1"/>
      <c r="HYQ1626" s="1"/>
      <c r="HYR1626" s="1"/>
      <c r="HYS1626" s="1"/>
      <c r="HYT1626" s="1"/>
      <c r="HYU1626" s="1"/>
      <c r="HYV1626" s="1"/>
      <c r="HYW1626" s="1"/>
      <c r="HYX1626" s="1"/>
      <c r="HYY1626" s="1"/>
      <c r="HYZ1626" s="1"/>
      <c r="HZA1626" s="1"/>
      <c r="HZB1626" s="1"/>
      <c r="HZC1626" s="1"/>
      <c r="HZD1626" s="1"/>
      <c r="HZE1626" s="1"/>
      <c r="HZF1626" s="1"/>
      <c r="HZG1626" s="1"/>
      <c r="HZH1626" s="1"/>
      <c r="HZI1626" s="1"/>
      <c r="HZJ1626" s="1"/>
      <c r="HZK1626" s="1"/>
      <c r="HZL1626" s="1"/>
      <c r="HZM1626" s="1"/>
      <c r="HZN1626" s="1"/>
      <c r="HZO1626" s="1"/>
      <c r="HZP1626" s="1"/>
      <c r="HZQ1626" s="1"/>
      <c r="HZR1626" s="1"/>
      <c r="HZS1626" s="1"/>
      <c r="HZT1626" s="1"/>
      <c r="HZU1626" s="1"/>
      <c r="HZV1626" s="1"/>
      <c r="HZW1626" s="1"/>
      <c r="HZX1626" s="1"/>
      <c r="HZY1626" s="1"/>
      <c r="HZZ1626" s="1"/>
      <c r="IAA1626" s="1"/>
      <c r="IAB1626" s="1"/>
      <c r="IAC1626" s="1"/>
      <c r="IAD1626" s="1"/>
      <c r="IAE1626" s="1"/>
      <c r="IAF1626" s="1"/>
      <c r="IAG1626" s="1"/>
      <c r="IAH1626" s="1"/>
      <c r="IAI1626" s="1"/>
      <c r="IAJ1626" s="1"/>
      <c r="IAK1626" s="1"/>
      <c r="IAL1626" s="1"/>
      <c r="IAM1626" s="1"/>
      <c r="IAN1626" s="1"/>
      <c r="IAO1626" s="1"/>
      <c r="IAP1626" s="1"/>
      <c r="IAQ1626" s="1"/>
      <c r="IAR1626" s="1"/>
      <c r="IAS1626" s="1"/>
      <c r="IAT1626" s="1"/>
      <c r="IAU1626" s="1"/>
      <c r="IAV1626" s="1"/>
      <c r="IAW1626" s="1"/>
      <c r="IAX1626" s="1"/>
      <c r="IAY1626" s="1"/>
      <c r="IAZ1626" s="1"/>
      <c r="IBA1626" s="1"/>
      <c r="IBB1626" s="1"/>
      <c r="IBC1626" s="1"/>
      <c r="IBD1626" s="1"/>
      <c r="IBE1626" s="1"/>
      <c r="IBF1626" s="1"/>
      <c r="IBG1626" s="1"/>
      <c r="IBH1626" s="1"/>
      <c r="IBI1626" s="1"/>
      <c r="IBJ1626" s="1"/>
      <c r="IBK1626" s="1"/>
      <c r="IBL1626" s="1"/>
      <c r="IBM1626" s="1"/>
      <c r="IBN1626" s="1"/>
      <c r="IBO1626" s="1"/>
      <c r="IBP1626" s="1"/>
      <c r="IBQ1626" s="1"/>
      <c r="IBR1626" s="1"/>
      <c r="IBS1626" s="1"/>
      <c r="IBT1626" s="1"/>
      <c r="IBU1626" s="1"/>
      <c r="IBV1626" s="1"/>
      <c r="IBW1626" s="1"/>
      <c r="IBX1626" s="1"/>
      <c r="IBY1626" s="1"/>
      <c r="IBZ1626" s="1"/>
      <c r="ICA1626" s="1"/>
      <c r="ICB1626" s="1"/>
      <c r="ICC1626" s="1"/>
      <c r="ICD1626" s="1"/>
      <c r="ICE1626" s="1"/>
      <c r="ICF1626" s="1"/>
      <c r="ICG1626" s="1"/>
      <c r="ICH1626" s="1"/>
      <c r="ICI1626" s="1"/>
      <c r="ICJ1626" s="1"/>
      <c r="ICK1626" s="1"/>
      <c r="ICL1626" s="1"/>
      <c r="ICM1626" s="1"/>
      <c r="ICN1626" s="1"/>
      <c r="ICO1626" s="1"/>
      <c r="ICP1626" s="1"/>
      <c r="ICQ1626" s="1"/>
      <c r="ICR1626" s="1"/>
      <c r="ICS1626" s="1"/>
      <c r="ICT1626" s="1"/>
      <c r="ICU1626" s="1"/>
      <c r="ICV1626" s="1"/>
      <c r="ICW1626" s="1"/>
      <c r="ICX1626" s="1"/>
      <c r="ICY1626" s="1"/>
      <c r="ICZ1626" s="1"/>
      <c r="IDA1626" s="1"/>
      <c r="IDB1626" s="1"/>
      <c r="IDC1626" s="1"/>
      <c r="IDD1626" s="1"/>
      <c r="IDE1626" s="1"/>
      <c r="IDF1626" s="1"/>
      <c r="IDG1626" s="1"/>
      <c r="IDH1626" s="1"/>
      <c r="IDI1626" s="1"/>
      <c r="IDJ1626" s="1"/>
      <c r="IDK1626" s="1"/>
      <c r="IDL1626" s="1"/>
      <c r="IDM1626" s="1"/>
      <c r="IDN1626" s="1"/>
      <c r="IDO1626" s="1"/>
      <c r="IDP1626" s="1"/>
      <c r="IDQ1626" s="1"/>
      <c r="IDR1626" s="1"/>
      <c r="IDS1626" s="1"/>
      <c r="IDT1626" s="1"/>
      <c r="IDU1626" s="1"/>
      <c r="IDV1626" s="1"/>
      <c r="IDW1626" s="1"/>
      <c r="IDX1626" s="1"/>
      <c r="IDY1626" s="1"/>
      <c r="IDZ1626" s="1"/>
      <c r="IEA1626" s="1"/>
      <c r="IEB1626" s="1"/>
      <c r="IEC1626" s="1"/>
      <c r="IED1626" s="1"/>
      <c r="IEE1626" s="1"/>
      <c r="IEF1626" s="1"/>
      <c r="IEG1626" s="1"/>
      <c r="IEH1626" s="1"/>
      <c r="IEI1626" s="1"/>
      <c r="IEJ1626" s="1"/>
      <c r="IEK1626" s="1"/>
      <c r="IEL1626" s="1"/>
      <c r="IEM1626" s="1"/>
      <c r="IEN1626" s="1"/>
      <c r="IEO1626" s="1"/>
      <c r="IEP1626" s="1"/>
      <c r="IEQ1626" s="1"/>
      <c r="IER1626" s="1"/>
      <c r="IES1626" s="1"/>
      <c r="IET1626" s="1"/>
      <c r="IEU1626" s="1"/>
      <c r="IEV1626" s="1"/>
      <c r="IEW1626" s="1"/>
      <c r="IEX1626" s="1"/>
      <c r="IEY1626" s="1"/>
      <c r="IEZ1626" s="1"/>
      <c r="IFA1626" s="1"/>
      <c r="IFB1626" s="1"/>
      <c r="IFC1626" s="1"/>
      <c r="IFD1626" s="1"/>
      <c r="IFE1626" s="1"/>
      <c r="IFF1626" s="1"/>
      <c r="IFG1626" s="1"/>
      <c r="IFH1626" s="1"/>
      <c r="IFI1626" s="1"/>
      <c r="IFJ1626" s="1"/>
      <c r="IFK1626" s="1"/>
      <c r="IFL1626" s="1"/>
      <c r="IFM1626" s="1"/>
      <c r="IFN1626" s="1"/>
      <c r="IFO1626" s="1"/>
      <c r="IFP1626" s="1"/>
      <c r="IFQ1626" s="1"/>
      <c r="IFR1626" s="1"/>
      <c r="IFS1626" s="1"/>
      <c r="IFT1626" s="1"/>
      <c r="IFU1626" s="1"/>
      <c r="IFV1626" s="1"/>
      <c r="IFW1626" s="1"/>
      <c r="IFX1626" s="1"/>
      <c r="IFY1626" s="1"/>
      <c r="IFZ1626" s="1"/>
      <c r="IGA1626" s="1"/>
      <c r="IGB1626" s="1"/>
      <c r="IGC1626" s="1"/>
      <c r="IGD1626" s="1"/>
      <c r="IGE1626" s="1"/>
      <c r="IGF1626" s="1"/>
      <c r="IGG1626" s="1"/>
      <c r="IGH1626" s="1"/>
      <c r="IGI1626" s="1"/>
      <c r="IGJ1626" s="1"/>
      <c r="IGK1626" s="1"/>
      <c r="IGL1626" s="1"/>
      <c r="IGM1626" s="1"/>
      <c r="IGN1626" s="1"/>
      <c r="IGO1626" s="1"/>
      <c r="IGP1626" s="1"/>
      <c r="IGQ1626" s="1"/>
      <c r="IGR1626" s="1"/>
      <c r="IGS1626" s="1"/>
      <c r="IGT1626" s="1"/>
      <c r="IGU1626" s="1"/>
      <c r="IGV1626" s="1"/>
      <c r="IGW1626" s="1"/>
      <c r="IGX1626" s="1"/>
      <c r="IGY1626" s="1"/>
      <c r="IGZ1626" s="1"/>
      <c r="IHA1626" s="1"/>
      <c r="IHB1626" s="1"/>
      <c r="IHC1626" s="1"/>
      <c r="IHD1626" s="1"/>
      <c r="IHE1626" s="1"/>
      <c r="IHF1626" s="1"/>
      <c r="IHG1626" s="1"/>
      <c r="IHH1626" s="1"/>
      <c r="IHI1626" s="1"/>
      <c r="IHJ1626" s="1"/>
      <c r="IHK1626" s="1"/>
      <c r="IHL1626" s="1"/>
      <c r="IHM1626" s="1"/>
      <c r="IHN1626" s="1"/>
      <c r="IHO1626" s="1"/>
      <c r="IHP1626" s="1"/>
      <c r="IHQ1626" s="1"/>
      <c r="IHR1626" s="1"/>
      <c r="IHS1626" s="1"/>
      <c r="IHT1626" s="1"/>
      <c r="IHU1626" s="1"/>
      <c r="IHV1626" s="1"/>
      <c r="IHW1626" s="1"/>
      <c r="IHX1626" s="1"/>
      <c r="IHY1626" s="1"/>
      <c r="IHZ1626" s="1"/>
      <c r="IIA1626" s="1"/>
      <c r="IIB1626" s="1"/>
      <c r="IIC1626" s="1"/>
      <c r="IID1626" s="1"/>
      <c r="IIE1626" s="1"/>
      <c r="IIF1626" s="1"/>
      <c r="IIG1626" s="1"/>
      <c r="IIH1626" s="1"/>
      <c r="III1626" s="1"/>
      <c r="IIJ1626" s="1"/>
      <c r="IIK1626" s="1"/>
      <c r="IIL1626" s="1"/>
      <c r="IIM1626" s="1"/>
      <c r="IIN1626" s="1"/>
      <c r="IIO1626" s="1"/>
      <c r="IIP1626" s="1"/>
      <c r="IIQ1626" s="1"/>
      <c r="IIR1626" s="1"/>
      <c r="IIS1626" s="1"/>
      <c r="IIT1626" s="1"/>
      <c r="IIU1626" s="1"/>
      <c r="IIV1626" s="1"/>
      <c r="IIW1626" s="1"/>
      <c r="IIX1626" s="1"/>
      <c r="IIY1626" s="1"/>
      <c r="IIZ1626" s="1"/>
      <c r="IJA1626" s="1"/>
      <c r="IJB1626" s="1"/>
      <c r="IJC1626" s="1"/>
      <c r="IJD1626" s="1"/>
      <c r="IJE1626" s="1"/>
      <c r="IJF1626" s="1"/>
      <c r="IJG1626" s="1"/>
      <c r="IJH1626" s="1"/>
      <c r="IJI1626" s="1"/>
      <c r="IJJ1626" s="1"/>
      <c r="IJK1626" s="1"/>
      <c r="IJL1626" s="1"/>
      <c r="IJM1626" s="1"/>
      <c r="IJN1626" s="1"/>
      <c r="IJO1626" s="1"/>
      <c r="IJP1626" s="1"/>
      <c r="IJQ1626" s="1"/>
      <c r="IJR1626" s="1"/>
      <c r="IJS1626" s="1"/>
      <c r="IJT1626" s="1"/>
      <c r="IJU1626" s="1"/>
      <c r="IJV1626" s="1"/>
      <c r="IJW1626" s="1"/>
      <c r="IJX1626" s="1"/>
      <c r="IJY1626" s="1"/>
      <c r="IJZ1626" s="1"/>
      <c r="IKA1626" s="1"/>
      <c r="IKB1626" s="1"/>
      <c r="IKC1626" s="1"/>
      <c r="IKD1626" s="1"/>
      <c r="IKE1626" s="1"/>
      <c r="IKF1626" s="1"/>
      <c r="IKG1626" s="1"/>
      <c r="IKH1626" s="1"/>
      <c r="IKI1626" s="1"/>
      <c r="IKJ1626" s="1"/>
      <c r="IKK1626" s="1"/>
      <c r="IKL1626" s="1"/>
      <c r="IKM1626" s="1"/>
      <c r="IKN1626" s="1"/>
      <c r="IKO1626" s="1"/>
      <c r="IKP1626" s="1"/>
      <c r="IKQ1626" s="1"/>
      <c r="IKR1626" s="1"/>
      <c r="IKS1626" s="1"/>
      <c r="IKT1626" s="1"/>
      <c r="IKU1626" s="1"/>
      <c r="IKV1626" s="1"/>
      <c r="IKW1626" s="1"/>
      <c r="IKX1626" s="1"/>
      <c r="IKY1626" s="1"/>
      <c r="IKZ1626" s="1"/>
      <c r="ILA1626" s="1"/>
      <c r="ILB1626" s="1"/>
      <c r="ILC1626" s="1"/>
      <c r="ILD1626" s="1"/>
      <c r="ILE1626" s="1"/>
      <c r="ILF1626" s="1"/>
      <c r="ILG1626" s="1"/>
      <c r="ILH1626" s="1"/>
      <c r="ILI1626" s="1"/>
      <c r="ILJ1626" s="1"/>
      <c r="ILK1626" s="1"/>
      <c r="ILL1626" s="1"/>
      <c r="ILM1626" s="1"/>
      <c r="ILN1626" s="1"/>
      <c r="ILO1626" s="1"/>
      <c r="ILP1626" s="1"/>
      <c r="ILQ1626" s="1"/>
      <c r="ILR1626" s="1"/>
      <c r="ILS1626" s="1"/>
      <c r="ILT1626" s="1"/>
      <c r="ILU1626" s="1"/>
      <c r="ILV1626" s="1"/>
      <c r="ILW1626" s="1"/>
      <c r="ILX1626" s="1"/>
      <c r="ILY1626" s="1"/>
      <c r="ILZ1626" s="1"/>
      <c r="IMA1626" s="1"/>
      <c r="IMB1626" s="1"/>
      <c r="IMC1626" s="1"/>
      <c r="IMD1626" s="1"/>
      <c r="IME1626" s="1"/>
      <c r="IMF1626" s="1"/>
      <c r="IMG1626" s="1"/>
      <c r="IMH1626" s="1"/>
      <c r="IMI1626" s="1"/>
      <c r="IMJ1626" s="1"/>
      <c r="IMK1626" s="1"/>
      <c r="IML1626" s="1"/>
      <c r="IMM1626" s="1"/>
      <c r="IMN1626" s="1"/>
      <c r="IMO1626" s="1"/>
      <c r="IMP1626" s="1"/>
      <c r="IMQ1626" s="1"/>
      <c r="IMR1626" s="1"/>
      <c r="IMS1626" s="1"/>
      <c r="IMT1626" s="1"/>
      <c r="IMU1626" s="1"/>
      <c r="IMV1626" s="1"/>
      <c r="IMW1626" s="1"/>
      <c r="IMX1626" s="1"/>
      <c r="IMY1626" s="1"/>
      <c r="IMZ1626" s="1"/>
      <c r="INA1626" s="1"/>
      <c r="INB1626" s="1"/>
      <c r="INC1626" s="1"/>
      <c r="IND1626" s="1"/>
      <c r="INE1626" s="1"/>
      <c r="INF1626" s="1"/>
      <c r="ING1626" s="1"/>
      <c r="INH1626" s="1"/>
      <c r="INI1626" s="1"/>
      <c r="INJ1626" s="1"/>
      <c r="INK1626" s="1"/>
      <c r="INL1626" s="1"/>
      <c r="INM1626" s="1"/>
      <c r="INN1626" s="1"/>
      <c r="INO1626" s="1"/>
      <c r="INP1626" s="1"/>
      <c r="INQ1626" s="1"/>
      <c r="INR1626" s="1"/>
      <c r="INS1626" s="1"/>
      <c r="INT1626" s="1"/>
      <c r="INU1626" s="1"/>
      <c r="INV1626" s="1"/>
      <c r="INW1626" s="1"/>
      <c r="INX1626" s="1"/>
      <c r="INY1626" s="1"/>
      <c r="INZ1626" s="1"/>
      <c r="IOA1626" s="1"/>
      <c r="IOB1626" s="1"/>
      <c r="IOC1626" s="1"/>
      <c r="IOD1626" s="1"/>
      <c r="IOE1626" s="1"/>
      <c r="IOF1626" s="1"/>
      <c r="IOG1626" s="1"/>
      <c r="IOH1626" s="1"/>
      <c r="IOI1626" s="1"/>
      <c r="IOJ1626" s="1"/>
      <c r="IOK1626" s="1"/>
      <c r="IOL1626" s="1"/>
      <c r="IOM1626" s="1"/>
      <c r="ION1626" s="1"/>
      <c r="IOO1626" s="1"/>
      <c r="IOP1626" s="1"/>
      <c r="IOQ1626" s="1"/>
      <c r="IOR1626" s="1"/>
      <c r="IOS1626" s="1"/>
      <c r="IOT1626" s="1"/>
      <c r="IOU1626" s="1"/>
      <c r="IOV1626" s="1"/>
      <c r="IOW1626" s="1"/>
      <c r="IOX1626" s="1"/>
      <c r="IOY1626" s="1"/>
      <c r="IOZ1626" s="1"/>
      <c r="IPA1626" s="1"/>
      <c r="IPB1626" s="1"/>
      <c r="IPC1626" s="1"/>
      <c r="IPD1626" s="1"/>
      <c r="IPE1626" s="1"/>
      <c r="IPF1626" s="1"/>
      <c r="IPG1626" s="1"/>
      <c r="IPH1626" s="1"/>
      <c r="IPI1626" s="1"/>
      <c r="IPJ1626" s="1"/>
      <c r="IPK1626" s="1"/>
      <c r="IPL1626" s="1"/>
      <c r="IPM1626" s="1"/>
      <c r="IPN1626" s="1"/>
      <c r="IPO1626" s="1"/>
      <c r="IPP1626" s="1"/>
      <c r="IPQ1626" s="1"/>
      <c r="IPR1626" s="1"/>
      <c r="IPS1626" s="1"/>
      <c r="IPT1626" s="1"/>
      <c r="IPU1626" s="1"/>
      <c r="IPV1626" s="1"/>
      <c r="IPW1626" s="1"/>
      <c r="IPX1626" s="1"/>
      <c r="IPY1626" s="1"/>
      <c r="IPZ1626" s="1"/>
      <c r="IQA1626" s="1"/>
      <c r="IQB1626" s="1"/>
      <c r="IQC1626" s="1"/>
      <c r="IQD1626" s="1"/>
      <c r="IQE1626" s="1"/>
      <c r="IQF1626" s="1"/>
      <c r="IQG1626" s="1"/>
      <c r="IQH1626" s="1"/>
      <c r="IQI1626" s="1"/>
      <c r="IQJ1626" s="1"/>
      <c r="IQK1626" s="1"/>
      <c r="IQL1626" s="1"/>
      <c r="IQM1626" s="1"/>
      <c r="IQN1626" s="1"/>
      <c r="IQO1626" s="1"/>
      <c r="IQP1626" s="1"/>
      <c r="IQQ1626" s="1"/>
      <c r="IQR1626" s="1"/>
      <c r="IQS1626" s="1"/>
      <c r="IQT1626" s="1"/>
      <c r="IQU1626" s="1"/>
      <c r="IQV1626" s="1"/>
      <c r="IQW1626" s="1"/>
      <c r="IQX1626" s="1"/>
      <c r="IQY1626" s="1"/>
      <c r="IQZ1626" s="1"/>
      <c r="IRA1626" s="1"/>
      <c r="IRB1626" s="1"/>
      <c r="IRC1626" s="1"/>
      <c r="IRD1626" s="1"/>
      <c r="IRE1626" s="1"/>
      <c r="IRF1626" s="1"/>
      <c r="IRG1626" s="1"/>
      <c r="IRH1626" s="1"/>
      <c r="IRI1626" s="1"/>
      <c r="IRJ1626" s="1"/>
      <c r="IRK1626" s="1"/>
      <c r="IRL1626" s="1"/>
      <c r="IRM1626" s="1"/>
      <c r="IRN1626" s="1"/>
      <c r="IRO1626" s="1"/>
      <c r="IRP1626" s="1"/>
      <c r="IRQ1626" s="1"/>
      <c r="IRR1626" s="1"/>
      <c r="IRS1626" s="1"/>
      <c r="IRT1626" s="1"/>
      <c r="IRU1626" s="1"/>
      <c r="IRV1626" s="1"/>
      <c r="IRW1626" s="1"/>
      <c r="IRX1626" s="1"/>
      <c r="IRY1626" s="1"/>
      <c r="IRZ1626" s="1"/>
      <c r="ISA1626" s="1"/>
      <c r="ISB1626" s="1"/>
      <c r="ISC1626" s="1"/>
      <c r="ISD1626" s="1"/>
      <c r="ISE1626" s="1"/>
      <c r="ISF1626" s="1"/>
      <c r="ISG1626" s="1"/>
      <c r="ISH1626" s="1"/>
      <c r="ISI1626" s="1"/>
      <c r="ISJ1626" s="1"/>
      <c r="ISK1626" s="1"/>
      <c r="ISL1626" s="1"/>
      <c r="ISM1626" s="1"/>
      <c r="ISN1626" s="1"/>
      <c r="ISO1626" s="1"/>
      <c r="ISP1626" s="1"/>
      <c r="ISQ1626" s="1"/>
      <c r="ISR1626" s="1"/>
      <c r="ISS1626" s="1"/>
      <c r="IST1626" s="1"/>
      <c r="ISU1626" s="1"/>
      <c r="ISV1626" s="1"/>
      <c r="ISW1626" s="1"/>
      <c r="ISX1626" s="1"/>
      <c r="ISY1626" s="1"/>
      <c r="ISZ1626" s="1"/>
      <c r="ITA1626" s="1"/>
      <c r="ITB1626" s="1"/>
      <c r="ITC1626" s="1"/>
      <c r="ITD1626" s="1"/>
      <c r="ITE1626" s="1"/>
      <c r="ITF1626" s="1"/>
      <c r="ITG1626" s="1"/>
      <c r="ITH1626" s="1"/>
      <c r="ITI1626" s="1"/>
      <c r="ITJ1626" s="1"/>
      <c r="ITK1626" s="1"/>
      <c r="ITL1626" s="1"/>
      <c r="ITM1626" s="1"/>
      <c r="ITN1626" s="1"/>
      <c r="ITO1626" s="1"/>
      <c r="ITP1626" s="1"/>
      <c r="ITQ1626" s="1"/>
      <c r="ITR1626" s="1"/>
      <c r="ITS1626" s="1"/>
      <c r="ITT1626" s="1"/>
      <c r="ITU1626" s="1"/>
      <c r="ITV1626" s="1"/>
      <c r="ITW1626" s="1"/>
      <c r="ITX1626" s="1"/>
      <c r="ITY1626" s="1"/>
      <c r="ITZ1626" s="1"/>
      <c r="IUA1626" s="1"/>
      <c r="IUB1626" s="1"/>
      <c r="IUC1626" s="1"/>
      <c r="IUD1626" s="1"/>
      <c r="IUE1626" s="1"/>
      <c r="IUF1626" s="1"/>
      <c r="IUG1626" s="1"/>
      <c r="IUH1626" s="1"/>
      <c r="IUI1626" s="1"/>
      <c r="IUJ1626" s="1"/>
      <c r="IUK1626" s="1"/>
      <c r="IUL1626" s="1"/>
      <c r="IUM1626" s="1"/>
      <c r="IUN1626" s="1"/>
      <c r="IUO1626" s="1"/>
      <c r="IUP1626" s="1"/>
      <c r="IUQ1626" s="1"/>
      <c r="IUR1626" s="1"/>
      <c r="IUS1626" s="1"/>
      <c r="IUT1626" s="1"/>
      <c r="IUU1626" s="1"/>
      <c r="IUV1626" s="1"/>
      <c r="IUW1626" s="1"/>
      <c r="IUX1626" s="1"/>
      <c r="IUY1626" s="1"/>
      <c r="IUZ1626" s="1"/>
      <c r="IVA1626" s="1"/>
      <c r="IVB1626" s="1"/>
      <c r="IVC1626" s="1"/>
      <c r="IVD1626" s="1"/>
      <c r="IVE1626" s="1"/>
      <c r="IVF1626" s="1"/>
      <c r="IVG1626" s="1"/>
      <c r="IVH1626" s="1"/>
      <c r="IVI1626" s="1"/>
      <c r="IVJ1626" s="1"/>
      <c r="IVK1626" s="1"/>
      <c r="IVL1626" s="1"/>
      <c r="IVM1626" s="1"/>
      <c r="IVN1626" s="1"/>
      <c r="IVO1626" s="1"/>
      <c r="IVP1626" s="1"/>
      <c r="IVQ1626" s="1"/>
      <c r="IVR1626" s="1"/>
      <c r="IVS1626" s="1"/>
      <c r="IVT1626" s="1"/>
      <c r="IVU1626" s="1"/>
      <c r="IVV1626" s="1"/>
      <c r="IVW1626" s="1"/>
      <c r="IVX1626" s="1"/>
      <c r="IVY1626" s="1"/>
      <c r="IVZ1626" s="1"/>
      <c r="IWA1626" s="1"/>
      <c r="IWB1626" s="1"/>
      <c r="IWC1626" s="1"/>
      <c r="IWD1626" s="1"/>
      <c r="IWE1626" s="1"/>
      <c r="IWF1626" s="1"/>
      <c r="IWG1626" s="1"/>
      <c r="IWH1626" s="1"/>
      <c r="IWI1626" s="1"/>
      <c r="IWJ1626" s="1"/>
      <c r="IWK1626" s="1"/>
      <c r="IWL1626" s="1"/>
      <c r="IWM1626" s="1"/>
      <c r="IWN1626" s="1"/>
      <c r="IWO1626" s="1"/>
      <c r="IWP1626" s="1"/>
      <c r="IWQ1626" s="1"/>
      <c r="IWR1626" s="1"/>
      <c r="IWS1626" s="1"/>
      <c r="IWT1626" s="1"/>
      <c r="IWU1626" s="1"/>
      <c r="IWV1626" s="1"/>
      <c r="IWW1626" s="1"/>
      <c r="IWX1626" s="1"/>
      <c r="IWY1626" s="1"/>
      <c r="IWZ1626" s="1"/>
      <c r="IXA1626" s="1"/>
      <c r="IXB1626" s="1"/>
      <c r="IXC1626" s="1"/>
      <c r="IXD1626" s="1"/>
      <c r="IXE1626" s="1"/>
      <c r="IXF1626" s="1"/>
      <c r="IXG1626" s="1"/>
      <c r="IXH1626" s="1"/>
      <c r="IXI1626" s="1"/>
      <c r="IXJ1626" s="1"/>
      <c r="IXK1626" s="1"/>
      <c r="IXL1626" s="1"/>
      <c r="IXM1626" s="1"/>
      <c r="IXN1626" s="1"/>
      <c r="IXO1626" s="1"/>
      <c r="IXP1626" s="1"/>
      <c r="IXQ1626" s="1"/>
      <c r="IXR1626" s="1"/>
      <c r="IXS1626" s="1"/>
      <c r="IXT1626" s="1"/>
      <c r="IXU1626" s="1"/>
      <c r="IXV1626" s="1"/>
      <c r="IXW1626" s="1"/>
      <c r="IXX1626" s="1"/>
      <c r="IXY1626" s="1"/>
      <c r="IXZ1626" s="1"/>
      <c r="IYA1626" s="1"/>
      <c r="IYB1626" s="1"/>
      <c r="IYC1626" s="1"/>
      <c r="IYD1626" s="1"/>
      <c r="IYE1626" s="1"/>
      <c r="IYF1626" s="1"/>
      <c r="IYG1626" s="1"/>
      <c r="IYH1626" s="1"/>
      <c r="IYI1626" s="1"/>
      <c r="IYJ1626" s="1"/>
      <c r="IYK1626" s="1"/>
      <c r="IYL1626" s="1"/>
      <c r="IYM1626" s="1"/>
      <c r="IYN1626" s="1"/>
      <c r="IYO1626" s="1"/>
      <c r="IYP1626" s="1"/>
      <c r="IYQ1626" s="1"/>
      <c r="IYR1626" s="1"/>
      <c r="IYS1626" s="1"/>
      <c r="IYT1626" s="1"/>
      <c r="IYU1626" s="1"/>
      <c r="IYV1626" s="1"/>
      <c r="IYW1626" s="1"/>
      <c r="IYX1626" s="1"/>
      <c r="IYY1626" s="1"/>
      <c r="IYZ1626" s="1"/>
      <c r="IZA1626" s="1"/>
      <c r="IZB1626" s="1"/>
      <c r="IZC1626" s="1"/>
      <c r="IZD1626" s="1"/>
      <c r="IZE1626" s="1"/>
      <c r="IZF1626" s="1"/>
      <c r="IZG1626" s="1"/>
      <c r="IZH1626" s="1"/>
      <c r="IZI1626" s="1"/>
      <c r="IZJ1626" s="1"/>
      <c r="IZK1626" s="1"/>
      <c r="IZL1626" s="1"/>
      <c r="IZM1626" s="1"/>
      <c r="IZN1626" s="1"/>
      <c r="IZO1626" s="1"/>
      <c r="IZP1626" s="1"/>
      <c r="IZQ1626" s="1"/>
      <c r="IZR1626" s="1"/>
      <c r="IZS1626" s="1"/>
      <c r="IZT1626" s="1"/>
      <c r="IZU1626" s="1"/>
      <c r="IZV1626" s="1"/>
      <c r="IZW1626" s="1"/>
      <c r="IZX1626" s="1"/>
      <c r="IZY1626" s="1"/>
      <c r="IZZ1626" s="1"/>
      <c r="JAA1626" s="1"/>
      <c r="JAB1626" s="1"/>
      <c r="JAC1626" s="1"/>
      <c r="JAD1626" s="1"/>
      <c r="JAE1626" s="1"/>
      <c r="JAF1626" s="1"/>
      <c r="JAG1626" s="1"/>
      <c r="JAH1626" s="1"/>
      <c r="JAI1626" s="1"/>
      <c r="JAJ1626" s="1"/>
      <c r="JAK1626" s="1"/>
      <c r="JAL1626" s="1"/>
      <c r="JAM1626" s="1"/>
      <c r="JAN1626" s="1"/>
      <c r="JAO1626" s="1"/>
      <c r="JAP1626" s="1"/>
      <c r="JAQ1626" s="1"/>
      <c r="JAR1626" s="1"/>
      <c r="JAS1626" s="1"/>
      <c r="JAT1626" s="1"/>
      <c r="JAU1626" s="1"/>
      <c r="JAV1626" s="1"/>
      <c r="JAW1626" s="1"/>
      <c r="JAX1626" s="1"/>
      <c r="JAY1626" s="1"/>
      <c r="JAZ1626" s="1"/>
      <c r="JBA1626" s="1"/>
      <c r="JBB1626" s="1"/>
      <c r="JBC1626" s="1"/>
      <c r="JBD1626" s="1"/>
      <c r="JBE1626" s="1"/>
      <c r="JBF1626" s="1"/>
      <c r="JBG1626" s="1"/>
      <c r="JBH1626" s="1"/>
      <c r="JBI1626" s="1"/>
      <c r="JBJ1626" s="1"/>
      <c r="JBK1626" s="1"/>
      <c r="JBL1626" s="1"/>
      <c r="JBM1626" s="1"/>
      <c r="JBN1626" s="1"/>
      <c r="JBO1626" s="1"/>
      <c r="JBP1626" s="1"/>
      <c r="JBQ1626" s="1"/>
      <c r="JBR1626" s="1"/>
      <c r="JBS1626" s="1"/>
      <c r="JBT1626" s="1"/>
      <c r="JBU1626" s="1"/>
      <c r="JBV1626" s="1"/>
      <c r="JBW1626" s="1"/>
      <c r="JBX1626" s="1"/>
      <c r="JBY1626" s="1"/>
      <c r="JBZ1626" s="1"/>
      <c r="JCA1626" s="1"/>
      <c r="JCB1626" s="1"/>
      <c r="JCC1626" s="1"/>
      <c r="JCD1626" s="1"/>
      <c r="JCE1626" s="1"/>
      <c r="JCF1626" s="1"/>
      <c r="JCG1626" s="1"/>
      <c r="JCH1626" s="1"/>
      <c r="JCI1626" s="1"/>
      <c r="JCJ1626" s="1"/>
      <c r="JCK1626" s="1"/>
      <c r="JCL1626" s="1"/>
      <c r="JCM1626" s="1"/>
      <c r="JCN1626" s="1"/>
      <c r="JCO1626" s="1"/>
      <c r="JCP1626" s="1"/>
      <c r="JCQ1626" s="1"/>
      <c r="JCR1626" s="1"/>
      <c r="JCS1626" s="1"/>
      <c r="JCT1626" s="1"/>
      <c r="JCU1626" s="1"/>
      <c r="JCV1626" s="1"/>
      <c r="JCW1626" s="1"/>
      <c r="JCX1626" s="1"/>
      <c r="JCY1626" s="1"/>
      <c r="JCZ1626" s="1"/>
      <c r="JDA1626" s="1"/>
      <c r="JDB1626" s="1"/>
      <c r="JDC1626" s="1"/>
      <c r="JDD1626" s="1"/>
      <c r="JDE1626" s="1"/>
      <c r="JDF1626" s="1"/>
      <c r="JDG1626" s="1"/>
      <c r="JDH1626" s="1"/>
      <c r="JDI1626" s="1"/>
      <c r="JDJ1626" s="1"/>
      <c r="JDK1626" s="1"/>
      <c r="JDL1626" s="1"/>
      <c r="JDM1626" s="1"/>
      <c r="JDN1626" s="1"/>
      <c r="JDO1626" s="1"/>
      <c r="JDP1626" s="1"/>
      <c r="JDQ1626" s="1"/>
      <c r="JDR1626" s="1"/>
      <c r="JDS1626" s="1"/>
      <c r="JDT1626" s="1"/>
      <c r="JDU1626" s="1"/>
      <c r="JDV1626" s="1"/>
      <c r="JDW1626" s="1"/>
      <c r="JDX1626" s="1"/>
      <c r="JDY1626" s="1"/>
      <c r="JDZ1626" s="1"/>
      <c r="JEA1626" s="1"/>
      <c r="JEB1626" s="1"/>
      <c r="JEC1626" s="1"/>
      <c r="JED1626" s="1"/>
      <c r="JEE1626" s="1"/>
      <c r="JEF1626" s="1"/>
      <c r="JEG1626" s="1"/>
      <c r="JEH1626" s="1"/>
      <c r="JEI1626" s="1"/>
      <c r="JEJ1626" s="1"/>
      <c r="JEK1626" s="1"/>
      <c r="JEL1626" s="1"/>
      <c r="JEM1626" s="1"/>
      <c r="JEN1626" s="1"/>
      <c r="JEO1626" s="1"/>
      <c r="JEP1626" s="1"/>
      <c r="JEQ1626" s="1"/>
      <c r="JER1626" s="1"/>
      <c r="JES1626" s="1"/>
      <c r="JET1626" s="1"/>
      <c r="JEU1626" s="1"/>
      <c r="JEV1626" s="1"/>
      <c r="JEW1626" s="1"/>
      <c r="JEX1626" s="1"/>
      <c r="JEY1626" s="1"/>
      <c r="JEZ1626" s="1"/>
      <c r="JFA1626" s="1"/>
      <c r="JFB1626" s="1"/>
      <c r="JFC1626" s="1"/>
      <c r="JFD1626" s="1"/>
      <c r="JFE1626" s="1"/>
      <c r="JFF1626" s="1"/>
      <c r="JFG1626" s="1"/>
      <c r="JFH1626" s="1"/>
      <c r="JFI1626" s="1"/>
      <c r="JFJ1626" s="1"/>
      <c r="JFK1626" s="1"/>
      <c r="JFL1626" s="1"/>
      <c r="JFM1626" s="1"/>
      <c r="JFN1626" s="1"/>
      <c r="JFO1626" s="1"/>
      <c r="JFP1626" s="1"/>
      <c r="JFQ1626" s="1"/>
      <c r="JFR1626" s="1"/>
      <c r="JFS1626" s="1"/>
      <c r="JFT1626" s="1"/>
      <c r="JFU1626" s="1"/>
      <c r="JFV1626" s="1"/>
      <c r="JFW1626" s="1"/>
      <c r="JFX1626" s="1"/>
      <c r="JFY1626" s="1"/>
      <c r="JFZ1626" s="1"/>
      <c r="JGA1626" s="1"/>
      <c r="JGB1626" s="1"/>
      <c r="JGC1626" s="1"/>
      <c r="JGD1626" s="1"/>
      <c r="JGE1626" s="1"/>
      <c r="JGF1626" s="1"/>
      <c r="JGG1626" s="1"/>
      <c r="JGH1626" s="1"/>
      <c r="JGI1626" s="1"/>
      <c r="JGJ1626" s="1"/>
      <c r="JGK1626" s="1"/>
      <c r="JGL1626" s="1"/>
      <c r="JGM1626" s="1"/>
      <c r="JGN1626" s="1"/>
      <c r="JGO1626" s="1"/>
      <c r="JGP1626" s="1"/>
      <c r="JGQ1626" s="1"/>
      <c r="JGR1626" s="1"/>
      <c r="JGS1626" s="1"/>
      <c r="JGT1626" s="1"/>
      <c r="JGU1626" s="1"/>
      <c r="JGV1626" s="1"/>
      <c r="JGW1626" s="1"/>
      <c r="JGX1626" s="1"/>
      <c r="JGY1626" s="1"/>
      <c r="JGZ1626" s="1"/>
      <c r="JHA1626" s="1"/>
      <c r="JHB1626" s="1"/>
      <c r="JHC1626" s="1"/>
      <c r="JHD1626" s="1"/>
      <c r="JHE1626" s="1"/>
      <c r="JHF1626" s="1"/>
      <c r="JHG1626" s="1"/>
      <c r="JHH1626" s="1"/>
      <c r="JHI1626" s="1"/>
      <c r="JHJ1626" s="1"/>
      <c r="JHK1626" s="1"/>
      <c r="JHL1626" s="1"/>
      <c r="JHM1626" s="1"/>
      <c r="JHN1626" s="1"/>
      <c r="JHO1626" s="1"/>
      <c r="JHP1626" s="1"/>
      <c r="JHQ1626" s="1"/>
      <c r="JHR1626" s="1"/>
      <c r="JHS1626" s="1"/>
      <c r="JHT1626" s="1"/>
      <c r="JHU1626" s="1"/>
      <c r="JHV1626" s="1"/>
      <c r="JHW1626" s="1"/>
      <c r="JHX1626" s="1"/>
      <c r="JHY1626" s="1"/>
      <c r="JHZ1626" s="1"/>
      <c r="JIA1626" s="1"/>
      <c r="JIB1626" s="1"/>
      <c r="JIC1626" s="1"/>
      <c r="JID1626" s="1"/>
      <c r="JIE1626" s="1"/>
      <c r="JIF1626" s="1"/>
      <c r="JIG1626" s="1"/>
      <c r="JIH1626" s="1"/>
      <c r="JII1626" s="1"/>
      <c r="JIJ1626" s="1"/>
      <c r="JIK1626" s="1"/>
      <c r="JIL1626" s="1"/>
      <c r="JIM1626" s="1"/>
      <c r="JIN1626" s="1"/>
      <c r="JIO1626" s="1"/>
      <c r="JIP1626" s="1"/>
      <c r="JIQ1626" s="1"/>
      <c r="JIR1626" s="1"/>
      <c r="JIS1626" s="1"/>
      <c r="JIT1626" s="1"/>
      <c r="JIU1626" s="1"/>
      <c r="JIV1626" s="1"/>
      <c r="JIW1626" s="1"/>
      <c r="JIX1626" s="1"/>
      <c r="JIY1626" s="1"/>
      <c r="JIZ1626" s="1"/>
      <c r="JJA1626" s="1"/>
      <c r="JJB1626" s="1"/>
      <c r="JJC1626" s="1"/>
      <c r="JJD1626" s="1"/>
      <c r="JJE1626" s="1"/>
      <c r="JJF1626" s="1"/>
      <c r="JJG1626" s="1"/>
      <c r="JJH1626" s="1"/>
      <c r="JJI1626" s="1"/>
      <c r="JJJ1626" s="1"/>
      <c r="JJK1626" s="1"/>
      <c r="JJL1626" s="1"/>
      <c r="JJM1626" s="1"/>
      <c r="JJN1626" s="1"/>
      <c r="JJO1626" s="1"/>
      <c r="JJP1626" s="1"/>
      <c r="JJQ1626" s="1"/>
      <c r="JJR1626" s="1"/>
      <c r="JJS1626" s="1"/>
      <c r="JJT1626" s="1"/>
      <c r="JJU1626" s="1"/>
      <c r="JJV1626" s="1"/>
      <c r="JJW1626" s="1"/>
      <c r="JJX1626" s="1"/>
      <c r="JJY1626" s="1"/>
      <c r="JJZ1626" s="1"/>
      <c r="JKA1626" s="1"/>
      <c r="JKB1626" s="1"/>
      <c r="JKC1626" s="1"/>
      <c r="JKD1626" s="1"/>
      <c r="JKE1626" s="1"/>
      <c r="JKF1626" s="1"/>
      <c r="JKG1626" s="1"/>
      <c r="JKH1626" s="1"/>
      <c r="JKI1626" s="1"/>
      <c r="JKJ1626" s="1"/>
      <c r="JKK1626" s="1"/>
      <c r="JKL1626" s="1"/>
      <c r="JKM1626" s="1"/>
      <c r="JKN1626" s="1"/>
      <c r="JKO1626" s="1"/>
      <c r="JKP1626" s="1"/>
      <c r="JKQ1626" s="1"/>
      <c r="JKR1626" s="1"/>
      <c r="JKS1626" s="1"/>
      <c r="JKT1626" s="1"/>
      <c r="JKU1626" s="1"/>
      <c r="JKV1626" s="1"/>
      <c r="JKW1626" s="1"/>
      <c r="JKX1626" s="1"/>
      <c r="JKY1626" s="1"/>
      <c r="JKZ1626" s="1"/>
      <c r="JLA1626" s="1"/>
      <c r="JLB1626" s="1"/>
      <c r="JLC1626" s="1"/>
      <c r="JLD1626" s="1"/>
      <c r="JLE1626" s="1"/>
      <c r="JLF1626" s="1"/>
      <c r="JLG1626" s="1"/>
      <c r="JLH1626" s="1"/>
      <c r="JLI1626" s="1"/>
      <c r="JLJ1626" s="1"/>
      <c r="JLK1626" s="1"/>
      <c r="JLL1626" s="1"/>
      <c r="JLM1626" s="1"/>
      <c r="JLN1626" s="1"/>
      <c r="JLO1626" s="1"/>
      <c r="JLP1626" s="1"/>
      <c r="JLQ1626" s="1"/>
      <c r="JLR1626" s="1"/>
      <c r="JLS1626" s="1"/>
      <c r="JLT1626" s="1"/>
      <c r="JLU1626" s="1"/>
      <c r="JLV1626" s="1"/>
      <c r="JLW1626" s="1"/>
      <c r="JLX1626" s="1"/>
      <c r="JLY1626" s="1"/>
      <c r="JLZ1626" s="1"/>
      <c r="JMA1626" s="1"/>
      <c r="JMB1626" s="1"/>
      <c r="JMC1626" s="1"/>
      <c r="JMD1626" s="1"/>
      <c r="JME1626" s="1"/>
      <c r="JMF1626" s="1"/>
      <c r="JMG1626" s="1"/>
      <c r="JMH1626" s="1"/>
      <c r="JMI1626" s="1"/>
      <c r="JMJ1626" s="1"/>
      <c r="JMK1626" s="1"/>
      <c r="JML1626" s="1"/>
      <c r="JMM1626" s="1"/>
      <c r="JMN1626" s="1"/>
      <c r="JMO1626" s="1"/>
      <c r="JMP1626" s="1"/>
      <c r="JMQ1626" s="1"/>
      <c r="JMR1626" s="1"/>
      <c r="JMS1626" s="1"/>
      <c r="JMT1626" s="1"/>
      <c r="JMU1626" s="1"/>
      <c r="JMV1626" s="1"/>
      <c r="JMW1626" s="1"/>
      <c r="JMX1626" s="1"/>
      <c r="JMY1626" s="1"/>
      <c r="JMZ1626" s="1"/>
      <c r="JNA1626" s="1"/>
      <c r="JNB1626" s="1"/>
      <c r="JNC1626" s="1"/>
      <c r="JND1626" s="1"/>
      <c r="JNE1626" s="1"/>
      <c r="JNF1626" s="1"/>
      <c r="JNG1626" s="1"/>
      <c r="JNH1626" s="1"/>
      <c r="JNI1626" s="1"/>
      <c r="JNJ1626" s="1"/>
      <c r="JNK1626" s="1"/>
      <c r="JNL1626" s="1"/>
      <c r="JNM1626" s="1"/>
      <c r="JNN1626" s="1"/>
      <c r="JNO1626" s="1"/>
      <c r="JNP1626" s="1"/>
      <c r="JNQ1626" s="1"/>
      <c r="JNR1626" s="1"/>
      <c r="JNS1626" s="1"/>
      <c r="JNT1626" s="1"/>
      <c r="JNU1626" s="1"/>
      <c r="JNV1626" s="1"/>
      <c r="JNW1626" s="1"/>
      <c r="JNX1626" s="1"/>
      <c r="JNY1626" s="1"/>
      <c r="JNZ1626" s="1"/>
      <c r="JOA1626" s="1"/>
      <c r="JOB1626" s="1"/>
      <c r="JOC1626" s="1"/>
      <c r="JOD1626" s="1"/>
      <c r="JOE1626" s="1"/>
      <c r="JOF1626" s="1"/>
      <c r="JOG1626" s="1"/>
      <c r="JOH1626" s="1"/>
      <c r="JOI1626" s="1"/>
      <c r="JOJ1626" s="1"/>
      <c r="JOK1626" s="1"/>
      <c r="JOL1626" s="1"/>
      <c r="JOM1626" s="1"/>
      <c r="JON1626" s="1"/>
      <c r="JOO1626" s="1"/>
      <c r="JOP1626" s="1"/>
      <c r="JOQ1626" s="1"/>
      <c r="JOR1626" s="1"/>
      <c r="JOS1626" s="1"/>
      <c r="JOT1626" s="1"/>
      <c r="JOU1626" s="1"/>
      <c r="JOV1626" s="1"/>
      <c r="JOW1626" s="1"/>
      <c r="JOX1626" s="1"/>
      <c r="JOY1626" s="1"/>
      <c r="JOZ1626" s="1"/>
      <c r="JPA1626" s="1"/>
      <c r="JPB1626" s="1"/>
      <c r="JPC1626" s="1"/>
      <c r="JPD1626" s="1"/>
      <c r="JPE1626" s="1"/>
      <c r="JPF1626" s="1"/>
      <c r="JPG1626" s="1"/>
      <c r="JPH1626" s="1"/>
      <c r="JPI1626" s="1"/>
      <c r="JPJ1626" s="1"/>
      <c r="JPK1626" s="1"/>
      <c r="JPL1626" s="1"/>
      <c r="JPM1626" s="1"/>
      <c r="JPN1626" s="1"/>
      <c r="JPO1626" s="1"/>
      <c r="JPP1626" s="1"/>
      <c r="JPQ1626" s="1"/>
      <c r="JPR1626" s="1"/>
      <c r="JPS1626" s="1"/>
      <c r="JPT1626" s="1"/>
      <c r="JPU1626" s="1"/>
      <c r="JPV1626" s="1"/>
      <c r="JPW1626" s="1"/>
      <c r="JPX1626" s="1"/>
      <c r="JPY1626" s="1"/>
      <c r="JPZ1626" s="1"/>
      <c r="JQA1626" s="1"/>
      <c r="JQB1626" s="1"/>
      <c r="JQC1626" s="1"/>
      <c r="JQD1626" s="1"/>
      <c r="JQE1626" s="1"/>
      <c r="JQF1626" s="1"/>
      <c r="JQG1626" s="1"/>
      <c r="JQH1626" s="1"/>
      <c r="JQI1626" s="1"/>
      <c r="JQJ1626" s="1"/>
      <c r="JQK1626" s="1"/>
      <c r="JQL1626" s="1"/>
      <c r="JQM1626" s="1"/>
      <c r="JQN1626" s="1"/>
      <c r="JQO1626" s="1"/>
      <c r="JQP1626" s="1"/>
      <c r="JQQ1626" s="1"/>
      <c r="JQR1626" s="1"/>
      <c r="JQS1626" s="1"/>
      <c r="JQT1626" s="1"/>
      <c r="JQU1626" s="1"/>
      <c r="JQV1626" s="1"/>
      <c r="JQW1626" s="1"/>
      <c r="JQX1626" s="1"/>
      <c r="JQY1626" s="1"/>
      <c r="JQZ1626" s="1"/>
      <c r="JRA1626" s="1"/>
      <c r="JRB1626" s="1"/>
      <c r="JRC1626" s="1"/>
      <c r="JRD1626" s="1"/>
      <c r="JRE1626" s="1"/>
      <c r="JRF1626" s="1"/>
      <c r="JRG1626" s="1"/>
      <c r="JRH1626" s="1"/>
      <c r="JRI1626" s="1"/>
      <c r="JRJ1626" s="1"/>
      <c r="JRK1626" s="1"/>
      <c r="JRL1626" s="1"/>
      <c r="JRM1626" s="1"/>
      <c r="JRN1626" s="1"/>
      <c r="JRO1626" s="1"/>
      <c r="JRP1626" s="1"/>
      <c r="JRQ1626" s="1"/>
      <c r="JRR1626" s="1"/>
      <c r="JRS1626" s="1"/>
      <c r="JRT1626" s="1"/>
      <c r="JRU1626" s="1"/>
      <c r="JRV1626" s="1"/>
      <c r="JRW1626" s="1"/>
      <c r="JRX1626" s="1"/>
      <c r="JRY1626" s="1"/>
      <c r="JRZ1626" s="1"/>
      <c r="JSA1626" s="1"/>
      <c r="JSB1626" s="1"/>
      <c r="JSC1626" s="1"/>
      <c r="JSD1626" s="1"/>
      <c r="JSE1626" s="1"/>
      <c r="JSF1626" s="1"/>
      <c r="JSG1626" s="1"/>
      <c r="JSH1626" s="1"/>
      <c r="JSI1626" s="1"/>
      <c r="JSJ1626" s="1"/>
      <c r="JSK1626" s="1"/>
      <c r="JSL1626" s="1"/>
      <c r="JSM1626" s="1"/>
      <c r="JSN1626" s="1"/>
      <c r="JSO1626" s="1"/>
      <c r="JSP1626" s="1"/>
      <c r="JSQ1626" s="1"/>
      <c r="JSR1626" s="1"/>
      <c r="JSS1626" s="1"/>
      <c r="JST1626" s="1"/>
      <c r="JSU1626" s="1"/>
      <c r="JSV1626" s="1"/>
      <c r="JSW1626" s="1"/>
      <c r="JSX1626" s="1"/>
      <c r="JSY1626" s="1"/>
      <c r="JSZ1626" s="1"/>
      <c r="JTA1626" s="1"/>
      <c r="JTB1626" s="1"/>
      <c r="JTC1626" s="1"/>
      <c r="JTD1626" s="1"/>
      <c r="JTE1626" s="1"/>
      <c r="JTF1626" s="1"/>
      <c r="JTG1626" s="1"/>
      <c r="JTH1626" s="1"/>
      <c r="JTI1626" s="1"/>
      <c r="JTJ1626" s="1"/>
      <c r="JTK1626" s="1"/>
      <c r="JTL1626" s="1"/>
      <c r="JTM1626" s="1"/>
      <c r="JTN1626" s="1"/>
      <c r="JTO1626" s="1"/>
      <c r="JTP1626" s="1"/>
      <c r="JTQ1626" s="1"/>
      <c r="JTR1626" s="1"/>
      <c r="JTS1626" s="1"/>
      <c r="JTT1626" s="1"/>
      <c r="JTU1626" s="1"/>
      <c r="JTV1626" s="1"/>
      <c r="JTW1626" s="1"/>
      <c r="JTX1626" s="1"/>
      <c r="JTY1626" s="1"/>
      <c r="JTZ1626" s="1"/>
      <c r="JUA1626" s="1"/>
      <c r="JUB1626" s="1"/>
      <c r="JUC1626" s="1"/>
      <c r="JUD1626" s="1"/>
      <c r="JUE1626" s="1"/>
      <c r="JUF1626" s="1"/>
      <c r="JUG1626" s="1"/>
      <c r="JUH1626" s="1"/>
      <c r="JUI1626" s="1"/>
      <c r="JUJ1626" s="1"/>
      <c r="JUK1626" s="1"/>
      <c r="JUL1626" s="1"/>
      <c r="JUM1626" s="1"/>
      <c r="JUN1626" s="1"/>
      <c r="JUO1626" s="1"/>
      <c r="JUP1626" s="1"/>
      <c r="JUQ1626" s="1"/>
      <c r="JUR1626" s="1"/>
      <c r="JUS1626" s="1"/>
      <c r="JUT1626" s="1"/>
      <c r="JUU1626" s="1"/>
      <c r="JUV1626" s="1"/>
      <c r="JUW1626" s="1"/>
      <c r="JUX1626" s="1"/>
      <c r="JUY1626" s="1"/>
      <c r="JUZ1626" s="1"/>
      <c r="JVA1626" s="1"/>
      <c r="JVB1626" s="1"/>
      <c r="JVC1626" s="1"/>
      <c r="JVD1626" s="1"/>
      <c r="JVE1626" s="1"/>
      <c r="JVF1626" s="1"/>
      <c r="JVG1626" s="1"/>
      <c r="JVH1626" s="1"/>
      <c r="JVI1626" s="1"/>
      <c r="JVJ1626" s="1"/>
      <c r="JVK1626" s="1"/>
      <c r="JVL1626" s="1"/>
      <c r="JVM1626" s="1"/>
      <c r="JVN1626" s="1"/>
      <c r="JVO1626" s="1"/>
      <c r="JVP1626" s="1"/>
      <c r="JVQ1626" s="1"/>
      <c r="JVR1626" s="1"/>
      <c r="JVS1626" s="1"/>
      <c r="JVT1626" s="1"/>
      <c r="JVU1626" s="1"/>
      <c r="JVV1626" s="1"/>
      <c r="JVW1626" s="1"/>
      <c r="JVX1626" s="1"/>
      <c r="JVY1626" s="1"/>
      <c r="JVZ1626" s="1"/>
      <c r="JWA1626" s="1"/>
      <c r="JWB1626" s="1"/>
      <c r="JWC1626" s="1"/>
      <c r="JWD1626" s="1"/>
      <c r="JWE1626" s="1"/>
      <c r="JWF1626" s="1"/>
      <c r="JWG1626" s="1"/>
      <c r="JWH1626" s="1"/>
      <c r="JWI1626" s="1"/>
      <c r="JWJ1626" s="1"/>
      <c r="JWK1626" s="1"/>
      <c r="JWL1626" s="1"/>
      <c r="JWM1626" s="1"/>
      <c r="JWN1626" s="1"/>
      <c r="JWO1626" s="1"/>
      <c r="JWP1626" s="1"/>
      <c r="JWQ1626" s="1"/>
      <c r="JWR1626" s="1"/>
      <c r="JWS1626" s="1"/>
      <c r="JWT1626" s="1"/>
      <c r="JWU1626" s="1"/>
      <c r="JWV1626" s="1"/>
      <c r="JWW1626" s="1"/>
      <c r="JWX1626" s="1"/>
      <c r="JWY1626" s="1"/>
      <c r="JWZ1626" s="1"/>
      <c r="JXA1626" s="1"/>
      <c r="JXB1626" s="1"/>
      <c r="JXC1626" s="1"/>
      <c r="JXD1626" s="1"/>
      <c r="JXE1626" s="1"/>
      <c r="JXF1626" s="1"/>
      <c r="JXG1626" s="1"/>
      <c r="JXH1626" s="1"/>
      <c r="JXI1626" s="1"/>
      <c r="JXJ1626" s="1"/>
      <c r="JXK1626" s="1"/>
      <c r="JXL1626" s="1"/>
      <c r="JXM1626" s="1"/>
      <c r="JXN1626" s="1"/>
      <c r="JXO1626" s="1"/>
      <c r="JXP1626" s="1"/>
      <c r="JXQ1626" s="1"/>
      <c r="JXR1626" s="1"/>
      <c r="JXS1626" s="1"/>
      <c r="JXT1626" s="1"/>
      <c r="JXU1626" s="1"/>
      <c r="JXV1626" s="1"/>
      <c r="JXW1626" s="1"/>
      <c r="JXX1626" s="1"/>
      <c r="JXY1626" s="1"/>
      <c r="JXZ1626" s="1"/>
      <c r="JYA1626" s="1"/>
      <c r="JYB1626" s="1"/>
      <c r="JYC1626" s="1"/>
      <c r="JYD1626" s="1"/>
      <c r="JYE1626" s="1"/>
      <c r="JYF1626" s="1"/>
      <c r="JYG1626" s="1"/>
      <c r="JYH1626" s="1"/>
      <c r="JYI1626" s="1"/>
      <c r="JYJ1626" s="1"/>
      <c r="JYK1626" s="1"/>
      <c r="JYL1626" s="1"/>
      <c r="JYM1626" s="1"/>
      <c r="JYN1626" s="1"/>
      <c r="JYO1626" s="1"/>
      <c r="JYP1626" s="1"/>
      <c r="JYQ1626" s="1"/>
      <c r="JYR1626" s="1"/>
      <c r="JYS1626" s="1"/>
      <c r="JYT1626" s="1"/>
      <c r="JYU1626" s="1"/>
      <c r="JYV1626" s="1"/>
      <c r="JYW1626" s="1"/>
      <c r="JYX1626" s="1"/>
      <c r="JYY1626" s="1"/>
      <c r="JYZ1626" s="1"/>
      <c r="JZA1626" s="1"/>
      <c r="JZB1626" s="1"/>
      <c r="JZC1626" s="1"/>
      <c r="JZD1626" s="1"/>
      <c r="JZE1626" s="1"/>
      <c r="JZF1626" s="1"/>
      <c r="JZG1626" s="1"/>
      <c r="JZH1626" s="1"/>
      <c r="JZI1626" s="1"/>
      <c r="JZJ1626" s="1"/>
      <c r="JZK1626" s="1"/>
      <c r="JZL1626" s="1"/>
      <c r="JZM1626" s="1"/>
      <c r="JZN1626" s="1"/>
      <c r="JZO1626" s="1"/>
      <c r="JZP1626" s="1"/>
      <c r="JZQ1626" s="1"/>
      <c r="JZR1626" s="1"/>
      <c r="JZS1626" s="1"/>
      <c r="JZT1626" s="1"/>
      <c r="JZU1626" s="1"/>
      <c r="JZV1626" s="1"/>
      <c r="JZW1626" s="1"/>
      <c r="JZX1626" s="1"/>
      <c r="JZY1626" s="1"/>
      <c r="JZZ1626" s="1"/>
      <c r="KAA1626" s="1"/>
      <c r="KAB1626" s="1"/>
      <c r="KAC1626" s="1"/>
      <c r="KAD1626" s="1"/>
      <c r="KAE1626" s="1"/>
      <c r="KAF1626" s="1"/>
      <c r="KAG1626" s="1"/>
      <c r="KAH1626" s="1"/>
      <c r="KAI1626" s="1"/>
      <c r="KAJ1626" s="1"/>
      <c r="KAK1626" s="1"/>
      <c r="KAL1626" s="1"/>
      <c r="KAM1626" s="1"/>
      <c r="KAN1626" s="1"/>
      <c r="KAO1626" s="1"/>
      <c r="KAP1626" s="1"/>
      <c r="KAQ1626" s="1"/>
      <c r="KAR1626" s="1"/>
      <c r="KAS1626" s="1"/>
      <c r="KAT1626" s="1"/>
      <c r="KAU1626" s="1"/>
      <c r="KAV1626" s="1"/>
      <c r="KAW1626" s="1"/>
      <c r="KAX1626" s="1"/>
      <c r="KAY1626" s="1"/>
      <c r="KAZ1626" s="1"/>
      <c r="KBA1626" s="1"/>
      <c r="KBB1626" s="1"/>
      <c r="KBC1626" s="1"/>
      <c r="KBD1626" s="1"/>
      <c r="KBE1626" s="1"/>
      <c r="KBF1626" s="1"/>
      <c r="KBG1626" s="1"/>
      <c r="KBH1626" s="1"/>
      <c r="KBI1626" s="1"/>
      <c r="KBJ1626" s="1"/>
      <c r="KBK1626" s="1"/>
      <c r="KBL1626" s="1"/>
      <c r="KBM1626" s="1"/>
      <c r="KBN1626" s="1"/>
      <c r="KBO1626" s="1"/>
      <c r="KBP1626" s="1"/>
      <c r="KBQ1626" s="1"/>
      <c r="KBR1626" s="1"/>
      <c r="KBS1626" s="1"/>
      <c r="KBT1626" s="1"/>
      <c r="KBU1626" s="1"/>
      <c r="KBV1626" s="1"/>
      <c r="KBW1626" s="1"/>
      <c r="KBX1626" s="1"/>
      <c r="KBY1626" s="1"/>
      <c r="KBZ1626" s="1"/>
      <c r="KCA1626" s="1"/>
      <c r="KCB1626" s="1"/>
      <c r="KCC1626" s="1"/>
      <c r="KCD1626" s="1"/>
      <c r="KCE1626" s="1"/>
      <c r="KCF1626" s="1"/>
      <c r="KCG1626" s="1"/>
      <c r="KCH1626" s="1"/>
      <c r="KCI1626" s="1"/>
      <c r="KCJ1626" s="1"/>
      <c r="KCK1626" s="1"/>
      <c r="KCL1626" s="1"/>
      <c r="KCM1626" s="1"/>
      <c r="KCN1626" s="1"/>
      <c r="KCO1626" s="1"/>
      <c r="KCP1626" s="1"/>
      <c r="KCQ1626" s="1"/>
      <c r="KCR1626" s="1"/>
      <c r="KCS1626" s="1"/>
      <c r="KCT1626" s="1"/>
      <c r="KCU1626" s="1"/>
      <c r="KCV1626" s="1"/>
      <c r="KCW1626" s="1"/>
      <c r="KCX1626" s="1"/>
      <c r="KCY1626" s="1"/>
      <c r="KCZ1626" s="1"/>
      <c r="KDA1626" s="1"/>
      <c r="KDB1626" s="1"/>
      <c r="KDC1626" s="1"/>
      <c r="KDD1626" s="1"/>
      <c r="KDE1626" s="1"/>
      <c r="KDF1626" s="1"/>
      <c r="KDG1626" s="1"/>
      <c r="KDH1626" s="1"/>
      <c r="KDI1626" s="1"/>
      <c r="KDJ1626" s="1"/>
      <c r="KDK1626" s="1"/>
      <c r="KDL1626" s="1"/>
      <c r="KDM1626" s="1"/>
      <c r="KDN1626" s="1"/>
      <c r="KDO1626" s="1"/>
      <c r="KDP1626" s="1"/>
      <c r="KDQ1626" s="1"/>
      <c r="KDR1626" s="1"/>
      <c r="KDS1626" s="1"/>
      <c r="KDT1626" s="1"/>
      <c r="KDU1626" s="1"/>
      <c r="KDV1626" s="1"/>
      <c r="KDW1626" s="1"/>
      <c r="KDX1626" s="1"/>
      <c r="KDY1626" s="1"/>
      <c r="KDZ1626" s="1"/>
      <c r="KEA1626" s="1"/>
      <c r="KEB1626" s="1"/>
      <c r="KEC1626" s="1"/>
      <c r="KED1626" s="1"/>
      <c r="KEE1626" s="1"/>
      <c r="KEF1626" s="1"/>
      <c r="KEG1626" s="1"/>
      <c r="KEH1626" s="1"/>
      <c r="KEI1626" s="1"/>
      <c r="KEJ1626" s="1"/>
      <c r="KEK1626" s="1"/>
      <c r="KEL1626" s="1"/>
      <c r="KEM1626" s="1"/>
      <c r="KEN1626" s="1"/>
      <c r="KEO1626" s="1"/>
      <c r="KEP1626" s="1"/>
      <c r="KEQ1626" s="1"/>
      <c r="KER1626" s="1"/>
      <c r="KES1626" s="1"/>
      <c r="KET1626" s="1"/>
      <c r="KEU1626" s="1"/>
      <c r="KEV1626" s="1"/>
      <c r="KEW1626" s="1"/>
      <c r="KEX1626" s="1"/>
      <c r="KEY1626" s="1"/>
      <c r="KEZ1626" s="1"/>
      <c r="KFA1626" s="1"/>
      <c r="KFB1626" s="1"/>
      <c r="KFC1626" s="1"/>
      <c r="KFD1626" s="1"/>
      <c r="KFE1626" s="1"/>
      <c r="KFF1626" s="1"/>
      <c r="KFG1626" s="1"/>
      <c r="KFH1626" s="1"/>
      <c r="KFI1626" s="1"/>
      <c r="KFJ1626" s="1"/>
      <c r="KFK1626" s="1"/>
      <c r="KFL1626" s="1"/>
      <c r="KFM1626" s="1"/>
      <c r="KFN1626" s="1"/>
      <c r="KFO1626" s="1"/>
      <c r="KFP1626" s="1"/>
      <c r="KFQ1626" s="1"/>
      <c r="KFR1626" s="1"/>
      <c r="KFS1626" s="1"/>
      <c r="KFT1626" s="1"/>
      <c r="KFU1626" s="1"/>
      <c r="KFV1626" s="1"/>
      <c r="KFW1626" s="1"/>
      <c r="KFX1626" s="1"/>
      <c r="KFY1626" s="1"/>
      <c r="KFZ1626" s="1"/>
      <c r="KGA1626" s="1"/>
      <c r="KGB1626" s="1"/>
      <c r="KGC1626" s="1"/>
      <c r="KGD1626" s="1"/>
      <c r="KGE1626" s="1"/>
      <c r="KGF1626" s="1"/>
      <c r="KGG1626" s="1"/>
      <c r="KGH1626" s="1"/>
      <c r="KGI1626" s="1"/>
      <c r="KGJ1626" s="1"/>
      <c r="KGK1626" s="1"/>
      <c r="KGL1626" s="1"/>
      <c r="KGM1626" s="1"/>
      <c r="KGN1626" s="1"/>
      <c r="KGO1626" s="1"/>
      <c r="KGP1626" s="1"/>
      <c r="KGQ1626" s="1"/>
      <c r="KGR1626" s="1"/>
      <c r="KGS1626" s="1"/>
      <c r="KGT1626" s="1"/>
      <c r="KGU1626" s="1"/>
      <c r="KGV1626" s="1"/>
      <c r="KGW1626" s="1"/>
      <c r="KGX1626" s="1"/>
      <c r="KGY1626" s="1"/>
      <c r="KGZ1626" s="1"/>
      <c r="KHA1626" s="1"/>
      <c r="KHB1626" s="1"/>
      <c r="KHC1626" s="1"/>
      <c r="KHD1626" s="1"/>
      <c r="KHE1626" s="1"/>
      <c r="KHF1626" s="1"/>
      <c r="KHG1626" s="1"/>
      <c r="KHH1626" s="1"/>
      <c r="KHI1626" s="1"/>
      <c r="KHJ1626" s="1"/>
      <c r="KHK1626" s="1"/>
      <c r="KHL1626" s="1"/>
      <c r="KHM1626" s="1"/>
      <c r="KHN1626" s="1"/>
      <c r="KHO1626" s="1"/>
      <c r="KHP1626" s="1"/>
      <c r="KHQ1626" s="1"/>
      <c r="KHR1626" s="1"/>
      <c r="KHS1626" s="1"/>
      <c r="KHT1626" s="1"/>
      <c r="KHU1626" s="1"/>
      <c r="KHV1626" s="1"/>
      <c r="KHW1626" s="1"/>
      <c r="KHX1626" s="1"/>
      <c r="KHY1626" s="1"/>
      <c r="KHZ1626" s="1"/>
      <c r="KIA1626" s="1"/>
      <c r="KIB1626" s="1"/>
      <c r="KIC1626" s="1"/>
      <c r="KID1626" s="1"/>
      <c r="KIE1626" s="1"/>
      <c r="KIF1626" s="1"/>
      <c r="KIG1626" s="1"/>
      <c r="KIH1626" s="1"/>
      <c r="KII1626" s="1"/>
      <c r="KIJ1626" s="1"/>
      <c r="KIK1626" s="1"/>
      <c r="KIL1626" s="1"/>
      <c r="KIM1626" s="1"/>
      <c r="KIN1626" s="1"/>
      <c r="KIO1626" s="1"/>
      <c r="KIP1626" s="1"/>
      <c r="KIQ1626" s="1"/>
      <c r="KIR1626" s="1"/>
      <c r="KIS1626" s="1"/>
      <c r="KIT1626" s="1"/>
      <c r="KIU1626" s="1"/>
      <c r="KIV1626" s="1"/>
      <c r="KIW1626" s="1"/>
      <c r="KIX1626" s="1"/>
      <c r="KIY1626" s="1"/>
      <c r="KIZ1626" s="1"/>
      <c r="KJA1626" s="1"/>
      <c r="KJB1626" s="1"/>
      <c r="KJC1626" s="1"/>
      <c r="KJD1626" s="1"/>
      <c r="KJE1626" s="1"/>
      <c r="KJF1626" s="1"/>
      <c r="KJG1626" s="1"/>
      <c r="KJH1626" s="1"/>
      <c r="KJI1626" s="1"/>
      <c r="KJJ1626" s="1"/>
      <c r="KJK1626" s="1"/>
      <c r="KJL1626" s="1"/>
      <c r="KJM1626" s="1"/>
      <c r="KJN1626" s="1"/>
      <c r="KJO1626" s="1"/>
      <c r="KJP1626" s="1"/>
      <c r="KJQ1626" s="1"/>
      <c r="KJR1626" s="1"/>
      <c r="KJS1626" s="1"/>
      <c r="KJT1626" s="1"/>
      <c r="KJU1626" s="1"/>
      <c r="KJV1626" s="1"/>
      <c r="KJW1626" s="1"/>
      <c r="KJX1626" s="1"/>
      <c r="KJY1626" s="1"/>
      <c r="KJZ1626" s="1"/>
      <c r="KKA1626" s="1"/>
      <c r="KKB1626" s="1"/>
      <c r="KKC1626" s="1"/>
      <c r="KKD1626" s="1"/>
      <c r="KKE1626" s="1"/>
      <c r="KKF1626" s="1"/>
      <c r="KKG1626" s="1"/>
      <c r="KKH1626" s="1"/>
      <c r="KKI1626" s="1"/>
      <c r="KKJ1626" s="1"/>
      <c r="KKK1626" s="1"/>
      <c r="KKL1626" s="1"/>
      <c r="KKM1626" s="1"/>
      <c r="KKN1626" s="1"/>
      <c r="KKO1626" s="1"/>
      <c r="KKP1626" s="1"/>
      <c r="KKQ1626" s="1"/>
      <c r="KKR1626" s="1"/>
      <c r="KKS1626" s="1"/>
      <c r="KKT1626" s="1"/>
      <c r="KKU1626" s="1"/>
      <c r="KKV1626" s="1"/>
      <c r="KKW1626" s="1"/>
      <c r="KKX1626" s="1"/>
      <c r="KKY1626" s="1"/>
      <c r="KKZ1626" s="1"/>
      <c r="KLA1626" s="1"/>
      <c r="KLB1626" s="1"/>
      <c r="KLC1626" s="1"/>
      <c r="KLD1626" s="1"/>
      <c r="KLE1626" s="1"/>
      <c r="KLF1626" s="1"/>
      <c r="KLG1626" s="1"/>
      <c r="KLH1626" s="1"/>
      <c r="KLI1626" s="1"/>
      <c r="KLJ1626" s="1"/>
      <c r="KLK1626" s="1"/>
      <c r="KLL1626" s="1"/>
      <c r="KLM1626" s="1"/>
      <c r="KLN1626" s="1"/>
      <c r="KLO1626" s="1"/>
      <c r="KLP1626" s="1"/>
      <c r="KLQ1626" s="1"/>
      <c r="KLR1626" s="1"/>
      <c r="KLS1626" s="1"/>
      <c r="KLT1626" s="1"/>
      <c r="KLU1626" s="1"/>
      <c r="KLV1626" s="1"/>
      <c r="KLW1626" s="1"/>
      <c r="KLX1626" s="1"/>
      <c r="KLY1626" s="1"/>
      <c r="KLZ1626" s="1"/>
      <c r="KMA1626" s="1"/>
      <c r="KMB1626" s="1"/>
      <c r="KMC1626" s="1"/>
      <c r="KMD1626" s="1"/>
      <c r="KME1626" s="1"/>
      <c r="KMF1626" s="1"/>
      <c r="KMG1626" s="1"/>
      <c r="KMH1626" s="1"/>
      <c r="KMI1626" s="1"/>
      <c r="KMJ1626" s="1"/>
      <c r="KMK1626" s="1"/>
      <c r="KML1626" s="1"/>
      <c r="KMM1626" s="1"/>
      <c r="KMN1626" s="1"/>
      <c r="KMO1626" s="1"/>
      <c r="KMP1626" s="1"/>
      <c r="KMQ1626" s="1"/>
      <c r="KMR1626" s="1"/>
      <c r="KMS1626" s="1"/>
      <c r="KMT1626" s="1"/>
      <c r="KMU1626" s="1"/>
      <c r="KMV1626" s="1"/>
      <c r="KMW1626" s="1"/>
      <c r="KMX1626" s="1"/>
      <c r="KMY1626" s="1"/>
      <c r="KMZ1626" s="1"/>
      <c r="KNA1626" s="1"/>
      <c r="KNB1626" s="1"/>
      <c r="KNC1626" s="1"/>
      <c r="KND1626" s="1"/>
      <c r="KNE1626" s="1"/>
      <c r="KNF1626" s="1"/>
      <c r="KNG1626" s="1"/>
      <c r="KNH1626" s="1"/>
      <c r="KNI1626" s="1"/>
      <c r="KNJ1626" s="1"/>
      <c r="KNK1626" s="1"/>
      <c r="KNL1626" s="1"/>
      <c r="KNM1626" s="1"/>
      <c r="KNN1626" s="1"/>
      <c r="KNO1626" s="1"/>
      <c r="KNP1626" s="1"/>
      <c r="KNQ1626" s="1"/>
      <c r="KNR1626" s="1"/>
      <c r="KNS1626" s="1"/>
      <c r="KNT1626" s="1"/>
      <c r="KNU1626" s="1"/>
      <c r="KNV1626" s="1"/>
      <c r="KNW1626" s="1"/>
      <c r="KNX1626" s="1"/>
      <c r="KNY1626" s="1"/>
      <c r="KNZ1626" s="1"/>
      <c r="KOA1626" s="1"/>
      <c r="KOB1626" s="1"/>
      <c r="KOC1626" s="1"/>
      <c r="KOD1626" s="1"/>
      <c r="KOE1626" s="1"/>
      <c r="KOF1626" s="1"/>
      <c r="KOG1626" s="1"/>
      <c r="KOH1626" s="1"/>
      <c r="KOI1626" s="1"/>
      <c r="KOJ1626" s="1"/>
      <c r="KOK1626" s="1"/>
      <c r="KOL1626" s="1"/>
      <c r="KOM1626" s="1"/>
      <c r="KON1626" s="1"/>
      <c r="KOO1626" s="1"/>
      <c r="KOP1626" s="1"/>
      <c r="KOQ1626" s="1"/>
      <c r="KOR1626" s="1"/>
      <c r="KOS1626" s="1"/>
      <c r="KOT1626" s="1"/>
      <c r="KOU1626" s="1"/>
      <c r="KOV1626" s="1"/>
      <c r="KOW1626" s="1"/>
      <c r="KOX1626" s="1"/>
      <c r="KOY1626" s="1"/>
      <c r="KOZ1626" s="1"/>
      <c r="KPA1626" s="1"/>
      <c r="KPB1626" s="1"/>
      <c r="KPC1626" s="1"/>
      <c r="KPD1626" s="1"/>
      <c r="KPE1626" s="1"/>
      <c r="KPF1626" s="1"/>
      <c r="KPG1626" s="1"/>
      <c r="KPH1626" s="1"/>
      <c r="KPI1626" s="1"/>
      <c r="KPJ1626" s="1"/>
      <c r="KPK1626" s="1"/>
      <c r="KPL1626" s="1"/>
      <c r="KPM1626" s="1"/>
      <c r="KPN1626" s="1"/>
      <c r="KPO1626" s="1"/>
      <c r="KPP1626" s="1"/>
      <c r="KPQ1626" s="1"/>
      <c r="KPR1626" s="1"/>
      <c r="KPS1626" s="1"/>
      <c r="KPT1626" s="1"/>
      <c r="KPU1626" s="1"/>
      <c r="KPV1626" s="1"/>
      <c r="KPW1626" s="1"/>
      <c r="KPX1626" s="1"/>
      <c r="KPY1626" s="1"/>
      <c r="KPZ1626" s="1"/>
      <c r="KQA1626" s="1"/>
      <c r="KQB1626" s="1"/>
      <c r="KQC1626" s="1"/>
      <c r="KQD1626" s="1"/>
      <c r="KQE1626" s="1"/>
      <c r="KQF1626" s="1"/>
      <c r="KQG1626" s="1"/>
      <c r="KQH1626" s="1"/>
      <c r="KQI1626" s="1"/>
      <c r="KQJ1626" s="1"/>
      <c r="KQK1626" s="1"/>
      <c r="KQL1626" s="1"/>
      <c r="KQM1626" s="1"/>
      <c r="KQN1626" s="1"/>
      <c r="KQO1626" s="1"/>
      <c r="KQP1626" s="1"/>
      <c r="KQQ1626" s="1"/>
      <c r="KQR1626" s="1"/>
      <c r="KQS1626" s="1"/>
      <c r="KQT1626" s="1"/>
      <c r="KQU1626" s="1"/>
      <c r="KQV1626" s="1"/>
      <c r="KQW1626" s="1"/>
      <c r="KQX1626" s="1"/>
      <c r="KQY1626" s="1"/>
      <c r="KQZ1626" s="1"/>
      <c r="KRA1626" s="1"/>
      <c r="KRB1626" s="1"/>
      <c r="KRC1626" s="1"/>
      <c r="KRD1626" s="1"/>
      <c r="KRE1626" s="1"/>
      <c r="KRF1626" s="1"/>
      <c r="KRG1626" s="1"/>
      <c r="KRH1626" s="1"/>
      <c r="KRI1626" s="1"/>
      <c r="KRJ1626" s="1"/>
      <c r="KRK1626" s="1"/>
      <c r="KRL1626" s="1"/>
      <c r="KRM1626" s="1"/>
      <c r="KRN1626" s="1"/>
      <c r="KRO1626" s="1"/>
      <c r="KRP1626" s="1"/>
      <c r="KRQ1626" s="1"/>
      <c r="KRR1626" s="1"/>
      <c r="KRS1626" s="1"/>
      <c r="KRT1626" s="1"/>
      <c r="KRU1626" s="1"/>
      <c r="KRV1626" s="1"/>
      <c r="KRW1626" s="1"/>
      <c r="KRX1626" s="1"/>
      <c r="KRY1626" s="1"/>
      <c r="KRZ1626" s="1"/>
      <c r="KSA1626" s="1"/>
      <c r="KSB1626" s="1"/>
      <c r="KSC1626" s="1"/>
      <c r="KSD1626" s="1"/>
      <c r="KSE1626" s="1"/>
      <c r="KSF1626" s="1"/>
      <c r="KSG1626" s="1"/>
      <c r="KSH1626" s="1"/>
      <c r="KSI1626" s="1"/>
      <c r="KSJ1626" s="1"/>
      <c r="KSK1626" s="1"/>
      <c r="KSL1626" s="1"/>
      <c r="KSM1626" s="1"/>
      <c r="KSN1626" s="1"/>
      <c r="KSO1626" s="1"/>
      <c r="KSP1626" s="1"/>
      <c r="KSQ1626" s="1"/>
      <c r="KSR1626" s="1"/>
      <c r="KSS1626" s="1"/>
      <c r="KST1626" s="1"/>
      <c r="KSU1626" s="1"/>
      <c r="KSV1626" s="1"/>
      <c r="KSW1626" s="1"/>
      <c r="KSX1626" s="1"/>
      <c r="KSY1626" s="1"/>
      <c r="KSZ1626" s="1"/>
      <c r="KTA1626" s="1"/>
      <c r="KTB1626" s="1"/>
      <c r="KTC1626" s="1"/>
      <c r="KTD1626" s="1"/>
      <c r="KTE1626" s="1"/>
      <c r="KTF1626" s="1"/>
      <c r="KTG1626" s="1"/>
      <c r="KTH1626" s="1"/>
      <c r="KTI1626" s="1"/>
      <c r="KTJ1626" s="1"/>
      <c r="KTK1626" s="1"/>
      <c r="KTL1626" s="1"/>
      <c r="KTM1626" s="1"/>
      <c r="KTN1626" s="1"/>
      <c r="KTO1626" s="1"/>
      <c r="KTP1626" s="1"/>
      <c r="KTQ1626" s="1"/>
      <c r="KTR1626" s="1"/>
      <c r="KTS1626" s="1"/>
      <c r="KTT1626" s="1"/>
      <c r="KTU1626" s="1"/>
      <c r="KTV1626" s="1"/>
      <c r="KTW1626" s="1"/>
      <c r="KTX1626" s="1"/>
      <c r="KTY1626" s="1"/>
      <c r="KTZ1626" s="1"/>
      <c r="KUA1626" s="1"/>
      <c r="KUB1626" s="1"/>
      <c r="KUC1626" s="1"/>
      <c r="KUD1626" s="1"/>
      <c r="KUE1626" s="1"/>
      <c r="KUF1626" s="1"/>
      <c r="KUG1626" s="1"/>
      <c r="KUH1626" s="1"/>
      <c r="KUI1626" s="1"/>
      <c r="KUJ1626" s="1"/>
      <c r="KUK1626" s="1"/>
      <c r="KUL1626" s="1"/>
      <c r="KUM1626" s="1"/>
      <c r="KUN1626" s="1"/>
      <c r="KUO1626" s="1"/>
      <c r="KUP1626" s="1"/>
      <c r="KUQ1626" s="1"/>
      <c r="KUR1626" s="1"/>
      <c r="KUS1626" s="1"/>
      <c r="KUT1626" s="1"/>
      <c r="KUU1626" s="1"/>
      <c r="KUV1626" s="1"/>
      <c r="KUW1626" s="1"/>
      <c r="KUX1626" s="1"/>
      <c r="KUY1626" s="1"/>
      <c r="KUZ1626" s="1"/>
      <c r="KVA1626" s="1"/>
      <c r="KVB1626" s="1"/>
      <c r="KVC1626" s="1"/>
      <c r="KVD1626" s="1"/>
      <c r="KVE1626" s="1"/>
      <c r="KVF1626" s="1"/>
      <c r="KVG1626" s="1"/>
      <c r="KVH1626" s="1"/>
      <c r="KVI1626" s="1"/>
      <c r="KVJ1626" s="1"/>
      <c r="KVK1626" s="1"/>
      <c r="KVL1626" s="1"/>
      <c r="KVM1626" s="1"/>
      <c r="KVN1626" s="1"/>
      <c r="KVO1626" s="1"/>
      <c r="KVP1626" s="1"/>
      <c r="KVQ1626" s="1"/>
      <c r="KVR1626" s="1"/>
      <c r="KVS1626" s="1"/>
      <c r="KVT1626" s="1"/>
      <c r="KVU1626" s="1"/>
      <c r="KVV1626" s="1"/>
      <c r="KVW1626" s="1"/>
      <c r="KVX1626" s="1"/>
      <c r="KVY1626" s="1"/>
      <c r="KVZ1626" s="1"/>
      <c r="KWA1626" s="1"/>
      <c r="KWB1626" s="1"/>
      <c r="KWC1626" s="1"/>
      <c r="KWD1626" s="1"/>
      <c r="KWE1626" s="1"/>
      <c r="KWF1626" s="1"/>
      <c r="KWG1626" s="1"/>
      <c r="KWH1626" s="1"/>
      <c r="KWI1626" s="1"/>
      <c r="KWJ1626" s="1"/>
      <c r="KWK1626" s="1"/>
      <c r="KWL1626" s="1"/>
      <c r="KWM1626" s="1"/>
      <c r="KWN1626" s="1"/>
      <c r="KWO1626" s="1"/>
      <c r="KWP1626" s="1"/>
      <c r="KWQ1626" s="1"/>
      <c r="KWR1626" s="1"/>
      <c r="KWS1626" s="1"/>
      <c r="KWT1626" s="1"/>
      <c r="KWU1626" s="1"/>
      <c r="KWV1626" s="1"/>
      <c r="KWW1626" s="1"/>
      <c r="KWX1626" s="1"/>
      <c r="KWY1626" s="1"/>
      <c r="KWZ1626" s="1"/>
      <c r="KXA1626" s="1"/>
      <c r="KXB1626" s="1"/>
      <c r="KXC1626" s="1"/>
      <c r="KXD1626" s="1"/>
      <c r="KXE1626" s="1"/>
      <c r="KXF1626" s="1"/>
      <c r="KXG1626" s="1"/>
      <c r="KXH1626" s="1"/>
      <c r="KXI1626" s="1"/>
      <c r="KXJ1626" s="1"/>
      <c r="KXK1626" s="1"/>
      <c r="KXL1626" s="1"/>
      <c r="KXM1626" s="1"/>
      <c r="KXN1626" s="1"/>
      <c r="KXO1626" s="1"/>
      <c r="KXP1626" s="1"/>
      <c r="KXQ1626" s="1"/>
      <c r="KXR1626" s="1"/>
      <c r="KXS1626" s="1"/>
      <c r="KXT1626" s="1"/>
      <c r="KXU1626" s="1"/>
      <c r="KXV1626" s="1"/>
      <c r="KXW1626" s="1"/>
      <c r="KXX1626" s="1"/>
      <c r="KXY1626" s="1"/>
      <c r="KXZ1626" s="1"/>
      <c r="KYA1626" s="1"/>
      <c r="KYB1626" s="1"/>
      <c r="KYC1626" s="1"/>
      <c r="KYD1626" s="1"/>
      <c r="KYE1626" s="1"/>
      <c r="KYF1626" s="1"/>
      <c r="KYG1626" s="1"/>
      <c r="KYH1626" s="1"/>
      <c r="KYI1626" s="1"/>
      <c r="KYJ1626" s="1"/>
      <c r="KYK1626" s="1"/>
      <c r="KYL1626" s="1"/>
      <c r="KYM1626" s="1"/>
      <c r="KYN1626" s="1"/>
      <c r="KYO1626" s="1"/>
      <c r="KYP1626" s="1"/>
      <c r="KYQ1626" s="1"/>
      <c r="KYR1626" s="1"/>
      <c r="KYS1626" s="1"/>
      <c r="KYT1626" s="1"/>
      <c r="KYU1626" s="1"/>
      <c r="KYV1626" s="1"/>
      <c r="KYW1626" s="1"/>
      <c r="KYX1626" s="1"/>
      <c r="KYY1626" s="1"/>
      <c r="KYZ1626" s="1"/>
      <c r="KZA1626" s="1"/>
      <c r="KZB1626" s="1"/>
      <c r="KZC1626" s="1"/>
      <c r="KZD1626" s="1"/>
      <c r="KZE1626" s="1"/>
      <c r="KZF1626" s="1"/>
      <c r="KZG1626" s="1"/>
      <c r="KZH1626" s="1"/>
      <c r="KZI1626" s="1"/>
      <c r="KZJ1626" s="1"/>
      <c r="KZK1626" s="1"/>
      <c r="KZL1626" s="1"/>
      <c r="KZM1626" s="1"/>
      <c r="KZN1626" s="1"/>
      <c r="KZO1626" s="1"/>
      <c r="KZP1626" s="1"/>
      <c r="KZQ1626" s="1"/>
      <c r="KZR1626" s="1"/>
      <c r="KZS1626" s="1"/>
      <c r="KZT1626" s="1"/>
      <c r="KZU1626" s="1"/>
      <c r="KZV1626" s="1"/>
      <c r="KZW1626" s="1"/>
      <c r="KZX1626" s="1"/>
      <c r="KZY1626" s="1"/>
      <c r="KZZ1626" s="1"/>
      <c r="LAA1626" s="1"/>
      <c r="LAB1626" s="1"/>
      <c r="LAC1626" s="1"/>
      <c r="LAD1626" s="1"/>
      <c r="LAE1626" s="1"/>
      <c r="LAF1626" s="1"/>
      <c r="LAG1626" s="1"/>
      <c r="LAH1626" s="1"/>
      <c r="LAI1626" s="1"/>
      <c r="LAJ1626" s="1"/>
      <c r="LAK1626" s="1"/>
      <c r="LAL1626" s="1"/>
      <c r="LAM1626" s="1"/>
      <c r="LAN1626" s="1"/>
      <c r="LAO1626" s="1"/>
      <c r="LAP1626" s="1"/>
      <c r="LAQ1626" s="1"/>
      <c r="LAR1626" s="1"/>
      <c r="LAS1626" s="1"/>
      <c r="LAT1626" s="1"/>
      <c r="LAU1626" s="1"/>
      <c r="LAV1626" s="1"/>
      <c r="LAW1626" s="1"/>
      <c r="LAX1626" s="1"/>
      <c r="LAY1626" s="1"/>
      <c r="LAZ1626" s="1"/>
      <c r="LBA1626" s="1"/>
      <c r="LBB1626" s="1"/>
      <c r="LBC1626" s="1"/>
      <c r="LBD1626" s="1"/>
      <c r="LBE1626" s="1"/>
      <c r="LBF1626" s="1"/>
      <c r="LBG1626" s="1"/>
      <c r="LBH1626" s="1"/>
      <c r="LBI1626" s="1"/>
      <c r="LBJ1626" s="1"/>
      <c r="LBK1626" s="1"/>
      <c r="LBL1626" s="1"/>
      <c r="LBM1626" s="1"/>
      <c r="LBN1626" s="1"/>
      <c r="LBO1626" s="1"/>
      <c r="LBP1626" s="1"/>
      <c r="LBQ1626" s="1"/>
      <c r="LBR1626" s="1"/>
      <c r="LBS1626" s="1"/>
      <c r="LBT1626" s="1"/>
      <c r="LBU1626" s="1"/>
      <c r="LBV1626" s="1"/>
      <c r="LBW1626" s="1"/>
      <c r="LBX1626" s="1"/>
      <c r="LBY1626" s="1"/>
      <c r="LBZ1626" s="1"/>
      <c r="LCA1626" s="1"/>
      <c r="LCB1626" s="1"/>
      <c r="LCC1626" s="1"/>
      <c r="LCD1626" s="1"/>
      <c r="LCE1626" s="1"/>
      <c r="LCF1626" s="1"/>
      <c r="LCG1626" s="1"/>
      <c r="LCH1626" s="1"/>
      <c r="LCI1626" s="1"/>
      <c r="LCJ1626" s="1"/>
      <c r="LCK1626" s="1"/>
      <c r="LCL1626" s="1"/>
      <c r="LCM1626" s="1"/>
      <c r="LCN1626" s="1"/>
      <c r="LCO1626" s="1"/>
      <c r="LCP1626" s="1"/>
      <c r="LCQ1626" s="1"/>
      <c r="LCR1626" s="1"/>
      <c r="LCS1626" s="1"/>
      <c r="LCT1626" s="1"/>
      <c r="LCU1626" s="1"/>
      <c r="LCV1626" s="1"/>
      <c r="LCW1626" s="1"/>
      <c r="LCX1626" s="1"/>
      <c r="LCY1626" s="1"/>
      <c r="LCZ1626" s="1"/>
      <c r="LDA1626" s="1"/>
      <c r="LDB1626" s="1"/>
      <c r="LDC1626" s="1"/>
      <c r="LDD1626" s="1"/>
      <c r="LDE1626" s="1"/>
      <c r="LDF1626" s="1"/>
      <c r="LDG1626" s="1"/>
      <c r="LDH1626" s="1"/>
      <c r="LDI1626" s="1"/>
      <c r="LDJ1626" s="1"/>
      <c r="LDK1626" s="1"/>
      <c r="LDL1626" s="1"/>
      <c r="LDM1626" s="1"/>
      <c r="LDN1626" s="1"/>
      <c r="LDO1626" s="1"/>
      <c r="LDP1626" s="1"/>
      <c r="LDQ1626" s="1"/>
      <c r="LDR1626" s="1"/>
      <c r="LDS1626" s="1"/>
      <c r="LDT1626" s="1"/>
      <c r="LDU1626" s="1"/>
      <c r="LDV1626" s="1"/>
      <c r="LDW1626" s="1"/>
      <c r="LDX1626" s="1"/>
      <c r="LDY1626" s="1"/>
      <c r="LDZ1626" s="1"/>
      <c r="LEA1626" s="1"/>
      <c r="LEB1626" s="1"/>
      <c r="LEC1626" s="1"/>
      <c r="LED1626" s="1"/>
      <c r="LEE1626" s="1"/>
      <c r="LEF1626" s="1"/>
      <c r="LEG1626" s="1"/>
      <c r="LEH1626" s="1"/>
      <c r="LEI1626" s="1"/>
      <c r="LEJ1626" s="1"/>
      <c r="LEK1626" s="1"/>
      <c r="LEL1626" s="1"/>
      <c r="LEM1626" s="1"/>
      <c r="LEN1626" s="1"/>
      <c r="LEO1626" s="1"/>
      <c r="LEP1626" s="1"/>
      <c r="LEQ1626" s="1"/>
      <c r="LER1626" s="1"/>
      <c r="LES1626" s="1"/>
      <c r="LET1626" s="1"/>
      <c r="LEU1626" s="1"/>
      <c r="LEV1626" s="1"/>
      <c r="LEW1626" s="1"/>
      <c r="LEX1626" s="1"/>
      <c r="LEY1626" s="1"/>
      <c r="LEZ1626" s="1"/>
      <c r="LFA1626" s="1"/>
      <c r="LFB1626" s="1"/>
      <c r="LFC1626" s="1"/>
      <c r="LFD1626" s="1"/>
      <c r="LFE1626" s="1"/>
      <c r="LFF1626" s="1"/>
      <c r="LFG1626" s="1"/>
      <c r="LFH1626" s="1"/>
      <c r="LFI1626" s="1"/>
      <c r="LFJ1626" s="1"/>
      <c r="LFK1626" s="1"/>
      <c r="LFL1626" s="1"/>
      <c r="LFM1626" s="1"/>
      <c r="LFN1626" s="1"/>
      <c r="LFO1626" s="1"/>
      <c r="LFP1626" s="1"/>
      <c r="LFQ1626" s="1"/>
      <c r="LFR1626" s="1"/>
      <c r="LFS1626" s="1"/>
      <c r="LFT1626" s="1"/>
      <c r="LFU1626" s="1"/>
      <c r="LFV1626" s="1"/>
      <c r="LFW1626" s="1"/>
      <c r="LFX1626" s="1"/>
      <c r="LFY1626" s="1"/>
      <c r="LFZ1626" s="1"/>
      <c r="LGA1626" s="1"/>
      <c r="LGB1626" s="1"/>
      <c r="LGC1626" s="1"/>
      <c r="LGD1626" s="1"/>
      <c r="LGE1626" s="1"/>
      <c r="LGF1626" s="1"/>
      <c r="LGG1626" s="1"/>
      <c r="LGH1626" s="1"/>
      <c r="LGI1626" s="1"/>
      <c r="LGJ1626" s="1"/>
      <c r="LGK1626" s="1"/>
      <c r="LGL1626" s="1"/>
      <c r="LGM1626" s="1"/>
      <c r="LGN1626" s="1"/>
      <c r="LGO1626" s="1"/>
      <c r="LGP1626" s="1"/>
      <c r="LGQ1626" s="1"/>
      <c r="LGR1626" s="1"/>
      <c r="LGS1626" s="1"/>
      <c r="LGT1626" s="1"/>
      <c r="LGU1626" s="1"/>
      <c r="LGV1626" s="1"/>
      <c r="LGW1626" s="1"/>
      <c r="LGX1626" s="1"/>
      <c r="LGY1626" s="1"/>
      <c r="LGZ1626" s="1"/>
      <c r="LHA1626" s="1"/>
      <c r="LHB1626" s="1"/>
      <c r="LHC1626" s="1"/>
      <c r="LHD1626" s="1"/>
      <c r="LHE1626" s="1"/>
      <c r="LHF1626" s="1"/>
      <c r="LHG1626" s="1"/>
      <c r="LHH1626" s="1"/>
      <c r="LHI1626" s="1"/>
      <c r="LHJ1626" s="1"/>
      <c r="LHK1626" s="1"/>
      <c r="LHL1626" s="1"/>
      <c r="LHM1626" s="1"/>
      <c r="LHN1626" s="1"/>
      <c r="LHO1626" s="1"/>
      <c r="LHP1626" s="1"/>
      <c r="LHQ1626" s="1"/>
      <c r="LHR1626" s="1"/>
      <c r="LHS1626" s="1"/>
      <c r="LHT1626" s="1"/>
      <c r="LHU1626" s="1"/>
      <c r="LHV1626" s="1"/>
      <c r="LHW1626" s="1"/>
      <c r="LHX1626" s="1"/>
      <c r="LHY1626" s="1"/>
      <c r="LHZ1626" s="1"/>
      <c r="LIA1626" s="1"/>
      <c r="LIB1626" s="1"/>
      <c r="LIC1626" s="1"/>
      <c r="LID1626" s="1"/>
      <c r="LIE1626" s="1"/>
      <c r="LIF1626" s="1"/>
      <c r="LIG1626" s="1"/>
      <c r="LIH1626" s="1"/>
      <c r="LII1626" s="1"/>
      <c r="LIJ1626" s="1"/>
      <c r="LIK1626" s="1"/>
      <c r="LIL1626" s="1"/>
      <c r="LIM1626" s="1"/>
      <c r="LIN1626" s="1"/>
      <c r="LIO1626" s="1"/>
      <c r="LIP1626" s="1"/>
      <c r="LIQ1626" s="1"/>
      <c r="LIR1626" s="1"/>
      <c r="LIS1626" s="1"/>
      <c r="LIT1626" s="1"/>
      <c r="LIU1626" s="1"/>
      <c r="LIV1626" s="1"/>
      <c r="LIW1626" s="1"/>
      <c r="LIX1626" s="1"/>
      <c r="LIY1626" s="1"/>
      <c r="LIZ1626" s="1"/>
      <c r="LJA1626" s="1"/>
      <c r="LJB1626" s="1"/>
      <c r="LJC1626" s="1"/>
      <c r="LJD1626" s="1"/>
      <c r="LJE1626" s="1"/>
      <c r="LJF1626" s="1"/>
      <c r="LJG1626" s="1"/>
      <c r="LJH1626" s="1"/>
      <c r="LJI1626" s="1"/>
      <c r="LJJ1626" s="1"/>
      <c r="LJK1626" s="1"/>
      <c r="LJL1626" s="1"/>
      <c r="LJM1626" s="1"/>
      <c r="LJN1626" s="1"/>
      <c r="LJO1626" s="1"/>
      <c r="LJP1626" s="1"/>
      <c r="LJQ1626" s="1"/>
      <c r="LJR1626" s="1"/>
      <c r="LJS1626" s="1"/>
      <c r="LJT1626" s="1"/>
      <c r="LJU1626" s="1"/>
      <c r="LJV1626" s="1"/>
      <c r="LJW1626" s="1"/>
      <c r="LJX1626" s="1"/>
      <c r="LJY1626" s="1"/>
      <c r="LJZ1626" s="1"/>
      <c r="LKA1626" s="1"/>
      <c r="LKB1626" s="1"/>
      <c r="LKC1626" s="1"/>
      <c r="LKD1626" s="1"/>
      <c r="LKE1626" s="1"/>
      <c r="LKF1626" s="1"/>
      <c r="LKG1626" s="1"/>
      <c r="LKH1626" s="1"/>
      <c r="LKI1626" s="1"/>
      <c r="LKJ1626" s="1"/>
      <c r="LKK1626" s="1"/>
      <c r="LKL1626" s="1"/>
      <c r="LKM1626" s="1"/>
      <c r="LKN1626" s="1"/>
      <c r="LKO1626" s="1"/>
      <c r="LKP1626" s="1"/>
      <c r="LKQ1626" s="1"/>
      <c r="LKR1626" s="1"/>
      <c r="LKS1626" s="1"/>
      <c r="LKT1626" s="1"/>
      <c r="LKU1626" s="1"/>
      <c r="LKV1626" s="1"/>
      <c r="LKW1626" s="1"/>
      <c r="LKX1626" s="1"/>
      <c r="LKY1626" s="1"/>
      <c r="LKZ1626" s="1"/>
      <c r="LLA1626" s="1"/>
      <c r="LLB1626" s="1"/>
      <c r="LLC1626" s="1"/>
      <c r="LLD1626" s="1"/>
      <c r="LLE1626" s="1"/>
      <c r="LLF1626" s="1"/>
      <c r="LLG1626" s="1"/>
      <c r="LLH1626" s="1"/>
      <c r="LLI1626" s="1"/>
      <c r="LLJ1626" s="1"/>
      <c r="LLK1626" s="1"/>
      <c r="LLL1626" s="1"/>
      <c r="LLM1626" s="1"/>
      <c r="LLN1626" s="1"/>
      <c r="LLO1626" s="1"/>
      <c r="LLP1626" s="1"/>
      <c r="LLQ1626" s="1"/>
      <c r="LLR1626" s="1"/>
      <c r="LLS1626" s="1"/>
      <c r="LLT1626" s="1"/>
      <c r="LLU1626" s="1"/>
      <c r="LLV1626" s="1"/>
      <c r="LLW1626" s="1"/>
      <c r="LLX1626" s="1"/>
      <c r="LLY1626" s="1"/>
      <c r="LLZ1626" s="1"/>
      <c r="LMA1626" s="1"/>
      <c r="LMB1626" s="1"/>
      <c r="LMC1626" s="1"/>
      <c r="LMD1626" s="1"/>
      <c r="LME1626" s="1"/>
      <c r="LMF1626" s="1"/>
      <c r="LMG1626" s="1"/>
      <c r="LMH1626" s="1"/>
      <c r="LMI1626" s="1"/>
      <c r="LMJ1626" s="1"/>
      <c r="LMK1626" s="1"/>
      <c r="LML1626" s="1"/>
      <c r="LMM1626" s="1"/>
      <c r="LMN1626" s="1"/>
      <c r="LMO1626" s="1"/>
      <c r="LMP1626" s="1"/>
      <c r="LMQ1626" s="1"/>
      <c r="LMR1626" s="1"/>
      <c r="LMS1626" s="1"/>
      <c r="LMT1626" s="1"/>
      <c r="LMU1626" s="1"/>
      <c r="LMV1626" s="1"/>
      <c r="LMW1626" s="1"/>
      <c r="LMX1626" s="1"/>
      <c r="LMY1626" s="1"/>
      <c r="LMZ1626" s="1"/>
      <c r="LNA1626" s="1"/>
      <c r="LNB1626" s="1"/>
      <c r="LNC1626" s="1"/>
      <c r="LND1626" s="1"/>
      <c r="LNE1626" s="1"/>
      <c r="LNF1626" s="1"/>
      <c r="LNG1626" s="1"/>
      <c r="LNH1626" s="1"/>
      <c r="LNI1626" s="1"/>
      <c r="LNJ1626" s="1"/>
      <c r="LNK1626" s="1"/>
      <c r="LNL1626" s="1"/>
      <c r="LNM1626" s="1"/>
      <c r="LNN1626" s="1"/>
      <c r="LNO1626" s="1"/>
      <c r="LNP1626" s="1"/>
      <c r="LNQ1626" s="1"/>
      <c r="LNR1626" s="1"/>
      <c r="LNS1626" s="1"/>
      <c r="LNT1626" s="1"/>
      <c r="LNU1626" s="1"/>
      <c r="LNV1626" s="1"/>
      <c r="LNW1626" s="1"/>
      <c r="LNX1626" s="1"/>
      <c r="LNY1626" s="1"/>
      <c r="LNZ1626" s="1"/>
      <c r="LOA1626" s="1"/>
      <c r="LOB1626" s="1"/>
      <c r="LOC1626" s="1"/>
      <c r="LOD1626" s="1"/>
      <c r="LOE1626" s="1"/>
      <c r="LOF1626" s="1"/>
      <c r="LOG1626" s="1"/>
      <c r="LOH1626" s="1"/>
      <c r="LOI1626" s="1"/>
      <c r="LOJ1626" s="1"/>
      <c r="LOK1626" s="1"/>
      <c r="LOL1626" s="1"/>
      <c r="LOM1626" s="1"/>
      <c r="LON1626" s="1"/>
      <c r="LOO1626" s="1"/>
      <c r="LOP1626" s="1"/>
      <c r="LOQ1626" s="1"/>
      <c r="LOR1626" s="1"/>
      <c r="LOS1626" s="1"/>
      <c r="LOT1626" s="1"/>
      <c r="LOU1626" s="1"/>
      <c r="LOV1626" s="1"/>
      <c r="LOW1626" s="1"/>
      <c r="LOX1626" s="1"/>
      <c r="LOY1626" s="1"/>
      <c r="LOZ1626" s="1"/>
      <c r="LPA1626" s="1"/>
      <c r="LPB1626" s="1"/>
      <c r="LPC1626" s="1"/>
      <c r="LPD1626" s="1"/>
      <c r="LPE1626" s="1"/>
      <c r="LPF1626" s="1"/>
      <c r="LPG1626" s="1"/>
      <c r="LPH1626" s="1"/>
      <c r="LPI1626" s="1"/>
      <c r="LPJ1626" s="1"/>
      <c r="LPK1626" s="1"/>
      <c r="LPL1626" s="1"/>
      <c r="LPM1626" s="1"/>
      <c r="LPN1626" s="1"/>
      <c r="LPO1626" s="1"/>
      <c r="LPP1626" s="1"/>
      <c r="LPQ1626" s="1"/>
      <c r="LPR1626" s="1"/>
      <c r="LPS1626" s="1"/>
      <c r="LPT1626" s="1"/>
      <c r="LPU1626" s="1"/>
      <c r="LPV1626" s="1"/>
      <c r="LPW1626" s="1"/>
      <c r="LPX1626" s="1"/>
      <c r="LPY1626" s="1"/>
      <c r="LPZ1626" s="1"/>
      <c r="LQA1626" s="1"/>
      <c r="LQB1626" s="1"/>
      <c r="LQC1626" s="1"/>
      <c r="LQD1626" s="1"/>
      <c r="LQE1626" s="1"/>
      <c r="LQF1626" s="1"/>
      <c r="LQG1626" s="1"/>
      <c r="LQH1626" s="1"/>
      <c r="LQI1626" s="1"/>
      <c r="LQJ1626" s="1"/>
      <c r="LQK1626" s="1"/>
      <c r="LQL1626" s="1"/>
      <c r="LQM1626" s="1"/>
      <c r="LQN1626" s="1"/>
      <c r="LQO1626" s="1"/>
      <c r="LQP1626" s="1"/>
      <c r="LQQ1626" s="1"/>
      <c r="LQR1626" s="1"/>
      <c r="LQS1626" s="1"/>
      <c r="LQT1626" s="1"/>
      <c r="LQU1626" s="1"/>
      <c r="LQV1626" s="1"/>
      <c r="LQW1626" s="1"/>
      <c r="LQX1626" s="1"/>
      <c r="LQY1626" s="1"/>
      <c r="LQZ1626" s="1"/>
      <c r="LRA1626" s="1"/>
      <c r="LRB1626" s="1"/>
      <c r="LRC1626" s="1"/>
      <c r="LRD1626" s="1"/>
      <c r="LRE1626" s="1"/>
      <c r="LRF1626" s="1"/>
      <c r="LRG1626" s="1"/>
      <c r="LRH1626" s="1"/>
      <c r="LRI1626" s="1"/>
      <c r="LRJ1626" s="1"/>
      <c r="LRK1626" s="1"/>
      <c r="LRL1626" s="1"/>
      <c r="LRM1626" s="1"/>
      <c r="LRN1626" s="1"/>
      <c r="LRO1626" s="1"/>
      <c r="LRP1626" s="1"/>
      <c r="LRQ1626" s="1"/>
      <c r="LRR1626" s="1"/>
      <c r="LRS1626" s="1"/>
      <c r="LRT1626" s="1"/>
      <c r="LRU1626" s="1"/>
      <c r="LRV1626" s="1"/>
      <c r="LRW1626" s="1"/>
      <c r="LRX1626" s="1"/>
      <c r="LRY1626" s="1"/>
      <c r="LRZ1626" s="1"/>
      <c r="LSA1626" s="1"/>
      <c r="LSB1626" s="1"/>
      <c r="LSC1626" s="1"/>
      <c r="LSD1626" s="1"/>
      <c r="LSE1626" s="1"/>
      <c r="LSF1626" s="1"/>
      <c r="LSG1626" s="1"/>
      <c r="LSH1626" s="1"/>
      <c r="LSI1626" s="1"/>
      <c r="LSJ1626" s="1"/>
      <c r="LSK1626" s="1"/>
      <c r="LSL1626" s="1"/>
      <c r="LSM1626" s="1"/>
      <c r="LSN1626" s="1"/>
      <c r="LSO1626" s="1"/>
      <c r="LSP1626" s="1"/>
      <c r="LSQ1626" s="1"/>
      <c r="LSR1626" s="1"/>
      <c r="LSS1626" s="1"/>
      <c r="LST1626" s="1"/>
      <c r="LSU1626" s="1"/>
      <c r="LSV1626" s="1"/>
      <c r="LSW1626" s="1"/>
      <c r="LSX1626" s="1"/>
      <c r="LSY1626" s="1"/>
      <c r="LSZ1626" s="1"/>
      <c r="LTA1626" s="1"/>
      <c r="LTB1626" s="1"/>
      <c r="LTC1626" s="1"/>
      <c r="LTD1626" s="1"/>
      <c r="LTE1626" s="1"/>
      <c r="LTF1626" s="1"/>
      <c r="LTG1626" s="1"/>
      <c r="LTH1626" s="1"/>
      <c r="LTI1626" s="1"/>
      <c r="LTJ1626" s="1"/>
      <c r="LTK1626" s="1"/>
      <c r="LTL1626" s="1"/>
      <c r="LTM1626" s="1"/>
      <c r="LTN1626" s="1"/>
      <c r="LTO1626" s="1"/>
      <c r="LTP1626" s="1"/>
      <c r="LTQ1626" s="1"/>
      <c r="LTR1626" s="1"/>
      <c r="LTS1626" s="1"/>
      <c r="LTT1626" s="1"/>
      <c r="LTU1626" s="1"/>
      <c r="LTV1626" s="1"/>
      <c r="LTW1626" s="1"/>
      <c r="LTX1626" s="1"/>
      <c r="LTY1626" s="1"/>
      <c r="LTZ1626" s="1"/>
      <c r="LUA1626" s="1"/>
      <c r="LUB1626" s="1"/>
      <c r="LUC1626" s="1"/>
      <c r="LUD1626" s="1"/>
      <c r="LUE1626" s="1"/>
      <c r="LUF1626" s="1"/>
      <c r="LUG1626" s="1"/>
      <c r="LUH1626" s="1"/>
      <c r="LUI1626" s="1"/>
      <c r="LUJ1626" s="1"/>
      <c r="LUK1626" s="1"/>
      <c r="LUL1626" s="1"/>
      <c r="LUM1626" s="1"/>
      <c r="LUN1626" s="1"/>
      <c r="LUO1626" s="1"/>
      <c r="LUP1626" s="1"/>
      <c r="LUQ1626" s="1"/>
      <c r="LUR1626" s="1"/>
      <c r="LUS1626" s="1"/>
      <c r="LUT1626" s="1"/>
      <c r="LUU1626" s="1"/>
      <c r="LUV1626" s="1"/>
      <c r="LUW1626" s="1"/>
      <c r="LUX1626" s="1"/>
      <c r="LUY1626" s="1"/>
      <c r="LUZ1626" s="1"/>
      <c r="LVA1626" s="1"/>
      <c r="LVB1626" s="1"/>
      <c r="LVC1626" s="1"/>
      <c r="LVD1626" s="1"/>
      <c r="LVE1626" s="1"/>
      <c r="LVF1626" s="1"/>
      <c r="LVG1626" s="1"/>
      <c r="LVH1626" s="1"/>
      <c r="LVI1626" s="1"/>
      <c r="LVJ1626" s="1"/>
      <c r="LVK1626" s="1"/>
      <c r="LVL1626" s="1"/>
      <c r="LVM1626" s="1"/>
      <c r="LVN1626" s="1"/>
      <c r="LVO1626" s="1"/>
      <c r="LVP1626" s="1"/>
      <c r="LVQ1626" s="1"/>
      <c r="LVR1626" s="1"/>
      <c r="LVS1626" s="1"/>
      <c r="LVT1626" s="1"/>
      <c r="LVU1626" s="1"/>
      <c r="LVV1626" s="1"/>
      <c r="LVW1626" s="1"/>
      <c r="LVX1626" s="1"/>
      <c r="LVY1626" s="1"/>
      <c r="LVZ1626" s="1"/>
      <c r="LWA1626" s="1"/>
      <c r="LWB1626" s="1"/>
      <c r="LWC1626" s="1"/>
      <c r="LWD1626" s="1"/>
      <c r="LWE1626" s="1"/>
      <c r="LWF1626" s="1"/>
      <c r="LWG1626" s="1"/>
      <c r="LWH1626" s="1"/>
      <c r="LWI1626" s="1"/>
      <c r="LWJ1626" s="1"/>
      <c r="LWK1626" s="1"/>
      <c r="LWL1626" s="1"/>
      <c r="LWM1626" s="1"/>
      <c r="LWN1626" s="1"/>
      <c r="LWO1626" s="1"/>
      <c r="LWP1626" s="1"/>
      <c r="LWQ1626" s="1"/>
      <c r="LWR1626" s="1"/>
      <c r="LWS1626" s="1"/>
      <c r="LWT1626" s="1"/>
      <c r="LWU1626" s="1"/>
      <c r="LWV1626" s="1"/>
      <c r="LWW1626" s="1"/>
      <c r="LWX1626" s="1"/>
      <c r="LWY1626" s="1"/>
      <c r="LWZ1626" s="1"/>
      <c r="LXA1626" s="1"/>
      <c r="LXB1626" s="1"/>
      <c r="LXC1626" s="1"/>
      <c r="LXD1626" s="1"/>
      <c r="LXE1626" s="1"/>
      <c r="LXF1626" s="1"/>
      <c r="LXG1626" s="1"/>
      <c r="LXH1626" s="1"/>
      <c r="LXI1626" s="1"/>
      <c r="LXJ1626" s="1"/>
      <c r="LXK1626" s="1"/>
      <c r="LXL1626" s="1"/>
      <c r="LXM1626" s="1"/>
      <c r="LXN1626" s="1"/>
      <c r="LXO1626" s="1"/>
      <c r="LXP1626" s="1"/>
      <c r="LXQ1626" s="1"/>
      <c r="LXR1626" s="1"/>
      <c r="LXS1626" s="1"/>
      <c r="LXT1626" s="1"/>
      <c r="LXU1626" s="1"/>
      <c r="LXV1626" s="1"/>
      <c r="LXW1626" s="1"/>
      <c r="LXX1626" s="1"/>
      <c r="LXY1626" s="1"/>
      <c r="LXZ1626" s="1"/>
      <c r="LYA1626" s="1"/>
      <c r="LYB1626" s="1"/>
      <c r="LYC1626" s="1"/>
      <c r="LYD1626" s="1"/>
      <c r="LYE1626" s="1"/>
      <c r="LYF1626" s="1"/>
      <c r="LYG1626" s="1"/>
      <c r="LYH1626" s="1"/>
      <c r="LYI1626" s="1"/>
      <c r="LYJ1626" s="1"/>
      <c r="LYK1626" s="1"/>
      <c r="LYL1626" s="1"/>
      <c r="LYM1626" s="1"/>
      <c r="LYN1626" s="1"/>
      <c r="LYO1626" s="1"/>
      <c r="LYP1626" s="1"/>
      <c r="LYQ1626" s="1"/>
      <c r="LYR1626" s="1"/>
      <c r="LYS1626" s="1"/>
      <c r="LYT1626" s="1"/>
      <c r="LYU1626" s="1"/>
      <c r="LYV1626" s="1"/>
      <c r="LYW1626" s="1"/>
      <c r="LYX1626" s="1"/>
      <c r="LYY1626" s="1"/>
      <c r="LYZ1626" s="1"/>
      <c r="LZA1626" s="1"/>
      <c r="LZB1626" s="1"/>
      <c r="LZC1626" s="1"/>
      <c r="LZD1626" s="1"/>
      <c r="LZE1626" s="1"/>
      <c r="LZF1626" s="1"/>
      <c r="LZG1626" s="1"/>
      <c r="LZH1626" s="1"/>
      <c r="LZI1626" s="1"/>
      <c r="LZJ1626" s="1"/>
      <c r="LZK1626" s="1"/>
      <c r="LZL1626" s="1"/>
      <c r="LZM1626" s="1"/>
      <c r="LZN1626" s="1"/>
      <c r="LZO1626" s="1"/>
      <c r="LZP1626" s="1"/>
      <c r="LZQ1626" s="1"/>
      <c r="LZR1626" s="1"/>
      <c r="LZS1626" s="1"/>
      <c r="LZT1626" s="1"/>
      <c r="LZU1626" s="1"/>
      <c r="LZV1626" s="1"/>
      <c r="LZW1626" s="1"/>
      <c r="LZX1626" s="1"/>
      <c r="LZY1626" s="1"/>
      <c r="LZZ1626" s="1"/>
      <c r="MAA1626" s="1"/>
      <c r="MAB1626" s="1"/>
      <c r="MAC1626" s="1"/>
      <c r="MAD1626" s="1"/>
      <c r="MAE1626" s="1"/>
      <c r="MAF1626" s="1"/>
      <c r="MAG1626" s="1"/>
      <c r="MAH1626" s="1"/>
      <c r="MAI1626" s="1"/>
      <c r="MAJ1626" s="1"/>
      <c r="MAK1626" s="1"/>
      <c r="MAL1626" s="1"/>
      <c r="MAM1626" s="1"/>
      <c r="MAN1626" s="1"/>
      <c r="MAO1626" s="1"/>
      <c r="MAP1626" s="1"/>
      <c r="MAQ1626" s="1"/>
      <c r="MAR1626" s="1"/>
      <c r="MAS1626" s="1"/>
      <c r="MAT1626" s="1"/>
      <c r="MAU1626" s="1"/>
      <c r="MAV1626" s="1"/>
      <c r="MAW1626" s="1"/>
      <c r="MAX1626" s="1"/>
      <c r="MAY1626" s="1"/>
      <c r="MAZ1626" s="1"/>
      <c r="MBA1626" s="1"/>
      <c r="MBB1626" s="1"/>
      <c r="MBC1626" s="1"/>
      <c r="MBD1626" s="1"/>
      <c r="MBE1626" s="1"/>
      <c r="MBF1626" s="1"/>
      <c r="MBG1626" s="1"/>
      <c r="MBH1626" s="1"/>
      <c r="MBI1626" s="1"/>
      <c r="MBJ1626" s="1"/>
      <c r="MBK1626" s="1"/>
      <c r="MBL1626" s="1"/>
      <c r="MBM1626" s="1"/>
      <c r="MBN1626" s="1"/>
      <c r="MBO1626" s="1"/>
      <c r="MBP1626" s="1"/>
      <c r="MBQ1626" s="1"/>
      <c r="MBR1626" s="1"/>
      <c r="MBS1626" s="1"/>
      <c r="MBT1626" s="1"/>
      <c r="MBU1626" s="1"/>
      <c r="MBV1626" s="1"/>
      <c r="MBW1626" s="1"/>
      <c r="MBX1626" s="1"/>
      <c r="MBY1626" s="1"/>
      <c r="MBZ1626" s="1"/>
      <c r="MCA1626" s="1"/>
      <c r="MCB1626" s="1"/>
      <c r="MCC1626" s="1"/>
      <c r="MCD1626" s="1"/>
      <c r="MCE1626" s="1"/>
      <c r="MCF1626" s="1"/>
      <c r="MCG1626" s="1"/>
      <c r="MCH1626" s="1"/>
      <c r="MCI1626" s="1"/>
      <c r="MCJ1626" s="1"/>
      <c r="MCK1626" s="1"/>
      <c r="MCL1626" s="1"/>
      <c r="MCM1626" s="1"/>
      <c r="MCN1626" s="1"/>
      <c r="MCO1626" s="1"/>
      <c r="MCP1626" s="1"/>
      <c r="MCQ1626" s="1"/>
      <c r="MCR1626" s="1"/>
      <c r="MCS1626" s="1"/>
      <c r="MCT1626" s="1"/>
      <c r="MCU1626" s="1"/>
      <c r="MCV1626" s="1"/>
      <c r="MCW1626" s="1"/>
      <c r="MCX1626" s="1"/>
      <c r="MCY1626" s="1"/>
      <c r="MCZ1626" s="1"/>
      <c r="MDA1626" s="1"/>
      <c r="MDB1626" s="1"/>
      <c r="MDC1626" s="1"/>
      <c r="MDD1626" s="1"/>
      <c r="MDE1626" s="1"/>
      <c r="MDF1626" s="1"/>
      <c r="MDG1626" s="1"/>
      <c r="MDH1626" s="1"/>
      <c r="MDI1626" s="1"/>
      <c r="MDJ1626" s="1"/>
      <c r="MDK1626" s="1"/>
      <c r="MDL1626" s="1"/>
      <c r="MDM1626" s="1"/>
      <c r="MDN1626" s="1"/>
      <c r="MDO1626" s="1"/>
      <c r="MDP1626" s="1"/>
      <c r="MDQ1626" s="1"/>
      <c r="MDR1626" s="1"/>
      <c r="MDS1626" s="1"/>
      <c r="MDT1626" s="1"/>
      <c r="MDU1626" s="1"/>
      <c r="MDV1626" s="1"/>
      <c r="MDW1626" s="1"/>
      <c r="MDX1626" s="1"/>
      <c r="MDY1626" s="1"/>
      <c r="MDZ1626" s="1"/>
      <c r="MEA1626" s="1"/>
      <c r="MEB1626" s="1"/>
      <c r="MEC1626" s="1"/>
      <c r="MED1626" s="1"/>
      <c r="MEE1626" s="1"/>
      <c r="MEF1626" s="1"/>
      <c r="MEG1626" s="1"/>
      <c r="MEH1626" s="1"/>
      <c r="MEI1626" s="1"/>
      <c r="MEJ1626" s="1"/>
      <c r="MEK1626" s="1"/>
      <c r="MEL1626" s="1"/>
      <c r="MEM1626" s="1"/>
      <c r="MEN1626" s="1"/>
      <c r="MEO1626" s="1"/>
      <c r="MEP1626" s="1"/>
      <c r="MEQ1626" s="1"/>
      <c r="MER1626" s="1"/>
      <c r="MES1626" s="1"/>
      <c r="MET1626" s="1"/>
      <c r="MEU1626" s="1"/>
      <c r="MEV1626" s="1"/>
      <c r="MEW1626" s="1"/>
      <c r="MEX1626" s="1"/>
      <c r="MEY1626" s="1"/>
      <c r="MEZ1626" s="1"/>
      <c r="MFA1626" s="1"/>
      <c r="MFB1626" s="1"/>
      <c r="MFC1626" s="1"/>
      <c r="MFD1626" s="1"/>
      <c r="MFE1626" s="1"/>
      <c r="MFF1626" s="1"/>
      <c r="MFG1626" s="1"/>
      <c r="MFH1626" s="1"/>
      <c r="MFI1626" s="1"/>
      <c r="MFJ1626" s="1"/>
      <c r="MFK1626" s="1"/>
      <c r="MFL1626" s="1"/>
      <c r="MFM1626" s="1"/>
      <c r="MFN1626" s="1"/>
      <c r="MFO1626" s="1"/>
      <c r="MFP1626" s="1"/>
      <c r="MFQ1626" s="1"/>
      <c r="MFR1626" s="1"/>
      <c r="MFS1626" s="1"/>
      <c r="MFT1626" s="1"/>
      <c r="MFU1626" s="1"/>
      <c r="MFV1626" s="1"/>
      <c r="MFW1626" s="1"/>
      <c r="MFX1626" s="1"/>
      <c r="MFY1626" s="1"/>
      <c r="MFZ1626" s="1"/>
      <c r="MGA1626" s="1"/>
      <c r="MGB1626" s="1"/>
      <c r="MGC1626" s="1"/>
      <c r="MGD1626" s="1"/>
      <c r="MGE1626" s="1"/>
      <c r="MGF1626" s="1"/>
      <c r="MGG1626" s="1"/>
      <c r="MGH1626" s="1"/>
      <c r="MGI1626" s="1"/>
      <c r="MGJ1626" s="1"/>
      <c r="MGK1626" s="1"/>
      <c r="MGL1626" s="1"/>
      <c r="MGM1626" s="1"/>
      <c r="MGN1626" s="1"/>
      <c r="MGO1626" s="1"/>
      <c r="MGP1626" s="1"/>
      <c r="MGQ1626" s="1"/>
      <c r="MGR1626" s="1"/>
      <c r="MGS1626" s="1"/>
      <c r="MGT1626" s="1"/>
      <c r="MGU1626" s="1"/>
      <c r="MGV1626" s="1"/>
      <c r="MGW1626" s="1"/>
      <c r="MGX1626" s="1"/>
      <c r="MGY1626" s="1"/>
      <c r="MGZ1626" s="1"/>
      <c r="MHA1626" s="1"/>
      <c r="MHB1626" s="1"/>
      <c r="MHC1626" s="1"/>
      <c r="MHD1626" s="1"/>
      <c r="MHE1626" s="1"/>
      <c r="MHF1626" s="1"/>
      <c r="MHG1626" s="1"/>
      <c r="MHH1626" s="1"/>
      <c r="MHI1626" s="1"/>
      <c r="MHJ1626" s="1"/>
      <c r="MHK1626" s="1"/>
      <c r="MHL1626" s="1"/>
      <c r="MHM1626" s="1"/>
      <c r="MHN1626" s="1"/>
      <c r="MHO1626" s="1"/>
      <c r="MHP1626" s="1"/>
      <c r="MHQ1626" s="1"/>
      <c r="MHR1626" s="1"/>
      <c r="MHS1626" s="1"/>
      <c r="MHT1626" s="1"/>
      <c r="MHU1626" s="1"/>
      <c r="MHV1626" s="1"/>
      <c r="MHW1626" s="1"/>
      <c r="MHX1626" s="1"/>
      <c r="MHY1626" s="1"/>
      <c r="MHZ1626" s="1"/>
      <c r="MIA1626" s="1"/>
      <c r="MIB1626" s="1"/>
      <c r="MIC1626" s="1"/>
      <c r="MID1626" s="1"/>
      <c r="MIE1626" s="1"/>
      <c r="MIF1626" s="1"/>
      <c r="MIG1626" s="1"/>
      <c r="MIH1626" s="1"/>
      <c r="MII1626" s="1"/>
      <c r="MIJ1626" s="1"/>
      <c r="MIK1626" s="1"/>
      <c r="MIL1626" s="1"/>
      <c r="MIM1626" s="1"/>
      <c r="MIN1626" s="1"/>
      <c r="MIO1626" s="1"/>
      <c r="MIP1626" s="1"/>
      <c r="MIQ1626" s="1"/>
      <c r="MIR1626" s="1"/>
      <c r="MIS1626" s="1"/>
      <c r="MIT1626" s="1"/>
      <c r="MIU1626" s="1"/>
      <c r="MIV1626" s="1"/>
      <c r="MIW1626" s="1"/>
      <c r="MIX1626" s="1"/>
      <c r="MIY1626" s="1"/>
      <c r="MIZ1626" s="1"/>
      <c r="MJA1626" s="1"/>
      <c r="MJB1626" s="1"/>
      <c r="MJC1626" s="1"/>
      <c r="MJD1626" s="1"/>
      <c r="MJE1626" s="1"/>
      <c r="MJF1626" s="1"/>
      <c r="MJG1626" s="1"/>
      <c r="MJH1626" s="1"/>
      <c r="MJI1626" s="1"/>
      <c r="MJJ1626" s="1"/>
      <c r="MJK1626" s="1"/>
      <c r="MJL1626" s="1"/>
      <c r="MJM1626" s="1"/>
      <c r="MJN1626" s="1"/>
      <c r="MJO1626" s="1"/>
      <c r="MJP1626" s="1"/>
      <c r="MJQ1626" s="1"/>
      <c r="MJR1626" s="1"/>
      <c r="MJS1626" s="1"/>
      <c r="MJT1626" s="1"/>
      <c r="MJU1626" s="1"/>
      <c r="MJV1626" s="1"/>
      <c r="MJW1626" s="1"/>
      <c r="MJX1626" s="1"/>
      <c r="MJY1626" s="1"/>
      <c r="MJZ1626" s="1"/>
      <c r="MKA1626" s="1"/>
      <c r="MKB1626" s="1"/>
      <c r="MKC1626" s="1"/>
      <c r="MKD1626" s="1"/>
      <c r="MKE1626" s="1"/>
      <c r="MKF1626" s="1"/>
      <c r="MKG1626" s="1"/>
      <c r="MKH1626" s="1"/>
      <c r="MKI1626" s="1"/>
      <c r="MKJ1626" s="1"/>
      <c r="MKK1626" s="1"/>
      <c r="MKL1626" s="1"/>
      <c r="MKM1626" s="1"/>
      <c r="MKN1626" s="1"/>
      <c r="MKO1626" s="1"/>
      <c r="MKP1626" s="1"/>
      <c r="MKQ1626" s="1"/>
      <c r="MKR1626" s="1"/>
      <c r="MKS1626" s="1"/>
      <c r="MKT1626" s="1"/>
      <c r="MKU1626" s="1"/>
      <c r="MKV1626" s="1"/>
      <c r="MKW1626" s="1"/>
      <c r="MKX1626" s="1"/>
      <c r="MKY1626" s="1"/>
      <c r="MKZ1626" s="1"/>
      <c r="MLA1626" s="1"/>
      <c r="MLB1626" s="1"/>
      <c r="MLC1626" s="1"/>
      <c r="MLD1626" s="1"/>
      <c r="MLE1626" s="1"/>
      <c r="MLF1626" s="1"/>
      <c r="MLG1626" s="1"/>
      <c r="MLH1626" s="1"/>
      <c r="MLI1626" s="1"/>
      <c r="MLJ1626" s="1"/>
      <c r="MLK1626" s="1"/>
      <c r="MLL1626" s="1"/>
      <c r="MLM1626" s="1"/>
      <c r="MLN1626" s="1"/>
      <c r="MLO1626" s="1"/>
      <c r="MLP1626" s="1"/>
      <c r="MLQ1626" s="1"/>
      <c r="MLR1626" s="1"/>
      <c r="MLS1626" s="1"/>
      <c r="MLT1626" s="1"/>
      <c r="MLU1626" s="1"/>
      <c r="MLV1626" s="1"/>
      <c r="MLW1626" s="1"/>
      <c r="MLX1626" s="1"/>
      <c r="MLY1626" s="1"/>
      <c r="MLZ1626" s="1"/>
      <c r="MMA1626" s="1"/>
      <c r="MMB1626" s="1"/>
      <c r="MMC1626" s="1"/>
      <c r="MMD1626" s="1"/>
      <c r="MME1626" s="1"/>
      <c r="MMF1626" s="1"/>
      <c r="MMG1626" s="1"/>
      <c r="MMH1626" s="1"/>
      <c r="MMI1626" s="1"/>
      <c r="MMJ1626" s="1"/>
      <c r="MMK1626" s="1"/>
      <c r="MML1626" s="1"/>
      <c r="MMM1626" s="1"/>
      <c r="MMN1626" s="1"/>
      <c r="MMO1626" s="1"/>
      <c r="MMP1626" s="1"/>
      <c r="MMQ1626" s="1"/>
      <c r="MMR1626" s="1"/>
      <c r="MMS1626" s="1"/>
      <c r="MMT1626" s="1"/>
      <c r="MMU1626" s="1"/>
      <c r="MMV1626" s="1"/>
      <c r="MMW1626" s="1"/>
      <c r="MMX1626" s="1"/>
      <c r="MMY1626" s="1"/>
      <c r="MMZ1626" s="1"/>
      <c r="MNA1626" s="1"/>
      <c r="MNB1626" s="1"/>
      <c r="MNC1626" s="1"/>
      <c r="MND1626" s="1"/>
      <c r="MNE1626" s="1"/>
      <c r="MNF1626" s="1"/>
      <c r="MNG1626" s="1"/>
      <c r="MNH1626" s="1"/>
      <c r="MNI1626" s="1"/>
      <c r="MNJ1626" s="1"/>
      <c r="MNK1626" s="1"/>
      <c r="MNL1626" s="1"/>
      <c r="MNM1626" s="1"/>
      <c r="MNN1626" s="1"/>
      <c r="MNO1626" s="1"/>
      <c r="MNP1626" s="1"/>
      <c r="MNQ1626" s="1"/>
      <c r="MNR1626" s="1"/>
      <c r="MNS1626" s="1"/>
      <c r="MNT1626" s="1"/>
      <c r="MNU1626" s="1"/>
      <c r="MNV1626" s="1"/>
      <c r="MNW1626" s="1"/>
      <c r="MNX1626" s="1"/>
      <c r="MNY1626" s="1"/>
      <c r="MNZ1626" s="1"/>
      <c r="MOA1626" s="1"/>
      <c r="MOB1626" s="1"/>
      <c r="MOC1626" s="1"/>
      <c r="MOD1626" s="1"/>
      <c r="MOE1626" s="1"/>
      <c r="MOF1626" s="1"/>
      <c r="MOG1626" s="1"/>
      <c r="MOH1626" s="1"/>
      <c r="MOI1626" s="1"/>
      <c r="MOJ1626" s="1"/>
      <c r="MOK1626" s="1"/>
      <c r="MOL1626" s="1"/>
      <c r="MOM1626" s="1"/>
      <c r="MON1626" s="1"/>
      <c r="MOO1626" s="1"/>
      <c r="MOP1626" s="1"/>
      <c r="MOQ1626" s="1"/>
      <c r="MOR1626" s="1"/>
      <c r="MOS1626" s="1"/>
      <c r="MOT1626" s="1"/>
      <c r="MOU1626" s="1"/>
      <c r="MOV1626" s="1"/>
      <c r="MOW1626" s="1"/>
      <c r="MOX1626" s="1"/>
      <c r="MOY1626" s="1"/>
      <c r="MOZ1626" s="1"/>
      <c r="MPA1626" s="1"/>
      <c r="MPB1626" s="1"/>
      <c r="MPC1626" s="1"/>
      <c r="MPD1626" s="1"/>
      <c r="MPE1626" s="1"/>
      <c r="MPF1626" s="1"/>
      <c r="MPG1626" s="1"/>
      <c r="MPH1626" s="1"/>
      <c r="MPI1626" s="1"/>
      <c r="MPJ1626" s="1"/>
      <c r="MPK1626" s="1"/>
      <c r="MPL1626" s="1"/>
      <c r="MPM1626" s="1"/>
      <c r="MPN1626" s="1"/>
      <c r="MPO1626" s="1"/>
      <c r="MPP1626" s="1"/>
      <c r="MPQ1626" s="1"/>
      <c r="MPR1626" s="1"/>
      <c r="MPS1626" s="1"/>
      <c r="MPT1626" s="1"/>
      <c r="MPU1626" s="1"/>
      <c r="MPV1626" s="1"/>
      <c r="MPW1626" s="1"/>
      <c r="MPX1626" s="1"/>
      <c r="MPY1626" s="1"/>
      <c r="MPZ1626" s="1"/>
      <c r="MQA1626" s="1"/>
      <c r="MQB1626" s="1"/>
      <c r="MQC1626" s="1"/>
      <c r="MQD1626" s="1"/>
      <c r="MQE1626" s="1"/>
      <c r="MQF1626" s="1"/>
      <c r="MQG1626" s="1"/>
      <c r="MQH1626" s="1"/>
      <c r="MQI1626" s="1"/>
      <c r="MQJ1626" s="1"/>
      <c r="MQK1626" s="1"/>
      <c r="MQL1626" s="1"/>
      <c r="MQM1626" s="1"/>
      <c r="MQN1626" s="1"/>
      <c r="MQO1626" s="1"/>
      <c r="MQP1626" s="1"/>
      <c r="MQQ1626" s="1"/>
      <c r="MQR1626" s="1"/>
      <c r="MQS1626" s="1"/>
      <c r="MQT1626" s="1"/>
      <c r="MQU1626" s="1"/>
      <c r="MQV1626" s="1"/>
      <c r="MQW1626" s="1"/>
      <c r="MQX1626" s="1"/>
      <c r="MQY1626" s="1"/>
      <c r="MQZ1626" s="1"/>
      <c r="MRA1626" s="1"/>
      <c r="MRB1626" s="1"/>
      <c r="MRC1626" s="1"/>
      <c r="MRD1626" s="1"/>
      <c r="MRE1626" s="1"/>
      <c r="MRF1626" s="1"/>
      <c r="MRG1626" s="1"/>
      <c r="MRH1626" s="1"/>
      <c r="MRI1626" s="1"/>
      <c r="MRJ1626" s="1"/>
      <c r="MRK1626" s="1"/>
      <c r="MRL1626" s="1"/>
      <c r="MRM1626" s="1"/>
      <c r="MRN1626" s="1"/>
      <c r="MRO1626" s="1"/>
      <c r="MRP1626" s="1"/>
      <c r="MRQ1626" s="1"/>
      <c r="MRR1626" s="1"/>
      <c r="MRS1626" s="1"/>
      <c r="MRT1626" s="1"/>
      <c r="MRU1626" s="1"/>
      <c r="MRV1626" s="1"/>
      <c r="MRW1626" s="1"/>
      <c r="MRX1626" s="1"/>
      <c r="MRY1626" s="1"/>
      <c r="MRZ1626" s="1"/>
      <c r="MSA1626" s="1"/>
      <c r="MSB1626" s="1"/>
      <c r="MSC1626" s="1"/>
      <c r="MSD1626" s="1"/>
      <c r="MSE1626" s="1"/>
      <c r="MSF1626" s="1"/>
      <c r="MSG1626" s="1"/>
      <c r="MSH1626" s="1"/>
      <c r="MSI1626" s="1"/>
      <c r="MSJ1626" s="1"/>
      <c r="MSK1626" s="1"/>
      <c r="MSL1626" s="1"/>
      <c r="MSM1626" s="1"/>
      <c r="MSN1626" s="1"/>
      <c r="MSO1626" s="1"/>
      <c r="MSP1626" s="1"/>
      <c r="MSQ1626" s="1"/>
      <c r="MSR1626" s="1"/>
      <c r="MSS1626" s="1"/>
      <c r="MST1626" s="1"/>
      <c r="MSU1626" s="1"/>
      <c r="MSV1626" s="1"/>
      <c r="MSW1626" s="1"/>
      <c r="MSX1626" s="1"/>
      <c r="MSY1626" s="1"/>
      <c r="MSZ1626" s="1"/>
      <c r="MTA1626" s="1"/>
      <c r="MTB1626" s="1"/>
      <c r="MTC1626" s="1"/>
      <c r="MTD1626" s="1"/>
      <c r="MTE1626" s="1"/>
      <c r="MTF1626" s="1"/>
      <c r="MTG1626" s="1"/>
      <c r="MTH1626" s="1"/>
      <c r="MTI1626" s="1"/>
      <c r="MTJ1626" s="1"/>
      <c r="MTK1626" s="1"/>
      <c r="MTL1626" s="1"/>
      <c r="MTM1626" s="1"/>
      <c r="MTN1626" s="1"/>
      <c r="MTO1626" s="1"/>
      <c r="MTP1626" s="1"/>
      <c r="MTQ1626" s="1"/>
      <c r="MTR1626" s="1"/>
      <c r="MTS1626" s="1"/>
      <c r="MTT1626" s="1"/>
      <c r="MTU1626" s="1"/>
      <c r="MTV1626" s="1"/>
      <c r="MTW1626" s="1"/>
      <c r="MTX1626" s="1"/>
      <c r="MTY1626" s="1"/>
      <c r="MTZ1626" s="1"/>
      <c r="MUA1626" s="1"/>
      <c r="MUB1626" s="1"/>
      <c r="MUC1626" s="1"/>
      <c r="MUD1626" s="1"/>
      <c r="MUE1626" s="1"/>
      <c r="MUF1626" s="1"/>
      <c r="MUG1626" s="1"/>
      <c r="MUH1626" s="1"/>
      <c r="MUI1626" s="1"/>
      <c r="MUJ1626" s="1"/>
      <c r="MUK1626" s="1"/>
      <c r="MUL1626" s="1"/>
      <c r="MUM1626" s="1"/>
      <c r="MUN1626" s="1"/>
      <c r="MUO1626" s="1"/>
      <c r="MUP1626" s="1"/>
      <c r="MUQ1626" s="1"/>
      <c r="MUR1626" s="1"/>
      <c r="MUS1626" s="1"/>
      <c r="MUT1626" s="1"/>
      <c r="MUU1626" s="1"/>
      <c r="MUV1626" s="1"/>
      <c r="MUW1626" s="1"/>
      <c r="MUX1626" s="1"/>
      <c r="MUY1626" s="1"/>
      <c r="MUZ1626" s="1"/>
      <c r="MVA1626" s="1"/>
      <c r="MVB1626" s="1"/>
      <c r="MVC1626" s="1"/>
      <c r="MVD1626" s="1"/>
      <c r="MVE1626" s="1"/>
      <c r="MVF1626" s="1"/>
      <c r="MVG1626" s="1"/>
      <c r="MVH1626" s="1"/>
      <c r="MVI1626" s="1"/>
      <c r="MVJ1626" s="1"/>
      <c r="MVK1626" s="1"/>
      <c r="MVL1626" s="1"/>
      <c r="MVM1626" s="1"/>
      <c r="MVN1626" s="1"/>
      <c r="MVO1626" s="1"/>
      <c r="MVP1626" s="1"/>
      <c r="MVQ1626" s="1"/>
      <c r="MVR1626" s="1"/>
      <c r="MVS1626" s="1"/>
      <c r="MVT1626" s="1"/>
      <c r="MVU1626" s="1"/>
      <c r="MVV1626" s="1"/>
      <c r="MVW1626" s="1"/>
      <c r="MVX1626" s="1"/>
      <c r="MVY1626" s="1"/>
      <c r="MVZ1626" s="1"/>
      <c r="MWA1626" s="1"/>
      <c r="MWB1626" s="1"/>
      <c r="MWC1626" s="1"/>
      <c r="MWD1626" s="1"/>
      <c r="MWE1626" s="1"/>
      <c r="MWF1626" s="1"/>
      <c r="MWG1626" s="1"/>
      <c r="MWH1626" s="1"/>
      <c r="MWI1626" s="1"/>
      <c r="MWJ1626" s="1"/>
      <c r="MWK1626" s="1"/>
      <c r="MWL1626" s="1"/>
      <c r="MWM1626" s="1"/>
      <c r="MWN1626" s="1"/>
      <c r="MWO1626" s="1"/>
      <c r="MWP1626" s="1"/>
      <c r="MWQ1626" s="1"/>
      <c r="MWR1626" s="1"/>
      <c r="MWS1626" s="1"/>
      <c r="MWT1626" s="1"/>
      <c r="MWU1626" s="1"/>
      <c r="MWV1626" s="1"/>
      <c r="MWW1626" s="1"/>
      <c r="MWX1626" s="1"/>
      <c r="MWY1626" s="1"/>
      <c r="MWZ1626" s="1"/>
      <c r="MXA1626" s="1"/>
      <c r="MXB1626" s="1"/>
      <c r="MXC1626" s="1"/>
      <c r="MXD1626" s="1"/>
      <c r="MXE1626" s="1"/>
      <c r="MXF1626" s="1"/>
      <c r="MXG1626" s="1"/>
      <c r="MXH1626" s="1"/>
      <c r="MXI1626" s="1"/>
      <c r="MXJ1626" s="1"/>
      <c r="MXK1626" s="1"/>
      <c r="MXL1626" s="1"/>
      <c r="MXM1626" s="1"/>
      <c r="MXN1626" s="1"/>
      <c r="MXO1626" s="1"/>
      <c r="MXP1626" s="1"/>
      <c r="MXQ1626" s="1"/>
      <c r="MXR1626" s="1"/>
      <c r="MXS1626" s="1"/>
      <c r="MXT1626" s="1"/>
      <c r="MXU1626" s="1"/>
      <c r="MXV1626" s="1"/>
      <c r="MXW1626" s="1"/>
      <c r="MXX1626" s="1"/>
      <c r="MXY1626" s="1"/>
      <c r="MXZ1626" s="1"/>
      <c r="MYA1626" s="1"/>
      <c r="MYB1626" s="1"/>
      <c r="MYC1626" s="1"/>
      <c r="MYD1626" s="1"/>
      <c r="MYE1626" s="1"/>
      <c r="MYF1626" s="1"/>
      <c r="MYG1626" s="1"/>
      <c r="MYH1626" s="1"/>
      <c r="MYI1626" s="1"/>
      <c r="MYJ1626" s="1"/>
      <c r="MYK1626" s="1"/>
      <c r="MYL1626" s="1"/>
      <c r="MYM1626" s="1"/>
      <c r="MYN1626" s="1"/>
      <c r="MYO1626" s="1"/>
      <c r="MYP1626" s="1"/>
      <c r="MYQ1626" s="1"/>
      <c r="MYR1626" s="1"/>
      <c r="MYS1626" s="1"/>
      <c r="MYT1626" s="1"/>
      <c r="MYU1626" s="1"/>
      <c r="MYV1626" s="1"/>
      <c r="MYW1626" s="1"/>
      <c r="MYX1626" s="1"/>
      <c r="MYY1626" s="1"/>
      <c r="MYZ1626" s="1"/>
      <c r="MZA1626" s="1"/>
      <c r="MZB1626" s="1"/>
      <c r="MZC1626" s="1"/>
      <c r="MZD1626" s="1"/>
      <c r="MZE1626" s="1"/>
      <c r="MZF1626" s="1"/>
      <c r="MZG1626" s="1"/>
      <c r="MZH1626" s="1"/>
      <c r="MZI1626" s="1"/>
      <c r="MZJ1626" s="1"/>
      <c r="MZK1626" s="1"/>
      <c r="MZL1626" s="1"/>
      <c r="MZM1626" s="1"/>
      <c r="MZN1626" s="1"/>
      <c r="MZO1626" s="1"/>
      <c r="MZP1626" s="1"/>
      <c r="MZQ1626" s="1"/>
      <c r="MZR1626" s="1"/>
      <c r="MZS1626" s="1"/>
      <c r="MZT1626" s="1"/>
      <c r="MZU1626" s="1"/>
      <c r="MZV1626" s="1"/>
      <c r="MZW1626" s="1"/>
      <c r="MZX1626" s="1"/>
      <c r="MZY1626" s="1"/>
      <c r="MZZ1626" s="1"/>
      <c r="NAA1626" s="1"/>
      <c r="NAB1626" s="1"/>
      <c r="NAC1626" s="1"/>
      <c r="NAD1626" s="1"/>
      <c r="NAE1626" s="1"/>
      <c r="NAF1626" s="1"/>
      <c r="NAG1626" s="1"/>
      <c r="NAH1626" s="1"/>
      <c r="NAI1626" s="1"/>
      <c r="NAJ1626" s="1"/>
      <c r="NAK1626" s="1"/>
      <c r="NAL1626" s="1"/>
      <c r="NAM1626" s="1"/>
      <c r="NAN1626" s="1"/>
      <c r="NAO1626" s="1"/>
      <c r="NAP1626" s="1"/>
      <c r="NAQ1626" s="1"/>
      <c r="NAR1626" s="1"/>
      <c r="NAS1626" s="1"/>
      <c r="NAT1626" s="1"/>
      <c r="NAU1626" s="1"/>
      <c r="NAV1626" s="1"/>
      <c r="NAW1626" s="1"/>
      <c r="NAX1626" s="1"/>
      <c r="NAY1626" s="1"/>
      <c r="NAZ1626" s="1"/>
      <c r="NBA1626" s="1"/>
      <c r="NBB1626" s="1"/>
      <c r="NBC1626" s="1"/>
      <c r="NBD1626" s="1"/>
      <c r="NBE1626" s="1"/>
      <c r="NBF1626" s="1"/>
      <c r="NBG1626" s="1"/>
      <c r="NBH1626" s="1"/>
      <c r="NBI1626" s="1"/>
      <c r="NBJ1626" s="1"/>
      <c r="NBK1626" s="1"/>
      <c r="NBL1626" s="1"/>
      <c r="NBM1626" s="1"/>
      <c r="NBN1626" s="1"/>
      <c r="NBO1626" s="1"/>
      <c r="NBP1626" s="1"/>
      <c r="NBQ1626" s="1"/>
      <c r="NBR1626" s="1"/>
      <c r="NBS1626" s="1"/>
      <c r="NBT1626" s="1"/>
      <c r="NBU1626" s="1"/>
      <c r="NBV1626" s="1"/>
      <c r="NBW1626" s="1"/>
      <c r="NBX1626" s="1"/>
      <c r="NBY1626" s="1"/>
      <c r="NBZ1626" s="1"/>
      <c r="NCA1626" s="1"/>
      <c r="NCB1626" s="1"/>
      <c r="NCC1626" s="1"/>
      <c r="NCD1626" s="1"/>
      <c r="NCE1626" s="1"/>
      <c r="NCF1626" s="1"/>
      <c r="NCG1626" s="1"/>
      <c r="NCH1626" s="1"/>
      <c r="NCI1626" s="1"/>
      <c r="NCJ1626" s="1"/>
      <c r="NCK1626" s="1"/>
      <c r="NCL1626" s="1"/>
      <c r="NCM1626" s="1"/>
      <c r="NCN1626" s="1"/>
      <c r="NCO1626" s="1"/>
      <c r="NCP1626" s="1"/>
      <c r="NCQ1626" s="1"/>
      <c r="NCR1626" s="1"/>
      <c r="NCS1626" s="1"/>
      <c r="NCT1626" s="1"/>
      <c r="NCU1626" s="1"/>
      <c r="NCV1626" s="1"/>
      <c r="NCW1626" s="1"/>
      <c r="NCX1626" s="1"/>
      <c r="NCY1626" s="1"/>
      <c r="NCZ1626" s="1"/>
      <c r="NDA1626" s="1"/>
      <c r="NDB1626" s="1"/>
      <c r="NDC1626" s="1"/>
      <c r="NDD1626" s="1"/>
      <c r="NDE1626" s="1"/>
      <c r="NDF1626" s="1"/>
      <c r="NDG1626" s="1"/>
      <c r="NDH1626" s="1"/>
      <c r="NDI1626" s="1"/>
      <c r="NDJ1626" s="1"/>
      <c r="NDK1626" s="1"/>
      <c r="NDL1626" s="1"/>
      <c r="NDM1626" s="1"/>
      <c r="NDN1626" s="1"/>
      <c r="NDO1626" s="1"/>
      <c r="NDP1626" s="1"/>
      <c r="NDQ1626" s="1"/>
      <c r="NDR1626" s="1"/>
      <c r="NDS1626" s="1"/>
      <c r="NDT1626" s="1"/>
      <c r="NDU1626" s="1"/>
      <c r="NDV1626" s="1"/>
      <c r="NDW1626" s="1"/>
      <c r="NDX1626" s="1"/>
      <c r="NDY1626" s="1"/>
      <c r="NDZ1626" s="1"/>
      <c r="NEA1626" s="1"/>
      <c r="NEB1626" s="1"/>
      <c r="NEC1626" s="1"/>
      <c r="NED1626" s="1"/>
      <c r="NEE1626" s="1"/>
      <c r="NEF1626" s="1"/>
      <c r="NEG1626" s="1"/>
      <c r="NEH1626" s="1"/>
      <c r="NEI1626" s="1"/>
      <c r="NEJ1626" s="1"/>
      <c r="NEK1626" s="1"/>
      <c r="NEL1626" s="1"/>
      <c r="NEM1626" s="1"/>
      <c r="NEN1626" s="1"/>
      <c r="NEO1626" s="1"/>
      <c r="NEP1626" s="1"/>
      <c r="NEQ1626" s="1"/>
      <c r="NER1626" s="1"/>
      <c r="NES1626" s="1"/>
      <c r="NET1626" s="1"/>
      <c r="NEU1626" s="1"/>
      <c r="NEV1626" s="1"/>
      <c r="NEW1626" s="1"/>
      <c r="NEX1626" s="1"/>
      <c r="NEY1626" s="1"/>
      <c r="NEZ1626" s="1"/>
      <c r="NFA1626" s="1"/>
      <c r="NFB1626" s="1"/>
      <c r="NFC1626" s="1"/>
      <c r="NFD1626" s="1"/>
      <c r="NFE1626" s="1"/>
      <c r="NFF1626" s="1"/>
      <c r="NFG1626" s="1"/>
      <c r="NFH1626" s="1"/>
      <c r="NFI1626" s="1"/>
      <c r="NFJ1626" s="1"/>
      <c r="NFK1626" s="1"/>
      <c r="NFL1626" s="1"/>
      <c r="NFM1626" s="1"/>
      <c r="NFN1626" s="1"/>
      <c r="NFO1626" s="1"/>
      <c r="NFP1626" s="1"/>
      <c r="NFQ1626" s="1"/>
      <c r="NFR1626" s="1"/>
      <c r="NFS1626" s="1"/>
      <c r="NFT1626" s="1"/>
      <c r="NFU1626" s="1"/>
      <c r="NFV1626" s="1"/>
      <c r="NFW1626" s="1"/>
      <c r="NFX1626" s="1"/>
      <c r="NFY1626" s="1"/>
      <c r="NFZ1626" s="1"/>
      <c r="NGA1626" s="1"/>
      <c r="NGB1626" s="1"/>
      <c r="NGC1626" s="1"/>
      <c r="NGD1626" s="1"/>
      <c r="NGE1626" s="1"/>
      <c r="NGF1626" s="1"/>
      <c r="NGG1626" s="1"/>
      <c r="NGH1626" s="1"/>
      <c r="NGI1626" s="1"/>
      <c r="NGJ1626" s="1"/>
      <c r="NGK1626" s="1"/>
      <c r="NGL1626" s="1"/>
      <c r="NGM1626" s="1"/>
      <c r="NGN1626" s="1"/>
      <c r="NGO1626" s="1"/>
      <c r="NGP1626" s="1"/>
      <c r="NGQ1626" s="1"/>
      <c r="NGR1626" s="1"/>
      <c r="NGS1626" s="1"/>
      <c r="NGT1626" s="1"/>
      <c r="NGU1626" s="1"/>
      <c r="NGV1626" s="1"/>
      <c r="NGW1626" s="1"/>
      <c r="NGX1626" s="1"/>
      <c r="NGY1626" s="1"/>
      <c r="NGZ1626" s="1"/>
      <c r="NHA1626" s="1"/>
      <c r="NHB1626" s="1"/>
      <c r="NHC1626" s="1"/>
      <c r="NHD1626" s="1"/>
      <c r="NHE1626" s="1"/>
      <c r="NHF1626" s="1"/>
      <c r="NHG1626" s="1"/>
      <c r="NHH1626" s="1"/>
      <c r="NHI1626" s="1"/>
      <c r="NHJ1626" s="1"/>
      <c r="NHK1626" s="1"/>
      <c r="NHL1626" s="1"/>
      <c r="NHM1626" s="1"/>
      <c r="NHN1626" s="1"/>
      <c r="NHO1626" s="1"/>
      <c r="NHP1626" s="1"/>
      <c r="NHQ1626" s="1"/>
      <c r="NHR1626" s="1"/>
      <c r="NHS1626" s="1"/>
      <c r="NHT1626" s="1"/>
      <c r="NHU1626" s="1"/>
      <c r="NHV1626" s="1"/>
      <c r="NHW1626" s="1"/>
      <c r="NHX1626" s="1"/>
      <c r="NHY1626" s="1"/>
      <c r="NHZ1626" s="1"/>
      <c r="NIA1626" s="1"/>
      <c r="NIB1626" s="1"/>
      <c r="NIC1626" s="1"/>
      <c r="NID1626" s="1"/>
      <c r="NIE1626" s="1"/>
      <c r="NIF1626" s="1"/>
      <c r="NIG1626" s="1"/>
      <c r="NIH1626" s="1"/>
      <c r="NII1626" s="1"/>
      <c r="NIJ1626" s="1"/>
      <c r="NIK1626" s="1"/>
      <c r="NIL1626" s="1"/>
      <c r="NIM1626" s="1"/>
      <c r="NIN1626" s="1"/>
      <c r="NIO1626" s="1"/>
      <c r="NIP1626" s="1"/>
      <c r="NIQ1626" s="1"/>
      <c r="NIR1626" s="1"/>
      <c r="NIS1626" s="1"/>
      <c r="NIT1626" s="1"/>
      <c r="NIU1626" s="1"/>
      <c r="NIV1626" s="1"/>
      <c r="NIW1626" s="1"/>
      <c r="NIX1626" s="1"/>
      <c r="NIY1626" s="1"/>
      <c r="NIZ1626" s="1"/>
      <c r="NJA1626" s="1"/>
      <c r="NJB1626" s="1"/>
      <c r="NJC1626" s="1"/>
      <c r="NJD1626" s="1"/>
      <c r="NJE1626" s="1"/>
      <c r="NJF1626" s="1"/>
      <c r="NJG1626" s="1"/>
      <c r="NJH1626" s="1"/>
      <c r="NJI1626" s="1"/>
      <c r="NJJ1626" s="1"/>
      <c r="NJK1626" s="1"/>
      <c r="NJL1626" s="1"/>
      <c r="NJM1626" s="1"/>
      <c r="NJN1626" s="1"/>
      <c r="NJO1626" s="1"/>
      <c r="NJP1626" s="1"/>
      <c r="NJQ1626" s="1"/>
      <c r="NJR1626" s="1"/>
      <c r="NJS1626" s="1"/>
      <c r="NJT1626" s="1"/>
      <c r="NJU1626" s="1"/>
      <c r="NJV1626" s="1"/>
      <c r="NJW1626" s="1"/>
      <c r="NJX1626" s="1"/>
      <c r="NJY1626" s="1"/>
      <c r="NJZ1626" s="1"/>
      <c r="NKA1626" s="1"/>
      <c r="NKB1626" s="1"/>
      <c r="NKC1626" s="1"/>
      <c r="NKD1626" s="1"/>
      <c r="NKE1626" s="1"/>
      <c r="NKF1626" s="1"/>
      <c r="NKG1626" s="1"/>
      <c r="NKH1626" s="1"/>
      <c r="NKI1626" s="1"/>
      <c r="NKJ1626" s="1"/>
      <c r="NKK1626" s="1"/>
      <c r="NKL1626" s="1"/>
      <c r="NKM1626" s="1"/>
      <c r="NKN1626" s="1"/>
      <c r="NKO1626" s="1"/>
      <c r="NKP1626" s="1"/>
      <c r="NKQ1626" s="1"/>
      <c r="NKR1626" s="1"/>
      <c r="NKS1626" s="1"/>
      <c r="NKT1626" s="1"/>
      <c r="NKU1626" s="1"/>
      <c r="NKV1626" s="1"/>
      <c r="NKW1626" s="1"/>
      <c r="NKX1626" s="1"/>
      <c r="NKY1626" s="1"/>
      <c r="NKZ1626" s="1"/>
      <c r="NLA1626" s="1"/>
      <c r="NLB1626" s="1"/>
      <c r="NLC1626" s="1"/>
      <c r="NLD1626" s="1"/>
      <c r="NLE1626" s="1"/>
      <c r="NLF1626" s="1"/>
      <c r="NLG1626" s="1"/>
      <c r="NLH1626" s="1"/>
      <c r="NLI1626" s="1"/>
      <c r="NLJ1626" s="1"/>
      <c r="NLK1626" s="1"/>
      <c r="NLL1626" s="1"/>
      <c r="NLM1626" s="1"/>
      <c r="NLN1626" s="1"/>
      <c r="NLO1626" s="1"/>
      <c r="NLP1626" s="1"/>
      <c r="NLQ1626" s="1"/>
      <c r="NLR1626" s="1"/>
      <c r="NLS1626" s="1"/>
      <c r="NLT1626" s="1"/>
      <c r="NLU1626" s="1"/>
      <c r="NLV1626" s="1"/>
      <c r="NLW1626" s="1"/>
      <c r="NLX1626" s="1"/>
      <c r="NLY1626" s="1"/>
      <c r="NLZ1626" s="1"/>
      <c r="NMA1626" s="1"/>
      <c r="NMB1626" s="1"/>
      <c r="NMC1626" s="1"/>
      <c r="NMD1626" s="1"/>
      <c r="NME1626" s="1"/>
      <c r="NMF1626" s="1"/>
      <c r="NMG1626" s="1"/>
      <c r="NMH1626" s="1"/>
      <c r="NMI1626" s="1"/>
      <c r="NMJ1626" s="1"/>
      <c r="NMK1626" s="1"/>
      <c r="NML1626" s="1"/>
      <c r="NMM1626" s="1"/>
      <c r="NMN1626" s="1"/>
      <c r="NMO1626" s="1"/>
      <c r="NMP1626" s="1"/>
      <c r="NMQ1626" s="1"/>
      <c r="NMR1626" s="1"/>
      <c r="NMS1626" s="1"/>
      <c r="NMT1626" s="1"/>
      <c r="NMU1626" s="1"/>
      <c r="NMV1626" s="1"/>
      <c r="NMW1626" s="1"/>
      <c r="NMX1626" s="1"/>
      <c r="NMY1626" s="1"/>
      <c r="NMZ1626" s="1"/>
      <c r="NNA1626" s="1"/>
      <c r="NNB1626" s="1"/>
      <c r="NNC1626" s="1"/>
      <c r="NND1626" s="1"/>
      <c r="NNE1626" s="1"/>
      <c r="NNF1626" s="1"/>
      <c r="NNG1626" s="1"/>
      <c r="NNH1626" s="1"/>
      <c r="NNI1626" s="1"/>
      <c r="NNJ1626" s="1"/>
      <c r="NNK1626" s="1"/>
      <c r="NNL1626" s="1"/>
      <c r="NNM1626" s="1"/>
      <c r="NNN1626" s="1"/>
      <c r="NNO1626" s="1"/>
      <c r="NNP1626" s="1"/>
      <c r="NNQ1626" s="1"/>
      <c r="NNR1626" s="1"/>
      <c r="NNS1626" s="1"/>
      <c r="NNT1626" s="1"/>
      <c r="NNU1626" s="1"/>
      <c r="NNV1626" s="1"/>
      <c r="NNW1626" s="1"/>
      <c r="NNX1626" s="1"/>
      <c r="NNY1626" s="1"/>
      <c r="NNZ1626" s="1"/>
      <c r="NOA1626" s="1"/>
      <c r="NOB1626" s="1"/>
      <c r="NOC1626" s="1"/>
      <c r="NOD1626" s="1"/>
      <c r="NOE1626" s="1"/>
      <c r="NOF1626" s="1"/>
      <c r="NOG1626" s="1"/>
      <c r="NOH1626" s="1"/>
      <c r="NOI1626" s="1"/>
      <c r="NOJ1626" s="1"/>
      <c r="NOK1626" s="1"/>
      <c r="NOL1626" s="1"/>
      <c r="NOM1626" s="1"/>
      <c r="NON1626" s="1"/>
      <c r="NOO1626" s="1"/>
      <c r="NOP1626" s="1"/>
      <c r="NOQ1626" s="1"/>
      <c r="NOR1626" s="1"/>
      <c r="NOS1626" s="1"/>
      <c r="NOT1626" s="1"/>
      <c r="NOU1626" s="1"/>
      <c r="NOV1626" s="1"/>
      <c r="NOW1626" s="1"/>
      <c r="NOX1626" s="1"/>
      <c r="NOY1626" s="1"/>
      <c r="NOZ1626" s="1"/>
      <c r="NPA1626" s="1"/>
      <c r="NPB1626" s="1"/>
      <c r="NPC1626" s="1"/>
      <c r="NPD1626" s="1"/>
      <c r="NPE1626" s="1"/>
      <c r="NPF1626" s="1"/>
      <c r="NPG1626" s="1"/>
      <c r="NPH1626" s="1"/>
      <c r="NPI1626" s="1"/>
      <c r="NPJ1626" s="1"/>
      <c r="NPK1626" s="1"/>
      <c r="NPL1626" s="1"/>
      <c r="NPM1626" s="1"/>
      <c r="NPN1626" s="1"/>
      <c r="NPO1626" s="1"/>
      <c r="NPP1626" s="1"/>
      <c r="NPQ1626" s="1"/>
      <c r="NPR1626" s="1"/>
      <c r="NPS1626" s="1"/>
      <c r="NPT1626" s="1"/>
      <c r="NPU1626" s="1"/>
      <c r="NPV1626" s="1"/>
      <c r="NPW1626" s="1"/>
      <c r="NPX1626" s="1"/>
      <c r="NPY1626" s="1"/>
      <c r="NPZ1626" s="1"/>
      <c r="NQA1626" s="1"/>
      <c r="NQB1626" s="1"/>
      <c r="NQC1626" s="1"/>
      <c r="NQD1626" s="1"/>
      <c r="NQE1626" s="1"/>
      <c r="NQF1626" s="1"/>
      <c r="NQG1626" s="1"/>
      <c r="NQH1626" s="1"/>
      <c r="NQI1626" s="1"/>
      <c r="NQJ1626" s="1"/>
      <c r="NQK1626" s="1"/>
      <c r="NQL1626" s="1"/>
      <c r="NQM1626" s="1"/>
      <c r="NQN1626" s="1"/>
      <c r="NQO1626" s="1"/>
      <c r="NQP1626" s="1"/>
      <c r="NQQ1626" s="1"/>
      <c r="NQR1626" s="1"/>
      <c r="NQS1626" s="1"/>
      <c r="NQT1626" s="1"/>
      <c r="NQU1626" s="1"/>
      <c r="NQV1626" s="1"/>
      <c r="NQW1626" s="1"/>
      <c r="NQX1626" s="1"/>
      <c r="NQY1626" s="1"/>
      <c r="NQZ1626" s="1"/>
      <c r="NRA1626" s="1"/>
      <c r="NRB1626" s="1"/>
      <c r="NRC1626" s="1"/>
      <c r="NRD1626" s="1"/>
      <c r="NRE1626" s="1"/>
      <c r="NRF1626" s="1"/>
      <c r="NRG1626" s="1"/>
      <c r="NRH1626" s="1"/>
      <c r="NRI1626" s="1"/>
      <c r="NRJ1626" s="1"/>
      <c r="NRK1626" s="1"/>
      <c r="NRL1626" s="1"/>
      <c r="NRM1626" s="1"/>
      <c r="NRN1626" s="1"/>
      <c r="NRO1626" s="1"/>
      <c r="NRP1626" s="1"/>
      <c r="NRQ1626" s="1"/>
      <c r="NRR1626" s="1"/>
      <c r="NRS1626" s="1"/>
      <c r="NRT1626" s="1"/>
      <c r="NRU1626" s="1"/>
      <c r="NRV1626" s="1"/>
      <c r="NRW1626" s="1"/>
      <c r="NRX1626" s="1"/>
      <c r="NRY1626" s="1"/>
      <c r="NRZ1626" s="1"/>
      <c r="NSA1626" s="1"/>
      <c r="NSB1626" s="1"/>
      <c r="NSC1626" s="1"/>
      <c r="NSD1626" s="1"/>
      <c r="NSE1626" s="1"/>
      <c r="NSF1626" s="1"/>
      <c r="NSG1626" s="1"/>
      <c r="NSH1626" s="1"/>
      <c r="NSI1626" s="1"/>
      <c r="NSJ1626" s="1"/>
      <c r="NSK1626" s="1"/>
      <c r="NSL1626" s="1"/>
      <c r="NSM1626" s="1"/>
      <c r="NSN1626" s="1"/>
      <c r="NSO1626" s="1"/>
      <c r="NSP1626" s="1"/>
      <c r="NSQ1626" s="1"/>
      <c r="NSR1626" s="1"/>
      <c r="NSS1626" s="1"/>
      <c r="NST1626" s="1"/>
      <c r="NSU1626" s="1"/>
      <c r="NSV1626" s="1"/>
      <c r="NSW1626" s="1"/>
      <c r="NSX1626" s="1"/>
      <c r="NSY1626" s="1"/>
      <c r="NSZ1626" s="1"/>
      <c r="NTA1626" s="1"/>
      <c r="NTB1626" s="1"/>
      <c r="NTC1626" s="1"/>
      <c r="NTD1626" s="1"/>
      <c r="NTE1626" s="1"/>
      <c r="NTF1626" s="1"/>
      <c r="NTG1626" s="1"/>
      <c r="NTH1626" s="1"/>
      <c r="NTI1626" s="1"/>
      <c r="NTJ1626" s="1"/>
      <c r="NTK1626" s="1"/>
      <c r="NTL1626" s="1"/>
      <c r="NTM1626" s="1"/>
      <c r="NTN1626" s="1"/>
      <c r="NTO1626" s="1"/>
      <c r="NTP1626" s="1"/>
      <c r="NTQ1626" s="1"/>
      <c r="NTR1626" s="1"/>
      <c r="NTS1626" s="1"/>
      <c r="NTT1626" s="1"/>
      <c r="NTU1626" s="1"/>
      <c r="NTV1626" s="1"/>
      <c r="NTW1626" s="1"/>
      <c r="NTX1626" s="1"/>
      <c r="NTY1626" s="1"/>
      <c r="NTZ1626" s="1"/>
      <c r="NUA1626" s="1"/>
      <c r="NUB1626" s="1"/>
      <c r="NUC1626" s="1"/>
      <c r="NUD1626" s="1"/>
      <c r="NUE1626" s="1"/>
      <c r="NUF1626" s="1"/>
      <c r="NUG1626" s="1"/>
      <c r="NUH1626" s="1"/>
      <c r="NUI1626" s="1"/>
      <c r="NUJ1626" s="1"/>
      <c r="NUK1626" s="1"/>
      <c r="NUL1626" s="1"/>
      <c r="NUM1626" s="1"/>
      <c r="NUN1626" s="1"/>
      <c r="NUO1626" s="1"/>
      <c r="NUP1626" s="1"/>
      <c r="NUQ1626" s="1"/>
      <c r="NUR1626" s="1"/>
      <c r="NUS1626" s="1"/>
      <c r="NUT1626" s="1"/>
      <c r="NUU1626" s="1"/>
      <c r="NUV1626" s="1"/>
      <c r="NUW1626" s="1"/>
      <c r="NUX1626" s="1"/>
      <c r="NUY1626" s="1"/>
      <c r="NUZ1626" s="1"/>
      <c r="NVA1626" s="1"/>
      <c r="NVB1626" s="1"/>
      <c r="NVC1626" s="1"/>
      <c r="NVD1626" s="1"/>
      <c r="NVE1626" s="1"/>
      <c r="NVF1626" s="1"/>
      <c r="NVG1626" s="1"/>
      <c r="NVH1626" s="1"/>
      <c r="NVI1626" s="1"/>
      <c r="NVJ1626" s="1"/>
      <c r="NVK1626" s="1"/>
      <c r="NVL1626" s="1"/>
      <c r="NVM1626" s="1"/>
      <c r="NVN1626" s="1"/>
      <c r="NVO1626" s="1"/>
      <c r="NVP1626" s="1"/>
      <c r="NVQ1626" s="1"/>
      <c r="NVR1626" s="1"/>
      <c r="NVS1626" s="1"/>
      <c r="NVT1626" s="1"/>
      <c r="NVU1626" s="1"/>
      <c r="NVV1626" s="1"/>
      <c r="NVW1626" s="1"/>
      <c r="NVX1626" s="1"/>
      <c r="NVY1626" s="1"/>
      <c r="NVZ1626" s="1"/>
      <c r="NWA1626" s="1"/>
      <c r="NWB1626" s="1"/>
      <c r="NWC1626" s="1"/>
      <c r="NWD1626" s="1"/>
      <c r="NWE1626" s="1"/>
      <c r="NWF1626" s="1"/>
      <c r="NWG1626" s="1"/>
      <c r="NWH1626" s="1"/>
      <c r="NWI1626" s="1"/>
      <c r="NWJ1626" s="1"/>
      <c r="NWK1626" s="1"/>
      <c r="NWL1626" s="1"/>
      <c r="NWM1626" s="1"/>
      <c r="NWN1626" s="1"/>
      <c r="NWO1626" s="1"/>
      <c r="NWP1626" s="1"/>
      <c r="NWQ1626" s="1"/>
      <c r="NWR1626" s="1"/>
      <c r="NWS1626" s="1"/>
      <c r="NWT1626" s="1"/>
      <c r="NWU1626" s="1"/>
      <c r="NWV1626" s="1"/>
      <c r="NWW1626" s="1"/>
      <c r="NWX1626" s="1"/>
      <c r="NWY1626" s="1"/>
      <c r="NWZ1626" s="1"/>
      <c r="NXA1626" s="1"/>
      <c r="NXB1626" s="1"/>
      <c r="NXC1626" s="1"/>
      <c r="NXD1626" s="1"/>
      <c r="NXE1626" s="1"/>
      <c r="NXF1626" s="1"/>
      <c r="NXG1626" s="1"/>
      <c r="NXH1626" s="1"/>
      <c r="NXI1626" s="1"/>
      <c r="NXJ1626" s="1"/>
      <c r="NXK1626" s="1"/>
      <c r="NXL1626" s="1"/>
      <c r="NXM1626" s="1"/>
      <c r="NXN1626" s="1"/>
      <c r="NXO1626" s="1"/>
      <c r="NXP1626" s="1"/>
      <c r="NXQ1626" s="1"/>
      <c r="NXR1626" s="1"/>
      <c r="NXS1626" s="1"/>
      <c r="NXT1626" s="1"/>
      <c r="NXU1626" s="1"/>
      <c r="NXV1626" s="1"/>
      <c r="NXW1626" s="1"/>
      <c r="NXX1626" s="1"/>
      <c r="NXY1626" s="1"/>
      <c r="NXZ1626" s="1"/>
      <c r="NYA1626" s="1"/>
      <c r="NYB1626" s="1"/>
      <c r="NYC1626" s="1"/>
      <c r="NYD1626" s="1"/>
      <c r="NYE1626" s="1"/>
      <c r="NYF1626" s="1"/>
      <c r="NYG1626" s="1"/>
      <c r="NYH1626" s="1"/>
      <c r="NYI1626" s="1"/>
      <c r="NYJ1626" s="1"/>
      <c r="NYK1626" s="1"/>
      <c r="NYL1626" s="1"/>
      <c r="NYM1626" s="1"/>
      <c r="NYN1626" s="1"/>
      <c r="NYO1626" s="1"/>
      <c r="NYP1626" s="1"/>
      <c r="NYQ1626" s="1"/>
      <c r="NYR1626" s="1"/>
      <c r="NYS1626" s="1"/>
      <c r="NYT1626" s="1"/>
      <c r="NYU1626" s="1"/>
      <c r="NYV1626" s="1"/>
      <c r="NYW1626" s="1"/>
      <c r="NYX1626" s="1"/>
      <c r="NYY1626" s="1"/>
      <c r="NYZ1626" s="1"/>
      <c r="NZA1626" s="1"/>
      <c r="NZB1626" s="1"/>
      <c r="NZC1626" s="1"/>
      <c r="NZD1626" s="1"/>
      <c r="NZE1626" s="1"/>
      <c r="NZF1626" s="1"/>
      <c r="NZG1626" s="1"/>
      <c r="NZH1626" s="1"/>
      <c r="NZI1626" s="1"/>
      <c r="NZJ1626" s="1"/>
      <c r="NZK1626" s="1"/>
      <c r="NZL1626" s="1"/>
      <c r="NZM1626" s="1"/>
      <c r="NZN1626" s="1"/>
      <c r="NZO1626" s="1"/>
      <c r="NZP1626" s="1"/>
      <c r="NZQ1626" s="1"/>
      <c r="NZR1626" s="1"/>
      <c r="NZS1626" s="1"/>
      <c r="NZT1626" s="1"/>
      <c r="NZU1626" s="1"/>
      <c r="NZV1626" s="1"/>
      <c r="NZW1626" s="1"/>
      <c r="NZX1626" s="1"/>
      <c r="NZY1626" s="1"/>
      <c r="NZZ1626" s="1"/>
      <c r="OAA1626" s="1"/>
      <c r="OAB1626" s="1"/>
      <c r="OAC1626" s="1"/>
      <c r="OAD1626" s="1"/>
      <c r="OAE1626" s="1"/>
      <c r="OAF1626" s="1"/>
      <c r="OAG1626" s="1"/>
      <c r="OAH1626" s="1"/>
      <c r="OAI1626" s="1"/>
      <c r="OAJ1626" s="1"/>
      <c r="OAK1626" s="1"/>
      <c r="OAL1626" s="1"/>
      <c r="OAM1626" s="1"/>
      <c r="OAN1626" s="1"/>
      <c r="OAO1626" s="1"/>
      <c r="OAP1626" s="1"/>
      <c r="OAQ1626" s="1"/>
      <c r="OAR1626" s="1"/>
      <c r="OAS1626" s="1"/>
      <c r="OAT1626" s="1"/>
      <c r="OAU1626" s="1"/>
      <c r="OAV1626" s="1"/>
      <c r="OAW1626" s="1"/>
      <c r="OAX1626" s="1"/>
      <c r="OAY1626" s="1"/>
      <c r="OAZ1626" s="1"/>
      <c r="OBA1626" s="1"/>
      <c r="OBB1626" s="1"/>
      <c r="OBC1626" s="1"/>
      <c r="OBD1626" s="1"/>
      <c r="OBE1626" s="1"/>
      <c r="OBF1626" s="1"/>
      <c r="OBG1626" s="1"/>
      <c r="OBH1626" s="1"/>
      <c r="OBI1626" s="1"/>
      <c r="OBJ1626" s="1"/>
      <c r="OBK1626" s="1"/>
      <c r="OBL1626" s="1"/>
      <c r="OBM1626" s="1"/>
      <c r="OBN1626" s="1"/>
      <c r="OBO1626" s="1"/>
      <c r="OBP1626" s="1"/>
      <c r="OBQ1626" s="1"/>
      <c r="OBR1626" s="1"/>
      <c r="OBS1626" s="1"/>
      <c r="OBT1626" s="1"/>
      <c r="OBU1626" s="1"/>
      <c r="OBV1626" s="1"/>
      <c r="OBW1626" s="1"/>
      <c r="OBX1626" s="1"/>
      <c r="OBY1626" s="1"/>
      <c r="OBZ1626" s="1"/>
      <c r="OCA1626" s="1"/>
      <c r="OCB1626" s="1"/>
      <c r="OCC1626" s="1"/>
      <c r="OCD1626" s="1"/>
      <c r="OCE1626" s="1"/>
      <c r="OCF1626" s="1"/>
      <c r="OCG1626" s="1"/>
      <c r="OCH1626" s="1"/>
      <c r="OCI1626" s="1"/>
      <c r="OCJ1626" s="1"/>
      <c r="OCK1626" s="1"/>
      <c r="OCL1626" s="1"/>
      <c r="OCM1626" s="1"/>
      <c r="OCN1626" s="1"/>
      <c r="OCO1626" s="1"/>
      <c r="OCP1626" s="1"/>
      <c r="OCQ1626" s="1"/>
      <c r="OCR1626" s="1"/>
      <c r="OCS1626" s="1"/>
      <c r="OCT1626" s="1"/>
      <c r="OCU1626" s="1"/>
      <c r="OCV1626" s="1"/>
      <c r="OCW1626" s="1"/>
      <c r="OCX1626" s="1"/>
      <c r="OCY1626" s="1"/>
      <c r="OCZ1626" s="1"/>
      <c r="ODA1626" s="1"/>
      <c r="ODB1626" s="1"/>
      <c r="ODC1626" s="1"/>
      <c r="ODD1626" s="1"/>
      <c r="ODE1626" s="1"/>
      <c r="ODF1626" s="1"/>
      <c r="ODG1626" s="1"/>
      <c r="ODH1626" s="1"/>
      <c r="ODI1626" s="1"/>
      <c r="ODJ1626" s="1"/>
      <c r="ODK1626" s="1"/>
      <c r="ODL1626" s="1"/>
      <c r="ODM1626" s="1"/>
      <c r="ODN1626" s="1"/>
      <c r="ODO1626" s="1"/>
      <c r="ODP1626" s="1"/>
      <c r="ODQ1626" s="1"/>
      <c r="ODR1626" s="1"/>
      <c r="ODS1626" s="1"/>
      <c r="ODT1626" s="1"/>
      <c r="ODU1626" s="1"/>
      <c r="ODV1626" s="1"/>
      <c r="ODW1626" s="1"/>
      <c r="ODX1626" s="1"/>
      <c r="ODY1626" s="1"/>
      <c r="ODZ1626" s="1"/>
      <c r="OEA1626" s="1"/>
      <c r="OEB1626" s="1"/>
      <c r="OEC1626" s="1"/>
      <c r="OED1626" s="1"/>
      <c r="OEE1626" s="1"/>
      <c r="OEF1626" s="1"/>
      <c r="OEG1626" s="1"/>
      <c r="OEH1626" s="1"/>
      <c r="OEI1626" s="1"/>
      <c r="OEJ1626" s="1"/>
      <c r="OEK1626" s="1"/>
      <c r="OEL1626" s="1"/>
      <c r="OEM1626" s="1"/>
      <c r="OEN1626" s="1"/>
      <c r="OEO1626" s="1"/>
      <c r="OEP1626" s="1"/>
      <c r="OEQ1626" s="1"/>
      <c r="OER1626" s="1"/>
      <c r="OES1626" s="1"/>
      <c r="OET1626" s="1"/>
      <c r="OEU1626" s="1"/>
      <c r="OEV1626" s="1"/>
      <c r="OEW1626" s="1"/>
      <c r="OEX1626" s="1"/>
      <c r="OEY1626" s="1"/>
      <c r="OEZ1626" s="1"/>
      <c r="OFA1626" s="1"/>
      <c r="OFB1626" s="1"/>
      <c r="OFC1626" s="1"/>
      <c r="OFD1626" s="1"/>
      <c r="OFE1626" s="1"/>
      <c r="OFF1626" s="1"/>
      <c r="OFG1626" s="1"/>
      <c r="OFH1626" s="1"/>
      <c r="OFI1626" s="1"/>
      <c r="OFJ1626" s="1"/>
      <c r="OFK1626" s="1"/>
      <c r="OFL1626" s="1"/>
      <c r="OFM1626" s="1"/>
      <c r="OFN1626" s="1"/>
      <c r="OFO1626" s="1"/>
      <c r="OFP1626" s="1"/>
      <c r="OFQ1626" s="1"/>
      <c r="OFR1626" s="1"/>
      <c r="OFS1626" s="1"/>
      <c r="OFT1626" s="1"/>
      <c r="OFU1626" s="1"/>
      <c r="OFV1626" s="1"/>
      <c r="OFW1626" s="1"/>
      <c r="OFX1626" s="1"/>
      <c r="OFY1626" s="1"/>
      <c r="OFZ1626" s="1"/>
      <c r="OGA1626" s="1"/>
      <c r="OGB1626" s="1"/>
      <c r="OGC1626" s="1"/>
      <c r="OGD1626" s="1"/>
      <c r="OGE1626" s="1"/>
      <c r="OGF1626" s="1"/>
      <c r="OGG1626" s="1"/>
      <c r="OGH1626" s="1"/>
      <c r="OGI1626" s="1"/>
      <c r="OGJ1626" s="1"/>
      <c r="OGK1626" s="1"/>
      <c r="OGL1626" s="1"/>
      <c r="OGM1626" s="1"/>
      <c r="OGN1626" s="1"/>
      <c r="OGO1626" s="1"/>
      <c r="OGP1626" s="1"/>
      <c r="OGQ1626" s="1"/>
      <c r="OGR1626" s="1"/>
      <c r="OGS1626" s="1"/>
      <c r="OGT1626" s="1"/>
      <c r="OGU1626" s="1"/>
      <c r="OGV1626" s="1"/>
      <c r="OGW1626" s="1"/>
      <c r="OGX1626" s="1"/>
      <c r="OGY1626" s="1"/>
      <c r="OGZ1626" s="1"/>
      <c r="OHA1626" s="1"/>
      <c r="OHB1626" s="1"/>
      <c r="OHC1626" s="1"/>
      <c r="OHD1626" s="1"/>
      <c r="OHE1626" s="1"/>
      <c r="OHF1626" s="1"/>
      <c r="OHG1626" s="1"/>
      <c r="OHH1626" s="1"/>
      <c r="OHI1626" s="1"/>
      <c r="OHJ1626" s="1"/>
      <c r="OHK1626" s="1"/>
      <c r="OHL1626" s="1"/>
      <c r="OHM1626" s="1"/>
      <c r="OHN1626" s="1"/>
      <c r="OHO1626" s="1"/>
      <c r="OHP1626" s="1"/>
      <c r="OHQ1626" s="1"/>
      <c r="OHR1626" s="1"/>
      <c r="OHS1626" s="1"/>
      <c r="OHT1626" s="1"/>
      <c r="OHU1626" s="1"/>
      <c r="OHV1626" s="1"/>
      <c r="OHW1626" s="1"/>
      <c r="OHX1626" s="1"/>
      <c r="OHY1626" s="1"/>
      <c r="OHZ1626" s="1"/>
      <c r="OIA1626" s="1"/>
      <c r="OIB1626" s="1"/>
      <c r="OIC1626" s="1"/>
      <c r="OID1626" s="1"/>
      <c r="OIE1626" s="1"/>
      <c r="OIF1626" s="1"/>
      <c r="OIG1626" s="1"/>
      <c r="OIH1626" s="1"/>
      <c r="OII1626" s="1"/>
      <c r="OIJ1626" s="1"/>
      <c r="OIK1626" s="1"/>
      <c r="OIL1626" s="1"/>
      <c r="OIM1626" s="1"/>
      <c r="OIN1626" s="1"/>
      <c r="OIO1626" s="1"/>
      <c r="OIP1626" s="1"/>
      <c r="OIQ1626" s="1"/>
      <c r="OIR1626" s="1"/>
      <c r="OIS1626" s="1"/>
      <c r="OIT1626" s="1"/>
      <c r="OIU1626" s="1"/>
      <c r="OIV1626" s="1"/>
      <c r="OIW1626" s="1"/>
      <c r="OIX1626" s="1"/>
      <c r="OIY1626" s="1"/>
      <c r="OIZ1626" s="1"/>
      <c r="OJA1626" s="1"/>
      <c r="OJB1626" s="1"/>
      <c r="OJC1626" s="1"/>
      <c r="OJD1626" s="1"/>
      <c r="OJE1626" s="1"/>
      <c r="OJF1626" s="1"/>
      <c r="OJG1626" s="1"/>
      <c r="OJH1626" s="1"/>
      <c r="OJI1626" s="1"/>
      <c r="OJJ1626" s="1"/>
      <c r="OJK1626" s="1"/>
      <c r="OJL1626" s="1"/>
      <c r="OJM1626" s="1"/>
      <c r="OJN1626" s="1"/>
      <c r="OJO1626" s="1"/>
      <c r="OJP1626" s="1"/>
      <c r="OJQ1626" s="1"/>
      <c r="OJR1626" s="1"/>
      <c r="OJS1626" s="1"/>
      <c r="OJT1626" s="1"/>
      <c r="OJU1626" s="1"/>
      <c r="OJV1626" s="1"/>
      <c r="OJW1626" s="1"/>
      <c r="OJX1626" s="1"/>
      <c r="OJY1626" s="1"/>
      <c r="OJZ1626" s="1"/>
      <c r="OKA1626" s="1"/>
      <c r="OKB1626" s="1"/>
      <c r="OKC1626" s="1"/>
      <c r="OKD1626" s="1"/>
      <c r="OKE1626" s="1"/>
      <c r="OKF1626" s="1"/>
      <c r="OKG1626" s="1"/>
      <c r="OKH1626" s="1"/>
      <c r="OKI1626" s="1"/>
      <c r="OKJ1626" s="1"/>
      <c r="OKK1626" s="1"/>
      <c r="OKL1626" s="1"/>
      <c r="OKM1626" s="1"/>
      <c r="OKN1626" s="1"/>
      <c r="OKO1626" s="1"/>
      <c r="OKP1626" s="1"/>
      <c r="OKQ1626" s="1"/>
      <c r="OKR1626" s="1"/>
      <c r="OKS1626" s="1"/>
      <c r="OKT1626" s="1"/>
      <c r="OKU1626" s="1"/>
      <c r="OKV1626" s="1"/>
      <c r="OKW1626" s="1"/>
      <c r="OKX1626" s="1"/>
      <c r="OKY1626" s="1"/>
      <c r="OKZ1626" s="1"/>
      <c r="OLA1626" s="1"/>
      <c r="OLB1626" s="1"/>
      <c r="OLC1626" s="1"/>
      <c r="OLD1626" s="1"/>
      <c r="OLE1626" s="1"/>
      <c r="OLF1626" s="1"/>
      <c r="OLG1626" s="1"/>
      <c r="OLH1626" s="1"/>
      <c r="OLI1626" s="1"/>
      <c r="OLJ1626" s="1"/>
      <c r="OLK1626" s="1"/>
      <c r="OLL1626" s="1"/>
      <c r="OLM1626" s="1"/>
      <c r="OLN1626" s="1"/>
      <c r="OLO1626" s="1"/>
      <c r="OLP1626" s="1"/>
      <c r="OLQ1626" s="1"/>
      <c r="OLR1626" s="1"/>
      <c r="OLS1626" s="1"/>
      <c r="OLT1626" s="1"/>
      <c r="OLU1626" s="1"/>
      <c r="OLV1626" s="1"/>
      <c r="OLW1626" s="1"/>
      <c r="OLX1626" s="1"/>
      <c r="OLY1626" s="1"/>
      <c r="OLZ1626" s="1"/>
      <c r="OMA1626" s="1"/>
      <c r="OMB1626" s="1"/>
      <c r="OMC1626" s="1"/>
      <c r="OMD1626" s="1"/>
      <c r="OME1626" s="1"/>
      <c r="OMF1626" s="1"/>
      <c r="OMG1626" s="1"/>
      <c r="OMH1626" s="1"/>
      <c r="OMI1626" s="1"/>
      <c r="OMJ1626" s="1"/>
      <c r="OMK1626" s="1"/>
      <c r="OML1626" s="1"/>
      <c r="OMM1626" s="1"/>
      <c r="OMN1626" s="1"/>
      <c r="OMO1626" s="1"/>
      <c r="OMP1626" s="1"/>
      <c r="OMQ1626" s="1"/>
      <c r="OMR1626" s="1"/>
      <c r="OMS1626" s="1"/>
      <c r="OMT1626" s="1"/>
      <c r="OMU1626" s="1"/>
      <c r="OMV1626" s="1"/>
      <c r="OMW1626" s="1"/>
      <c r="OMX1626" s="1"/>
      <c r="OMY1626" s="1"/>
      <c r="OMZ1626" s="1"/>
      <c r="ONA1626" s="1"/>
      <c r="ONB1626" s="1"/>
      <c r="ONC1626" s="1"/>
      <c r="OND1626" s="1"/>
      <c r="ONE1626" s="1"/>
      <c r="ONF1626" s="1"/>
      <c r="ONG1626" s="1"/>
      <c r="ONH1626" s="1"/>
      <c r="ONI1626" s="1"/>
      <c r="ONJ1626" s="1"/>
      <c r="ONK1626" s="1"/>
      <c r="ONL1626" s="1"/>
      <c r="ONM1626" s="1"/>
      <c r="ONN1626" s="1"/>
      <c r="ONO1626" s="1"/>
      <c r="ONP1626" s="1"/>
      <c r="ONQ1626" s="1"/>
      <c r="ONR1626" s="1"/>
      <c r="ONS1626" s="1"/>
      <c r="ONT1626" s="1"/>
      <c r="ONU1626" s="1"/>
      <c r="ONV1626" s="1"/>
      <c r="ONW1626" s="1"/>
      <c r="ONX1626" s="1"/>
      <c r="ONY1626" s="1"/>
      <c r="ONZ1626" s="1"/>
      <c r="OOA1626" s="1"/>
      <c r="OOB1626" s="1"/>
      <c r="OOC1626" s="1"/>
      <c r="OOD1626" s="1"/>
      <c r="OOE1626" s="1"/>
      <c r="OOF1626" s="1"/>
      <c r="OOG1626" s="1"/>
      <c r="OOH1626" s="1"/>
      <c r="OOI1626" s="1"/>
      <c r="OOJ1626" s="1"/>
      <c r="OOK1626" s="1"/>
      <c r="OOL1626" s="1"/>
      <c r="OOM1626" s="1"/>
      <c r="OON1626" s="1"/>
      <c r="OOO1626" s="1"/>
      <c r="OOP1626" s="1"/>
      <c r="OOQ1626" s="1"/>
      <c r="OOR1626" s="1"/>
      <c r="OOS1626" s="1"/>
      <c r="OOT1626" s="1"/>
      <c r="OOU1626" s="1"/>
      <c r="OOV1626" s="1"/>
      <c r="OOW1626" s="1"/>
      <c r="OOX1626" s="1"/>
      <c r="OOY1626" s="1"/>
      <c r="OOZ1626" s="1"/>
      <c r="OPA1626" s="1"/>
      <c r="OPB1626" s="1"/>
      <c r="OPC1626" s="1"/>
      <c r="OPD1626" s="1"/>
      <c r="OPE1626" s="1"/>
      <c r="OPF1626" s="1"/>
      <c r="OPG1626" s="1"/>
      <c r="OPH1626" s="1"/>
      <c r="OPI1626" s="1"/>
      <c r="OPJ1626" s="1"/>
      <c r="OPK1626" s="1"/>
      <c r="OPL1626" s="1"/>
      <c r="OPM1626" s="1"/>
      <c r="OPN1626" s="1"/>
      <c r="OPO1626" s="1"/>
      <c r="OPP1626" s="1"/>
      <c r="OPQ1626" s="1"/>
      <c r="OPR1626" s="1"/>
      <c r="OPS1626" s="1"/>
      <c r="OPT1626" s="1"/>
      <c r="OPU1626" s="1"/>
      <c r="OPV1626" s="1"/>
      <c r="OPW1626" s="1"/>
      <c r="OPX1626" s="1"/>
      <c r="OPY1626" s="1"/>
      <c r="OPZ1626" s="1"/>
      <c r="OQA1626" s="1"/>
      <c r="OQB1626" s="1"/>
      <c r="OQC1626" s="1"/>
      <c r="OQD1626" s="1"/>
      <c r="OQE1626" s="1"/>
      <c r="OQF1626" s="1"/>
      <c r="OQG1626" s="1"/>
      <c r="OQH1626" s="1"/>
      <c r="OQI1626" s="1"/>
      <c r="OQJ1626" s="1"/>
      <c r="OQK1626" s="1"/>
      <c r="OQL1626" s="1"/>
      <c r="OQM1626" s="1"/>
      <c r="OQN1626" s="1"/>
      <c r="OQO1626" s="1"/>
      <c r="OQP1626" s="1"/>
      <c r="OQQ1626" s="1"/>
      <c r="OQR1626" s="1"/>
      <c r="OQS1626" s="1"/>
      <c r="OQT1626" s="1"/>
      <c r="OQU1626" s="1"/>
      <c r="OQV1626" s="1"/>
      <c r="OQW1626" s="1"/>
      <c r="OQX1626" s="1"/>
      <c r="OQY1626" s="1"/>
      <c r="OQZ1626" s="1"/>
      <c r="ORA1626" s="1"/>
      <c r="ORB1626" s="1"/>
      <c r="ORC1626" s="1"/>
      <c r="ORD1626" s="1"/>
      <c r="ORE1626" s="1"/>
      <c r="ORF1626" s="1"/>
      <c r="ORG1626" s="1"/>
      <c r="ORH1626" s="1"/>
      <c r="ORI1626" s="1"/>
      <c r="ORJ1626" s="1"/>
      <c r="ORK1626" s="1"/>
      <c r="ORL1626" s="1"/>
      <c r="ORM1626" s="1"/>
      <c r="ORN1626" s="1"/>
      <c r="ORO1626" s="1"/>
      <c r="ORP1626" s="1"/>
      <c r="ORQ1626" s="1"/>
      <c r="ORR1626" s="1"/>
      <c r="ORS1626" s="1"/>
      <c r="ORT1626" s="1"/>
      <c r="ORU1626" s="1"/>
      <c r="ORV1626" s="1"/>
      <c r="ORW1626" s="1"/>
      <c r="ORX1626" s="1"/>
      <c r="ORY1626" s="1"/>
      <c r="ORZ1626" s="1"/>
      <c r="OSA1626" s="1"/>
      <c r="OSB1626" s="1"/>
      <c r="OSC1626" s="1"/>
      <c r="OSD1626" s="1"/>
      <c r="OSE1626" s="1"/>
      <c r="OSF1626" s="1"/>
      <c r="OSG1626" s="1"/>
      <c r="OSH1626" s="1"/>
      <c r="OSI1626" s="1"/>
      <c r="OSJ1626" s="1"/>
      <c r="OSK1626" s="1"/>
      <c r="OSL1626" s="1"/>
      <c r="OSM1626" s="1"/>
      <c r="OSN1626" s="1"/>
      <c r="OSO1626" s="1"/>
      <c r="OSP1626" s="1"/>
      <c r="OSQ1626" s="1"/>
      <c r="OSR1626" s="1"/>
      <c r="OSS1626" s="1"/>
      <c r="OST1626" s="1"/>
      <c r="OSU1626" s="1"/>
      <c r="OSV1626" s="1"/>
      <c r="OSW1626" s="1"/>
      <c r="OSX1626" s="1"/>
      <c r="OSY1626" s="1"/>
      <c r="OSZ1626" s="1"/>
      <c r="OTA1626" s="1"/>
      <c r="OTB1626" s="1"/>
      <c r="OTC1626" s="1"/>
      <c r="OTD1626" s="1"/>
      <c r="OTE1626" s="1"/>
      <c r="OTF1626" s="1"/>
      <c r="OTG1626" s="1"/>
      <c r="OTH1626" s="1"/>
      <c r="OTI1626" s="1"/>
      <c r="OTJ1626" s="1"/>
      <c r="OTK1626" s="1"/>
      <c r="OTL1626" s="1"/>
      <c r="OTM1626" s="1"/>
      <c r="OTN1626" s="1"/>
      <c r="OTO1626" s="1"/>
      <c r="OTP1626" s="1"/>
      <c r="OTQ1626" s="1"/>
      <c r="OTR1626" s="1"/>
      <c r="OTS1626" s="1"/>
      <c r="OTT1626" s="1"/>
      <c r="OTU1626" s="1"/>
      <c r="OTV1626" s="1"/>
      <c r="OTW1626" s="1"/>
      <c r="OTX1626" s="1"/>
      <c r="OTY1626" s="1"/>
      <c r="OTZ1626" s="1"/>
      <c r="OUA1626" s="1"/>
      <c r="OUB1626" s="1"/>
      <c r="OUC1626" s="1"/>
      <c r="OUD1626" s="1"/>
      <c r="OUE1626" s="1"/>
      <c r="OUF1626" s="1"/>
      <c r="OUG1626" s="1"/>
      <c r="OUH1626" s="1"/>
      <c r="OUI1626" s="1"/>
      <c r="OUJ1626" s="1"/>
      <c r="OUK1626" s="1"/>
      <c r="OUL1626" s="1"/>
      <c r="OUM1626" s="1"/>
      <c r="OUN1626" s="1"/>
      <c r="OUO1626" s="1"/>
      <c r="OUP1626" s="1"/>
      <c r="OUQ1626" s="1"/>
      <c r="OUR1626" s="1"/>
      <c r="OUS1626" s="1"/>
      <c r="OUT1626" s="1"/>
      <c r="OUU1626" s="1"/>
      <c r="OUV1626" s="1"/>
      <c r="OUW1626" s="1"/>
      <c r="OUX1626" s="1"/>
      <c r="OUY1626" s="1"/>
      <c r="OUZ1626" s="1"/>
      <c r="OVA1626" s="1"/>
      <c r="OVB1626" s="1"/>
      <c r="OVC1626" s="1"/>
      <c r="OVD1626" s="1"/>
      <c r="OVE1626" s="1"/>
      <c r="OVF1626" s="1"/>
      <c r="OVG1626" s="1"/>
      <c r="OVH1626" s="1"/>
      <c r="OVI1626" s="1"/>
      <c r="OVJ1626" s="1"/>
      <c r="OVK1626" s="1"/>
      <c r="OVL1626" s="1"/>
      <c r="OVM1626" s="1"/>
      <c r="OVN1626" s="1"/>
      <c r="OVO1626" s="1"/>
      <c r="OVP1626" s="1"/>
      <c r="OVQ1626" s="1"/>
      <c r="OVR1626" s="1"/>
      <c r="OVS1626" s="1"/>
      <c r="OVT1626" s="1"/>
      <c r="OVU1626" s="1"/>
      <c r="OVV1626" s="1"/>
      <c r="OVW1626" s="1"/>
      <c r="OVX1626" s="1"/>
      <c r="OVY1626" s="1"/>
      <c r="OVZ1626" s="1"/>
      <c r="OWA1626" s="1"/>
      <c r="OWB1626" s="1"/>
      <c r="OWC1626" s="1"/>
      <c r="OWD1626" s="1"/>
      <c r="OWE1626" s="1"/>
      <c r="OWF1626" s="1"/>
      <c r="OWG1626" s="1"/>
      <c r="OWH1626" s="1"/>
      <c r="OWI1626" s="1"/>
      <c r="OWJ1626" s="1"/>
      <c r="OWK1626" s="1"/>
      <c r="OWL1626" s="1"/>
      <c r="OWM1626" s="1"/>
      <c r="OWN1626" s="1"/>
      <c r="OWO1626" s="1"/>
      <c r="OWP1626" s="1"/>
      <c r="OWQ1626" s="1"/>
      <c r="OWR1626" s="1"/>
      <c r="OWS1626" s="1"/>
      <c r="OWT1626" s="1"/>
      <c r="OWU1626" s="1"/>
      <c r="OWV1626" s="1"/>
      <c r="OWW1626" s="1"/>
      <c r="OWX1626" s="1"/>
      <c r="OWY1626" s="1"/>
      <c r="OWZ1626" s="1"/>
      <c r="OXA1626" s="1"/>
      <c r="OXB1626" s="1"/>
      <c r="OXC1626" s="1"/>
      <c r="OXD1626" s="1"/>
      <c r="OXE1626" s="1"/>
      <c r="OXF1626" s="1"/>
      <c r="OXG1626" s="1"/>
      <c r="OXH1626" s="1"/>
      <c r="OXI1626" s="1"/>
      <c r="OXJ1626" s="1"/>
      <c r="OXK1626" s="1"/>
      <c r="OXL1626" s="1"/>
      <c r="OXM1626" s="1"/>
      <c r="OXN1626" s="1"/>
      <c r="OXO1626" s="1"/>
      <c r="OXP1626" s="1"/>
      <c r="OXQ1626" s="1"/>
      <c r="OXR1626" s="1"/>
      <c r="OXS1626" s="1"/>
      <c r="OXT1626" s="1"/>
      <c r="OXU1626" s="1"/>
      <c r="OXV1626" s="1"/>
      <c r="OXW1626" s="1"/>
      <c r="OXX1626" s="1"/>
      <c r="OXY1626" s="1"/>
      <c r="OXZ1626" s="1"/>
      <c r="OYA1626" s="1"/>
      <c r="OYB1626" s="1"/>
      <c r="OYC1626" s="1"/>
      <c r="OYD1626" s="1"/>
      <c r="OYE1626" s="1"/>
      <c r="OYF1626" s="1"/>
      <c r="OYG1626" s="1"/>
      <c r="OYH1626" s="1"/>
      <c r="OYI1626" s="1"/>
      <c r="OYJ1626" s="1"/>
      <c r="OYK1626" s="1"/>
      <c r="OYL1626" s="1"/>
      <c r="OYM1626" s="1"/>
      <c r="OYN1626" s="1"/>
      <c r="OYO1626" s="1"/>
      <c r="OYP1626" s="1"/>
      <c r="OYQ1626" s="1"/>
      <c r="OYR1626" s="1"/>
      <c r="OYS1626" s="1"/>
      <c r="OYT1626" s="1"/>
      <c r="OYU1626" s="1"/>
      <c r="OYV1626" s="1"/>
      <c r="OYW1626" s="1"/>
      <c r="OYX1626" s="1"/>
      <c r="OYY1626" s="1"/>
      <c r="OYZ1626" s="1"/>
      <c r="OZA1626" s="1"/>
      <c r="OZB1626" s="1"/>
      <c r="OZC1626" s="1"/>
      <c r="OZD1626" s="1"/>
      <c r="OZE1626" s="1"/>
      <c r="OZF1626" s="1"/>
      <c r="OZG1626" s="1"/>
      <c r="OZH1626" s="1"/>
      <c r="OZI1626" s="1"/>
      <c r="OZJ1626" s="1"/>
      <c r="OZK1626" s="1"/>
      <c r="OZL1626" s="1"/>
      <c r="OZM1626" s="1"/>
      <c r="OZN1626" s="1"/>
      <c r="OZO1626" s="1"/>
      <c r="OZP1626" s="1"/>
      <c r="OZQ1626" s="1"/>
      <c r="OZR1626" s="1"/>
      <c r="OZS1626" s="1"/>
      <c r="OZT1626" s="1"/>
      <c r="OZU1626" s="1"/>
      <c r="OZV1626" s="1"/>
      <c r="OZW1626" s="1"/>
      <c r="OZX1626" s="1"/>
      <c r="OZY1626" s="1"/>
      <c r="OZZ1626" s="1"/>
      <c r="PAA1626" s="1"/>
      <c r="PAB1626" s="1"/>
      <c r="PAC1626" s="1"/>
      <c r="PAD1626" s="1"/>
      <c r="PAE1626" s="1"/>
      <c r="PAF1626" s="1"/>
      <c r="PAG1626" s="1"/>
      <c r="PAH1626" s="1"/>
      <c r="PAI1626" s="1"/>
      <c r="PAJ1626" s="1"/>
      <c r="PAK1626" s="1"/>
      <c r="PAL1626" s="1"/>
      <c r="PAM1626" s="1"/>
      <c r="PAN1626" s="1"/>
      <c r="PAO1626" s="1"/>
      <c r="PAP1626" s="1"/>
      <c r="PAQ1626" s="1"/>
      <c r="PAR1626" s="1"/>
      <c r="PAS1626" s="1"/>
      <c r="PAT1626" s="1"/>
      <c r="PAU1626" s="1"/>
      <c r="PAV1626" s="1"/>
      <c r="PAW1626" s="1"/>
      <c r="PAX1626" s="1"/>
      <c r="PAY1626" s="1"/>
      <c r="PAZ1626" s="1"/>
      <c r="PBA1626" s="1"/>
      <c r="PBB1626" s="1"/>
      <c r="PBC1626" s="1"/>
      <c r="PBD1626" s="1"/>
      <c r="PBE1626" s="1"/>
      <c r="PBF1626" s="1"/>
      <c r="PBG1626" s="1"/>
      <c r="PBH1626" s="1"/>
      <c r="PBI1626" s="1"/>
      <c r="PBJ1626" s="1"/>
      <c r="PBK1626" s="1"/>
      <c r="PBL1626" s="1"/>
      <c r="PBM1626" s="1"/>
      <c r="PBN1626" s="1"/>
      <c r="PBO1626" s="1"/>
      <c r="PBP1626" s="1"/>
      <c r="PBQ1626" s="1"/>
      <c r="PBR1626" s="1"/>
      <c r="PBS1626" s="1"/>
      <c r="PBT1626" s="1"/>
      <c r="PBU1626" s="1"/>
      <c r="PBV1626" s="1"/>
      <c r="PBW1626" s="1"/>
      <c r="PBX1626" s="1"/>
      <c r="PBY1626" s="1"/>
      <c r="PBZ1626" s="1"/>
      <c r="PCA1626" s="1"/>
      <c r="PCB1626" s="1"/>
      <c r="PCC1626" s="1"/>
      <c r="PCD1626" s="1"/>
      <c r="PCE1626" s="1"/>
      <c r="PCF1626" s="1"/>
      <c r="PCG1626" s="1"/>
      <c r="PCH1626" s="1"/>
      <c r="PCI1626" s="1"/>
      <c r="PCJ1626" s="1"/>
      <c r="PCK1626" s="1"/>
      <c r="PCL1626" s="1"/>
      <c r="PCM1626" s="1"/>
      <c r="PCN1626" s="1"/>
      <c r="PCO1626" s="1"/>
      <c r="PCP1626" s="1"/>
      <c r="PCQ1626" s="1"/>
      <c r="PCR1626" s="1"/>
      <c r="PCS1626" s="1"/>
      <c r="PCT1626" s="1"/>
      <c r="PCU1626" s="1"/>
      <c r="PCV1626" s="1"/>
      <c r="PCW1626" s="1"/>
      <c r="PCX1626" s="1"/>
      <c r="PCY1626" s="1"/>
      <c r="PCZ1626" s="1"/>
      <c r="PDA1626" s="1"/>
      <c r="PDB1626" s="1"/>
      <c r="PDC1626" s="1"/>
      <c r="PDD1626" s="1"/>
      <c r="PDE1626" s="1"/>
      <c r="PDF1626" s="1"/>
      <c r="PDG1626" s="1"/>
      <c r="PDH1626" s="1"/>
      <c r="PDI1626" s="1"/>
      <c r="PDJ1626" s="1"/>
      <c r="PDK1626" s="1"/>
      <c r="PDL1626" s="1"/>
      <c r="PDM1626" s="1"/>
      <c r="PDN1626" s="1"/>
      <c r="PDO1626" s="1"/>
      <c r="PDP1626" s="1"/>
      <c r="PDQ1626" s="1"/>
      <c r="PDR1626" s="1"/>
      <c r="PDS1626" s="1"/>
      <c r="PDT1626" s="1"/>
      <c r="PDU1626" s="1"/>
      <c r="PDV1626" s="1"/>
      <c r="PDW1626" s="1"/>
      <c r="PDX1626" s="1"/>
      <c r="PDY1626" s="1"/>
      <c r="PDZ1626" s="1"/>
      <c r="PEA1626" s="1"/>
      <c r="PEB1626" s="1"/>
      <c r="PEC1626" s="1"/>
      <c r="PED1626" s="1"/>
      <c r="PEE1626" s="1"/>
      <c r="PEF1626" s="1"/>
      <c r="PEG1626" s="1"/>
      <c r="PEH1626" s="1"/>
      <c r="PEI1626" s="1"/>
      <c r="PEJ1626" s="1"/>
      <c r="PEK1626" s="1"/>
      <c r="PEL1626" s="1"/>
      <c r="PEM1626" s="1"/>
      <c r="PEN1626" s="1"/>
      <c r="PEO1626" s="1"/>
      <c r="PEP1626" s="1"/>
      <c r="PEQ1626" s="1"/>
      <c r="PER1626" s="1"/>
      <c r="PES1626" s="1"/>
      <c r="PET1626" s="1"/>
      <c r="PEU1626" s="1"/>
      <c r="PEV1626" s="1"/>
      <c r="PEW1626" s="1"/>
      <c r="PEX1626" s="1"/>
      <c r="PEY1626" s="1"/>
      <c r="PEZ1626" s="1"/>
      <c r="PFA1626" s="1"/>
      <c r="PFB1626" s="1"/>
      <c r="PFC1626" s="1"/>
      <c r="PFD1626" s="1"/>
      <c r="PFE1626" s="1"/>
      <c r="PFF1626" s="1"/>
      <c r="PFG1626" s="1"/>
      <c r="PFH1626" s="1"/>
      <c r="PFI1626" s="1"/>
      <c r="PFJ1626" s="1"/>
      <c r="PFK1626" s="1"/>
      <c r="PFL1626" s="1"/>
      <c r="PFM1626" s="1"/>
      <c r="PFN1626" s="1"/>
      <c r="PFO1626" s="1"/>
      <c r="PFP1626" s="1"/>
      <c r="PFQ1626" s="1"/>
      <c r="PFR1626" s="1"/>
      <c r="PFS1626" s="1"/>
      <c r="PFT1626" s="1"/>
      <c r="PFU1626" s="1"/>
      <c r="PFV1626" s="1"/>
      <c r="PFW1626" s="1"/>
      <c r="PFX1626" s="1"/>
      <c r="PFY1626" s="1"/>
      <c r="PFZ1626" s="1"/>
      <c r="PGA1626" s="1"/>
      <c r="PGB1626" s="1"/>
      <c r="PGC1626" s="1"/>
      <c r="PGD1626" s="1"/>
      <c r="PGE1626" s="1"/>
      <c r="PGF1626" s="1"/>
      <c r="PGG1626" s="1"/>
      <c r="PGH1626" s="1"/>
      <c r="PGI1626" s="1"/>
      <c r="PGJ1626" s="1"/>
      <c r="PGK1626" s="1"/>
      <c r="PGL1626" s="1"/>
      <c r="PGM1626" s="1"/>
      <c r="PGN1626" s="1"/>
      <c r="PGO1626" s="1"/>
      <c r="PGP1626" s="1"/>
      <c r="PGQ1626" s="1"/>
      <c r="PGR1626" s="1"/>
      <c r="PGS1626" s="1"/>
      <c r="PGT1626" s="1"/>
      <c r="PGU1626" s="1"/>
      <c r="PGV1626" s="1"/>
      <c r="PGW1626" s="1"/>
      <c r="PGX1626" s="1"/>
      <c r="PGY1626" s="1"/>
      <c r="PGZ1626" s="1"/>
      <c r="PHA1626" s="1"/>
      <c r="PHB1626" s="1"/>
      <c r="PHC1626" s="1"/>
      <c r="PHD1626" s="1"/>
      <c r="PHE1626" s="1"/>
      <c r="PHF1626" s="1"/>
      <c r="PHG1626" s="1"/>
      <c r="PHH1626" s="1"/>
      <c r="PHI1626" s="1"/>
      <c r="PHJ1626" s="1"/>
      <c r="PHK1626" s="1"/>
      <c r="PHL1626" s="1"/>
      <c r="PHM1626" s="1"/>
      <c r="PHN1626" s="1"/>
      <c r="PHO1626" s="1"/>
      <c r="PHP1626" s="1"/>
      <c r="PHQ1626" s="1"/>
      <c r="PHR1626" s="1"/>
      <c r="PHS1626" s="1"/>
      <c r="PHT1626" s="1"/>
      <c r="PHU1626" s="1"/>
      <c r="PHV1626" s="1"/>
      <c r="PHW1626" s="1"/>
      <c r="PHX1626" s="1"/>
      <c r="PHY1626" s="1"/>
      <c r="PHZ1626" s="1"/>
      <c r="PIA1626" s="1"/>
      <c r="PIB1626" s="1"/>
      <c r="PIC1626" s="1"/>
      <c r="PID1626" s="1"/>
      <c r="PIE1626" s="1"/>
      <c r="PIF1626" s="1"/>
      <c r="PIG1626" s="1"/>
      <c r="PIH1626" s="1"/>
      <c r="PII1626" s="1"/>
      <c r="PIJ1626" s="1"/>
      <c r="PIK1626" s="1"/>
      <c r="PIL1626" s="1"/>
      <c r="PIM1626" s="1"/>
      <c r="PIN1626" s="1"/>
      <c r="PIO1626" s="1"/>
      <c r="PIP1626" s="1"/>
      <c r="PIQ1626" s="1"/>
      <c r="PIR1626" s="1"/>
      <c r="PIS1626" s="1"/>
      <c r="PIT1626" s="1"/>
      <c r="PIU1626" s="1"/>
      <c r="PIV1626" s="1"/>
      <c r="PIW1626" s="1"/>
      <c r="PIX1626" s="1"/>
      <c r="PIY1626" s="1"/>
      <c r="PIZ1626" s="1"/>
      <c r="PJA1626" s="1"/>
      <c r="PJB1626" s="1"/>
      <c r="PJC1626" s="1"/>
      <c r="PJD1626" s="1"/>
      <c r="PJE1626" s="1"/>
      <c r="PJF1626" s="1"/>
      <c r="PJG1626" s="1"/>
      <c r="PJH1626" s="1"/>
      <c r="PJI1626" s="1"/>
      <c r="PJJ1626" s="1"/>
      <c r="PJK1626" s="1"/>
      <c r="PJL1626" s="1"/>
      <c r="PJM1626" s="1"/>
      <c r="PJN1626" s="1"/>
      <c r="PJO1626" s="1"/>
      <c r="PJP1626" s="1"/>
      <c r="PJQ1626" s="1"/>
      <c r="PJR1626" s="1"/>
      <c r="PJS1626" s="1"/>
      <c r="PJT1626" s="1"/>
      <c r="PJU1626" s="1"/>
      <c r="PJV1626" s="1"/>
      <c r="PJW1626" s="1"/>
      <c r="PJX1626" s="1"/>
      <c r="PJY1626" s="1"/>
      <c r="PJZ1626" s="1"/>
      <c r="PKA1626" s="1"/>
      <c r="PKB1626" s="1"/>
      <c r="PKC1626" s="1"/>
      <c r="PKD1626" s="1"/>
      <c r="PKE1626" s="1"/>
      <c r="PKF1626" s="1"/>
      <c r="PKG1626" s="1"/>
      <c r="PKH1626" s="1"/>
      <c r="PKI1626" s="1"/>
      <c r="PKJ1626" s="1"/>
      <c r="PKK1626" s="1"/>
      <c r="PKL1626" s="1"/>
      <c r="PKM1626" s="1"/>
      <c r="PKN1626" s="1"/>
      <c r="PKO1626" s="1"/>
      <c r="PKP1626" s="1"/>
      <c r="PKQ1626" s="1"/>
      <c r="PKR1626" s="1"/>
      <c r="PKS1626" s="1"/>
      <c r="PKT1626" s="1"/>
      <c r="PKU1626" s="1"/>
      <c r="PKV1626" s="1"/>
      <c r="PKW1626" s="1"/>
      <c r="PKX1626" s="1"/>
      <c r="PKY1626" s="1"/>
      <c r="PKZ1626" s="1"/>
      <c r="PLA1626" s="1"/>
      <c r="PLB1626" s="1"/>
      <c r="PLC1626" s="1"/>
      <c r="PLD1626" s="1"/>
      <c r="PLE1626" s="1"/>
      <c r="PLF1626" s="1"/>
      <c r="PLG1626" s="1"/>
      <c r="PLH1626" s="1"/>
      <c r="PLI1626" s="1"/>
      <c r="PLJ1626" s="1"/>
      <c r="PLK1626" s="1"/>
      <c r="PLL1626" s="1"/>
      <c r="PLM1626" s="1"/>
      <c r="PLN1626" s="1"/>
      <c r="PLO1626" s="1"/>
      <c r="PLP1626" s="1"/>
      <c r="PLQ1626" s="1"/>
      <c r="PLR1626" s="1"/>
      <c r="PLS1626" s="1"/>
      <c r="PLT1626" s="1"/>
      <c r="PLU1626" s="1"/>
      <c r="PLV1626" s="1"/>
      <c r="PLW1626" s="1"/>
      <c r="PLX1626" s="1"/>
      <c r="PLY1626" s="1"/>
      <c r="PLZ1626" s="1"/>
      <c r="PMA1626" s="1"/>
      <c r="PMB1626" s="1"/>
      <c r="PMC1626" s="1"/>
      <c r="PMD1626" s="1"/>
      <c r="PME1626" s="1"/>
      <c r="PMF1626" s="1"/>
      <c r="PMG1626" s="1"/>
      <c r="PMH1626" s="1"/>
      <c r="PMI1626" s="1"/>
      <c r="PMJ1626" s="1"/>
      <c r="PMK1626" s="1"/>
      <c r="PML1626" s="1"/>
      <c r="PMM1626" s="1"/>
      <c r="PMN1626" s="1"/>
      <c r="PMO1626" s="1"/>
      <c r="PMP1626" s="1"/>
      <c r="PMQ1626" s="1"/>
      <c r="PMR1626" s="1"/>
      <c r="PMS1626" s="1"/>
      <c r="PMT1626" s="1"/>
      <c r="PMU1626" s="1"/>
      <c r="PMV1626" s="1"/>
      <c r="PMW1626" s="1"/>
      <c r="PMX1626" s="1"/>
      <c r="PMY1626" s="1"/>
      <c r="PMZ1626" s="1"/>
      <c r="PNA1626" s="1"/>
      <c r="PNB1626" s="1"/>
      <c r="PNC1626" s="1"/>
      <c r="PND1626" s="1"/>
      <c r="PNE1626" s="1"/>
      <c r="PNF1626" s="1"/>
      <c r="PNG1626" s="1"/>
      <c r="PNH1626" s="1"/>
      <c r="PNI1626" s="1"/>
      <c r="PNJ1626" s="1"/>
      <c r="PNK1626" s="1"/>
      <c r="PNL1626" s="1"/>
      <c r="PNM1626" s="1"/>
      <c r="PNN1626" s="1"/>
      <c r="PNO1626" s="1"/>
      <c r="PNP1626" s="1"/>
      <c r="PNQ1626" s="1"/>
      <c r="PNR1626" s="1"/>
      <c r="PNS1626" s="1"/>
      <c r="PNT1626" s="1"/>
      <c r="PNU1626" s="1"/>
      <c r="PNV1626" s="1"/>
      <c r="PNW1626" s="1"/>
      <c r="PNX1626" s="1"/>
      <c r="PNY1626" s="1"/>
      <c r="PNZ1626" s="1"/>
      <c r="POA1626" s="1"/>
      <c r="POB1626" s="1"/>
      <c r="POC1626" s="1"/>
      <c r="POD1626" s="1"/>
      <c r="POE1626" s="1"/>
      <c r="POF1626" s="1"/>
      <c r="POG1626" s="1"/>
      <c r="POH1626" s="1"/>
      <c r="POI1626" s="1"/>
      <c r="POJ1626" s="1"/>
      <c r="POK1626" s="1"/>
      <c r="POL1626" s="1"/>
      <c r="POM1626" s="1"/>
      <c r="PON1626" s="1"/>
      <c r="POO1626" s="1"/>
      <c r="POP1626" s="1"/>
      <c r="POQ1626" s="1"/>
      <c r="POR1626" s="1"/>
      <c r="POS1626" s="1"/>
      <c r="POT1626" s="1"/>
      <c r="POU1626" s="1"/>
      <c r="POV1626" s="1"/>
      <c r="POW1626" s="1"/>
      <c r="POX1626" s="1"/>
      <c r="POY1626" s="1"/>
      <c r="POZ1626" s="1"/>
      <c r="PPA1626" s="1"/>
      <c r="PPB1626" s="1"/>
      <c r="PPC1626" s="1"/>
      <c r="PPD1626" s="1"/>
      <c r="PPE1626" s="1"/>
      <c r="PPF1626" s="1"/>
      <c r="PPG1626" s="1"/>
      <c r="PPH1626" s="1"/>
      <c r="PPI1626" s="1"/>
      <c r="PPJ1626" s="1"/>
      <c r="PPK1626" s="1"/>
      <c r="PPL1626" s="1"/>
      <c r="PPM1626" s="1"/>
      <c r="PPN1626" s="1"/>
      <c r="PPO1626" s="1"/>
      <c r="PPP1626" s="1"/>
      <c r="PPQ1626" s="1"/>
      <c r="PPR1626" s="1"/>
      <c r="PPS1626" s="1"/>
      <c r="PPT1626" s="1"/>
      <c r="PPU1626" s="1"/>
      <c r="PPV1626" s="1"/>
      <c r="PPW1626" s="1"/>
      <c r="PPX1626" s="1"/>
      <c r="PPY1626" s="1"/>
      <c r="PPZ1626" s="1"/>
      <c r="PQA1626" s="1"/>
      <c r="PQB1626" s="1"/>
      <c r="PQC1626" s="1"/>
      <c r="PQD1626" s="1"/>
      <c r="PQE1626" s="1"/>
      <c r="PQF1626" s="1"/>
      <c r="PQG1626" s="1"/>
      <c r="PQH1626" s="1"/>
      <c r="PQI1626" s="1"/>
      <c r="PQJ1626" s="1"/>
      <c r="PQK1626" s="1"/>
      <c r="PQL1626" s="1"/>
      <c r="PQM1626" s="1"/>
      <c r="PQN1626" s="1"/>
      <c r="PQO1626" s="1"/>
      <c r="PQP1626" s="1"/>
      <c r="PQQ1626" s="1"/>
      <c r="PQR1626" s="1"/>
      <c r="PQS1626" s="1"/>
      <c r="PQT1626" s="1"/>
      <c r="PQU1626" s="1"/>
      <c r="PQV1626" s="1"/>
      <c r="PQW1626" s="1"/>
      <c r="PQX1626" s="1"/>
      <c r="PQY1626" s="1"/>
      <c r="PQZ1626" s="1"/>
      <c r="PRA1626" s="1"/>
      <c r="PRB1626" s="1"/>
      <c r="PRC1626" s="1"/>
      <c r="PRD1626" s="1"/>
      <c r="PRE1626" s="1"/>
      <c r="PRF1626" s="1"/>
      <c r="PRG1626" s="1"/>
      <c r="PRH1626" s="1"/>
      <c r="PRI1626" s="1"/>
      <c r="PRJ1626" s="1"/>
      <c r="PRK1626" s="1"/>
      <c r="PRL1626" s="1"/>
      <c r="PRM1626" s="1"/>
      <c r="PRN1626" s="1"/>
      <c r="PRO1626" s="1"/>
      <c r="PRP1626" s="1"/>
      <c r="PRQ1626" s="1"/>
      <c r="PRR1626" s="1"/>
      <c r="PRS1626" s="1"/>
      <c r="PRT1626" s="1"/>
      <c r="PRU1626" s="1"/>
      <c r="PRV1626" s="1"/>
      <c r="PRW1626" s="1"/>
      <c r="PRX1626" s="1"/>
      <c r="PRY1626" s="1"/>
      <c r="PRZ1626" s="1"/>
      <c r="PSA1626" s="1"/>
      <c r="PSB1626" s="1"/>
      <c r="PSC1626" s="1"/>
      <c r="PSD1626" s="1"/>
      <c r="PSE1626" s="1"/>
      <c r="PSF1626" s="1"/>
      <c r="PSG1626" s="1"/>
      <c r="PSH1626" s="1"/>
      <c r="PSI1626" s="1"/>
      <c r="PSJ1626" s="1"/>
      <c r="PSK1626" s="1"/>
      <c r="PSL1626" s="1"/>
      <c r="PSM1626" s="1"/>
      <c r="PSN1626" s="1"/>
      <c r="PSO1626" s="1"/>
      <c r="PSP1626" s="1"/>
      <c r="PSQ1626" s="1"/>
      <c r="PSR1626" s="1"/>
      <c r="PSS1626" s="1"/>
      <c r="PST1626" s="1"/>
      <c r="PSU1626" s="1"/>
      <c r="PSV1626" s="1"/>
      <c r="PSW1626" s="1"/>
      <c r="PSX1626" s="1"/>
      <c r="PSY1626" s="1"/>
      <c r="PSZ1626" s="1"/>
      <c r="PTA1626" s="1"/>
      <c r="PTB1626" s="1"/>
      <c r="PTC1626" s="1"/>
      <c r="PTD1626" s="1"/>
      <c r="PTE1626" s="1"/>
      <c r="PTF1626" s="1"/>
      <c r="PTG1626" s="1"/>
      <c r="PTH1626" s="1"/>
      <c r="PTI1626" s="1"/>
      <c r="PTJ1626" s="1"/>
      <c r="PTK1626" s="1"/>
      <c r="PTL1626" s="1"/>
      <c r="PTM1626" s="1"/>
      <c r="PTN1626" s="1"/>
      <c r="PTO1626" s="1"/>
      <c r="PTP1626" s="1"/>
      <c r="PTQ1626" s="1"/>
      <c r="PTR1626" s="1"/>
      <c r="PTS1626" s="1"/>
      <c r="PTT1626" s="1"/>
      <c r="PTU1626" s="1"/>
      <c r="PTV1626" s="1"/>
      <c r="PTW1626" s="1"/>
      <c r="PTX1626" s="1"/>
      <c r="PTY1626" s="1"/>
      <c r="PTZ1626" s="1"/>
      <c r="PUA1626" s="1"/>
      <c r="PUB1626" s="1"/>
      <c r="PUC1626" s="1"/>
      <c r="PUD1626" s="1"/>
      <c r="PUE1626" s="1"/>
      <c r="PUF1626" s="1"/>
      <c r="PUG1626" s="1"/>
      <c r="PUH1626" s="1"/>
      <c r="PUI1626" s="1"/>
      <c r="PUJ1626" s="1"/>
      <c r="PUK1626" s="1"/>
      <c r="PUL1626" s="1"/>
      <c r="PUM1626" s="1"/>
      <c r="PUN1626" s="1"/>
      <c r="PUO1626" s="1"/>
      <c r="PUP1626" s="1"/>
      <c r="PUQ1626" s="1"/>
      <c r="PUR1626" s="1"/>
      <c r="PUS1626" s="1"/>
      <c r="PUT1626" s="1"/>
      <c r="PUU1626" s="1"/>
      <c r="PUV1626" s="1"/>
      <c r="PUW1626" s="1"/>
      <c r="PUX1626" s="1"/>
      <c r="PUY1626" s="1"/>
      <c r="PUZ1626" s="1"/>
      <c r="PVA1626" s="1"/>
      <c r="PVB1626" s="1"/>
      <c r="PVC1626" s="1"/>
      <c r="PVD1626" s="1"/>
      <c r="PVE1626" s="1"/>
      <c r="PVF1626" s="1"/>
      <c r="PVG1626" s="1"/>
      <c r="PVH1626" s="1"/>
      <c r="PVI1626" s="1"/>
      <c r="PVJ1626" s="1"/>
      <c r="PVK1626" s="1"/>
      <c r="PVL1626" s="1"/>
      <c r="PVM1626" s="1"/>
      <c r="PVN1626" s="1"/>
      <c r="PVO1626" s="1"/>
      <c r="PVP1626" s="1"/>
      <c r="PVQ1626" s="1"/>
      <c r="PVR1626" s="1"/>
      <c r="PVS1626" s="1"/>
      <c r="PVT1626" s="1"/>
      <c r="PVU1626" s="1"/>
      <c r="PVV1626" s="1"/>
      <c r="PVW1626" s="1"/>
      <c r="PVX1626" s="1"/>
      <c r="PVY1626" s="1"/>
      <c r="PVZ1626" s="1"/>
      <c r="PWA1626" s="1"/>
      <c r="PWB1626" s="1"/>
      <c r="PWC1626" s="1"/>
      <c r="PWD1626" s="1"/>
      <c r="PWE1626" s="1"/>
      <c r="PWF1626" s="1"/>
      <c r="PWG1626" s="1"/>
      <c r="PWH1626" s="1"/>
      <c r="PWI1626" s="1"/>
      <c r="PWJ1626" s="1"/>
      <c r="PWK1626" s="1"/>
      <c r="PWL1626" s="1"/>
      <c r="PWM1626" s="1"/>
      <c r="PWN1626" s="1"/>
      <c r="PWO1626" s="1"/>
      <c r="PWP1626" s="1"/>
      <c r="PWQ1626" s="1"/>
      <c r="PWR1626" s="1"/>
      <c r="PWS1626" s="1"/>
      <c r="PWT1626" s="1"/>
      <c r="PWU1626" s="1"/>
      <c r="PWV1626" s="1"/>
      <c r="PWW1626" s="1"/>
      <c r="PWX1626" s="1"/>
      <c r="PWY1626" s="1"/>
      <c r="PWZ1626" s="1"/>
      <c r="PXA1626" s="1"/>
      <c r="PXB1626" s="1"/>
      <c r="PXC1626" s="1"/>
      <c r="PXD1626" s="1"/>
      <c r="PXE1626" s="1"/>
      <c r="PXF1626" s="1"/>
      <c r="PXG1626" s="1"/>
      <c r="PXH1626" s="1"/>
      <c r="PXI1626" s="1"/>
      <c r="PXJ1626" s="1"/>
      <c r="PXK1626" s="1"/>
      <c r="PXL1626" s="1"/>
      <c r="PXM1626" s="1"/>
      <c r="PXN1626" s="1"/>
      <c r="PXO1626" s="1"/>
      <c r="PXP1626" s="1"/>
      <c r="PXQ1626" s="1"/>
      <c r="PXR1626" s="1"/>
      <c r="PXS1626" s="1"/>
      <c r="PXT1626" s="1"/>
      <c r="PXU1626" s="1"/>
      <c r="PXV1626" s="1"/>
      <c r="PXW1626" s="1"/>
      <c r="PXX1626" s="1"/>
      <c r="PXY1626" s="1"/>
      <c r="PXZ1626" s="1"/>
      <c r="PYA1626" s="1"/>
      <c r="PYB1626" s="1"/>
      <c r="PYC1626" s="1"/>
      <c r="PYD1626" s="1"/>
      <c r="PYE1626" s="1"/>
      <c r="PYF1626" s="1"/>
      <c r="PYG1626" s="1"/>
      <c r="PYH1626" s="1"/>
      <c r="PYI1626" s="1"/>
      <c r="PYJ1626" s="1"/>
      <c r="PYK1626" s="1"/>
      <c r="PYL1626" s="1"/>
      <c r="PYM1626" s="1"/>
      <c r="PYN1626" s="1"/>
      <c r="PYO1626" s="1"/>
      <c r="PYP1626" s="1"/>
      <c r="PYQ1626" s="1"/>
      <c r="PYR1626" s="1"/>
      <c r="PYS1626" s="1"/>
      <c r="PYT1626" s="1"/>
      <c r="PYU1626" s="1"/>
      <c r="PYV1626" s="1"/>
      <c r="PYW1626" s="1"/>
      <c r="PYX1626" s="1"/>
      <c r="PYY1626" s="1"/>
      <c r="PYZ1626" s="1"/>
      <c r="PZA1626" s="1"/>
      <c r="PZB1626" s="1"/>
      <c r="PZC1626" s="1"/>
      <c r="PZD1626" s="1"/>
      <c r="PZE1626" s="1"/>
      <c r="PZF1626" s="1"/>
      <c r="PZG1626" s="1"/>
      <c r="PZH1626" s="1"/>
      <c r="PZI1626" s="1"/>
      <c r="PZJ1626" s="1"/>
      <c r="PZK1626" s="1"/>
      <c r="PZL1626" s="1"/>
      <c r="PZM1626" s="1"/>
      <c r="PZN1626" s="1"/>
      <c r="PZO1626" s="1"/>
      <c r="PZP1626" s="1"/>
      <c r="PZQ1626" s="1"/>
      <c r="PZR1626" s="1"/>
      <c r="PZS1626" s="1"/>
      <c r="PZT1626" s="1"/>
      <c r="PZU1626" s="1"/>
      <c r="PZV1626" s="1"/>
      <c r="PZW1626" s="1"/>
      <c r="PZX1626" s="1"/>
      <c r="PZY1626" s="1"/>
      <c r="PZZ1626" s="1"/>
      <c r="QAA1626" s="1"/>
      <c r="QAB1626" s="1"/>
      <c r="QAC1626" s="1"/>
      <c r="QAD1626" s="1"/>
      <c r="QAE1626" s="1"/>
      <c r="QAF1626" s="1"/>
      <c r="QAG1626" s="1"/>
      <c r="QAH1626" s="1"/>
      <c r="QAI1626" s="1"/>
      <c r="QAJ1626" s="1"/>
      <c r="QAK1626" s="1"/>
      <c r="QAL1626" s="1"/>
      <c r="QAM1626" s="1"/>
      <c r="QAN1626" s="1"/>
      <c r="QAO1626" s="1"/>
      <c r="QAP1626" s="1"/>
      <c r="QAQ1626" s="1"/>
      <c r="QAR1626" s="1"/>
      <c r="QAS1626" s="1"/>
      <c r="QAT1626" s="1"/>
      <c r="QAU1626" s="1"/>
      <c r="QAV1626" s="1"/>
      <c r="QAW1626" s="1"/>
      <c r="QAX1626" s="1"/>
      <c r="QAY1626" s="1"/>
      <c r="QAZ1626" s="1"/>
      <c r="QBA1626" s="1"/>
      <c r="QBB1626" s="1"/>
      <c r="QBC1626" s="1"/>
      <c r="QBD1626" s="1"/>
      <c r="QBE1626" s="1"/>
      <c r="QBF1626" s="1"/>
      <c r="QBG1626" s="1"/>
      <c r="QBH1626" s="1"/>
      <c r="QBI1626" s="1"/>
      <c r="QBJ1626" s="1"/>
      <c r="QBK1626" s="1"/>
      <c r="QBL1626" s="1"/>
      <c r="QBM1626" s="1"/>
      <c r="QBN1626" s="1"/>
      <c r="QBO1626" s="1"/>
      <c r="QBP1626" s="1"/>
      <c r="QBQ1626" s="1"/>
      <c r="QBR1626" s="1"/>
      <c r="QBS1626" s="1"/>
      <c r="QBT1626" s="1"/>
      <c r="QBU1626" s="1"/>
      <c r="QBV1626" s="1"/>
      <c r="QBW1626" s="1"/>
      <c r="QBX1626" s="1"/>
      <c r="QBY1626" s="1"/>
      <c r="QBZ1626" s="1"/>
      <c r="QCA1626" s="1"/>
      <c r="QCB1626" s="1"/>
      <c r="QCC1626" s="1"/>
      <c r="QCD1626" s="1"/>
      <c r="QCE1626" s="1"/>
      <c r="QCF1626" s="1"/>
      <c r="QCG1626" s="1"/>
      <c r="QCH1626" s="1"/>
      <c r="QCI1626" s="1"/>
      <c r="QCJ1626" s="1"/>
      <c r="QCK1626" s="1"/>
      <c r="QCL1626" s="1"/>
      <c r="QCM1626" s="1"/>
      <c r="QCN1626" s="1"/>
      <c r="QCO1626" s="1"/>
      <c r="QCP1626" s="1"/>
      <c r="QCQ1626" s="1"/>
      <c r="QCR1626" s="1"/>
      <c r="QCS1626" s="1"/>
      <c r="QCT1626" s="1"/>
      <c r="QCU1626" s="1"/>
      <c r="QCV1626" s="1"/>
      <c r="QCW1626" s="1"/>
      <c r="QCX1626" s="1"/>
      <c r="QCY1626" s="1"/>
      <c r="QCZ1626" s="1"/>
      <c r="QDA1626" s="1"/>
      <c r="QDB1626" s="1"/>
      <c r="QDC1626" s="1"/>
      <c r="QDD1626" s="1"/>
      <c r="QDE1626" s="1"/>
      <c r="QDF1626" s="1"/>
      <c r="QDG1626" s="1"/>
      <c r="QDH1626" s="1"/>
      <c r="QDI1626" s="1"/>
      <c r="QDJ1626" s="1"/>
      <c r="QDK1626" s="1"/>
      <c r="QDL1626" s="1"/>
      <c r="QDM1626" s="1"/>
      <c r="QDN1626" s="1"/>
      <c r="QDO1626" s="1"/>
      <c r="QDP1626" s="1"/>
      <c r="QDQ1626" s="1"/>
      <c r="QDR1626" s="1"/>
      <c r="QDS1626" s="1"/>
      <c r="QDT1626" s="1"/>
      <c r="QDU1626" s="1"/>
      <c r="QDV1626" s="1"/>
      <c r="QDW1626" s="1"/>
      <c r="QDX1626" s="1"/>
      <c r="QDY1626" s="1"/>
      <c r="QDZ1626" s="1"/>
      <c r="QEA1626" s="1"/>
      <c r="QEB1626" s="1"/>
      <c r="QEC1626" s="1"/>
      <c r="QED1626" s="1"/>
      <c r="QEE1626" s="1"/>
      <c r="QEF1626" s="1"/>
      <c r="QEG1626" s="1"/>
      <c r="QEH1626" s="1"/>
      <c r="QEI1626" s="1"/>
      <c r="QEJ1626" s="1"/>
      <c r="QEK1626" s="1"/>
      <c r="QEL1626" s="1"/>
      <c r="QEM1626" s="1"/>
      <c r="QEN1626" s="1"/>
      <c r="QEO1626" s="1"/>
      <c r="QEP1626" s="1"/>
      <c r="QEQ1626" s="1"/>
      <c r="QER1626" s="1"/>
      <c r="QES1626" s="1"/>
      <c r="QET1626" s="1"/>
      <c r="QEU1626" s="1"/>
      <c r="QEV1626" s="1"/>
      <c r="QEW1626" s="1"/>
      <c r="QEX1626" s="1"/>
      <c r="QEY1626" s="1"/>
      <c r="QEZ1626" s="1"/>
      <c r="QFA1626" s="1"/>
      <c r="QFB1626" s="1"/>
      <c r="QFC1626" s="1"/>
      <c r="QFD1626" s="1"/>
      <c r="QFE1626" s="1"/>
      <c r="QFF1626" s="1"/>
      <c r="QFG1626" s="1"/>
      <c r="QFH1626" s="1"/>
      <c r="QFI1626" s="1"/>
      <c r="QFJ1626" s="1"/>
      <c r="QFK1626" s="1"/>
      <c r="QFL1626" s="1"/>
      <c r="QFM1626" s="1"/>
      <c r="QFN1626" s="1"/>
      <c r="QFO1626" s="1"/>
      <c r="QFP1626" s="1"/>
      <c r="QFQ1626" s="1"/>
      <c r="QFR1626" s="1"/>
      <c r="QFS1626" s="1"/>
      <c r="QFT1626" s="1"/>
      <c r="QFU1626" s="1"/>
      <c r="QFV1626" s="1"/>
      <c r="QFW1626" s="1"/>
      <c r="QFX1626" s="1"/>
      <c r="QFY1626" s="1"/>
      <c r="QFZ1626" s="1"/>
      <c r="QGA1626" s="1"/>
      <c r="QGB1626" s="1"/>
      <c r="QGC1626" s="1"/>
      <c r="QGD1626" s="1"/>
      <c r="QGE1626" s="1"/>
      <c r="QGF1626" s="1"/>
      <c r="QGG1626" s="1"/>
      <c r="QGH1626" s="1"/>
      <c r="QGI1626" s="1"/>
      <c r="QGJ1626" s="1"/>
      <c r="QGK1626" s="1"/>
      <c r="QGL1626" s="1"/>
      <c r="QGM1626" s="1"/>
      <c r="QGN1626" s="1"/>
      <c r="QGO1626" s="1"/>
      <c r="QGP1626" s="1"/>
      <c r="QGQ1626" s="1"/>
      <c r="QGR1626" s="1"/>
      <c r="QGS1626" s="1"/>
      <c r="QGT1626" s="1"/>
      <c r="QGU1626" s="1"/>
      <c r="QGV1626" s="1"/>
      <c r="QGW1626" s="1"/>
      <c r="QGX1626" s="1"/>
      <c r="QGY1626" s="1"/>
      <c r="QGZ1626" s="1"/>
      <c r="QHA1626" s="1"/>
      <c r="QHB1626" s="1"/>
      <c r="QHC1626" s="1"/>
      <c r="QHD1626" s="1"/>
      <c r="QHE1626" s="1"/>
      <c r="QHF1626" s="1"/>
      <c r="QHG1626" s="1"/>
      <c r="QHH1626" s="1"/>
      <c r="QHI1626" s="1"/>
      <c r="QHJ1626" s="1"/>
      <c r="QHK1626" s="1"/>
      <c r="QHL1626" s="1"/>
      <c r="QHM1626" s="1"/>
      <c r="QHN1626" s="1"/>
      <c r="QHO1626" s="1"/>
      <c r="QHP1626" s="1"/>
      <c r="QHQ1626" s="1"/>
      <c r="QHR1626" s="1"/>
      <c r="QHS1626" s="1"/>
      <c r="QHT1626" s="1"/>
      <c r="QHU1626" s="1"/>
      <c r="QHV1626" s="1"/>
      <c r="QHW1626" s="1"/>
      <c r="QHX1626" s="1"/>
      <c r="QHY1626" s="1"/>
      <c r="QHZ1626" s="1"/>
      <c r="QIA1626" s="1"/>
      <c r="QIB1626" s="1"/>
      <c r="QIC1626" s="1"/>
      <c r="QID1626" s="1"/>
      <c r="QIE1626" s="1"/>
      <c r="QIF1626" s="1"/>
      <c r="QIG1626" s="1"/>
      <c r="QIH1626" s="1"/>
      <c r="QII1626" s="1"/>
      <c r="QIJ1626" s="1"/>
      <c r="QIK1626" s="1"/>
      <c r="QIL1626" s="1"/>
      <c r="QIM1626" s="1"/>
      <c r="QIN1626" s="1"/>
      <c r="QIO1626" s="1"/>
      <c r="QIP1626" s="1"/>
      <c r="QIQ1626" s="1"/>
      <c r="QIR1626" s="1"/>
      <c r="QIS1626" s="1"/>
      <c r="QIT1626" s="1"/>
      <c r="QIU1626" s="1"/>
      <c r="QIV1626" s="1"/>
      <c r="QIW1626" s="1"/>
      <c r="QIX1626" s="1"/>
      <c r="QIY1626" s="1"/>
      <c r="QIZ1626" s="1"/>
      <c r="QJA1626" s="1"/>
      <c r="QJB1626" s="1"/>
      <c r="QJC1626" s="1"/>
      <c r="QJD1626" s="1"/>
      <c r="QJE1626" s="1"/>
      <c r="QJF1626" s="1"/>
      <c r="QJG1626" s="1"/>
      <c r="QJH1626" s="1"/>
      <c r="QJI1626" s="1"/>
      <c r="QJJ1626" s="1"/>
      <c r="QJK1626" s="1"/>
      <c r="QJL1626" s="1"/>
      <c r="QJM1626" s="1"/>
      <c r="QJN1626" s="1"/>
      <c r="QJO1626" s="1"/>
      <c r="QJP1626" s="1"/>
      <c r="QJQ1626" s="1"/>
      <c r="QJR1626" s="1"/>
      <c r="QJS1626" s="1"/>
      <c r="QJT1626" s="1"/>
      <c r="QJU1626" s="1"/>
      <c r="QJV1626" s="1"/>
      <c r="QJW1626" s="1"/>
      <c r="QJX1626" s="1"/>
      <c r="QJY1626" s="1"/>
      <c r="QJZ1626" s="1"/>
      <c r="QKA1626" s="1"/>
      <c r="QKB1626" s="1"/>
      <c r="QKC1626" s="1"/>
      <c r="QKD1626" s="1"/>
      <c r="QKE1626" s="1"/>
      <c r="QKF1626" s="1"/>
      <c r="QKG1626" s="1"/>
      <c r="QKH1626" s="1"/>
      <c r="QKI1626" s="1"/>
      <c r="QKJ1626" s="1"/>
      <c r="QKK1626" s="1"/>
      <c r="QKL1626" s="1"/>
      <c r="QKM1626" s="1"/>
      <c r="QKN1626" s="1"/>
      <c r="QKO1626" s="1"/>
      <c r="QKP1626" s="1"/>
      <c r="QKQ1626" s="1"/>
      <c r="QKR1626" s="1"/>
      <c r="QKS1626" s="1"/>
      <c r="QKT1626" s="1"/>
      <c r="QKU1626" s="1"/>
      <c r="QKV1626" s="1"/>
      <c r="QKW1626" s="1"/>
      <c r="QKX1626" s="1"/>
      <c r="QKY1626" s="1"/>
      <c r="QKZ1626" s="1"/>
      <c r="QLA1626" s="1"/>
      <c r="QLB1626" s="1"/>
      <c r="QLC1626" s="1"/>
      <c r="QLD1626" s="1"/>
      <c r="QLE1626" s="1"/>
      <c r="QLF1626" s="1"/>
      <c r="QLG1626" s="1"/>
      <c r="QLH1626" s="1"/>
      <c r="QLI1626" s="1"/>
      <c r="QLJ1626" s="1"/>
      <c r="QLK1626" s="1"/>
      <c r="QLL1626" s="1"/>
      <c r="QLM1626" s="1"/>
      <c r="QLN1626" s="1"/>
      <c r="QLO1626" s="1"/>
      <c r="QLP1626" s="1"/>
      <c r="QLQ1626" s="1"/>
      <c r="QLR1626" s="1"/>
      <c r="QLS1626" s="1"/>
      <c r="QLT1626" s="1"/>
      <c r="QLU1626" s="1"/>
      <c r="QLV1626" s="1"/>
      <c r="QLW1626" s="1"/>
      <c r="QLX1626" s="1"/>
      <c r="QLY1626" s="1"/>
      <c r="QLZ1626" s="1"/>
      <c r="QMA1626" s="1"/>
      <c r="QMB1626" s="1"/>
      <c r="QMC1626" s="1"/>
      <c r="QMD1626" s="1"/>
      <c r="QME1626" s="1"/>
      <c r="QMF1626" s="1"/>
      <c r="QMG1626" s="1"/>
      <c r="QMH1626" s="1"/>
      <c r="QMI1626" s="1"/>
      <c r="QMJ1626" s="1"/>
      <c r="QMK1626" s="1"/>
      <c r="QML1626" s="1"/>
      <c r="QMM1626" s="1"/>
      <c r="QMN1626" s="1"/>
      <c r="QMO1626" s="1"/>
      <c r="QMP1626" s="1"/>
      <c r="QMQ1626" s="1"/>
      <c r="QMR1626" s="1"/>
      <c r="QMS1626" s="1"/>
      <c r="QMT1626" s="1"/>
      <c r="QMU1626" s="1"/>
      <c r="QMV1626" s="1"/>
      <c r="QMW1626" s="1"/>
      <c r="QMX1626" s="1"/>
      <c r="QMY1626" s="1"/>
      <c r="QMZ1626" s="1"/>
      <c r="QNA1626" s="1"/>
      <c r="QNB1626" s="1"/>
      <c r="QNC1626" s="1"/>
      <c r="QND1626" s="1"/>
      <c r="QNE1626" s="1"/>
      <c r="QNF1626" s="1"/>
      <c r="QNG1626" s="1"/>
      <c r="QNH1626" s="1"/>
      <c r="QNI1626" s="1"/>
      <c r="QNJ1626" s="1"/>
      <c r="QNK1626" s="1"/>
      <c r="QNL1626" s="1"/>
      <c r="QNM1626" s="1"/>
      <c r="QNN1626" s="1"/>
      <c r="QNO1626" s="1"/>
      <c r="QNP1626" s="1"/>
      <c r="QNQ1626" s="1"/>
      <c r="QNR1626" s="1"/>
      <c r="QNS1626" s="1"/>
      <c r="QNT1626" s="1"/>
      <c r="QNU1626" s="1"/>
      <c r="QNV1626" s="1"/>
      <c r="QNW1626" s="1"/>
      <c r="QNX1626" s="1"/>
      <c r="QNY1626" s="1"/>
      <c r="QNZ1626" s="1"/>
      <c r="QOA1626" s="1"/>
      <c r="QOB1626" s="1"/>
      <c r="QOC1626" s="1"/>
      <c r="QOD1626" s="1"/>
      <c r="QOE1626" s="1"/>
      <c r="QOF1626" s="1"/>
      <c r="QOG1626" s="1"/>
      <c r="QOH1626" s="1"/>
      <c r="QOI1626" s="1"/>
      <c r="QOJ1626" s="1"/>
      <c r="QOK1626" s="1"/>
      <c r="QOL1626" s="1"/>
      <c r="QOM1626" s="1"/>
      <c r="QON1626" s="1"/>
      <c r="QOO1626" s="1"/>
      <c r="QOP1626" s="1"/>
      <c r="QOQ1626" s="1"/>
      <c r="QOR1626" s="1"/>
      <c r="QOS1626" s="1"/>
      <c r="QOT1626" s="1"/>
      <c r="QOU1626" s="1"/>
      <c r="QOV1626" s="1"/>
      <c r="QOW1626" s="1"/>
      <c r="QOX1626" s="1"/>
      <c r="QOY1626" s="1"/>
      <c r="QOZ1626" s="1"/>
      <c r="QPA1626" s="1"/>
      <c r="QPB1626" s="1"/>
      <c r="QPC1626" s="1"/>
      <c r="QPD1626" s="1"/>
      <c r="QPE1626" s="1"/>
      <c r="QPF1626" s="1"/>
      <c r="QPG1626" s="1"/>
      <c r="QPH1626" s="1"/>
      <c r="QPI1626" s="1"/>
      <c r="QPJ1626" s="1"/>
      <c r="QPK1626" s="1"/>
      <c r="QPL1626" s="1"/>
      <c r="QPM1626" s="1"/>
      <c r="QPN1626" s="1"/>
      <c r="QPO1626" s="1"/>
      <c r="QPP1626" s="1"/>
      <c r="QPQ1626" s="1"/>
      <c r="QPR1626" s="1"/>
      <c r="QPS1626" s="1"/>
      <c r="QPT1626" s="1"/>
      <c r="QPU1626" s="1"/>
      <c r="QPV1626" s="1"/>
      <c r="QPW1626" s="1"/>
      <c r="QPX1626" s="1"/>
      <c r="QPY1626" s="1"/>
      <c r="QPZ1626" s="1"/>
      <c r="QQA1626" s="1"/>
      <c r="QQB1626" s="1"/>
      <c r="QQC1626" s="1"/>
      <c r="QQD1626" s="1"/>
      <c r="QQE1626" s="1"/>
      <c r="QQF1626" s="1"/>
      <c r="QQG1626" s="1"/>
      <c r="QQH1626" s="1"/>
      <c r="QQI1626" s="1"/>
      <c r="QQJ1626" s="1"/>
      <c r="QQK1626" s="1"/>
      <c r="QQL1626" s="1"/>
      <c r="QQM1626" s="1"/>
      <c r="QQN1626" s="1"/>
      <c r="QQO1626" s="1"/>
      <c r="QQP1626" s="1"/>
      <c r="QQQ1626" s="1"/>
      <c r="QQR1626" s="1"/>
      <c r="QQS1626" s="1"/>
      <c r="QQT1626" s="1"/>
      <c r="QQU1626" s="1"/>
      <c r="QQV1626" s="1"/>
      <c r="QQW1626" s="1"/>
      <c r="QQX1626" s="1"/>
      <c r="QQY1626" s="1"/>
      <c r="QQZ1626" s="1"/>
      <c r="QRA1626" s="1"/>
      <c r="QRB1626" s="1"/>
      <c r="QRC1626" s="1"/>
      <c r="QRD1626" s="1"/>
      <c r="QRE1626" s="1"/>
      <c r="QRF1626" s="1"/>
      <c r="QRG1626" s="1"/>
      <c r="QRH1626" s="1"/>
      <c r="QRI1626" s="1"/>
      <c r="QRJ1626" s="1"/>
      <c r="QRK1626" s="1"/>
      <c r="QRL1626" s="1"/>
      <c r="QRM1626" s="1"/>
      <c r="QRN1626" s="1"/>
      <c r="QRO1626" s="1"/>
      <c r="QRP1626" s="1"/>
      <c r="QRQ1626" s="1"/>
      <c r="QRR1626" s="1"/>
      <c r="QRS1626" s="1"/>
      <c r="QRT1626" s="1"/>
      <c r="QRU1626" s="1"/>
      <c r="QRV1626" s="1"/>
      <c r="QRW1626" s="1"/>
      <c r="QRX1626" s="1"/>
      <c r="QRY1626" s="1"/>
      <c r="QRZ1626" s="1"/>
      <c r="QSA1626" s="1"/>
      <c r="QSB1626" s="1"/>
      <c r="QSC1626" s="1"/>
      <c r="QSD1626" s="1"/>
      <c r="QSE1626" s="1"/>
      <c r="QSF1626" s="1"/>
      <c r="QSG1626" s="1"/>
      <c r="QSH1626" s="1"/>
      <c r="QSI1626" s="1"/>
      <c r="QSJ1626" s="1"/>
      <c r="QSK1626" s="1"/>
      <c r="QSL1626" s="1"/>
      <c r="QSM1626" s="1"/>
      <c r="QSN1626" s="1"/>
      <c r="QSO1626" s="1"/>
      <c r="QSP1626" s="1"/>
      <c r="QSQ1626" s="1"/>
      <c r="QSR1626" s="1"/>
      <c r="QSS1626" s="1"/>
      <c r="QST1626" s="1"/>
      <c r="QSU1626" s="1"/>
      <c r="QSV1626" s="1"/>
      <c r="QSW1626" s="1"/>
      <c r="QSX1626" s="1"/>
      <c r="QSY1626" s="1"/>
      <c r="QSZ1626" s="1"/>
      <c r="QTA1626" s="1"/>
      <c r="QTB1626" s="1"/>
      <c r="QTC1626" s="1"/>
      <c r="QTD1626" s="1"/>
      <c r="QTE1626" s="1"/>
      <c r="QTF1626" s="1"/>
      <c r="QTG1626" s="1"/>
      <c r="QTH1626" s="1"/>
      <c r="QTI1626" s="1"/>
      <c r="QTJ1626" s="1"/>
      <c r="QTK1626" s="1"/>
      <c r="QTL1626" s="1"/>
      <c r="QTM1626" s="1"/>
      <c r="QTN1626" s="1"/>
      <c r="QTO1626" s="1"/>
      <c r="QTP1626" s="1"/>
      <c r="QTQ1626" s="1"/>
      <c r="QTR1626" s="1"/>
      <c r="QTS1626" s="1"/>
      <c r="QTT1626" s="1"/>
      <c r="QTU1626" s="1"/>
      <c r="QTV1626" s="1"/>
      <c r="QTW1626" s="1"/>
      <c r="QTX1626" s="1"/>
      <c r="QTY1626" s="1"/>
      <c r="QTZ1626" s="1"/>
      <c r="QUA1626" s="1"/>
      <c r="QUB1626" s="1"/>
      <c r="QUC1626" s="1"/>
      <c r="QUD1626" s="1"/>
      <c r="QUE1626" s="1"/>
      <c r="QUF1626" s="1"/>
      <c r="QUG1626" s="1"/>
      <c r="QUH1626" s="1"/>
      <c r="QUI1626" s="1"/>
      <c r="QUJ1626" s="1"/>
      <c r="QUK1626" s="1"/>
      <c r="QUL1626" s="1"/>
      <c r="QUM1626" s="1"/>
      <c r="QUN1626" s="1"/>
      <c r="QUO1626" s="1"/>
      <c r="QUP1626" s="1"/>
      <c r="QUQ1626" s="1"/>
      <c r="QUR1626" s="1"/>
      <c r="QUS1626" s="1"/>
      <c r="QUT1626" s="1"/>
      <c r="QUU1626" s="1"/>
      <c r="QUV1626" s="1"/>
      <c r="QUW1626" s="1"/>
      <c r="QUX1626" s="1"/>
      <c r="QUY1626" s="1"/>
      <c r="QUZ1626" s="1"/>
      <c r="QVA1626" s="1"/>
      <c r="QVB1626" s="1"/>
      <c r="QVC1626" s="1"/>
      <c r="QVD1626" s="1"/>
      <c r="QVE1626" s="1"/>
      <c r="QVF1626" s="1"/>
      <c r="QVG1626" s="1"/>
      <c r="QVH1626" s="1"/>
      <c r="QVI1626" s="1"/>
      <c r="QVJ1626" s="1"/>
      <c r="QVK1626" s="1"/>
      <c r="QVL1626" s="1"/>
      <c r="QVM1626" s="1"/>
      <c r="QVN1626" s="1"/>
      <c r="QVO1626" s="1"/>
      <c r="QVP1626" s="1"/>
      <c r="QVQ1626" s="1"/>
      <c r="QVR1626" s="1"/>
      <c r="QVS1626" s="1"/>
      <c r="QVT1626" s="1"/>
      <c r="QVU1626" s="1"/>
      <c r="QVV1626" s="1"/>
      <c r="QVW1626" s="1"/>
      <c r="QVX1626" s="1"/>
      <c r="QVY1626" s="1"/>
      <c r="QVZ1626" s="1"/>
      <c r="QWA1626" s="1"/>
      <c r="QWB1626" s="1"/>
      <c r="QWC1626" s="1"/>
      <c r="QWD1626" s="1"/>
      <c r="QWE1626" s="1"/>
      <c r="QWF1626" s="1"/>
      <c r="QWG1626" s="1"/>
      <c r="QWH1626" s="1"/>
      <c r="QWI1626" s="1"/>
      <c r="QWJ1626" s="1"/>
      <c r="QWK1626" s="1"/>
      <c r="QWL1626" s="1"/>
      <c r="QWM1626" s="1"/>
      <c r="QWN1626" s="1"/>
      <c r="QWO1626" s="1"/>
      <c r="QWP1626" s="1"/>
      <c r="QWQ1626" s="1"/>
      <c r="QWR1626" s="1"/>
      <c r="QWS1626" s="1"/>
      <c r="QWT1626" s="1"/>
      <c r="QWU1626" s="1"/>
      <c r="QWV1626" s="1"/>
      <c r="QWW1626" s="1"/>
      <c r="QWX1626" s="1"/>
      <c r="QWY1626" s="1"/>
      <c r="QWZ1626" s="1"/>
      <c r="QXA1626" s="1"/>
      <c r="QXB1626" s="1"/>
      <c r="QXC1626" s="1"/>
      <c r="QXD1626" s="1"/>
      <c r="QXE1626" s="1"/>
      <c r="QXF1626" s="1"/>
      <c r="QXG1626" s="1"/>
      <c r="QXH1626" s="1"/>
      <c r="QXI1626" s="1"/>
      <c r="QXJ1626" s="1"/>
      <c r="QXK1626" s="1"/>
      <c r="QXL1626" s="1"/>
      <c r="QXM1626" s="1"/>
      <c r="QXN1626" s="1"/>
      <c r="QXO1626" s="1"/>
      <c r="QXP1626" s="1"/>
      <c r="QXQ1626" s="1"/>
      <c r="QXR1626" s="1"/>
      <c r="QXS1626" s="1"/>
      <c r="QXT1626" s="1"/>
      <c r="QXU1626" s="1"/>
      <c r="QXV1626" s="1"/>
      <c r="QXW1626" s="1"/>
      <c r="QXX1626" s="1"/>
      <c r="QXY1626" s="1"/>
      <c r="QXZ1626" s="1"/>
      <c r="QYA1626" s="1"/>
      <c r="QYB1626" s="1"/>
      <c r="QYC1626" s="1"/>
      <c r="QYD1626" s="1"/>
      <c r="QYE1626" s="1"/>
      <c r="QYF1626" s="1"/>
      <c r="QYG1626" s="1"/>
      <c r="QYH1626" s="1"/>
      <c r="QYI1626" s="1"/>
      <c r="QYJ1626" s="1"/>
      <c r="QYK1626" s="1"/>
      <c r="QYL1626" s="1"/>
      <c r="QYM1626" s="1"/>
      <c r="QYN1626" s="1"/>
      <c r="QYO1626" s="1"/>
      <c r="QYP1626" s="1"/>
      <c r="QYQ1626" s="1"/>
      <c r="QYR1626" s="1"/>
      <c r="QYS1626" s="1"/>
      <c r="QYT1626" s="1"/>
      <c r="QYU1626" s="1"/>
      <c r="QYV1626" s="1"/>
      <c r="QYW1626" s="1"/>
      <c r="QYX1626" s="1"/>
      <c r="QYY1626" s="1"/>
      <c r="QYZ1626" s="1"/>
      <c r="QZA1626" s="1"/>
      <c r="QZB1626" s="1"/>
      <c r="QZC1626" s="1"/>
      <c r="QZD1626" s="1"/>
      <c r="QZE1626" s="1"/>
      <c r="QZF1626" s="1"/>
      <c r="QZG1626" s="1"/>
      <c r="QZH1626" s="1"/>
      <c r="QZI1626" s="1"/>
      <c r="QZJ1626" s="1"/>
      <c r="QZK1626" s="1"/>
      <c r="QZL1626" s="1"/>
      <c r="QZM1626" s="1"/>
      <c r="QZN1626" s="1"/>
      <c r="QZO1626" s="1"/>
      <c r="QZP1626" s="1"/>
      <c r="QZQ1626" s="1"/>
      <c r="QZR1626" s="1"/>
      <c r="QZS1626" s="1"/>
      <c r="QZT1626" s="1"/>
      <c r="QZU1626" s="1"/>
      <c r="QZV1626" s="1"/>
      <c r="QZW1626" s="1"/>
      <c r="QZX1626" s="1"/>
      <c r="QZY1626" s="1"/>
      <c r="QZZ1626" s="1"/>
      <c r="RAA1626" s="1"/>
      <c r="RAB1626" s="1"/>
      <c r="RAC1626" s="1"/>
      <c r="RAD1626" s="1"/>
      <c r="RAE1626" s="1"/>
      <c r="RAF1626" s="1"/>
      <c r="RAG1626" s="1"/>
      <c r="RAH1626" s="1"/>
      <c r="RAI1626" s="1"/>
      <c r="RAJ1626" s="1"/>
      <c r="RAK1626" s="1"/>
      <c r="RAL1626" s="1"/>
      <c r="RAM1626" s="1"/>
      <c r="RAN1626" s="1"/>
      <c r="RAO1626" s="1"/>
      <c r="RAP1626" s="1"/>
      <c r="RAQ1626" s="1"/>
      <c r="RAR1626" s="1"/>
      <c r="RAS1626" s="1"/>
      <c r="RAT1626" s="1"/>
      <c r="RAU1626" s="1"/>
      <c r="RAV1626" s="1"/>
      <c r="RAW1626" s="1"/>
      <c r="RAX1626" s="1"/>
      <c r="RAY1626" s="1"/>
      <c r="RAZ1626" s="1"/>
      <c r="RBA1626" s="1"/>
      <c r="RBB1626" s="1"/>
      <c r="RBC1626" s="1"/>
      <c r="RBD1626" s="1"/>
      <c r="RBE1626" s="1"/>
      <c r="RBF1626" s="1"/>
      <c r="RBG1626" s="1"/>
      <c r="RBH1626" s="1"/>
      <c r="RBI1626" s="1"/>
      <c r="RBJ1626" s="1"/>
      <c r="RBK1626" s="1"/>
      <c r="RBL1626" s="1"/>
      <c r="RBM1626" s="1"/>
      <c r="RBN1626" s="1"/>
      <c r="RBO1626" s="1"/>
      <c r="RBP1626" s="1"/>
      <c r="RBQ1626" s="1"/>
      <c r="RBR1626" s="1"/>
      <c r="RBS1626" s="1"/>
      <c r="RBT1626" s="1"/>
      <c r="RBU1626" s="1"/>
      <c r="RBV1626" s="1"/>
      <c r="RBW1626" s="1"/>
      <c r="RBX1626" s="1"/>
      <c r="RBY1626" s="1"/>
      <c r="RBZ1626" s="1"/>
      <c r="RCA1626" s="1"/>
      <c r="RCB1626" s="1"/>
      <c r="RCC1626" s="1"/>
      <c r="RCD1626" s="1"/>
      <c r="RCE1626" s="1"/>
      <c r="RCF1626" s="1"/>
      <c r="RCG1626" s="1"/>
      <c r="RCH1626" s="1"/>
      <c r="RCI1626" s="1"/>
      <c r="RCJ1626" s="1"/>
      <c r="RCK1626" s="1"/>
      <c r="RCL1626" s="1"/>
      <c r="RCM1626" s="1"/>
      <c r="RCN1626" s="1"/>
      <c r="RCO1626" s="1"/>
      <c r="RCP1626" s="1"/>
      <c r="RCQ1626" s="1"/>
      <c r="RCR1626" s="1"/>
      <c r="RCS1626" s="1"/>
      <c r="RCT1626" s="1"/>
      <c r="RCU1626" s="1"/>
      <c r="RCV1626" s="1"/>
      <c r="RCW1626" s="1"/>
      <c r="RCX1626" s="1"/>
      <c r="RCY1626" s="1"/>
      <c r="RCZ1626" s="1"/>
      <c r="RDA1626" s="1"/>
      <c r="RDB1626" s="1"/>
      <c r="RDC1626" s="1"/>
      <c r="RDD1626" s="1"/>
      <c r="RDE1626" s="1"/>
      <c r="RDF1626" s="1"/>
      <c r="RDG1626" s="1"/>
      <c r="RDH1626" s="1"/>
      <c r="RDI1626" s="1"/>
      <c r="RDJ1626" s="1"/>
      <c r="RDK1626" s="1"/>
      <c r="RDL1626" s="1"/>
      <c r="RDM1626" s="1"/>
      <c r="RDN1626" s="1"/>
      <c r="RDO1626" s="1"/>
      <c r="RDP1626" s="1"/>
      <c r="RDQ1626" s="1"/>
      <c r="RDR1626" s="1"/>
      <c r="RDS1626" s="1"/>
      <c r="RDT1626" s="1"/>
      <c r="RDU1626" s="1"/>
      <c r="RDV1626" s="1"/>
      <c r="RDW1626" s="1"/>
      <c r="RDX1626" s="1"/>
      <c r="RDY1626" s="1"/>
      <c r="RDZ1626" s="1"/>
      <c r="REA1626" s="1"/>
      <c r="REB1626" s="1"/>
      <c r="REC1626" s="1"/>
      <c r="RED1626" s="1"/>
      <c r="REE1626" s="1"/>
      <c r="REF1626" s="1"/>
      <c r="REG1626" s="1"/>
      <c r="REH1626" s="1"/>
      <c r="REI1626" s="1"/>
      <c r="REJ1626" s="1"/>
      <c r="REK1626" s="1"/>
      <c r="REL1626" s="1"/>
      <c r="REM1626" s="1"/>
      <c r="REN1626" s="1"/>
      <c r="REO1626" s="1"/>
      <c r="REP1626" s="1"/>
      <c r="REQ1626" s="1"/>
      <c r="RER1626" s="1"/>
      <c r="RES1626" s="1"/>
      <c r="RET1626" s="1"/>
      <c r="REU1626" s="1"/>
      <c r="REV1626" s="1"/>
      <c r="REW1626" s="1"/>
      <c r="REX1626" s="1"/>
      <c r="REY1626" s="1"/>
      <c r="REZ1626" s="1"/>
      <c r="RFA1626" s="1"/>
      <c r="RFB1626" s="1"/>
      <c r="RFC1626" s="1"/>
      <c r="RFD1626" s="1"/>
      <c r="RFE1626" s="1"/>
      <c r="RFF1626" s="1"/>
      <c r="RFG1626" s="1"/>
      <c r="RFH1626" s="1"/>
      <c r="RFI1626" s="1"/>
      <c r="RFJ1626" s="1"/>
      <c r="RFK1626" s="1"/>
      <c r="RFL1626" s="1"/>
      <c r="RFM1626" s="1"/>
      <c r="RFN1626" s="1"/>
      <c r="RFO1626" s="1"/>
      <c r="RFP1626" s="1"/>
      <c r="RFQ1626" s="1"/>
      <c r="RFR1626" s="1"/>
      <c r="RFS1626" s="1"/>
      <c r="RFT1626" s="1"/>
      <c r="RFU1626" s="1"/>
      <c r="RFV1626" s="1"/>
      <c r="RFW1626" s="1"/>
      <c r="RFX1626" s="1"/>
      <c r="RFY1626" s="1"/>
      <c r="RFZ1626" s="1"/>
      <c r="RGA1626" s="1"/>
      <c r="RGB1626" s="1"/>
      <c r="RGC1626" s="1"/>
      <c r="RGD1626" s="1"/>
      <c r="RGE1626" s="1"/>
      <c r="RGF1626" s="1"/>
      <c r="RGG1626" s="1"/>
      <c r="RGH1626" s="1"/>
      <c r="RGI1626" s="1"/>
      <c r="RGJ1626" s="1"/>
      <c r="RGK1626" s="1"/>
      <c r="RGL1626" s="1"/>
      <c r="RGM1626" s="1"/>
      <c r="RGN1626" s="1"/>
      <c r="RGO1626" s="1"/>
      <c r="RGP1626" s="1"/>
      <c r="RGQ1626" s="1"/>
      <c r="RGR1626" s="1"/>
      <c r="RGS1626" s="1"/>
      <c r="RGT1626" s="1"/>
      <c r="RGU1626" s="1"/>
      <c r="RGV1626" s="1"/>
      <c r="RGW1626" s="1"/>
      <c r="RGX1626" s="1"/>
      <c r="RGY1626" s="1"/>
      <c r="RGZ1626" s="1"/>
      <c r="RHA1626" s="1"/>
      <c r="RHB1626" s="1"/>
      <c r="RHC1626" s="1"/>
      <c r="RHD1626" s="1"/>
      <c r="RHE1626" s="1"/>
      <c r="RHF1626" s="1"/>
      <c r="RHG1626" s="1"/>
      <c r="RHH1626" s="1"/>
      <c r="RHI1626" s="1"/>
      <c r="RHJ1626" s="1"/>
      <c r="RHK1626" s="1"/>
      <c r="RHL1626" s="1"/>
      <c r="RHM1626" s="1"/>
      <c r="RHN1626" s="1"/>
      <c r="RHO1626" s="1"/>
      <c r="RHP1626" s="1"/>
      <c r="RHQ1626" s="1"/>
      <c r="RHR1626" s="1"/>
      <c r="RHS1626" s="1"/>
      <c r="RHT1626" s="1"/>
      <c r="RHU1626" s="1"/>
      <c r="RHV1626" s="1"/>
      <c r="RHW1626" s="1"/>
      <c r="RHX1626" s="1"/>
      <c r="RHY1626" s="1"/>
      <c r="RHZ1626" s="1"/>
      <c r="RIA1626" s="1"/>
      <c r="RIB1626" s="1"/>
      <c r="RIC1626" s="1"/>
      <c r="RID1626" s="1"/>
      <c r="RIE1626" s="1"/>
      <c r="RIF1626" s="1"/>
      <c r="RIG1626" s="1"/>
      <c r="RIH1626" s="1"/>
      <c r="RII1626" s="1"/>
      <c r="RIJ1626" s="1"/>
      <c r="RIK1626" s="1"/>
      <c r="RIL1626" s="1"/>
      <c r="RIM1626" s="1"/>
      <c r="RIN1626" s="1"/>
      <c r="RIO1626" s="1"/>
      <c r="RIP1626" s="1"/>
      <c r="RIQ1626" s="1"/>
      <c r="RIR1626" s="1"/>
      <c r="RIS1626" s="1"/>
      <c r="RIT1626" s="1"/>
      <c r="RIU1626" s="1"/>
      <c r="RIV1626" s="1"/>
      <c r="RIW1626" s="1"/>
      <c r="RIX1626" s="1"/>
      <c r="RIY1626" s="1"/>
      <c r="RIZ1626" s="1"/>
      <c r="RJA1626" s="1"/>
      <c r="RJB1626" s="1"/>
      <c r="RJC1626" s="1"/>
      <c r="RJD1626" s="1"/>
      <c r="RJE1626" s="1"/>
      <c r="RJF1626" s="1"/>
      <c r="RJG1626" s="1"/>
      <c r="RJH1626" s="1"/>
      <c r="RJI1626" s="1"/>
      <c r="RJJ1626" s="1"/>
      <c r="RJK1626" s="1"/>
      <c r="RJL1626" s="1"/>
      <c r="RJM1626" s="1"/>
      <c r="RJN1626" s="1"/>
      <c r="RJO1626" s="1"/>
      <c r="RJP1626" s="1"/>
      <c r="RJQ1626" s="1"/>
      <c r="RJR1626" s="1"/>
      <c r="RJS1626" s="1"/>
      <c r="RJT1626" s="1"/>
      <c r="RJU1626" s="1"/>
      <c r="RJV1626" s="1"/>
      <c r="RJW1626" s="1"/>
      <c r="RJX1626" s="1"/>
      <c r="RJY1626" s="1"/>
      <c r="RJZ1626" s="1"/>
      <c r="RKA1626" s="1"/>
      <c r="RKB1626" s="1"/>
      <c r="RKC1626" s="1"/>
      <c r="RKD1626" s="1"/>
      <c r="RKE1626" s="1"/>
      <c r="RKF1626" s="1"/>
      <c r="RKG1626" s="1"/>
      <c r="RKH1626" s="1"/>
      <c r="RKI1626" s="1"/>
      <c r="RKJ1626" s="1"/>
      <c r="RKK1626" s="1"/>
      <c r="RKL1626" s="1"/>
      <c r="RKM1626" s="1"/>
      <c r="RKN1626" s="1"/>
      <c r="RKO1626" s="1"/>
      <c r="RKP1626" s="1"/>
      <c r="RKQ1626" s="1"/>
      <c r="RKR1626" s="1"/>
      <c r="RKS1626" s="1"/>
      <c r="RKT1626" s="1"/>
      <c r="RKU1626" s="1"/>
      <c r="RKV1626" s="1"/>
      <c r="RKW1626" s="1"/>
      <c r="RKX1626" s="1"/>
      <c r="RKY1626" s="1"/>
      <c r="RKZ1626" s="1"/>
      <c r="RLA1626" s="1"/>
      <c r="RLB1626" s="1"/>
      <c r="RLC1626" s="1"/>
      <c r="RLD1626" s="1"/>
      <c r="RLE1626" s="1"/>
      <c r="RLF1626" s="1"/>
      <c r="RLG1626" s="1"/>
      <c r="RLH1626" s="1"/>
      <c r="RLI1626" s="1"/>
      <c r="RLJ1626" s="1"/>
      <c r="RLK1626" s="1"/>
      <c r="RLL1626" s="1"/>
      <c r="RLM1626" s="1"/>
      <c r="RLN1626" s="1"/>
      <c r="RLO1626" s="1"/>
      <c r="RLP1626" s="1"/>
      <c r="RLQ1626" s="1"/>
      <c r="RLR1626" s="1"/>
      <c r="RLS1626" s="1"/>
      <c r="RLT1626" s="1"/>
      <c r="RLU1626" s="1"/>
      <c r="RLV1626" s="1"/>
      <c r="RLW1626" s="1"/>
      <c r="RLX1626" s="1"/>
      <c r="RLY1626" s="1"/>
      <c r="RLZ1626" s="1"/>
      <c r="RMA1626" s="1"/>
      <c r="RMB1626" s="1"/>
      <c r="RMC1626" s="1"/>
      <c r="RMD1626" s="1"/>
      <c r="RME1626" s="1"/>
      <c r="RMF1626" s="1"/>
      <c r="RMG1626" s="1"/>
      <c r="RMH1626" s="1"/>
      <c r="RMI1626" s="1"/>
      <c r="RMJ1626" s="1"/>
      <c r="RMK1626" s="1"/>
      <c r="RML1626" s="1"/>
      <c r="RMM1626" s="1"/>
      <c r="RMN1626" s="1"/>
      <c r="RMO1626" s="1"/>
      <c r="RMP1626" s="1"/>
      <c r="RMQ1626" s="1"/>
      <c r="RMR1626" s="1"/>
      <c r="RMS1626" s="1"/>
      <c r="RMT1626" s="1"/>
      <c r="RMU1626" s="1"/>
      <c r="RMV1626" s="1"/>
      <c r="RMW1626" s="1"/>
      <c r="RMX1626" s="1"/>
      <c r="RMY1626" s="1"/>
      <c r="RMZ1626" s="1"/>
      <c r="RNA1626" s="1"/>
      <c r="RNB1626" s="1"/>
      <c r="RNC1626" s="1"/>
      <c r="RND1626" s="1"/>
      <c r="RNE1626" s="1"/>
      <c r="RNF1626" s="1"/>
      <c r="RNG1626" s="1"/>
      <c r="RNH1626" s="1"/>
      <c r="RNI1626" s="1"/>
      <c r="RNJ1626" s="1"/>
      <c r="RNK1626" s="1"/>
      <c r="RNL1626" s="1"/>
      <c r="RNM1626" s="1"/>
      <c r="RNN1626" s="1"/>
      <c r="RNO1626" s="1"/>
      <c r="RNP1626" s="1"/>
      <c r="RNQ1626" s="1"/>
      <c r="RNR1626" s="1"/>
      <c r="RNS1626" s="1"/>
      <c r="RNT1626" s="1"/>
      <c r="RNU1626" s="1"/>
      <c r="RNV1626" s="1"/>
      <c r="RNW1626" s="1"/>
      <c r="RNX1626" s="1"/>
      <c r="RNY1626" s="1"/>
      <c r="RNZ1626" s="1"/>
      <c r="ROA1626" s="1"/>
      <c r="ROB1626" s="1"/>
      <c r="ROC1626" s="1"/>
      <c r="ROD1626" s="1"/>
      <c r="ROE1626" s="1"/>
      <c r="ROF1626" s="1"/>
      <c r="ROG1626" s="1"/>
      <c r="ROH1626" s="1"/>
      <c r="ROI1626" s="1"/>
      <c r="ROJ1626" s="1"/>
      <c r="ROK1626" s="1"/>
      <c r="ROL1626" s="1"/>
      <c r="ROM1626" s="1"/>
      <c r="RON1626" s="1"/>
      <c r="ROO1626" s="1"/>
      <c r="ROP1626" s="1"/>
      <c r="ROQ1626" s="1"/>
      <c r="ROR1626" s="1"/>
      <c r="ROS1626" s="1"/>
      <c r="ROT1626" s="1"/>
      <c r="ROU1626" s="1"/>
      <c r="ROV1626" s="1"/>
      <c r="ROW1626" s="1"/>
      <c r="ROX1626" s="1"/>
      <c r="ROY1626" s="1"/>
      <c r="ROZ1626" s="1"/>
      <c r="RPA1626" s="1"/>
      <c r="RPB1626" s="1"/>
      <c r="RPC1626" s="1"/>
      <c r="RPD1626" s="1"/>
      <c r="RPE1626" s="1"/>
      <c r="RPF1626" s="1"/>
      <c r="RPG1626" s="1"/>
      <c r="RPH1626" s="1"/>
      <c r="RPI1626" s="1"/>
      <c r="RPJ1626" s="1"/>
      <c r="RPK1626" s="1"/>
      <c r="RPL1626" s="1"/>
      <c r="RPM1626" s="1"/>
      <c r="RPN1626" s="1"/>
      <c r="RPO1626" s="1"/>
      <c r="RPP1626" s="1"/>
      <c r="RPQ1626" s="1"/>
      <c r="RPR1626" s="1"/>
      <c r="RPS1626" s="1"/>
      <c r="RPT1626" s="1"/>
      <c r="RPU1626" s="1"/>
      <c r="RPV1626" s="1"/>
      <c r="RPW1626" s="1"/>
      <c r="RPX1626" s="1"/>
      <c r="RPY1626" s="1"/>
      <c r="RPZ1626" s="1"/>
      <c r="RQA1626" s="1"/>
      <c r="RQB1626" s="1"/>
      <c r="RQC1626" s="1"/>
      <c r="RQD1626" s="1"/>
      <c r="RQE1626" s="1"/>
      <c r="RQF1626" s="1"/>
      <c r="RQG1626" s="1"/>
      <c r="RQH1626" s="1"/>
      <c r="RQI1626" s="1"/>
      <c r="RQJ1626" s="1"/>
      <c r="RQK1626" s="1"/>
      <c r="RQL1626" s="1"/>
      <c r="RQM1626" s="1"/>
      <c r="RQN1626" s="1"/>
      <c r="RQO1626" s="1"/>
      <c r="RQP1626" s="1"/>
      <c r="RQQ1626" s="1"/>
      <c r="RQR1626" s="1"/>
      <c r="RQS1626" s="1"/>
      <c r="RQT1626" s="1"/>
      <c r="RQU1626" s="1"/>
      <c r="RQV1626" s="1"/>
      <c r="RQW1626" s="1"/>
      <c r="RQX1626" s="1"/>
      <c r="RQY1626" s="1"/>
      <c r="RQZ1626" s="1"/>
      <c r="RRA1626" s="1"/>
      <c r="RRB1626" s="1"/>
      <c r="RRC1626" s="1"/>
      <c r="RRD1626" s="1"/>
      <c r="RRE1626" s="1"/>
      <c r="RRF1626" s="1"/>
      <c r="RRG1626" s="1"/>
      <c r="RRH1626" s="1"/>
      <c r="RRI1626" s="1"/>
      <c r="RRJ1626" s="1"/>
      <c r="RRK1626" s="1"/>
      <c r="RRL1626" s="1"/>
      <c r="RRM1626" s="1"/>
      <c r="RRN1626" s="1"/>
      <c r="RRO1626" s="1"/>
      <c r="RRP1626" s="1"/>
      <c r="RRQ1626" s="1"/>
      <c r="RRR1626" s="1"/>
      <c r="RRS1626" s="1"/>
      <c r="RRT1626" s="1"/>
      <c r="RRU1626" s="1"/>
      <c r="RRV1626" s="1"/>
      <c r="RRW1626" s="1"/>
      <c r="RRX1626" s="1"/>
      <c r="RRY1626" s="1"/>
      <c r="RRZ1626" s="1"/>
      <c r="RSA1626" s="1"/>
      <c r="RSB1626" s="1"/>
      <c r="RSC1626" s="1"/>
      <c r="RSD1626" s="1"/>
      <c r="RSE1626" s="1"/>
      <c r="RSF1626" s="1"/>
      <c r="RSG1626" s="1"/>
      <c r="RSH1626" s="1"/>
      <c r="RSI1626" s="1"/>
      <c r="RSJ1626" s="1"/>
      <c r="RSK1626" s="1"/>
      <c r="RSL1626" s="1"/>
      <c r="RSM1626" s="1"/>
      <c r="RSN1626" s="1"/>
      <c r="RSO1626" s="1"/>
      <c r="RSP1626" s="1"/>
      <c r="RSQ1626" s="1"/>
      <c r="RSR1626" s="1"/>
      <c r="RSS1626" s="1"/>
      <c r="RST1626" s="1"/>
      <c r="RSU1626" s="1"/>
      <c r="RSV1626" s="1"/>
      <c r="RSW1626" s="1"/>
      <c r="RSX1626" s="1"/>
      <c r="RSY1626" s="1"/>
      <c r="RSZ1626" s="1"/>
      <c r="RTA1626" s="1"/>
      <c r="RTB1626" s="1"/>
      <c r="RTC1626" s="1"/>
      <c r="RTD1626" s="1"/>
      <c r="RTE1626" s="1"/>
      <c r="RTF1626" s="1"/>
      <c r="RTG1626" s="1"/>
      <c r="RTH1626" s="1"/>
      <c r="RTI1626" s="1"/>
      <c r="RTJ1626" s="1"/>
      <c r="RTK1626" s="1"/>
      <c r="RTL1626" s="1"/>
      <c r="RTM1626" s="1"/>
      <c r="RTN1626" s="1"/>
      <c r="RTO1626" s="1"/>
      <c r="RTP1626" s="1"/>
      <c r="RTQ1626" s="1"/>
      <c r="RTR1626" s="1"/>
      <c r="RTS1626" s="1"/>
      <c r="RTT1626" s="1"/>
      <c r="RTU1626" s="1"/>
      <c r="RTV1626" s="1"/>
      <c r="RTW1626" s="1"/>
      <c r="RTX1626" s="1"/>
      <c r="RTY1626" s="1"/>
      <c r="RTZ1626" s="1"/>
      <c r="RUA1626" s="1"/>
      <c r="RUB1626" s="1"/>
      <c r="RUC1626" s="1"/>
      <c r="RUD1626" s="1"/>
      <c r="RUE1626" s="1"/>
      <c r="RUF1626" s="1"/>
      <c r="RUG1626" s="1"/>
      <c r="RUH1626" s="1"/>
      <c r="RUI1626" s="1"/>
      <c r="RUJ1626" s="1"/>
      <c r="RUK1626" s="1"/>
      <c r="RUL1626" s="1"/>
      <c r="RUM1626" s="1"/>
      <c r="RUN1626" s="1"/>
      <c r="RUO1626" s="1"/>
      <c r="RUP1626" s="1"/>
      <c r="RUQ1626" s="1"/>
      <c r="RUR1626" s="1"/>
      <c r="RUS1626" s="1"/>
      <c r="RUT1626" s="1"/>
      <c r="RUU1626" s="1"/>
      <c r="RUV1626" s="1"/>
      <c r="RUW1626" s="1"/>
      <c r="RUX1626" s="1"/>
      <c r="RUY1626" s="1"/>
      <c r="RUZ1626" s="1"/>
      <c r="RVA1626" s="1"/>
      <c r="RVB1626" s="1"/>
      <c r="RVC1626" s="1"/>
      <c r="RVD1626" s="1"/>
      <c r="RVE1626" s="1"/>
      <c r="RVF1626" s="1"/>
      <c r="RVG1626" s="1"/>
      <c r="RVH1626" s="1"/>
      <c r="RVI1626" s="1"/>
      <c r="RVJ1626" s="1"/>
      <c r="RVK1626" s="1"/>
      <c r="RVL1626" s="1"/>
      <c r="RVM1626" s="1"/>
      <c r="RVN1626" s="1"/>
      <c r="RVO1626" s="1"/>
      <c r="RVP1626" s="1"/>
      <c r="RVQ1626" s="1"/>
      <c r="RVR1626" s="1"/>
      <c r="RVS1626" s="1"/>
      <c r="RVT1626" s="1"/>
      <c r="RVU1626" s="1"/>
      <c r="RVV1626" s="1"/>
      <c r="RVW1626" s="1"/>
      <c r="RVX1626" s="1"/>
      <c r="RVY1626" s="1"/>
      <c r="RVZ1626" s="1"/>
      <c r="RWA1626" s="1"/>
      <c r="RWB1626" s="1"/>
      <c r="RWC1626" s="1"/>
      <c r="RWD1626" s="1"/>
      <c r="RWE1626" s="1"/>
      <c r="RWF1626" s="1"/>
      <c r="RWG1626" s="1"/>
      <c r="RWH1626" s="1"/>
      <c r="RWI1626" s="1"/>
      <c r="RWJ1626" s="1"/>
      <c r="RWK1626" s="1"/>
      <c r="RWL1626" s="1"/>
      <c r="RWM1626" s="1"/>
      <c r="RWN1626" s="1"/>
      <c r="RWO1626" s="1"/>
      <c r="RWP1626" s="1"/>
      <c r="RWQ1626" s="1"/>
      <c r="RWR1626" s="1"/>
      <c r="RWS1626" s="1"/>
      <c r="RWT1626" s="1"/>
      <c r="RWU1626" s="1"/>
      <c r="RWV1626" s="1"/>
      <c r="RWW1626" s="1"/>
      <c r="RWX1626" s="1"/>
      <c r="RWY1626" s="1"/>
      <c r="RWZ1626" s="1"/>
      <c r="RXA1626" s="1"/>
      <c r="RXB1626" s="1"/>
      <c r="RXC1626" s="1"/>
      <c r="RXD1626" s="1"/>
      <c r="RXE1626" s="1"/>
      <c r="RXF1626" s="1"/>
      <c r="RXG1626" s="1"/>
      <c r="RXH1626" s="1"/>
      <c r="RXI1626" s="1"/>
      <c r="RXJ1626" s="1"/>
      <c r="RXK1626" s="1"/>
      <c r="RXL1626" s="1"/>
      <c r="RXM1626" s="1"/>
      <c r="RXN1626" s="1"/>
      <c r="RXO1626" s="1"/>
      <c r="RXP1626" s="1"/>
      <c r="RXQ1626" s="1"/>
      <c r="RXR1626" s="1"/>
      <c r="RXS1626" s="1"/>
      <c r="RXT1626" s="1"/>
      <c r="RXU1626" s="1"/>
      <c r="RXV1626" s="1"/>
      <c r="RXW1626" s="1"/>
      <c r="RXX1626" s="1"/>
      <c r="RXY1626" s="1"/>
      <c r="RXZ1626" s="1"/>
      <c r="RYA1626" s="1"/>
      <c r="RYB1626" s="1"/>
      <c r="RYC1626" s="1"/>
      <c r="RYD1626" s="1"/>
      <c r="RYE1626" s="1"/>
      <c r="RYF1626" s="1"/>
      <c r="RYG1626" s="1"/>
      <c r="RYH1626" s="1"/>
      <c r="RYI1626" s="1"/>
      <c r="RYJ1626" s="1"/>
      <c r="RYK1626" s="1"/>
      <c r="RYL1626" s="1"/>
      <c r="RYM1626" s="1"/>
      <c r="RYN1626" s="1"/>
      <c r="RYO1626" s="1"/>
      <c r="RYP1626" s="1"/>
      <c r="RYQ1626" s="1"/>
      <c r="RYR1626" s="1"/>
      <c r="RYS1626" s="1"/>
      <c r="RYT1626" s="1"/>
      <c r="RYU1626" s="1"/>
      <c r="RYV1626" s="1"/>
      <c r="RYW1626" s="1"/>
      <c r="RYX1626" s="1"/>
      <c r="RYY1626" s="1"/>
      <c r="RYZ1626" s="1"/>
      <c r="RZA1626" s="1"/>
      <c r="RZB1626" s="1"/>
      <c r="RZC1626" s="1"/>
      <c r="RZD1626" s="1"/>
      <c r="RZE1626" s="1"/>
      <c r="RZF1626" s="1"/>
      <c r="RZG1626" s="1"/>
      <c r="RZH1626" s="1"/>
      <c r="RZI1626" s="1"/>
      <c r="RZJ1626" s="1"/>
      <c r="RZK1626" s="1"/>
      <c r="RZL1626" s="1"/>
      <c r="RZM1626" s="1"/>
      <c r="RZN1626" s="1"/>
      <c r="RZO1626" s="1"/>
      <c r="RZP1626" s="1"/>
      <c r="RZQ1626" s="1"/>
      <c r="RZR1626" s="1"/>
      <c r="RZS1626" s="1"/>
      <c r="RZT1626" s="1"/>
      <c r="RZU1626" s="1"/>
      <c r="RZV1626" s="1"/>
      <c r="RZW1626" s="1"/>
      <c r="RZX1626" s="1"/>
      <c r="RZY1626" s="1"/>
      <c r="RZZ1626" s="1"/>
      <c r="SAA1626" s="1"/>
      <c r="SAB1626" s="1"/>
      <c r="SAC1626" s="1"/>
      <c r="SAD1626" s="1"/>
      <c r="SAE1626" s="1"/>
      <c r="SAF1626" s="1"/>
      <c r="SAG1626" s="1"/>
      <c r="SAH1626" s="1"/>
      <c r="SAI1626" s="1"/>
      <c r="SAJ1626" s="1"/>
      <c r="SAK1626" s="1"/>
      <c r="SAL1626" s="1"/>
      <c r="SAM1626" s="1"/>
      <c r="SAN1626" s="1"/>
      <c r="SAO1626" s="1"/>
      <c r="SAP1626" s="1"/>
      <c r="SAQ1626" s="1"/>
      <c r="SAR1626" s="1"/>
      <c r="SAS1626" s="1"/>
      <c r="SAT1626" s="1"/>
      <c r="SAU1626" s="1"/>
      <c r="SAV1626" s="1"/>
      <c r="SAW1626" s="1"/>
      <c r="SAX1626" s="1"/>
      <c r="SAY1626" s="1"/>
      <c r="SAZ1626" s="1"/>
      <c r="SBA1626" s="1"/>
      <c r="SBB1626" s="1"/>
      <c r="SBC1626" s="1"/>
      <c r="SBD1626" s="1"/>
      <c r="SBE1626" s="1"/>
      <c r="SBF1626" s="1"/>
      <c r="SBG1626" s="1"/>
      <c r="SBH1626" s="1"/>
      <c r="SBI1626" s="1"/>
      <c r="SBJ1626" s="1"/>
      <c r="SBK1626" s="1"/>
      <c r="SBL1626" s="1"/>
      <c r="SBM1626" s="1"/>
      <c r="SBN1626" s="1"/>
      <c r="SBO1626" s="1"/>
      <c r="SBP1626" s="1"/>
      <c r="SBQ1626" s="1"/>
      <c r="SBR1626" s="1"/>
      <c r="SBS1626" s="1"/>
      <c r="SBT1626" s="1"/>
      <c r="SBU1626" s="1"/>
      <c r="SBV1626" s="1"/>
      <c r="SBW1626" s="1"/>
      <c r="SBX1626" s="1"/>
      <c r="SBY1626" s="1"/>
      <c r="SBZ1626" s="1"/>
      <c r="SCA1626" s="1"/>
      <c r="SCB1626" s="1"/>
      <c r="SCC1626" s="1"/>
      <c r="SCD1626" s="1"/>
      <c r="SCE1626" s="1"/>
      <c r="SCF1626" s="1"/>
      <c r="SCG1626" s="1"/>
      <c r="SCH1626" s="1"/>
      <c r="SCI1626" s="1"/>
      <c r="SCJ1626" s="1"/>
      <c r="SCK1626" s="1"/>
      <c r="SCL1626" s="1"/>
      <c r="SCM1626" s="1"/>
      <c r="SCN1626" s="1"/>
      <c r="SCO1626" s="1"/>
      <c r="SCP1626" s="1"/>
      <c r="SCQ1626" s="1"/>
      <c r="SCR1626" s="1"/>
      <c r="SCS1626" s="1"/>
      <c r="SCT1626" s="1"/>
      <c r="SCU1626" s="1"/>
      <c r="SCV1626" s="1"/>
      <c r="SCW1626" s="1"/>
      <c r="SCX1626" s="1"/>
      <c r="SCY1626" s="1"/>
      <c r="SCZ1626" s="1"/>
      <c r="SDA1626" s="1"/>
      <c r="SDB1626" s="1"/>
      <c r="SDC1626" s="1"/>
      <c r="SDD1626" s="1"/>
      <c r="SDE1626" s="1"/>
      <c r="SDF1626" s="1"/>
      <c r="SDG1626" s="1"/>
      <c r="SDH1626" s="1"/>
      <c r="SDI1626" s="1"/>
      <c r="SDJ1626" s="1"/>
      <c r="SDK1626" s="1"/>
      <c r="SDL1626" s="1"/>
      <c r="SDM1626" s="1"/>
      <c r="SDN1626" s="1"/>
      <c r="SDO1626" s="1"/>
      <c r="SDP1626" s="1"/>
      <c r="SDQ1626" s="1"/>
      <c r="SDR1626" s="1"/>
      <c r="SDS1626" s="1"/>
      <c r="SDT1626" s="1"/>
      <c r="SDU1626" s="1"/>
      <c r="SDV1626" s="1"/>
      <c r="SDW1626" s="1"/>
      <c r="SDX1626" s="1"/>
      <c r="SDY1626" s="1"/>
      <c r="SDZ1626" s="1"/>
      <c r="SEA1626" s="1"/>
      <c r="SEB1626" s="1"/>
      <c r="SEC1626" s="1"/>
      <c r="SED1626" s="1"/>
      <c r="SEE1626" s="1"/>
      <c r="SEF1626" s="1"/>
      <c r="SEG1626" s="1"/>
      <c r="SEH1626" s="1"/>
      <c r="SEI1626" s="1"/>
      <c r="SEJ1626" s="1"/>
      <c r="SEK1626" s="1"/>
      <c r="SEL1626" s="1"/>
      <c r="SEM1626" s="1"/>
      <c r="SEN1626" s="1"/>
      <c r="SEO1626" s="1"/>
      <c r="SEP1626" s="1"/>
      <c r="SEQ1626" s="1"/>
      <c r="SER1626" s="1"/>
      <c r="SES1626" s="1"/>
      <c r="SET1626" s="1"/>
      <c r="SEU1626" s="1"/>
      <c r="SEV1626" s="1"/>
      <c r="SEW1626" s="1"/>
      <c r="SEX1626" s="1"/>
      <c r="SEY1626" s="1"/>
      <c r="SEZ1626" s="1"/>
      <c r="SFA1626" s="1"/>
      <c r="SFB1626" s="1"/>
      <c r="SFC1626" s="1"/>
      <c r="SFD1626" s="1"/>
      <c r="SFE1626" s="1"/>
      <c r="SFF1626" s="1"/>
      <c r="SFG1626" s="1"/>
      <c r="SFH1626" s="1"/>
      <c r="SFI1626" s="1"/>
      <c r="SFJ1626" s="1"/>
      <c r="SFK1626" s="1"/>
      <c r="SFL1626" s="1"/>
      <c r="SFM1626" s="1"/>
      <c r="SFN1626" s="1"/>
      <c r="SFO1626" s="1"/>
      <c r="SFP1626" s="1"/>
      <c r="SFQ1626" s="1"/>
      <c r="SFR1626" s="1"/>
      <c r="SFS1626" s="1"/>
      <c r="SFT1626" s="1"/>
      <c r="SFU1626" s="1"/>
      <c r="SFV1626" s="1"/>
      <c r="SFW1626" s="1"/>
      <c r="SFX1626" s="1"/>
      <c r="SFY1626" s="1"/>
      <c r="SFZ1626" s="1"/>
      <c r="SGA1626" s="1"/>
      <c r="SGB1626" s="1"/>
      <c r="SGC1626" s="1"/>
      <c r="SGD1626" s="1"/>
      <c r="SGE1626" s="1"/>
      <c r="SGF1626" s="1"/>
      <c r="SGG1626" s="1"/>
      <c r="SGH1626" s="1"/>
      <c r="SGI1626" s="1"/>
      <c r="SGJ1626" s="1"/>
      <c r="SGK1626" s="1"/>
      <c r="SGL1626" s="1"/>
      <c r="SGM1626" s="1"/>
      <c r="SGN1626" s="1"/>
      <c r="SGO1626" s="1"/>
      <c r="SGP1626" s="1"/>
      <c r="SGQ1626" s="1"/>
      <c r="SGR1626" s="1"/>
      <c r="SGS1626" s="1"/>
      <c r="SGT1626" s="1"/>
      <c r="SGU1626" s="1"/>
      <c r="SGV1626" s="1"/>
      <c r="SGW1626" s="1"/>
      <c r="SGX1626" s="1"/>
      <c r="SGY1626" s="1"/>
      <c r="SGZ1626" s="1"/>
      <c r="SHA1626" s="1"/>
      <c r="SHB1626" s="1"/>
      <c r="SHC1626" s="1"/>
      <c r="SHD1626" s="1"/>
      <c r="SHE1626" s="1"/>
      <c r="SHF1626" s="1"/>
      <c r="SHG1626" s="1"/>
      <c r="SHH1626" s="1"/>
      <c r="SHI1626" s="1"/>
      <c r="SHJ1626" s="1"/>
      <c r="SHK1626" s="1"/>
      <c r="SHL1626" s="1"/>
      <c r="SHM1626" s="1"/>
      <c r="SHN1626" s="1"/>
      <c r="SHO1626" s="1"/>
      <c r="SHP1626" s="1"/>
      <c r="SHQ1626" s="1"/>
      <c r="SHR1626" s="1"/>
      <c r="SHS1626" s="1"/>
      <c r="SHT1626" s="1"/>
      <c r="SHU1626" s="1"/>
      <c r="SHV1626" s="1"/>
      <c r="SHW1626" s="1"/>
      <c r="SHX1626" s="1"/>
      <c r="SHY1626" s="1"/>
      <c r="SHZ1626" s="1"/>
      <c r="SIA1626" s="1"/>
      <c r="SIB1626" s="1"/>
      <c r="SIC1626" s="1"/>
      <c r="SID1626" s="1"/>
      <c r="SIE1626" s="1"/>
      <c r="SIF1626" s="1"/>
      <c r="SIG1626" s="1"/>
      <c r="SIH1626" s="1"/>
      <c r="SII1626" s="1"/>
      <c r="SIJ1626" s="1"/>
      <c r="SIK1626" s="1"/>
      <c r="SIL1626" s="1"/>
      <c r="SIM1626" s="1"/>
      <c r="SIN1626" s="1"/>
      <c r="SIO1626" s="1"/>
      <c r="SIP1626" s="1"/>
      <c r="SIQ1626" s="1"/>
      <c r="SIR1626" s="1"/>
      <c r="SIS1626" s="1"/>
      <c r="SIT1626" s="1"/>
      <c r="SIU1626" s="1"/>
      <c r="SIV1626" s="1"/>
      <c r="SIW1626" s="1"/>
      <c r="SIX1626" s="1"/>
      <c r="SIY1626" s="1"/>
      <c r="SIZ1626" s="1"/>
      <c r="SJA1626" s="1"/>
      <c r="SJB1626" s="1"/>
      <c r="SJC1626" s="1"/>
      <c r="SJD1626" s="1"/>
      <c r="SJE1626" s="1"/>
      <c r="SJF1626" s="1"/>
      <c r="SJG1626" s="1"/>
      <c r="SJH1626" s="1"/>
      <c r="SJI1626" s="1"/>
      <c r="SJJ1626" s="1"/>
      <c r="SJK1626" s="1"/>
      <c r="SJL1626" s="1"/>
      <c r="SJM1626" s="1"/>
      <c r="SJN1626" s="1"/>
      <c r="SJO1626" s="1"/>
      <c r="SJP1626" s="1"/>
      <c r="SJQ1626" s="1"/>
      <c r="SJR1626" s="1"/>
      <c r="SJS1626" s="1"/>
      <c r="SJT1626" s="1"/>
      <c r="SJU1626" s="1"/>
      <c r="SJV1626" s="1"/>
      <c r="SJW1626" s="1"/>
      <c r="SJX1626" s="1"/>
      <c r="SJY1626" s="1"/>
      <c r="SJZ1626" s="1"/>
      <c r="SKA1626" s="1"/>
      <c r="SKB1626" s="1"/>
      <c r="SKC1626" s="1"/>
      <c r="SKD1626" s="1"/>
      <c r="SKE1626" s="1"/>
      <c r="SKF1626" s="1"/>
      <c r="SKG1626" s="1"/>
      <c r="SKH1626" s="1"/>
      <c r="SKI1626" s="1"/>
      <c r="SKJ1626" s="1"/>
      <c r="SKK1626" s="1"/>
      <c r="SKL1626" s="1"/>
      <c r="SKM1626" s="1"/>
      <c r="SKN1626" s="1"/>
      <c r="SKO1626" s="1"/>
      <c r="SKP1626" s="1"/>
      <c r="SKQ1626" s="1"/>
      <c r="SKR1626" s="1"/>
      <c r="SKS1626" s="1"/>
      <c r="SKT1626" s="1"/>
      <c r="SKU1626" s="1"/>
      <c r="SKV1626" s="1"/>
      <c r="SKW1626" s="1"/>
      <c r="SKX1626" s="1"/>
      <c r="SKY1626" s="1"/>
      <c r="SKZ1626" s="1"/>
      <c r="SLA1626" s="1"/>
      <c r="SLB1626" s="1"/>
      <c r="SLC1626" s="1"/>
      <c r="SLD1626" s="1"/>
      <c r="SLE1626" s="1"/>
      <c r="SLF1626" s="1"/>
      <c r="SLG1626" s="1"/>
      <c r="SLH1626" s="1"/>
      <c r="SLI1626" s="1"/>
      <c r="SLJ1626" s="1"/>
      <c r="SLK1626" s="1"/>
      <c r="SLL1626" s="1"/>
      <c r="SLM1626" s="1"/>
      <c r="SLN1626" s="1"/>
      <c r="SLO1626" s="1"/>
      <c r="SLP1626" s="1"/>
      <c r="SLQ1626" s="1"/>
      <c r="SLR1626" s="1"/>
      <c r="SLS1626" s="1"/>
      <c r="SLT1626" s="1"/>
      <c r="SLU1626" s="1"/>
      <c r="SLV1626" s="1"/>
      <c r="SLW1626" s="1"/>
      <c r="SLX1626" s="1"/>
      <c r="SLY1626" s="1"/>
      <c r="SLZ1626" s="1"/>
      <c r="SMA1626" s="1"/>
      <c r="SMB1626" s="1"/>
      <c r="SMC1626" s="1"/>
      <c r="SMD1626" s="1"/>
      <c r="SME1626" s="1"/>
      <c r="SMF1626" s="1"/>
      <c r="SMG1626" s="1"/>
      <c r="SMH1626" s="1"/>
      <c r="SMI1626" s="1"/>
      <c r="SMJ1626" s="1"/>
      <c r="SMK1626" s="1"/>
      <c r="SML1626" s="1"/>
      <c r="SMM1626" s="1"/>
      <c r="SMN1626" s="1"/>
      <c r="SMO1626" s="1"/>
      <c r="SMP1626" s="1"/>
      <c r="SMQ1626" s="1"/>
      <c r="SMR1626" s="1"/>
      <c r="SMS1626" s="1"/>
      <c r="SMT1626" s="1"/>
      <c r="SMU1626" s="1"/>
      <c r="SMV1626" s="1"/>
      <c r="SMW1626" s="1"/>
      <c r="SMX1626" s="1"/>
      <c r="SMY1626" s="1"/>
      <c r="SMZ1626" s="1"/>
      <c r="SNA1626" s="1"/>
      <c r="SNB1626" s="1"/>
      <c r="SNC1626" s="1"/>
      <c r="SND1626" s="1"/>
      <c r="SNE1626" s="1"/>
      <c r="SNF1626" s="1"/>
      <c r="SNG1626" s="1"/>
      <c r="SNH1626" s="1"/>
      <c r="SNI1626" s="1"/>
      <c r="SNJ1626" s="1"/>
      <c r="SNK1626" s="1"/>
      <c r="SNL1626" s="1"/>
      <c r="SNM1626" s="1"/>
      <c r="SNN1626" s="1"/>
      <c r="SNO1626" s="1"/>
      <c r="SNP1626" s="1"/>
      <c r="SNQ1626" s="1"/>
      <c r="SNR1626" s="1"/>
      <c r="SNS1626" s="1"/>
      <c r="SNT1626" s="1"/>
      <c r="SNU1626" s="1"/>
      <c r="SNV1626" s="1"/>
      <c r="SNW1626" s="1"/>
      <c r="SNX1626" s="1"/>
      <c r="SNY1626" s="1"/>
      <c r="SNZ1626" s="1"/>
      <c r="SOA1626" s="1"/>
      <c r="SOB1626" s="1"/>
      <c r="SOC1626" s="1"/>
      <c r="SOD1626" s="1"/>
      <c r="SOE1626" s="1"/>
      <c r="SOF1626" s="1"/>
      <c r="SOG1626" s="1"/>
      <c r="SOH1626" s="1"/>
      <c r="SOI1626" s="1"/>
      <c r="SOJ1626" s="1"/>
      <c r="SOK1626" s="1"/>
      <c r="SOL1626" s="1"/>
      <c r="SOM1626" s="1"/>
      <c r="SON1626" s="1"/>
      <c r="SOO1626" s="1"/>
      <c r="SOP1626" s="1"/>
      <c r="SOQ1626" s="1"/>
      <c r="SOR1626" s="1"/>
      <c r="SOS1626" s="1"/>
      <c r="SOT1626" s="1"/>
      <c r="SOU1626" s="1"/>
      <c r="SOV1626" s="1"/>
      <c r="SOW1626" s="1"/>
      <c r="SOX1626" s="1"/>
      <c r="SOY1626" s="1"/>
      <c r="SOZ1626" s="1"/>
      <c r="SPA1626" s="1"/>
      <c r="SPB1626" s="1"/>
      <c r="SPC1626" s="1"/>
      <c r="SPD1626" s="1"/>
      <c r="SPE1626" s="1"/>
      <c r="SPF1626" s="1"/>
      <c r="SPG1626" s="1"/>
      <c r="SPH1626" s="1"/>
      <c r="SPI1626" s="1"/>
      <c r="SPJ1626" s="1"/>
      <c r="SPK1626" s="1"/>
      <c r="SPL1626" s="1"/>
      <c r="SPM1626" s="1"/>
      <c r="SPN1626" s="1"/>
      <c r="SPO1626" s="1"/>
      <c r="SPP1626" s="1"/>
      <c r="SPQ1626" s="1"/>
      <c r="SPR1626" s="1"/>
      <c r="SPS1626" s="1"/>
      <c r="SPT1626" s="1"/>
      <c r="SPU1626" s="1"/>
      <c r="SPV1626" s="1"/>
      <c r="SPW1626" s="1"/>
      <c r="SPX1626" s="1"/>
      <c r="SPY1626" s="1"/>
      <c r="SPZ1626" s="1"/>
      <c r="SQA1626" s="1"/>
      <c r="SQB1626" s="1"/>
      <c r="SQC1626" s="1"/>
      <c r="SQD1626" s="1"/>
      <c r="SQE1626" s="1"/>
      <c r="SQF1626" s="1"/>
      <c r="SQG1626" s="1"/>
      <c r="SQH1626" s="1"/>
      <c r="SQI1626" s="1"/>
      <c r="SQJ1626" s="1"/>
      <c r="SQK1626" s="1"/>
      <c r="SQL1626" s="1"/>
      <c r="SQM1626" s="1"/>
      <c r="SQN1626" s="1"/>
      <c r="SQO1626" s="1"/>
      <c r="SQP1626" s="1"/>
      <c r="SQQ1626" s="1"/>
      <c r="SQR1626" s="1"/>
      <c r="SQS1626" s="1"/>
      <c r="SQT1626" s="1"/>
      <c r="SQU1626" s="1"/>
      <c r="SQV1626" s="1"/>
      <c r="SQW1626" s="1"/>
      <c r="SQX1626" s="1"/>
      <c r="SQY1626" s="1"/>
      <c r="SQZ1626" s="1"/>
      <c r="SRA1626" s="1"/>
      <c r="SRB1626" s="1"/>
      <c r="SRC1626" s="1"/>
      <c r="SRD1626" s="1"/>
      <c r="SRE1626" s="1"/>
      <c r="SRF1626" s="1"/>
      <c r="SRG1626" s="1"/>
      <c r="SRH1626" s="1"/>
      <c r="SRI1626" s="1"/>
      <c r="SRJ1626" s="1"/>
      <c r="SRK1626" s="1"/>
      <c r="SRL1626" s="1"/>
      <c r="SRM1626" s="1"/>
      <c r="SRN1626" s="1"/>
      <c r="SRO1626" s="1"/>
      <c r="SRP1626" s="1"/>
      <c r="SRQ1626" s="1"/>
      <c r="SRR1626" s="1"/>
      <c r="SRS1626" s="1"/>
      <c r="SRT1626" s="1"/>
      <c r="SRU1626" s="1"/>
      <c r="SRV1626" s="1"/>
      <c r="SRW1626" s="1"/>
      <c r="SRX1626" s="1"/>
      <c r="SRY1626" s="1"/>
      <c r="SRZ1626" s="1"/>
      <c r="SSA1626" s="1"/>
      <c r="SSB1626" s="1"/>
      <c r="SSC1626" s="1"/>
      <c r="SSD1626" s="1"/>
      <c r="SSE1626" s="1"/>
      <c r="SSF1626" s="1"/>
      <c r="SSG1626" s="1"/>
      <c r="SSH1626" s="1"/>
      <c r="SSI1626" s="1"/>
      <c r="SSJ1626" s="1"/>
      <c r="SSK1626" s="1"/>
      <c r="SSL1626" s="1"/>
      <c r="SSM1626" s="1"/>
      <c r="SSN1626" s="1"/>
      <c r="SSO1626" s="1"/>
      <c r="SSP1626" s="1"/>
      <c r="SSQ1626" s="1"/>
      <c r="SSR1626" s="1"/>
      <c r="SSS1626" s="1"/>
      <c r="SST1626" s="1"/>
      <c r="SSU1626" s="1"/>
      <c r="SSV1626" s="1"/>
      <c r="SSW1626" s="1"/>
      <c r="SSX1626" s="1"/>
      <c r="SSY1626" s="1"/>
      <c r="SSZ1626" s="1"/>
      <c r="STA1626" s="1"/>
      <c r="STB1626" s="1"/>
      <c r="STC1626" s="1"/>
      <c r="STD1626" s="1"/>
      <c r="STE1626" s="1"/>
      <c r="STF1626" s="1"/>
      <c r="STG1626" s="1"/>
      <c r="STH1626" s="1"/>
      <c r="STI1626" s="1"/>
      <c r="STJ1626" s="1"/>
      <c r="STK1626" s="1"/>
      <c r="STL1626" s="1"/>
      <c r="STM1626" s="1"/>
      <c r="STN1626" s="1"/>
      <c r="STO1626" s="1"/>
      <c r="STP1626" s="1"/>
      <c r="STQ1626" s="1"/>
      <c r="STR1626" s="1"/>
      <c r="STS1626" s="1"/>
      <c r="STT1626" s="1"/>
      <c r="STU1626" s="1"/>
      <c r="STV1626" s="1"/>
      <c r="STW1626" s="1"/>
      <c r="STX1626" s="1"/>
      <c r="STY1626" s="1"/>
      <c r="STZ1626" s="1"/>
      <c r="SUA1626" s="1"/>
      <c r="SUB1626" s="1"/>
      <c r="SUC1626" s="1"/>
      <c r="SUD1626" s="1"/>
      <c r="SUE1626" s="1"/>
      <c r="SUF1626" s="1"/>
      <c r="SUG1626" s="1"/>
      <c r="SUH1626" s="1"/>
      <c r="SUI1626" s="1"/>
      <c r="SUJ1626" s="1"/>
      <c r="SUK1626" s="1"/>
      <c r="SUL1626" s="1"/>
      <c r="SUM1626" s="1"/>
      <c r="SUN1626" s="1"/>
      <c r="SUO1626" s="1"/>
      <c r="SUP1626" s="1"/>
      <c r="SUQ1626" s="1"/>
      <c r="SUR1626" s="1"/>
      <c r="SUS1626" s="1"/>
      <c r="SUT1626" s="1"/>
      <c r="SUU1626" s="1"/>
      <c r="SUV1626" s="1"/>
      <c r="SUW1626" s="1"/>
      <c r="SUX1626" s="1"/>
      <c r="SUY1626" s="1"/>
      <c r="SUZ1626" s="1"/>
      <c r="SVA1626" s="1"/>
      <c r="SVB1626" s="1"/>
      <c r="SVC1626" s="1"/>
      <c r="SVD1626" s="1"/>
      <c r="SVE1626" s="1"/>
      <c r="SVF1626" s="1"/>
      <c r="SVG1626" s="1"/>
      <c r="SVH1626" s="1"/>
      <c r="SVI1626" s="1"/>
      <c r="SVJ1626" s="1"/>
      <c r="SVK1626" s="1"/>
      <c r="SVL1626" s="1"/>
      <c r="SVM1626" s="1"/>
      <c r="SVN1626" s="1"/>
      <c r="SVO1626" s="1"/>
      <c r="SVP1626" s="1"/>
      <c r="SVQ1626" s="1"/>
      <c r="SVR1626" s="1"/>
      <c r="SVS1626" s="1"/>
      <c r="SVT1626" s="1"/>
      <c r="SVU1626" s="1"/>
      <c r="SVV1626" s="1"/>
      <c r="SVW1626" s="1"/>
      <c r="SVX1626" s="1"/>
      <c r="SVY1626" s="1"/>
      <c r="SVZ1626" s="1"/>
      <c r="SWA1626" s="1"/>
      <c r="SWB1626" s="1"/>
      <c r="SWC1626" s="1"/>
      <c r="SWD1626" s="1"/>
      <c r="SWE1626" s="1"/>
      <c r="SWF1626" s="1"/>
      <c r="SWG1626" s="1"/>
      <c r="SWH1626" s="1"/>
      <c r="SWI1626" s="1"/>
      <c r="SWJ1626" s="1"/>
      <c r="SWK1626" s="1"/>
      <c r="SWL1626" s="1"/>
      <c r="SWM1626" s="1"/>
      <c r="SWN1626" s="1"/>
      <c r="SWO1626" s="1"/>
      <c r="SWP1626" s="1"/>
      <c r="SWQ1626" s="1"/>
      <c r="SWR1626" s="1"/>
      <c r="SWS1626" s="1"/>
      <c r="SWT1626" s="1"/>
      <c r="SWU1626" s="1"/>
      <c r="SWV1626" s="1"/>
      <c r="SWW1626" s="1"/>
      <c r="SWX1626" s="1"/>
      <c r="SWY1626" s="1"/>
      <c r="SWZ1626" s="1"/>
      <c r="SXA1626" s="1"/>
      <c r="SXB1626" s="1"/>
      <c r="SXC1626" s="1"/>
      <c r="SXD1626" s="1"/>
      <c r="SXE1626" s="1"/>
      <c r="SXF1626" s="1"/>
      <c r="SXG1626" s="1"/>
      <c r="SXH1626" s="1"/>
      <c r="SXI1626" s="1"/>
      <c r="SXJ1626" s="1"/>
      <c r="SXK1626" s="1"/>
      <c r="SXL1626" s="1"/>
      <c r="SXM1626" s="1"/>
      <c r="SXN1626" s="1"/>
      <c r="SXO1626" s="1"/>
      <c r="SXP1626" s="1"/>
      <c r="SXQ1626" s="1"/>
      <c r="SXR1626" s="1"/>
      <c r="SXS1626" s="1"/>
      <c r="SXT1626" s="1"/>
      <c r="SXU1626" s="1"/>
      <c r="SXV1626" s="1"/>
      <c r="SXW1626" s="1"/>
      <c r="SXX1626" s="1"/>
      <c r="SXY1626" s="1"/>
      <c r="SXZ1626" s="1"/>
      <c r="SYA1626" s="1"/>
      <c r="SYB1626" s="1"/>
      <c r="SYC1626" s="1"/>
      <c r="SYD1626" s="1"/>
      <c r="SYE1626" s="1"/>
      <c r="SYF1626" s="1"/>
      <c r="SYG1626" s="1"/>
      <c r="SYH1626" s="1"/>
      <c r="SYI1626" s="1"/>
      <c r="SYJ1626" s="1"/>
      <c r="SYK1626" s="1"/>
      <c r="SYL1626" s="1"/>
      <c r="SYM1626" s="1"/>
      <c r="SYN1626" s="1"/>
      <c r="SYO1626" s="1"/>
      <c r="SYP1626" s="1"/>
      <c r="SYQ1626" s="1"/>
      <c r="SYR1626" s="1"/>
      <c r="SYS1626" s="1"/>
      <c r="SYT1626" s="1"/>
      <c r="SYU1626" s="1"/>
      <c r="SYV1626" s="1"/>
      <c r="SYW1626" s="1"/>
      <c r="SYX1626" s="1"/>
      <c r="SYY1626" s="1"/>
      <c r="SYZ1626" s="1"/>
      <c r="SZA1626" s="1"/>
      <c r="SZB1626" s="1"/>
      <c r="SZC1626" s="1"/>
      <c r="SZD1626" s="1"/>
      <c r="SZE1626" s="1"/>
      <c r="SZF1626" s="1"/>
      <c r="SZG1626" s="1"/>
      <c r="SZH1626" s="1"/>
      <c r="SZI1626" s="1"/>
      <c r="SZJ1626" s="1"/>
      <c r="SZK1626" s="1"/>
      <c r="SZL1626" s="1"/>
      <c r="SZM1626" s="1"/>
      <c r="SZN1626" s="1"/>
      <c r="SZO1626" s="1"/>
      <c r="SZP1626" s="1"/>
      <c r="SZQ1626" s="1"/>
      <c r="SZR1626" s="1"/>
      <c r="SZS1626" s="1"/>
      <c r="SZT1626" s="1"/>
      <c r="SZU1626" s="1"/>
      <c r="SZV1626" s="1"/>
      <c r="SZW1626" s="1"/>
      <c r="SZX1626" s="1"/>
      <c r="SZY1626" s="1"/>
      <c r="SZZ1626" s="1"/>
      <c r="TAA1626" s="1"/>
      <c r="TAB1626" s="1"/>
      <c r="TAC1626" s="1"/>
      <c r="TAD1626" s="1"/>
      <c r="TAE1626" s="1"/>
      <c r="TAF1626" s="1"/>
      <c r="TAG1626" s="1"/>
      <c r="TAH1626" s="1"/>
      <c r="TAI1626" s="1"/>
      <c r="TAJ1626" s="1"/>
      <c r="TAK1626" s="1"/>
      <c r="TAL1626" s="1"/>
      <c r="TAM1626" s="1"/>
      <c r="TAN1626" s="1"/>
      <c r="TAO1626" s="1"/>
      <c r="TAP1626" s="1"/>
      <c r="TAQ1626" s="1"/>
      <c r="TAR1626" s="1"/>
      <c r="TAS1626" s="1"/>
      <c r="TAT1626" s="1"/>
      <c r="TAU1626" s="1"/>
      <c r="TAV1626" s="1"/>
      <c r="TAW1626" s="1"/>
      <c r="TAX1626" s="1"/>
      <c r="TAY1626" s="1"/>
      <c r="TAZ1626" s="1"/>
      <c r="TBA1626" s="1"/>
      <c r="TBB1626" s="1"/>
      <c r="TBC1626" s="1"/>
      <c r="TBD1626" s="1"/>
      <c r="TBE1626" s="1"/>
      <c r="TBF1626" s="1"/>
      <c r="TBG1626" s="1"/>
      <c r="TBH1626" s="1"/>
      <c r="TBI1626" s="1"/>
      <c r="TBJ1626" s="1"/>
      <c r="TBK1626" s="1"/>
      <c r="TBL1626" s="1"/>
      <c r="TBM1626" s="1"/>
      <c r="TBN1626" s="1"/>
      <c r="TBO1626" s="1"/>
      <c r="TBP1626" s="1"/>
      <c r="TBQ1626" s="1"/>
      <c r="TBR1626" s="1"/>
      <c r="TBS1626" s="1"/>
      <c r="TBT1626" s="1"/>
      <c r="TBU1626" s="1"/>
      <c r="TBV1626" s="1"/>
      <c r="TBW1626" s="1"/>
      <c r="TBX1626" s="1"/>
      <c r="TBY1626" s="1"/>
      <c r="TBZ1626" s="1"/>
      <c r="TCA1626" s="1"/>
      <c r="TCB1626" s="1"/>
      <c r="TCC1626" s="1"/>
      <c r="TCD1626" s="1"/>
      <c r="TCE1626" s="1"/>
      <c r="TCF1626" s="1"/>
      <c r="TCG1626" s="1"/>
      <c r="TCH1626" s="1"/>
      <c r="TCI1626" s="1"/>
      <c r="TCJ1626" s="1"/>
      <c r="TCK1626" s="1"/>
      <c r="TCL1626" s="1"/>
      <c r="TCM1626" s="1"/>
      <c r="TCN1626" s="1"/>
      <c r="TCO1626" s="1"/>
      <c r="TCP1626" s="1"/>
      <c r="TCQ1626" s="1"/>
      <c r="TCR1626" s="1"/>
      <c r="TCS1626" s="1"/>
      <c r="TCT1626" s="1"/>
      <c r="TCU1626" s="1"/>
      <c r="TCV1626" s="1"/>
      <c r="TCW1626" s="1"/>
      <c r="TCX1626" s="1"/>
      <c r="TCY1626" s="1"/>
      <c r="TCZ1626" s="1"/>
      <c r="TDA1626" s="1"/>
      <c r="TDB1626" s="1"/>
      <c r="TDC1626" s="1"/>
      <c r="TDD1626" s="1"/>
      <c r="TDE1626" s="1"/>
      <c r="TDF1626" s="1"/>
      <c r="TDG1626" s="1"/>
      <c r="TDH1626" s="1"/>
      <c r="TDI1626" s="1"/>
      <c r="TDJ1626" s="1"/>
      <c r="TDK1626" s="1"/>
      <c r="TDL1626" s="1"/>
      <c r="TDM1626" s="1"/>
      <c r="TDN1626" s="1"/>
      <c r="TDO1626" s="1"/>
      <c r="TDP1626" s="1"/>
      <c r="TDQ1626" s="1"/>
      <c r="TDR1626" s="1"/>
      <c r="TDS1626" s="1"/>
      <c r="TDT1626" s="1"/>
      <c r="TDU1626" s="1"/>
      <c r="TDV1626" s="1"/>
      <c r="TDW1626" s="1"/>
      <c r="TDX1626" s="1"/>
      <c r="TDY1626" s="1"/>
      <c r="TDZ1626" s="1"/>
      <c r="TEA1626" s="1"/>
      <c r="TEB1626" s="1"/>
      <c r="TEC1626" s="1"/>
      <c r="TED1626" s="1"/>
      <c r="TEE1626" s="1"/>
      <c r="TEF1626" s="1"/>
      <c r="TEG1626" s="1"/>
      <c r="TEH1626" s="1"/>
      <c r="TEI1626" s="1"/>
      <c r="TEJ1626" s="1"/>
      <c r="TEK1626" s="1"/>
      <c r="TEL1626" s="1"/>
      <c r="TEM1626" s="1"/>
      <c r="TEN1626" s="1"/>
      <c r="TEO1626" s="1"/>
      <c r="TEP1626" s="1"/>
      <c r="TEQ1626" s="1"/>
      <c r="TER1626" s="1"/>
      <c r="TES1626" s="1"/>
      <c r="TET1626" s="1"/>
      <c r="TEU1626" s="1"/>
      <c r="TEV1626" s="1"/>
      <c r="TEW1626" s="1"/>
      <c r="TEX1626" s="1"/>
      <c r="TEY1626" s="1"/>
      <c r="TEZ1626" s="1"/>
      <c r="TFA1626" s="1"/>
      <c r="TFB1626" s="1"/>
      <c r="TFC1626" s="1"/>
      <c r="TFD1626" s="1"/>
      <c r="TFE1626" s="1"/>
      <c r="TFF1626" s="1"/>
      <c r="TFG1626" s="1"/>
      <c r="TFH1626" s="1"/>
      <c r="TFI1626" s="1"/>
      <c r="TFJ1626" s="1"/>
      <c r="TFK1626" s="1"/>
      <c r="TFL1626" s="1"/>
      <c r="TFM1626" s="1"/>
      <c r="TFN1626" s="1"/>
      <c r="TFO1626" s="1"/>
      <c r="TFP1626" s="1"/>
      <c r="TFQ1626" s="1"/>
      <c r="TFR1626" s="1"/>
      <c r="TFS1626" s="1"/>
      <c r="TFT1626" s="1"/>
      <c r="TFU1626" s="1"/>
      <c r="TFV1626" s="1"/>
      <c r="TFW1626" s="1"/>
      <c r="TFX1626" s="1"/>
      <c r="TFY1626" s="1"/>
      <c r="TFZ1626" s="1"/>
      <c r="TGA1626" s="1"/>
      <c r="TGB1626" s="1"/>
      <c r="TGC1626" s="1"/>
      <c r="TGD1626" s="1"/>
      <c r="TGE1626" s="1"/>
      <c r="TGF1626" s="1"/>
      <c r="TGG1626" s="1"/>
      <c r="TGH1626" s="1"/>
      <c r="TGI1626" s="1"/>
      <c r="TGJ1626" s="1"/>
      <c r="TGK1626" s="1"/>
      <c r="TGL1626" s="1"/>
      <c r="TGM1626" s="1"/>
      <c r="TGN1626" s="1"/>
      <c r="TGO1626" s="1"/>
      <c r="TGP1626" s="1"/>
      <c r="TGQ1626" s="1"/>
      <c r="TGR1626" s="1"/>
      <c r="TGS1626" s="1"/>
      <c r="TGT1626" s="1"/>
      <c r="TGU1626" s="1"/>
      <c r="TGV1626" s="1"/>
      <c r="TGW1626" s="1"/>
      <c r="TGX1626" s="1"/>
      <c r="TGY1626" s="1"/>
      <c r="TGZ1626" s="1"/>
      <c r="THA1626" s="1"/>
      <c r="THB1626" s="1"/>
      <c r="THC1626" s="1"/>
      <c r="THD1626" s="1"/>
      <c r="THE1626" s="1"/>
      <c r="THF1626" s="1"/>
      <c r="THG1626" s="1"/>
      <c r="THH1626" s="1"/>
      <c r="THI1626" s="1"/>
      <c r="THJ1626" s="1"/>
      <c r="THK1626" s="1"/>
      <c r="THL1626" s="1"/>
      <c r="THM1626" s="1"/>
      <c r="THN1626" s="1"/>
      <c r="THO1626" s="1"/>
      <c r="THP1626" s="1"/>
      <c r="THQ1626" s="1"/>
      <c r="THR1626" s="1"/>
      <c r="THS1626" s="1"/>
      <c r="THT1626" s="1"/>
      <c r="THU1626" s="1"/>
      <c r="THV1626" s="1"/>
      <c r="THW1626" s="1"/>
      <c r="THX1626" s="1"/>
      <c r="THY1626" s="1"/>
      <c r="THZ1626" s="1"/>
      <c r="TIA1626" s="1"/>
      <c r="TIB1626" s="1"/>
      <c r="TIC1626" s="1"/>
      <c r="TID1626" s="1"/>
      <c r="TIE1626" s="1"/>
      <c r="TIF1626" s="1"/>
      <c r="TIG1626" s="1"/>
      <c r="TIH1626" s="1"/>
      <c r="TII1626" s="1"/>
      <c r="TIJ1626" s="1"/>
      <c r="TIK1626" s="1"/>
      <c r="TIL1626" s="1"/>
      <c r="TIM1626" s="1"/>
      <c r="TIN1626" s="1"/>
      <c r="TIO1626" s="1"/>
      <c r="TIP1626" s="1"/>
      <c r="TIQ1626" s="1"/>
      <c r="TIR1626" s="1"/>
      <c r="TIS1626" s="1"/>
      <c r="TIT1626" s="1"/>
      <c r="TIU1626" s="1"/>
      <c r="TIV1626" s="1"/>
      <c r="TIW1626" s="1"/>
      <c r="TIX1626" s="1"/>
      <c r="TIY1626" s="1"/>
      <c r="TIZ1626" s="1"/>
      <c r="TJA1626" s="1"/>
      <c r="TJB1626" s="1"/>
      <c r="TJC1626" s="1"/>
      <c r="TJD1626" s="1"/>
      <c r="TJE1626" s="1"/>
      <c r="TJF1626" s="1"/>
      <c r="TJG1626" s="1"/>
      <c r="TJH1626" s="1"/>
      <c r="TJI1626" s="1"/>
      <c r="TJJ1626" s="1"/>
      <c r="TJK1626" s="1"/>
      <c r="TJL1626" s="1"/>
      <c r="TJM1626" s="1"/>
      <c r="TJN1626" s="1"/>
      <c r="TJO1626" s="1"/>
      <c r="TJP1626" s="1"/>
      <c r="TJQ1626" s="1"/>
      <c r="TJR1626" s="1"/>
      <c r="TJS1626" s="1"/>
      <c r="TJT1626" s="1"/>
      <c r="TJU1626" s="1"/>
      <c r="TJV1626" s="1"/>
      <c r="TJW1626" s="1"/>
      <c r="TJX1626" s="1"/>
      <c r="TJY1626" s="1"/>
      <c r="TJZ1626" s="1"/>
      <c r="TKA1626" s="1"/>
      <c r="TKB1626" s="1"/>
      <c r="TKC1626" s="1"/>
      <c r="TKD1626" s="1"/>
      <c r="TKE1626" s="1"/>
      <c r="TKF1626" s="1"/>
      <c r="TKG1626" s="1"/>
      <c r="TKH1626" s="1"/>
      <c r="TKI1626" s="1"/>
      <c r="TKJ1626" s="1"/>
      <c r="TKK1626" s="1"/>
      <c r="TKL1626" s="1"/>
      <c r="TKM1626" s="1"/>
      <c r="TKN1626" s="1"/>
      <c r="TKO1626" s="1"/>
      <c r="TKP1626" s="1"/>
      <c r="TKQ1626" s="1"/>
      <c r="TKR1626" s="1"/>
      <c r="TKS1626" s="1"/>
      <c r="TKT1626" s="1"/>
      <c r="TKU1626" s="1"/>
      <c r="TKV1626" s="1"/>
      <c r="TKW1626" s="1"/>
      <c r="TKX1626" s="1"/>
      <c r="TKY1626" s="1"/>
      <c r="TKZ1626" s="1"/>
      <c r="TLA1626" s="1"/>
      <c r="TLB1626" s="1"/>
      <c r="TLC1626" s="1"/>
      <c r="TLD1626" s="1"/>
      <c r="TLE1626" s="1"/>
      <c r="TLF1626" s="1"/>
      <c r="TLG1626" s="1"/>
      <c r="TLH1626" s="1"/>
      <c r="TLI1626" s="1"/>
      <c r="TLJ1626" s="1"/>
      <c r="TLK1626" s="1"/>
      <c r="TLL1626" s="1"/>
      <c r="TLM1626" s="1"/>
      <c r="TLN1626" s="1"/>
      <c r="TLO1626" s="1"/>
      <c r="TLP1626" s="1"/>
      <c r="TLQ1626" s="1"/>
      <c r="TLR1626" s="1"/>
      <c r="TLS1626" s="1"/>
      <c r="TLT1626" s="1"/>
      <c r="TLU1626" s="1"/>
      <c r="TLV1626" s="1"/>
      <c r="TLW1626" s="1"/>
      <c r="TLX1626" s="1"/>
      <c r="TLY1626" s="1"/>
      <c r="TLZ1626" s="1"/>
      <c r="TMA1626" s="1"/>
      <c r="TMB1626" s="1"/>
      <c r="TMC1626" s="1"/>
      <c r="TMD1626" s="1"/>
      <c r="TME1626" s="1"/>
      <c r="TMF1626" s="1"/>
      <c r="TMG1626" s="1"/>
      <c r="TMH1626" s="1"/>
      <c r="TMI1626" s="1"/>
      <c r="TMJ1626" s="1"/>
      <c r="TMK1626" s="1"/>
      <c r="TML1626" s="1"/>
      <c r="TMM1626" s="1"/>
      <c r="TMN1626" s="1"/>
      <c r="TMO1626" s="1"/>
      <c r="TMP1626" s="1"/>
      <c r="TMQ1626" s="1"/>
      <c r="TMR1626" s="1"/>
      <c r="TMS1626" s="1"/>
      <c r="TMT1626" s="1"/>
      <c r="TMU1626" s="1"/>
      <c r="TMV1626" s="1"/>
      <c r="TMW1626" s="1"/>
      <c r="TMX1626" s="1"/>
      <c r="TMY1626" s="1"/>
      <c r="TMZ1626" s="1"/>
      <c r="TNA1626" s="1"/>
      <c r="TNB1626" s="1"/>
      <c r="TNC1626" s="1"/>
      <c r="TND1626" s="1"/>
      <c r="TNE1626" s="1"/>
      <c r="TNF1626" s="1"/>
      <c r="TNG1626" s="1"/>
      <c r="TNH1626" s="1"/>
      <c r="TNI1626" s="1"/>
      <c r="TNJ1626" s="1"/>
      <c r="TNK1626" s="1"/>
      <c r="TNL1626" s="1"/>
      <c r="TNM1626" s="1"/>
      <c r="TNN1626" s="1"/>
      <c r="TNO1626" s="1"/>
      <c r="TNP1626" s="1"/>
      <c r="TNQ1626" s="1"/>
      <c r="TNR1626" s="1"/>
      <c r="TNS1626" s="1"/>
      <c r="TNT1626" s="1"/>
      <c r="TNU1626" s="1"/>
      <c r="TNV1626" s="1"/>
      <c r="TNW1626" s="1"/>
      <c r="TNX1626" s="1"/>
      <c r="TNY1626" s="1"/>
      <c r="TNZ1626" s="1"/>
      <c r="TOA1626" s="1"/>
      <c r="TOB1626" s="1"/>
      <c r="TOC1626" s="1"/>
      <c r="TOD1626" s="1"/>
      <c r="TOE1626" s="1"/>
      <c r="TOF1626" s="1"/>
      <c r="TOG1626" s="1"/>
      <c r="TOH1626" s="1"/>
      <c r="TOI1626" s="1"/>
      <c r="TOJ1626" s="1"/>
      <c r="TOK1626" s="1"/>
      <c r="TOL1626" s="1"/>
      <c r="TOM1626" s="1"/>
      <c r="TON1626" s="1"/>
      <c r="TOO1626" s="1"/>
      <c r="TOP1626" s="1"/>
      <c r="TOQ1626" s="1"/>
      <c r="TOR1626" s="1"/>
      <c r="TOS1626" s="1"/>
      <c r="TOT1626" s="1"/>
      <c r="TOU1626" s="1"/>
      <c r="TOV1626" s="1"/>
      <c r="TOW1626" s="1"/>
      <c r="TOX1626" s="1"/>
      <c r="TOY1626" s="1"/>
      <c r="TOZ1626" s="1"/>
      <c r="TPA1626" s="1"/>
      <c r="TPB1626" s="1"/>
      <c r="TPC1626" s="1"/>
      <c r="TPD1626" s="1"/>
      <c r="TPE1626" s="1"/>
      <c r="TPF1626" s="1"/>
      <c r="TPG1626" s="1"/>
      <c r="TPH1626" s="1"/>
      <c r="TPI1626" s="1"/>
      <c r="TPJ1626" s="1"/>
      <c r="TPK1626" s="1"/>
      <c r="TPL1626" s="1"/>
      <c r="TPM1626" s="1"/>
      <c r="TPN1626" s="1"/>
      <c r="TPO1626" s="1"/>
      <c r="TPP1626" s="1"/>
      <c r="TPQ1626" s="1"/>
      <c r="TPR1626" s="1"/>
      <c r="TPS1626" s="1"/>
      <c r="TPT1626" s="1"/>
      <c r="TPU1626" s="1"/>
      <c r="TPV1626" s="1"/>
      <c r="TPW1626" s="1"/>
      <c r="TPX1626" s="1"/>
      <c r="TPY1626" s="1"/>
      <c r="TPZ1626" s="1"/>
      <c r="TQA1626" s="1"/>
      <c r="TQB1626" s="1"/>
      <c r="TQC1626" s="1"/>
      <c r="TQD1626" s="1"/>
      <c r="TQE1626" s="1"/>
      <c r="TQF1626" s="1"/>
      <c r="TQG1626" s="1"/>
      <c r="TQH1626" s="1"/>
      <c r="TQI1626" s="1"/>
      <c r="TQJ1626" s="1"/>
      <c r="TQK1626" s="1"/>
      <c r="TQL1626" s="1"/>
      <c r="TQM1626" s="1"/>
      <c r="TQN1626" s="1"/>
      <c r="TQO1626" s="1"/>
      <c r="TQP1626" s="1"/>
      <c r="TQQ1626" s="1"/>
      <c r="TQR1626" s="1"/>
      <c r="TQS1626" s="1"/>
      <c r="TQT1626" s="1"/>
      <c r="TQU1626" s="1"/>
      <c r="TQV1626" s="1"/>
      <c r="TQW1626" s="1"/>
      <c r="TQX1626" s="1"/>
      <c r="TQY1626" s="1"/>
      <c r="TQZ1626" s="1"/>
      <c r="TRA1626" s="1"/>
      <c r="TRB1626" s="1"/>
      <c r="TRC1626" s="1"/>
      <c r="TRD1626" s="1"/>
      <c r="TRE1626" s="1"/>
      <c r="TRF1626" s="1"/>
      <c r="TRG1626" s="1"/>
      <c r="TRH1626" s="1"/>
      <c r="TRI1626" s="1"/>
      <c r="TRJ1626" s="1"/>
      <c r="TRK1626" s="1"/>
      <c r="TRL1626" s="1"/>
      <c r="TRM1626" s="1"/>
      <c r="TRN1626" s="1"/>
      <c r="TRO1626" s="1"/>
      <c r="TRP1626" s="1"/>
      <c r="TRQ1626" s="1"/>
      <c r="TRR1626" s="1"/>
      <c r="TRS1626" s="1"/>
      <c r="TRT1626" s="1"/>
      <c r="TRU1626" s="1"/>
      <c r="TRV1626" s="1"/>
      <c r="TRW1626" s="1"/>
      <c r="TRX1626" s="1"/>
      <c r="TRY1626" s="1"/>
      <c r="TRZ1626" s="1"/>
      <c r="TSA1626" s="1"/>
      <c r="TSB1626" s="1"/>
      <c r="TSC1626" s="1"/>
      <c r="TSD1626" s="1"/>
      <c r="TSE1626" s="1"/>
      <c r="TSF1626" s="1"/>
      <c r="TSG1626" s="1"/>
      <c r="TSH1626" s="1"/>
      <c r="TSI1626" s="1"/>
      <c r="TSJ1626" s="1"/>
      <c r="TSK1626" s="1"/>
      <c r="TSL1626" s="1"/>
      <c r="TSM1626" s="1"/>
      <c r="TSN1626" s="1"/>
      <c r="TSO1626" s="1"/>
      <c r="TSP1626" s="1"/>
      <c r="TSQ1626" s="1"/>
      <c r="TSR1626" s="1"/>
      <c r="TSS1626" s="1"/>
      <c r="TST1626" s="1"/>
      <c r="TSU1626" s="1"/>
      <c r="TSV1626" s="1"/>
      <c r="TSW1626" s="1"/>
      <c r="TSX1626" s="1"/>
      <c r="TSY1626" s="1"/>
      <c r="TSZ1626" s="1"/>
      <c r="TTA1626" s="1"/>
      <c r="TTB1626" s="1"/>
      <c r="TTC1626" s="1"/>
      <c r="TTD1626" s="1"/>
      <c r="TTE1626" s="1"/>
      <c r="TTF1626" s="1"/>
      <c r="TTG1626" s="1"/>
      <c r="TTH1626" s="1"/>
      <c r="TTI1626" s="1"/>
      <c r="TTJ1626" s="1"/>
      <c r="TTK1626" s="1"/>
      <c r="TTL1626" s="1"/>
      <c r="TTM1626" s="1"/>
      <c r="TTN1626" s="1"/>
      <c r="TTO1626" s="1"/>
      <c r="TTP1626" s="1"/>
      <c r="TTQ1626" s="1"/>
      <c r="TTR1626" s="1"/>
      <c r="TTS1626" s="1"/>
      <c r="TTT1626" s="1"/>
      <c r="TTU1626" s="1"/>
      <c r="TTV1626" s="1"/>
      <c r="TTW1626" s="1"/>
      <c r="TTX1626" s="1"/>
      <c r="TTY1626" s="1"/>
      <c r="TTZ1626" s="1"/>
      <c r="TUA1626" s="1"/>
      <c r="TUB1626" s="1"/>
      <c r="TUC1626" s="1"/>
      <c r="TUD1626" s="1"/>
      <c r="TUE1626" s="1"/>
      <c r="TUF1626" s="1"/>
      <c r="TUG1626" s="1"/>
      <c r="TUH1626" s="1"/>
      <c r="TUI1626" s="1"/>
      <c r="TUJ1626" s="1"/>
      <c r="TUK1626" s="1"/>
      <c r="TUL1626" s="1"/>
      <c r="TUM1626" s="1"/>
      <c r="TUN1626" s="1"/>
      <c r="TUO1626" s="1"/>
      <c r="TUP1626" s="1"/>
      <c r="TUQ1626" s="1"/>
      <c r="TUR1626" s="1"/>
      <c r="TUS1626" s="1"/>
      <c r="TUT1626" s="1"/>
      <c r="TUU1626" s="1"/>
      <c r="TUV1626" s="1"/>
      <c r="TUW1626" s="1"/>
      <c r="TUX1626" s="1"/>
      <c r="TUY1626" s="1"/>
      <c r="TUZ1626" s="1"/>
      <c r="TVA1626" s="1"/>
      <c r="TVB1626" s="1"/>
      <c r="TVC1626" s="1"/>
      <c r="TVD1626" s="1"/>
      <c r="TVE1626" s="1"/>
      <c r="TVF1626" s="1"/>
      <c r="TVG1626" s="1"/>
      <c r="TVH1626" s="1"/>
      <c r="TVI1626" s="1"/>
      <c r="TVJ1626" s="1"/>
      <c r="TVK1626" s="1"/>
      <c r="TVL1626" s="1"/>
      <c r="TVM1626" s="1"/>
      <c r="TVN1626" s="1"/>
      <c r="TVO1626" s="1"/>
      <c r="TVP1626" s="1"/>
      <c r="TVQ1626" s="1"/>
      <c r="TVR1626" s="1"/>
      <c r="TVS1626" s="1"/>
      <c r="TVT1626" s="1"/>
      <c r="TVU1626" s="1"/>
      <c r="TVV1626" s="1"/>
      <c r="TVW1626" s="1"/>
      <c r="TVX1626" s="1"/>
      <c r="TVY1626" s="1"/>
      <c r="TVZ1626" s="1"/>
      <c r="TWA1626" s="1"/>
      <c r="TWB1626" s="1"/>
      <c r="TWC1626" s="1"/>
      <c r="TWD1626" s="1"/>
      <c r="TWE1626" s="1"/>
      <c r="TWF1626" s="1"/>
      <c r="TWG1626" s="1"/>
      <c r="TWH1626" s="1"/>
      <c r="TWI1626" s="1"/>
      <c r="TWJ1626" s="1"/>
      <c r="TWK1626" s="1"/>
      <c r="TWL1626" s="1"/>
      <c r="TWM1626" s="1"/>
      <c r="TWN1626" s="1"/>
      <c r="TWO1626" s="1"/>
      <c r="TWP1626" s="1"/>
      <c r="TWQ1626" s="1"/>
      <c r="TWR1626" s="1"/>
      <c r="TWS1626" s="1"/>
      <c r="TWT1626" s="1"/>
      <c r="TWU1626" s="1"/>
      <c r="TWV1626" s="1"/>
      <c r="TWW1626" s="1"/>
      <c r="TWX1626" s="1"/>
      <c r="TWY1626" s="1"/>
      <c r="TWZ1626" s="1"/>
      <c r="TXA1626" s="1"/>
      <c r="TXB1626" s="1"/>
      <c r="TXC1626" s="1"/>
      <c r="TXD1626" s="1"/>
      <c r="TXE1626" s="1"/>
      <c r="TXF1626" s="1"/>
      <c r="TXG1626" s="1"/>
      <c r="TXH1626" s="1"/>
      <c r="TXI1626" s="1"/>
      <c r="TXJ1626" s="1"/>
      <c r="TXK1626" s="1"/>
      <c r="TXL1626" s="1"/>
      <c r="TXM1626" s="1"/>
      <c r="TXN1626" s="1"/>
      <c r="TXO1626" s="1"/>
      <c r="TXP1626" s="1"/>
      <c r="TXQ1626" s="1"/>
      <c r="TXR1626" s="1"/>
      <c r="TXS1626" s="1"/>
      <c r="TXT1626" s="1"/>
      <c r="TXU1626" s="1"/>
      <c r="TXV1626" s="1"/>
      <c r="TXW1626" s="1"/>
      <c r="TXX1626" s="1"/>
      <c r="TXY1626" s="1"/>
      <c r="TXZ1626" s="1"/>
      <c r="TYA1626" s="1"/>
      <c r="TYB1626" s="1"/>
      <c r="TYC1626" s="1"/>
      <c r="TYD1626" s="1"/>
      <c r="TYE1626" s="1"/>
      <c r="TYF1626" s="1"/>
      <c r="TYG1626" s="1"/>
      <c r="TYH1626" s="1"/>
      <c r="TYI1626" s="1"/>
      <c r="TYJ1626" s="1"/>
      <c r="TYK1626" s="1"/>
      <c r="TYL1626" s="1"/>
      <c r="TYM1626" s="1"/>
      <c r="TYN1626" s="1"/>
      <c r="TYO1626" s="1"/>
      <c r="TYP1626" s="1"/>
      <c r="TYQ1626" s="1"/>
      <c r="TYR1626" s="1"/>
      <c r="TYS1626" s="1"/>
      <c r="TYT1626" s="1"/>
      <c r="TYU1626" s="1"/>
      <c r="TYV1626" s="1"/>
      <c r="TYW1626" s="1"/>
      <c r="TYX1626" s="1"/>
      <c r="TYY1626" s="1"/>
      <c r="TYZ1626" s="1"/>
      <c r="TZA1626" s="1"/>
      <c r="TZB1626" s="1"/>
      <c r="TZC1626" s="1"/>
      <c r="TZD1626" s="1"/>
      <c r="TZE1626" s="1"/>
      <c r="TZF1626" s="1"/>
      <c r="TZG1626" s="1"/>
      <c r="TZH1626" s="1"/>
      <c r="TZI1626" s="1"/>
      <c r="TZJ1626" s="1"/>
      <c r="TZK1626" s="1"/>
      <c r="TZL1626" s="1"/>
      <c r="TZM1626" s="1"/>
      <c r="TZN1626" s="1"/>
      <c r="TZO1626" s="1"/>
      <c r="TZP1626" s="1"/>
      <c r="TZQ1626" s="1"/>
      <c r="TZR1626" s="1"/>
      <c r="TZS1626" s="1"/>
      <c r="TZT1626" s="1"/>
      <c r="TZU1626" s="1"/>
      <c r="TZV1626" s="1"/>
      <c r="TZW1626" s="1"/>
      <c r="TZX1626" s="1"/>
      <c r="TZY1626" s="1"/>
      <c r="TZZ1626" s="1"/>
      <c r="UAA1626" s="1"/>
      <c r="UAB1626" s="1"/>
      <c r="UAC1626" s="1"/>
      <c r="UAD1626" s="1"/>
      <c r="UAE1626" s="1"/>
      <c r="UAF1626" s="1"/>
      <c r="UAG1626" s="1"/>
      <c r="UAH1626" s="1"/>
      <c r="UAI1626" s="1"/>
      <c r="UAJ1626" s="1"/>
      <c r="UAK1626" s="1"/>
      <c r="UAL1626" s="1"/>
      <c r="UAM1626" s="1"/>
      <c r="UAN1626" s="1"/>
      <c r="UAO1626" s="1"/>
      <c r="UAP1626" s="1"/>
      <c r="UAQ1626" s="1"/>
      <c r="UAR1626" s="1"/>
      <c r="UAS1626" s="1"/>
      <c r="UAT1626" s="1"/>
      <c r="UAU1626" s="1"/>
      <c r="UAV1626" s="1"/>
      <c r="UAW1626" s="1"/>
      <c r="UAX1626" s="1"/>
      <c r="UAY1626" s="1"/>
      <c r="UAZ1626" s="1"/>
      <c r="UBA1626" s="1"/>
      <c r="UBB1626" s="1"/>
      <c r="UBC1626" s="1"/>
      <c r="UBD1626" s="1"/>
      <c r="UBE1626" s="1"/>
      <c r="UBF1626" s="1"/>
      <c r="UBG1626" s="1"/>
      <c r="UBH1626" s="1"/>
      <c r="UBI1626" s="1"/>
      <c r="UBJ1626" s="1"/>
      <c r="UBK1626" s="1"/>
      <c r="UBL1626" s="1"/>
      <c r="UBM1626" s="1"/>
      <c r="UBN1626" s="1"/>
      <c r="UBO1626" s="1"/>
      <c r="UBP1626" s="1"/>
      <c r="UBQ1626" s="1"/>
      <c r="UBR1626" s="1"/>
      <c r="UBS1626" s="1"/>
      <c r="UBT1626" s="1"/>
      <c r="UBU1626" s="1"/>
      <c r="UBV1626" s="1"/>
      <c r="UBW1626" s="1"/>
      <c r="UBX1626" s="1"/>
      <c r="UBY1626" s="1"/>
      <c r="UBZ1626" s="1"/>
      <c r="UCA1626" s="1"/>
      <c r="UCB1626" s="1"/>
      <c r="UCC1626" s="1"/>
      <c r="UCD1626" s="1"/>
      <c r="UCE1626" s="1"/>
      <c r="UCF1626" s="1"/>
      <c r="UCG1626" s="1"/>
      <c r="UCH1626" s="1"/>
      <c r="UCI1626" s="1"/>
      <c r="UCJ1626" s="1"/>
      <c r="UCK1626" s="1"/>
      <c r="UCL1626" s="1"/>
      <c r="UCM1626" s="1"/>
      <c r="UCN1626" s="1"/>
      <c r="UCO1626" s="1"/>
      <c r="UCP1626" s="1"/>
      <c r="UCQ1626" s="1"/>
      <c r="UCR1626" s="1"/>
      <c r="UCS1626" s="1"/>
      <c r="UCT1626" s="1"/>
      <c r="UCU1626" s="1"/>
      <c r="UCV1626" s="1"/>
      <c r="UCW1626" s="1"/>
      <c r="UCX1626" s="1"/>
      <c r="UCY1626" s="1"/>
      <c r="UCZ1626" s="1"/>
      <c r="UDA1626" s="1"/>
      <c r="UDB1626" s="1"/>
      <c r="UDC1626" s="1"/>
      <c r="UDD1626" s="1"/>
      <c r="UDE1626" s="1"/>
      <c r="UDF1626" s="1"/>
      <c r="UDG1626" s="1"/>
      <c r="UDH1626" s="1"/>
      <c r="UDI1626" s="1"/>
      <c r="UDJ1626" s="1"/>
      <c r="UDK1626" s="1"/>
      <c r="UDL1626" s="1"/>
      <c r="UDM1626" s="1"/>
      <c r="UDN1626" s="1"/>
      <c r="UDO1626" s="1"/>
      <c r="UDP1626" s="1"/>
      <c r="UDQ1626" s="1"/>
      <c r="UDR1626" s="1"/>
      <c r="UDS1626" s="1"/>
      <c r="UDT1626" s="1"/>
      <c r="UDU1626" s="1"/>
      <c r="UDV1626" s="1"/>
      <c r="UDW1626" s="1"/>
      <c r="UDX1626" s="1"/>
      <c r="UDY1626" s="1"/>
      <c r="UDZ1626" s="1"/>
      <c r="UEA1626" s="1"/>
      <c r="UEB1626" s="1"/>
      <c r="UEC1626" s="1"/>
      <c r="UED1626" s="1"/>
      <c r="UEE1626" s="1"/>
      <c r="UEF1626" s="1"/>
      <c r="UEG1626" s="1"/>
      <c r="UEH1626" s="1"/>
      <c r="UEI1626" s="1"/>
      <c r="UEJ1626" s="1"/>
      <c r="UEK1626" s="1"/>
      <c r="UEL1626" s="1"/>
      <c r="UEM1626" s="1"/>
      <c r="UEN1626" s="1"/>
      <c r="UEO1626" s="1"/>
      <c r="UEP1626" s="1"/>
      <c r="UEQ1626" s="1"/>
      <c r="UER1626" s="1"/>
      <c r="UES1626" s="1"/>
      <c r="UET1626" s="1"/>
      <c r="UEU1626" s="1"/>
      <c r="UEV1626" s="1"/>
      <c r="UEW1626" s="1"/>
      <c r="UEX1626" s="1"/>
      <c r="UEY1626" s="1"/>
      <c r="UEZ1626" s="1"/>
      <c r="UFA1626" s="1"/>
      <c r="UFB1626" s="1"/>
      <c r="UFC1626" s="1"/>
      <c r="UFD1626" s="1"/>
      <c r="UFE1626" s="1"/>
      <c r="UFF1626" s="1"/>
      <c r="UFG1626" s="1"/>
      <c r="UFH1626" s="1"/>
      <c r="UFI1626" s="1"/>
      <c r="UFJ1626" s="1"/>
      <c r="UFK1626" s="1"/>
      <c r="UFL1626" s="1"/>
      <c r="UFM1626" s="1"/>
      <c r="UFN1626" s="1"/>
      <c r="UFO1626" s="1"/>
      <c r="UFP1626" s="1"/>
      <c r="UFQ1626" s="1"/>
      <c r="UFR1626" s="1"/>
      <c r="UFS1626" s="1"/>
      <c r="UFT1626" s="1"/>
      <c r="UFU1626" s="1"/>
      <c r="UFV1626" s="1"/>
      <c r="UFW1626" s="1"/>
      <c r="UFX1626" s="1"/>
      <c r="UFY1626" s="1"/>
      <c r="UFZ1626" s="1"/>
      <c r="UGA1626" s="1"/>
      <c r="UGB1626" s="1"/>
      <c r="UGC1626" s="1"/>
      <c r="UGD1626" s="1"/>
      <c r="UGE1626" s="1"/>
      <c r="UGF1626" s="1"/>
      <c r="UGG1626" s="1"/>
      <c r="UGH1626" s="1"/>
      <c r="UGI1626" s="1"/>
      <c r="UGJ1626" s="1"/>
      <c r="UGK1626" s="1"/>
      <c r="UGL1626" s="1"/>
      <c r="UGM1626" s="1"/>
      <c r="UGN1626" s="1"/>
      <c r="UGO1626" s="1"/>
      <c r="UGP1626" s="1"/>
      <c r="UGQ1626" s="1"/>
      <c r="UGR1626" s="1"/>
      <c r="UGS1626" s="1"/>
      <c r="UGT1626" s="1"/>
      <c r="UGU1626" s="1"/>
      <c r="UGV1626" s="1"/>
      <c r="UGW1626" s="1"/>
      <c r="UGX1626" s="1"/>
      <c r="UGY1626" s="1"/>
      <c r="UGZ1626" s="1"/>
      <c r="UHA1626" s="1"/>
      <c r="UHB1626" s="1"/>
      <c r="UHC1626" s="1"/>
      <c r="UHD1626" s="1"/>
      <c r="UHE1626" s="1"/>
      <c r="UHF1626" s="1"/>
      <c r="UHG1626" s="1"/>
      <c r="UHH1626" s="1"/>
      <c r="UHI1626" s="1"/>
      <c r="UHJ1626" s="1"/>
      <c r="UHK1626" s="1"/>
      <c r="UHL1626" s="1"/>
      <c r="UHM1626" s="1"/>
      <c r="UHN1626" s="1"/>
      <c r="UHO1626" s="1"/>
      <c r="UHP1626" s="1"/>
      <c r="UHQ1626" s="1"/>
      <c r="UHR1626" s="1"/>
      <c r="UHS1626" s="1"/>
      <c r="UHT1626" s="1"/>
      <c r="UHU1626" s="1"/>
      <c r="UHV1626" s="1"/>
      <c r="UHW1626" s="1"/>
      <c r="UHX1626" s="1"/>
      <c r="UHY1626" s="1"/>
      <c r="UHZ1626" s="1"/>
      <c r="UIA1626" s="1"/>
      <c r="UIB1626" s="1"/>
      <c r="UIC1626" s="1"/>
      <c r="UID1626" s="1"/>
      <c r="UIE1626" s="1"/>
      <c r="UIF1626" s="1"/>
      <c r="UIG1626" s="1"/>
      <c r="UIH1626" s="1"/>
      <c r="UII1626" s="1"/>
      <c r="UIJ1626" s="1"/>
      <c r="UIK1626" s="1"/>
      <c r="UIL1626" s="1"/>
      <c r="UIM1626" s="1"/>
      <c r="UIN1626" s="1"/>
      <c r="UIO1626" s="1"/>
      <c r="UIP1626" s="1"/>
      <c r="UIQ1626" s="1"/>
      <c r="UIR1626" s="1"/>
      <c r="UIS1626" s="1"/>
      <c r="UIT1626" s="1"/>
      <c r="UIU1626" s="1"/>
      <c r="UIV1626" s="1"/>
      <c r="UIW1626" s="1"/>
      <c r="UIX1626" s="1"/>
      <c r="UIY1626" s="1"/>
      <c r="UIZ1626" s="1"/>
      <c r="UJA1626" s="1"/>
      <c r="UJB1626" s="1"/>
      <c r="UJC1626" s="1"/>
      <c r="UJD1626" s="1"/>
      <c r="UJE1626" s="1"/>
      <c r="UJF1626" s="1"/>
      <c r="UJG1626" s="1"/>
      <c r="UJH1626" s="1"/>
      <c r="UJI1626" s="1"/>
      <c r="UJJ1626" s="1"/>
      <c r="UJK1626" s="1"/>
      <c r="UJL1626" s="1"/>
      <c r="UJM1626" s="1"/>
      <c r="UJN1626" s="1"/>
      <c r="UJO1626" s="1"/>
      <c r="UJP1626" s="1"/>
      <c r="UJQ1626" s="1"/>
      <c r="UJR1626" s="1"/>
      <c r="UJS1626" s="1"/>
      <c r="UJT1626" s="1"/>
      <c r="UJU1626" s="1"/>
      <c r="UJV1626" s="1"/>
      <c r="UJW1626" s="1"/>
      <c r="UJX1626" s="1"/>
      <c r="UJY1626" s="1"/>
      <c r="UJZ1626" s="1"/>
      <c r="UKA1626" s="1"/>
      <c r="UKB1626" s="1"/>
      <c r="UKC1626" s="1"/>
      <c r="UKD1626" s="1"/>
      <c r="UKE1626" s="1"/>
      <c r="UKF1626" s="1"/>
      <c r="UKG1626" s="1"/>
      <c r="UKH1626" s="1"/>
      <c r="UKI1626" s="1"/>
      <c r="UKJ1626" s="1"/>
      <c r="UKK1626" s="1"/>
      <c r="UKL1626" s="1"/>
      <c r="UKM1626" s="1"/>
      <c r="UKN1626" s="1"/>
      <c r="UKO1626" s="1"/>
      <c r="UKP1626" s="1"/>
      <c r="UKQ1626" s="1"/>
      <c r="UKR1626" s="1"/>
      <c r="UKS1626" s="1"/>
      <c r="UKT1626" s="1"/>
      <c r="UKU1626" s="1"/>
      <c r="UKV1626" s="1"/>
      <c r="UKW1626" s="1"/>
      <c r="UKX1626" s="1"/>
      <c r="UKY1626" s="1"/>
      <c r="UKZ1626" s="1"/>
      <c r="ULA1626" s="1"/>
      <c r="ULB1626" s="1"/>
      <c r="ULC1626" s="1"/>
      <c r="ULD1626" s="1"/>
      <c r="ULE1626" s="1"/>
      <c r="ULF1626" s="1"/>
      <c r="ULG1626" s="1"/>
      <c r="ULH1626" s="1"/>
      <c r="ULI1626" s="1"/>
      <c r="ULJ1626" s="1"/>
      <c r="ULK1626" s="1"/>
      <c r="ULL1626" s="1"/>
      <c r="ULM1626" s="1"/>
      <c r="ULN1626" s="1"/>
      <c r="ULO1626" s="1"/>
      <c r="ULP1626" s="1"/>
      <c r="ULQ1626" s="1"/>
      <c r="ULR1626" s="1"/>
      <c r="ULS1626" s="1"/>
      <c r="ULT1626" s="1"/>
      <c r="ULU1626" s="1"/>
      <c r="ULV1626" s="1"/>
      <c r="ULW1626" s="1"/>
      <c r="ULX1626" s="1"/>
      <c r="ULY1626" s="1"/>
      <c r="ULZ1626" s="1"/>
      <c r="UMA1626" s="1"/>
      <c r="UMB1626" s="1"/>
      <c r="UMC1626" s="1"/>
      <c r="UMD1626" s="1"/>
      <c r="UME1626" s="1"/>
      <c r="UMF1626" s="1"/>
      <c r="UMG1626" s="1"/>
      <c r="UMH1626" s="1"/>
      <c r="UMI1626" s="1"/>
      <c r="UMJ1626" s="1"/>
      <c r="UMK1626" s="1"/>
      <c r="UML1626" s="1"/>
      <c r="UMM1626" s="1"/>
      <c r="UMN1626" s="1"/>
      <c r="UMO1626" s="1"/>
      <c r="UMP1626" s="1"/>
      <c r="UMQ1626" s="1"/>
      <c r="UMR1626" s="1"/>
      <c r="UMS1626" s="1"/>
      <c r="UMT1626" s="1"/>
      <c r="UMU1626" s="1"/>
      <c r="UMV1626" s="1"/>
      <c r="UMW1626" s="1"/>
      <c r="UMX1626" s="1"/>
      <c r="UMY1626" s="1"/>
      <c r="UMZ1626" s="1"/>
      <c r="UNA1626" s="1"/>
      <c r="UNB1626" s="1"/>
      <c r="UNC1626" s="1"/>
      <c r="UND1626" s="1"/>
      <c r="UNE1626" s="1"/>
      <c r="UNF1626" s="1"/>
      <c r="UNG1626" s="1"/>
      <c r="UNH1626" s="1"/>
      <c r="UNI1626" s="1"/>
      <c r="UNJ1626" s="1"/>
      <c r="UNK1626" s="1"/>
      <c r="UNL1626" s="1"/>
      <c r="UNM1626" s="1"/>
      <c r="UNN1626" s="1"/>
      <c r="UNO1626" s="1"/>
      <c r="UNP1626" s="1"/>
      <c r="UNQ1626" s="1"/>
      <c r="UNR1626" s="1"/>
      <c r="UNS1626" s="1"/>
      <c r="UNT1626" s="1"/>
      <c r="UNU1626" s="1"/>
      <c r="UNV1626" s="1"/>
      <c r="UNW1626" s="1"/>
      <c r="UNX1626" s="1"/>
      <c r="UNY1626" s="1"/>
      <c r="UNZ1626" s="1"/>
      <c r="UOA1626" s="1"/>
      <c r="UOB1626" s="1"/>
      <c r="UOC1626" s="1"/>
      <c r="UOD1626" s="1"/>
      <c r="UOE1626" s="1"/>
      <c r="UOF1626" s="1"/>
      <c r="UOG1626" s="1"/>
      <c r="UOH1626" s="1"/>
      <c r="UOI1626" s="1"/>
      <c r="UOJ1626" s="1"/>
      <c r="UOK1626" s="1"/>
      <c r="UOL1626" s="1"/>
      <c r="UOM1626" s="1"/>
      <c r="UON1626" s="1"/>
      <c r="UOO1626" s="1"/>
      <c r="UOP1626" s="1"/>
      <c r="UOQ1626" s="1"/>
      <c r="UOR1626" s="1"/>
      <c r="UOS1626" s="1"/>
      <c r="UOT1626" s="1"/>
      <c r="UOU1626" s="1"/>
      <c r="UOV1626" s="1"/>
      <c r="UOW1626" s="1"/>
      <c r="UOX1626" s="1"/>
      <c r="UOY1626" s="1"/>
      <c r="UOZ1626" s="1"/>
      <c r="UPA1626" s="1"/>
      <c r="UPB1626" s="1"/>
      <c r="UPC1626" s="1"/>
      <c r="UPD1626" s="1"/>
      <c r="UPE1626" s="1"/>
      <c r="UPF1626" s="1"/>
      <c r="UPG1626" s="1"/>
      <c r="UPH1626" s="1"/>
      <c r="UPI1626" s="1"/>
      <c r="UPJ1626" s="1"/>
      <c r="UPK1626" s="1"/>
      <c r="UPL1626" s="1"/>
      <c r="UPM1626" s="1"/>
      <c r="UPN1626" s="1"/>
      <c r="UPO1626" s="1"/>
      <c r="UPP1626" s="1"/>
      <c r="UPQ1626" s="1"/>
      <c r="UPR1626" s="1"/>
      <c r="UPS1626" s="1"/>
      <c r="UPT1626" s="1"/>
      <c r="UPU1626" s="1"/>
      <c r="UPV1626" s="1"/>
      <c r="UPW1626" s="1"/>
      <c r="UPX1626" s="1"/>
      <c r="UPY1626" s="1"/>
      <c r="UPZ1626" s="1"/>
      <c r="UQA1626" s="1"/>
      <c r="UQB1626" s="1"/>
      <c r="UQC1626" s="1"/>
      <c r="UQD1626" s="1"/>
      <c r="UQE1626" s="1"/>
      <c r="UQF1626" s="1"/>
      <c r="UQG1626" s="1"/>
      <c r="UQH1626" s="1"/>
      <c r="UQI1626" s="1"/>
      <c r="UQJ1626" s="1"/>
      <c r="UQK1626" s="1"/>
      <c r="UQL1626" s="1"/>
      <c r="UQM1626" s="1"/>
      <c r="UQN1626" s="1"/>
      <c r="UQO1626" s="1"/>
      <c r="UQP1626" s="1"/>
      <c r="UQQ1626" s="1"/>
      <c r="UQR1626" s="1"/>
      <c r="UQS1626" s="1"/>
      <c r="UQT1626" s="1"/>
      <c r="UQU1626" s="1"/>
      <c r="UQV1626" s="1"/>
      <c r="UQW1626" s="1"/>
      <c r="UQX1626" s="1"/>
      <c r="UQY1626" s="1"/>
      <c r="UQZ1626" s="1"/>
      <c r="URA1626" s="1"/>
      <c r="URB1626" s="1"/>
      <c r="URC1626" s="1"/>
      <c r="URD1626" s="1"/>
      <c r="URE1626" s="1"/>
      <c r="URF1626" s="1"/>
      <c r="URG1626" s="1"/>
      <c r="URH1626" s="1"/>
      <c r="URI1626" s="1"/>
      <c r="URJ1626" s="1"/>
      <c r="URK1626" s="1"/>
      <c r="URL1626" s="1"/>
      <c r="URM1626" s="1"/>
      <c r="URN1626" s="1"/>
      <c r="URO1626" s="1"/>
      <c r="URP1626" s="1"/>
      <c r="URQ1626" s="1"/>
      <c r="URR1626" s="1"/>
      <c r="URS1626" s="1"/>
      <c r="URT1626" s="1"/>
      <c r="URU1626" s="1"/>
      <c r="URV1626" s="1"/>
      <c r="URW1626" s="1"/>
      <c r="URX1626" s="1"/>
      <c r="URY1626" s="1"/>
      <c r="URZ1626" s="1"/>
      <c r="USA1626" s="1"/>
      <c r="USB1626" s="1"/>
      <c r="USC1626" s="1"/>
      <c r="USD1626" s="1"/>
      <c r="USE1626" s="1"/>
      <c r="USF1626" s="1"/>
      <c r="USG1626" s="1"/>
      <c r="USH1626" s="1"/>
      <c r="USI1626" s="1"/>
      <c r="USJ1626" s="1"/>
      <c r="USK1626" s="1"/>
      <c r="USL1626" s="1"/>
      <c r="USM1626" s="1"/>
      <c r="USN1626" s="1"/>
      <c r="USO1626" s="1"/>
      <c r="USP1626" s="1"/>
      <c r="USQ1626" s="1"/>
      <c r="USR1626" s="1"/>
      <c r="USS1626" s="1"/>
      <c r="UST1626" s="1"/>
      <c r="USU1626" s="1"/>
      <c r="USV1626" s="1"/>
      <c r="USW1626" s="1"/>
      <c r="USX1626" s="1"/>
      <c r="USY1626" s="1"/>
      <c r="USZ1626" s="1"/>
      <c r="UTA1626" s="1"/>
      <c r="UTB1626" s="1"/>
      <c r="UTC1626" s="1"/>
      <c r="UTD1626" s="1"/>
      <c r="UTE1626" s="1"/>
      <c r="UTF1626" s="1"/>
      <c r="UTG1626" s="1"/>
      <c r="UTH1626" s="1"/>
      <c r="UTI1626" s="1"/>
      <c r="UTJ1626" s="1"/>
      <c r="UTK1626" s="1"/>
      <c r="UTL1626" s="1"/>
      <c r="UTM1626" s="1"/>
      <c r="UTN1626" s="1"/>
      <c r="UTO1626" s="1"/>
      <c r="UTP1626" s="1"/>
      <c r="UTQ1626" s="1"/>
      <c r="UTR1626" s="1"/>
      <c r="UTS1626" s="1"/>
      <c r="UTT1626" s="1"/>
      <c r="UTU1626" s="1"/>
      <c r="UTV1626" s="1"/>
      <c r="UTW1626" s="1"/>
      <c r="UTX1626" s="1"/>
      <c r="UTY1626" s="1"/>
      <c r="UTZ1626" s="1"/>
      <c r="UUA1626" s="1"/>
      <c r="UUB1626" s="1"/>
      <c r="UUC1626" s="1"/>
      <c r="UUD1626" s="1"/>
      <c r="UUE1626" s="1"/>
      <c r="UUF1626" s="1"/>
      <c r="UUG1626" s="1"/>
      <c r="UUH1626" s="1"/>
      <c r="UUI1626" s="1"/>
      <c r="UUJ1626" s="1"/>
      <c r="UUK1626" s="1"/>
      <c r="UUL1626" s="1"/>
      <c r="UUM1626" s="1"/>
      <c r="UUN1626" s="1"/>
      <c r="UUO1626" s="1"/>
      <c r="UUP1626" s="1"/>
      <c r="UUQ1626" s="1"/>
      <c r="UUR1626" s="1"/>
      <c r="UUS1626" s="1"/>
      <c r="UUT1626" s="1"/>
      <c r="UUU1626" s="1"/>
      <c r="UUV1626" s="1"/>
      <c r="UUW1626" s="1"/>
      <c r="UUX1626" s="1"/>
      <c r="UUY1626" s="1"/>
      <c r="UUZ1626" s="1"/>
      <c r="UVA1626" s="1"/>
      <c r="UVB1626" s="1"/>
      <c r="UVC1626" s="1"/>
      <c r="UVD1626" s="1"/>
      <c r="UVE1626" s="1"/>
      <c r="UVF1626" s="1"/>
      <c r="UVG1626" s="1"/>
      <c r="UVH1626" s="1"/>
      <c r="UVI1626" s="1"/>
      <c r="UVJ1626" s="1"/>
      <c r="UVK1626" s="1"/>
      <c r="UVL1626" s="1"/>
      <c r="UVM1626" s="1"/>
      <c r="UVN1626" s="1"/>
      <c r="UVO1626" s="1"/>
      <c r="UVP1626" s="1"/>
      <c r="UVQ1626" s="1"/>
      <c r="UVR1626" s="1"/>
      <c r="UVS1626" s="1"/>
      <c r="UVT1626" s="1"/>
      <c r="UVU1626" s="1"/>
      <c r="UVV1626" s="1"/>
      <c r="UVW1626" s="1"/>
      <c r="UVX1626" s="1"/>
      <c r="UVY1626" s="1"/>
      <c r="UVZ1626" s="1"/>
      <c r="UWA1626" s="1"/>
      <c r="UWB1626" s="1"/>
      <c r="UWC1626" s="1"/>
      <c r="UWD1626" s="1"/>
      <c r="UWE1626" s="1"/>
      <c r="UWF1626" s="1"/>
      <c r="UWG1626" s="1"/>
      <c r="UWH1626" s="1"/>
      <c r="UWI1626" s="1"/>
      <c r="UWJ1626" s="1"/>
      <c r="UWK1626" s="1"/>
      <c r="UWL1626" s="1"/>
      <c r="UWM1626" s="1"/>
      <c r="UWN1626" s="1"/>
      <c r="UWO1626" s="1"/>
      <c r="UWP1626" s="1"/>
      <c r="UWQ1626" s="1"/>
      <c r="UWR1626" s="1"/>
      <c r="UWS1626" s="1"/>
      <c r="UWT1626" s="1"/>
      <c r="UWU1626" s="1"/>
      <c r="UWV1626" s="1"/>
      <c r="UWW1626" s="1"/>
      <c r="UWX1626" s="1"/>
      <c r="UWY1626" s="1"/>
      <c r="UWZ1626" s="1"/>
      <c r="UXA1626" s="1"/>
      <c r="UXB1626" s="1"/>
      <c r="UXC1626" s="1"/>
      <c r="UXD1626" s="1"/>
      <c r="UXE1626" s="1"/>
      <c r="UXF1626" s="1"/>
      <c r="UXG1626" s="1"/>
      <c r="UXH1626" s="1"/>
      <c r="UXI1626" s="1"/>
      <c r="UXJ1626" s="1"/>
      <c r="UXK1626" s="1"/>
      <c r="UXL1626" s="1"/>
      <c r="UXM1626" s="1"/>
      <c r="UXN1626" s="1"/>
      <c r="UXO1626" s="1"/>
      <c r="UXP1626" s="1"/>
      <c r="UXQ1626" s="1"/>
      <c r="UXR1626" s="1"/>
      <c r="UXS1626" s="1"/>
      <c r="UXT1626" s="1"/>
      <c r="UXU1626" s="1"/>
      <c r="UXV1626" s="1"/>
      <c r="UXW1626" s="1"/>
      <c r="UXX1626" s="1"/>
      <c r="UXY1626" s="1"/>
      <c r="UXZ1626" s="1"/>
      <c r="UYA1626" s="1"/>
      <c r="UYB1626" s="1"/>
      <c r="UYC1626" s="1"/>
      <c r="UYD1626" s="1"/>
      <c r="UYE1626" s="1"/>
      <c r="UYF1626" s="1"/>
      <c r="UYG1626" s="1"/>
      <c r="UYH1626" s="1"/>
      <c r="UYI1626" s="1"/>
      <c r="UYJ1626" s="1"/>
      <c r="UYK1626" s="1"/>
      <c r="UYL1626" s="1"/>
      <c r="UYM1626" s="1"/>
      <c r="UYN1626" s="1"/>
      <c r="UYO1626" s="1"/>
      <c r="UYP1626" s="1"/>
      <c r="UYQ1626" s="1"/>
      <c r="UYR1626" s="1"/>
      <c r="UYS1626" s="1"/>
      <c r="UYT1626" s="1"/>
      <c r="UYU1626" s="1"/>
      <c r="UYV1626" s="1"/>
      <c r="UYW1626" s="1"/>
      <c r="UYX1626" s="1"/>
      <c r="UYY1626" s="1"/>
      <c r="UYZ1626" s="1"/>
      <c r="UZA1626" s="1"/>
      <c r="UZB1626" s="1"/>
      <c r="UZC1626" s="1"/>
      <c r="UZD1626" s="1"/>
      <c r="UZE1626" s="1"/>
      <c r="UZF1626" s="1"/>
      <c r="UZG1626" s="1"/>
      <c r="UZH1626" s="1"/>
      <c r="UZI1626" s="1"/>
      <c r="UZJ1626" s="1"/>
      <c r="UZK1626" s="1"/>
      <c r="UZL1626" s="1"/>
      <c r="UZM1626" s="1"/>
      <c r="UZN1626" s="1"/>
      <c r="UZO1626" s="1"/>
      <c r="UZP1626" s="1"/>
      <c r="UZQ1626" s="1"/>
      <c r="UZR1626" s="1"/>
      <c r="UZS1626" s="1"/>
      <c r="UZT1626" s="1"/>
      <c r="UZU1626" s="1"/>
      <c r="UZV1626" s="1"/>
      <c r="UZW1626" s="1"/>
      <c r="UZX1626" s="1"/>
      <c r="UZY1626" s="1"/>
      <c r="UZZ1626" s="1"/>
      <c r="VAA1626" s="1"/>
      <c r="VAB1626" s="1"/>
      <c r="VAC1626" s="1"/>
      <c r="VAD1626" s="1"/>
      <c r="VAE1626" s="1"/>
      <c r="VAF1626" s="1"/>
      <c r="VAG1626" s="1"/>
      <c r="VAH1626" s="1"/>
      <c r="VAI1626" s="1"/>
      <c r="VAJ1626" s="1"/>
      <c r="VAK1626" s="1"/>
      <c r="VAL1626" s="1"/>
      <c r="VAM1626" s="1"/>
      <c r="VAN1626" s="1"/>
      <c r="VAO1626" s="1"/>
      <c r="VAP1626" s="1"/>
      <c r="VAQ1626" s="1"/>
      <c r="VAR1626" s="1"/>
      <c r="VAS1626" s="1"/>
      <c r="VAT1626" s="1"/>
      <c r="VAU1626" s="1"/>
      <c r="VAV1626" s="1"/>
      <c r="VAW1626" s="1"/>
      <c r="VAX1626" s="1"/>
      <c r="VAY1626" s="1"/>
      <c r="VAZ1626" s="1"/>
      <c r="VBA1626" s="1"/>
      <c r="VBB1626" s="1"/>
      <c r="VBC1626" s="1"/>
      <c r="VBD1626" s="1"/>
      <c r="VBE1626" s="1"/>
      <c r="VBF1626" s="1"/>
      <c r="VBG1626" s="1"/>
      <c r="VBH1626" s="1"/>
      <c r="VBI1626" s="1"/>
      <c r="VBJ1626" s="1"/>
      <c r="VBK1626" s="1"/>
      <c r="VBL1626" s="1"/>
      <c r="VBM1626" s="1"/>
      <c r="VBN1626" s="1"/>
      <c r="VBO1626" s="1"/>
      <c r="VBP1626" s="1"/>
      <c r="VBQ1626" s="1"/>
      <c r="VBR1626" s="1"/>
      <c r="VBS1626" s="1"/>
      <c r="VBT1626" s="1"/>
      <c r="VBU1626" s="1"/>
      <c r="VBV1626" s="1"/>
      <c r="VBW1626" s="1"/>
      <c r="VBX1626" s="1"/>
      <c r="VBY1626" s="1"/>
      <c r="VBZ1626" s="1"/>
      <c r="VCA1626" s="1"/>
      <c r="VCB1626" s="1"/>
      <c r="VCC1626" s="1"/>
      <c r="VCD1626" s="1"/>
      <c r="VCE1626" s="1"/>
      <c r="VCF1626" s="1"/>
      <c r="VCG1626" s="1"/>
      <c r="VCH1626" s="1"/>
      <c r="VCI1626" s="1"/>
      <c r="VCJ1626" s="1"/>
      <c r="VCK1626" s="1"/>
      <c r="VCL1626" s="1"/>
      <c r="VCM1626" s="1"/>
      <c r="VCN1626" s="1"/>
      <c r="VCO1626" s="1"/>
      <c r="VCP1626" s="1"/>
      <c r="VCQ1626" s="1"/>
      <c r="VCR1626" s="1"/>
      <c r="VCS1626" s="1"/>
      <c r="VCT1626" s="1"/>
      <c r="VCU1626" s="1"/>
      <c r="VCV1626" s="1"/>
      <c r="VCW1626" s="1"/>
      <c r="VCX1626" s="1"/>
      <c r="VCY1626" s="1"/>
      <c r="VCZ1626" s="1"/>
      <c r="VDA1626" s="1"/>
      <c r="VDB1626" s="1"/>
      <c r="VDC1626" s="1"/>
      <c r="VDD1626" s="1"/>
      <c r="VDE1626" s="1"/>
      <c r="VDF1626" s="1"/>
      <c r="VDG1626" s="1"/>
      <c r="VDH1626" s="1"/>
      <c r="VDI1626" s="1"/>
      <c r="VDJ1626" s="1"/>
      <c r="VDK1626" s="1"/>
      <c r="VDL1626" s="1"/>
      <c r="VDM1626" s="1"/>
      <c r="VDN1626" s="1"/>
      <c r="VDO1626" s="1"/>
      <c r="VDP1626" s="1"/>
      <c r="VDQ1626" s="1"/>
      <c r="VDR1626" s="1"/>
      <c r="VDS1626" s="1"/>
      <c r="VDT1626" s="1"/>
      <c r="VDU1626" s="1"/>
      <c r="VDV1626" s="1"/>
      <c r="VDW1626" s="1"/>
      <c r="VDX1626" s="1"/>
      <c r="VDY1626" s="1"/>
      <c r="VDZ1626" s="1"/>
      <c r="VEA1626" s="1"/>
      <c r="VEB1626" s="1"/>
      <c r="VEC1626" s="1"/>
      <c r="VED1626" s="1"/>
      <c r="VEE1626" s="1"/>
      <c r="VEF1626" s="1"/>
      <c r="VEG1626" s="1"/>
      <c r="VEH1626" s="1"/>
      <c r="VEI1626" s="1"/>
      <c r="VEJ1626" s="1"/>
      <c r="VEK1626" s="1"/>
      <c r="VEL1626" s="1"/>
      <c r="VEM1626" s="1"/>
      <c r="VEN1626" s="1"/>
      <c r="VEO1626" s="1"/>
      <c r="VEP1626" s="1"/>
      <c r="VEQ1626" s="1"/>
      <c r="VER1626" s="1"/>
      <c r="VES1626" s="1"/>
      <c r="VET1626" s="1"/>
      <c r="VEU1626" s="1"/>
      <c r="VEV1626" s="1"/>
      <c r="VEW1626" s="1"/>
      <c r="VEX1626" s="1"/>
      <c r="VEY1626" s="1"/>
      <c r="VEZ1626" s="1"/>
      <c r="VFA1626" s="1"/>
      <c r="VFB1626" s="1"/>
      <c r="VFC1626" s="1"/>
      <c r="VFD1626" s="1"/>
      <c r="VFE1626" s="1"/>
      <c r="VFF1626" s="1"/>
      <c r="VFG1626" s="1"/>
      <c r="VFH1626" s="1"/>
      <c r="VFI1626" s="1"/>
      <c r="VFJ1626" s="1"/>
      <c r="VFK1626" s="1"/>
      <c r="VFL1626" s="1"/>
      <c r="VFM1626" s="1"/>
      <c r="VFN1626" s="1"/>
      <c r="VFO1626" s="1"/>
      <c r="VFP1626" s="1"/>
      <c r="VFQ1626" s="1"/>
      <c r="VFR1626" s="1"/>
      <c r="VFS1626" s="1"/>
      <c r="VFT1626" s="1"/>
      <c r="VFU1626" s="1"/>
      <c r="VFV1626" s="1"/>
      <c r="VFW1626" s="1"/>
      <c r="VFX1626" s="1"/>
      <c r="VFY1626" s="1"/>
      <c r="VFZ1626" s="1"/>
      <c r="VGA1626" s="1"/>
      <c r="VGB1626" s="1"/>
      <c r="VGC1626" s="1"/>
      <c r="VGD1626" s="1"/>
      <c r="VGE1626" s="1"/>
      <c r="VGF1626" s="1"/>
      <c r="VGG1626" s="1"/>
      <c r="VGH1626" s="1"/>
      <c r="VGI1626" s="1"/>
      <c r="VGJ1626" s="1"/>
      <c r="VGK1626" s="1"/>
      <c r="VGL1626" s="1"/>
      <c r="VGM1626" s="1"/>
      <c r="VGN1626" s="1"/>
      <c r="VGO1626" s="1"/>
      <c r="VGP1626" s="1"/>
      <c r="VGQ1626" s="1"/>
      <c r="VGR1626" s="1"/>
      <c r="VGS1626" s="1"/>
      <c r="VGT1626" s="1"/>
      <c r="VGU1626" s="1"/>
      <c r="VGV1626" s="1"/>
      <c r="VGW1626" s="1"/>
      <c r="VGX1626" s="1"/>
      <c r="VGY1626" s="1"/>
      <c r="VGZ1626" s="1"/>
      <c r="VHA1626" s="1"/>
      <c r="VHB1626" s="1"/>
      <c r="VHC1626" s="1"/>
      <c r="VHD1626" s="1"/>
      <c r="VHE1626" s="1"/>
      <c r="VHF1626" s="1"/>
      <c r="VHG1626" s="1"/>
      <c r="VHH1626" s="1"/>
      <c r="VHI1626" s="1"/>
      <c r="VHJ1626" s="1"/>
      <c r="VHK1626" s="1"/>
      <c r="VHL1626" s="1"/>
      <c r="VHM1626" s="1"/>
      <c r="VHN1626" s="1"/>
      <c r="VHO1626" s="1"/>
      <c r="VHP1626" s="1"/>
      <c r="VHQ1626" s="1"/>
      <c r="VHR1626" s="1"/>
      <c r="VHS1626" s="1"/>
      <c r="VHT1626" s="1"/>
      <c r="VHU1626" s="1"/>
      <c r="VHV1626" s="1"/>
      <c r="VHW1626" s="1"/>
      <c r="VHX1626" s="1"/>
      <c r="VHY1626" s="1"/>
      <c r="VHZ1626" s="1"/>
      <c r="VIA1626" s="1"/>
      <c r="VIB1626" s="1"/>
      <c r="VIC1626" s="1"/>
      <c r="VID1626" s="1"/>
      <c r="VIE1626" s="1"/>
      <c r="VIF1626" s="1"/>
      <c r="VIG1626" s="1"/>
      <c r="VIH1626" s="1"/>
      <c r="VII1626" s="1"/>
      <c r="VIJ1626" s="1"/>
      <c r="VIK1626" s="1"/>
      <c r="VIL1626" s="1"/>
      <c r="VIM1626" s="1"/>
      <c r="VIN1626" s="1"/>
      <c r="VIO1626" s="1"/>
      <c r="VIP1626" s="1"/>
      <c r="VIQ1626" s="1"/>
      <c r="VIR1626" s="1"/>
      <c r="VIS1626" s="1"/>
      <c r="VIT1626" s="1"/>
      <c r="VIU1626" s="1"/>
      <c r="VIV1626" s="1"/>
      <c r="VIW1626" s="1"/>
      <c r="VIX1626" s="1"/>
      <c r="VIY1626" s="1"/>
      <c r="VIZ1626" s="1"/>
      <c r="VJA1626" s="1"/>
      <c r="VJB1626" s="1"/>
      <c r="VJC1626" s="1"/>
      <c r="VJD1626" s="1"/>
      <c r="VJE1626" s="1"/>
      <c r="VJF1626" s="1"/>
      <c r="VJG1626" s="1"/>
      <c r="VJH1626" s="1"/>
      <c r="VJI1626" s="1"/>
      <c r="VJJ1626" s="1"/>
      <c r="VJK1626" s="1"/>
      <c r="VJL1626" s="1"/>
      <c r="VJM1626" s="1"/>
      <c r="VJN1626" s="1"/>
      <c r="VJO1626" s="1"/>
      <c r="VJP1626" s="1"/>
      <c r="VJQ1626" s="1"/>
      <c r="VJR1626" s="1"/>
      <c r="VJS1626" s="1"/>
      <c r="VJT1626" s="1"/>
      <c r="VJU1626" s="1"/>
      <c r="VJV1626" s="1"/>
      <c r="VJW1626" s="1"/>
      <c r="VJX1626" s="1"/>
      <c r="VJY1626" s="1"/>
      <c r="VJZ1626" s="1"/>
      <c r="VKA1626" s="1"/>
      <c r="VKB1626" s="1"/>
      <c r="VKC1626" s="1"/>
      <c r="VKD1626" s="1"/>
      <c r="VKE1626" s="1"/>
      <c r="VKF1626" s="1"/>
      <c r="VKG1626" s="1"/>
      <c r="VKH1626" s="1"/>
      <c r="VKI1626" s="1"/>
      <c r="VKJ1626" s="1"/>
      <c r="VKK1626" s="1"/>
      <c r="VKL1626" s="1"/>
      <c r="VKM1626" s="1"/>
      <c r="VKN1626" s="1"/>
      <c r="VKO1626" s="1"/>
      <c r="VKP1626" s="1"/>
      <c r="VKQ1626" s="1"/>
      <c r="VKR1626" s="1"/>
      <c r="VKS1626" s="1"/>
      <c r="VKT1626" s="1"/>
      <c r="VKU1626" s="1"/>
      <c r="VKV1626" s="1"/>
      <c r="VKW1626" s="1"/>
      <c r="VKX1626" s="1"/>
      <c r="VKY1626" s="1"/>
      <c r="VKZ1626" s="1"/>
      <c r="VLA1626" s="1"/>
      <c r="VLB1626" s="1"/>
      <c r="VLC1626" s="1"/>
      <c r="VLD1626" s="1"/>
      <c r="VLE1626" s="1"/>
      <c r="VLF1626" s="1"/>
      <c r="VLG1626" s="1"/>
      <c r="VLH1626" s="1"/>
      <c r="VLI1626" s="1"/>
      <c r="VLJ1626" s="1"/>
      <c r="VLK1626" s="1"/>
      <c r="VLL1626" s="1"/>
      <c r="VLM1626" s="1"/>
      <c r="VLN1626" s="1"/>
      <c r="VLO1626" s="1"/>
      <c r="VLP1626" s="1"/>
      <c r="VLQ1626" s="1"/>
      <c r="VLR1626" s="1"/>
      <c r="VLS1626" s="1"/>
      <c r="VLT1626" s="1"/>
      <c r="VLU1626" s="1"/>
      <c r="VLV1626" s="1"/>
      <c r="VLW1626" s="1"/>
      <c r="VLX1626" s="1"/>
      <c r="VLY1626" s="1"/>
      <c r="VLZ1626" s="1"/>
      <c r="VMA1626" s="1"/>
      <c r="VMB1626" s="1"/>
      <c r="VMC1626" s="1"/>
      <c r="VMD1626" s="1"/>
      <c r="VME1626" s="1"/>
      <c r="VMF1626" s="1"/>
      <c r="VMG1626" s="1"/>
      <c r="VMH1626" s="1"/>
      <c r="VMI1626" s="1"/>
      <c r="VMJ1626" s="1"/>
      <c r="VMK1626" s="1"/>
      <c r="VML1626" s="1"/>
      <c r="VMM1626" s="1"/>
      <c r="VMN1626" s="1"/>
      <c r="VMO1626" s="1"/>
      <c r="VMP1626" s="1"/>
      <c r="VMQ1626" s="1"/>
      <c r="VMR1626" s="1"/>
      <c r="VMS1626" s="1"/>
      <c r="VMT1626" s="1"/>
      <c r="VMU1626" s="1"/>
      <c r="VMV1626" s="1"/>
      <c r="VMW1626" s="1"/>
      <c r="VMX1626" s="1"/>
      <c r="VMY1626" s="1"/>
      <c r="VMZ1626" s="1"/>
      <c r="VNA1626" s="1"/>
      <c r="VNB1626" s="1"/>
      <c r="VNC1626" s="1"/>
      <c r="VND1626" s="1"/>
      <c r="VNE1626" s="1"/>
      <c r="VNF1626" s="1"/>
      <c r="VNG1626" s="1"/>
      <c r="VNH1626" s="1"/>
      <c r="VNI1626" s="1"/>
      <c r="VNJ1626" s="1"/>
      <c r="VNK1626" s="1"/>
      <c r="VNL1626" s="1"/>
      <c r="VNM1626" s="1"/>
      <c r="VNN1626" s="1"/>
      <c r="VNO1626" s="1"/>
      <c r="VNP1626" s="1"/>
      <c r="VNQ1626" s="1"/>
      <c r="VNR1626" s="1"/>
      <c r="VNS1626" s="1"/>
      <c r="VNT1626" s="1"/>
      <c r="VNU1626" s="1"/>
      <c r="VNV1626" s="1"/>
      <c r="VNW1626" s="1"/>
      <c r="VNX1626" s="1"/>
      <c r="VNY1626" s="1"/>
      <c r="VNZ1626" s="1"/>
      <c r="VOA1626" s="1"/>
      <c r="VOB1626" s="1"/>
      <c r="VOC1626" s="1"/>
      <c r="VOD1626" s="1"/>
      <c r="VOE1626" s="1"/>
      <c r="VOF1626" s="1"/>
      <c r="VOG1626" s="1"/>
      <c r="VOH1626" s="1"/>
      <c r="VOI1626" s="1"/>
      <c r="VOJ1626" s="1"/>
      <c r="VOK1626" s="1"/>
      <c r="VOL1626" s="1"/>
      <c r="VOM1626" s="1"/>
      <c r="VON1626" s="1"/>
      <c r="VOO1626" s="1"/>
      <c r="VOP1626" s="1"/>
      <c r="VOQ1626" s="1"/>
      <c r="VOR1626" s="1"/>
      <c r="VOS1626" s="1"/>
      <c r="VOT1626" s="1"/>
      <c r="VOU1626" s="1"/>
      <c r="VOV1626" s="1"/>
      <c r="VOW1626" s="1"/>
      <c r="VOX1626" s="1"/>
      <c r="VOY1626" s="1"/>
      <c r="VOZ1626" s="1"/>
      <c r="VPA1626" s="1"/>
      <c r="VPB1626" s="1"/>
      <c r="VPC1626" s="1"/>
      <c r="VPD1626" s="1"/>
      <c r="VPE1626" s="1"/>
      <c r="VPF1626" s="1"/>
      <c r="VPG1626" s="1"/>
      <c r="VPH1626" s="1"/>
      <c r="VPI1626" s="1"/>
      <c r="VPJ1626" s="1"/>
      <c r="VPK1626" s="1"/>
      <c r="VPL1626" s="1"/>
      <c r="VPM1626" s="1"/>
      <c r="VPN1626" s="1"/>
      <c r="VPO1626" s="1"/>
      <c r="VPP1626" s="1"/>
      <c r="VPQ1626" s="1"/>
      <c r="VPR1626" s="1"/>
      <c r="VPS1626" s="1"/>
      <c r="VPT1626" s="1"/>
      <c r="VPU1626" s="1"/>
      <c r="VPV1626" s="1"/>
      <c r="VPW1626" s="1"/>
      <c r="VPX1626" s="1"/>
      <c r="VPY1626" s="1"/>
      <c r="VPZ1626" s="1"/>
      <c r="VQA1626" s="1"/>
      <c r="VQB1626" s="1"/>
      <c r="VQC1626" s="1"/>
      <c r="VQD1626" s="1"/>
      <c r="VQE1626" s="1"/>
      <c r="VQF1626" s="1"/>
      <c r="VQG1626" s="1"/>
      <c r="VQH1626" s="1"/>
      <c r="VQI1626" s="1"/>
      <c r="VQJ1626" s="1"/>
      <c r="VQK1626" s="1"/>
      <c r="VQL1626" s="1"/>
      <c r="VQM1626" s="1"/>
      <c r="VQN1626" s="1"/>
      <c r="VQO1626" s="1"/>
      <c r="VQP1626" s="1"/>
      <c r="VQQ1626" s="1"/>
      <c r="VQR1626" s="1"/>
      <c r="VQS1626" s="1"/>
      <c r="VQT1626" s="1"/>
      <c r="VQU1626" s="1"/>
      <c r="VQV1626" s="1"/>
      <c r="VQW1626" s="1"/>
      <c r="VQX1626" s="1"/>
      <c r="VQY1626" s="1"/>
      <c r="VQZ1626" s="1"/>
      <c r="VRA1626" s="1"/>
      <c r="VRB1626" s="1"/>
      <c r="VRC1626" s="1"/>
      <c r="VRD1626" s="1"/>
      <c r="VRE1626" s="1"/>
      <c r="VRF1626" s="1"/>
      <c r="VRG1626" s="1"/>
      <c r="VRH1626" s="1"/>
      <c r="VRI1626" s="1"/>
      <c r="VRJ1626" s="1"/>
      <c r="VRK1626" s="1"/>
      <c r="VRL1626" s="1"/>
      <c r="VRM1626" s="1"/>
      <c r="VRN1626" s="1"/>
      <c r="VRO1626" s="1"/>
      <c r="VRP1626" s="1"/>
      <c r="VRQ1626" s="1"/>
      <c r="VRR1626" s="1"/>
      <c r="VRS1626" s="1"/>
      <c r="VRT1626" s="1"/>
      <c r="VRU1626" s="1"/>
      <c r="VRV1626" s="1"/>
      <c r="VRW1626" s="1"/>
      <c r="VRX1626" s="1"/>
      <c r="VRY1626" s="1"/>
      <c r="VRZ1626" s="1"/>
      <c r="VSA1626" s="1"/>
      <c r="VSB1626" s="1"/>
      <c r="VSC1626" s="1"/>
      <c r="VSD1626" s="1"/>
      <c r="VSE1626" s="1"/>
      <c r="VSF1626" s="1"/>
      <c r="VSG1626" s="1"/>
      <c r="VSH1626" s="1"/>
      <c r="VSI1626" s="1"/>
      <c r="VSJ1626" s="1"/>
      <c r="VSK1626" s="1"/>
      <c r="VSL1626" s="1"/>
      <c r="VSM1626" s="1"/>
      <c r="VSN1626" s="1"/>
      <c r="VSO1626" s="1"/>
      <c r="VSP1626" s="1"/>
      <c r="VSQ1626" s="1"/>
      <c r="VSR1626" s="1"/>
      <c r="VSS1626" s="1"/>
      <c r="VST1626" s="1"/>
      <c r="VSU1626" s="1"/>
      <c r="VSV1626" s="1"/>
      <c r="VSW1626" s="1"/>
      <c r="VSX1626" s="1"/>
      <c r="VSY1626" s="1"/>
      <c r="VSZ1626" s="1"/>
      <c r="VTA1626" s="1"/>
      <c r="VTB1626" s="1"/>
      <c r="VTC1626" s="1"/>
      <c r="VTD1626" s="1"/>
      <c r="VTE1626" s="1"/>
      <c r="VTF1626" s="1"/>
      <c r="VTG1626" s="1"/>
      <c r="VTH1626" s="1"/>
      <c r="VTI1626" s="1"/>
      <c r="VTJ1626" s="1"/>
      <c r="VTK1626" s="1"/>
      <c r="VTL1626" s="1"/>
      <c r="VTM1626" s="1"/>
      <c r="VTN1626" s="1"/>
      <c r="VTO1626" s="1"/>
      <c r="VTP1626" s="1"/>
      <c r="VTQ1626" s="1"/>
      <c r="VTR1626" s="1"/>
      <c r="VTS1626" s="1"/>
      <c r="VTT1626" s="1"/>
      <c r="VTU1626" s="1"/>
      <c r="VTV1626" s="1"/>
      <c r="VTW1626" s="1"/>
      <c r="VTX1626" s="1"/>
      <c r="VTY1626" s="1"/>
      <c r="VTZ1626" s="1"/>
      <c r="VUA1626" s="1"/>
      <c r="VUB1626" s="1"/>
      <c r="VUC1626" s="1"/>
      <c r="VUD1626" s="1"/>
      <c r="VUE1626" s="1"/>
      <c r="VUF1626" s="1"/>
      <c r="VUG1626" s="1"/>
      <c r="VUH1626" s="1"/>
      <c r="VUI1626" s="1"/>
      <c r="VUJ1626" s="1"/>
      <c r="VUK1626" s="1"/>
      <c r="VUL1626" s="1"/>
      <c r="VUM1626" s="1"/>
      <c r="VUN1626" s="1"/>
      <c r="VUO1626" s="1"/>
      <c r="VUP1626" s="1"/>
      <c r="VUQ1626" s="1"/>
      <c r="VUR1626" s="1"/>
      <c r="VUS1626" s="1"/>
      <c r="VUT1626" s="1"/>
      <c r="VUU1626" s="1"/>
      <c r="VUV1626" s="1"/>
      <c r="VUW1626" s="1"/>
      <c r="VUX1626" s="1"/>
      <c r="VUY1626" s="1"/>
      <c r="VUZ1626" s="1"/>
      <c r="VVA1626" s="1"/>
      <c r="VVB1626" s="1"/>
      <c r="VVC1626" s="1"/>
      <c r="VVD1626" s="1"/>
      <c r="VVE1626" s="1"/>
      <c r="VVF1626" s="1"/>
      <c r="VVG1626" s="1"/>
      <c r="VVH1626" s="1"/>
      <c r="VVI1626" s="1"/>
      <c r="VVJ1626" s="1"/>
      <c r="VVK1626" s="1"/>
      <c r="VVL1626" s="1"/>
      <c r="VVM1626" s="1"/>
      <c r="VVN1626" s="1"/>
      <c r="VVO1626" s="1"/>
      <c r="VVP1626" s="1"/>
      <c r="VVQ1626" s="1"/>
      <c r="VVR1626" s="1"/>
      <c r="VVS1626" s="1"/>
      <c r="VVT1626" s="1"/>
      <c r="VVU1626" s="1"/>
      <c r="VVV1626" s="1"/>
      <c r="VVW1626" s="1"/>
      <c r="VVX1626" s="1"/>
      <c r="VVY1626" s="1"/>
      <c r="VVZ1626" s="1"/>
      <c r="VWA1626" s="1"/>
      <c r="VWB1626" s="1"/>
      <c r="VWC1626" s="1"/>
      <c r="VWD1626" s="1"/>
      <c r="VWE1626" s="1"/>
      <c r="VWF1626" s="1"/>
      <c r="VWG1626" s="1"/>
      <c r="VWH1626" s="1"/>
      <c r="VWI1626" s="1"/>
      <c r="VWJ1626" s="1"/>
      <c r="VWK1626" s="1"/>
      <c r="VWL1626" s="1"/>
      <c r="VWM1626" s="1"/>
      <c r="VWN1626" s="1"/>
      <c r="VWO1626" s="1"/>
      <c r="VWP1626" s="1"/>
      <c r="VWQ1626" s="1"/>
      <c r="VWR1626" s="1"/>
      <c r="VWS1626" s="1"/>
      <c r="VWT1626" s="1"/>
      <c r="VWU1626" s="1"/>
      <c r="VWV1626" s="1"/>
      <c r="VWW1626" s="1"/>
      <c r="VWX1626" s="1"/>
      <c r="VWY1626" s="1"/>
      <c r="VWZ1626" s="1"/>
      <c r="VXA1626" s="1"/>
      <c r="VXB1626" s="1"/>
      <c r="VXC1626" s="1"/>
      <c r="VXD1626" s="1"/>
      <c r="VXE1626" s="1"/>
      <c r="VXF1626" s="1"/>
      <c r="VXG1626" s="1"/>
      <c r="VXH1626" s="1"/>
      <c r="VXI1626" s="1"/>
      <c r="VXJ1626" s="1"/>
      <c r="VXK1626" s="1"/>
      <c r="VXL1626" s="1"/>
      <c r="VXM1626" s="1"/>
      <c r="VXN1626" s="1"/>
      <c r="VXO1626" s="1"/>
      <c r="VXP1626" s="1"/>
      <c r="VXQ1626" s="1"/>
      <c r="VXR1626" s="1"/>
      <c r="VXS1626" s="1"/>
      <c r="VXT1626" s="1"/>
      <c r="VXU1626" s="1"/>
      <c r="VXV1626" s="1"/>
      <c r="VXW1626" s="1"/>
      <c r="VXX1626" s="1"/>
      <c r="VXY1626" s="1"/>
      <c r="VXZ1626" s="1"/>
      <c r="VYA1626" s="1"/>
      <c r="VYB1626" s="1"/>
      <c r="VYC1626" s="1"/>
      <c r="VYD1626" s="1"/>
      <c r="VYE1626" s="1"/>
      <c r="VYF1626" s="1"/>
      <c r="VYG1626" s="1"/>
      <c r="VYH1626" s="1"/>
      <c r="VYI1626" s="1"/>
      <c r="VYJ1626" s="1"/>
      <c r="VYK1626" s="1"/>
      <c r="VYL1626" s="1"/>
      <c r="VYM1626" s="1"/>
      <c r="VYN1626" s="1"/>
      <c r="VYO1626" s="1"/>
      <c r="VYP1626" s="1"/>
      <c r="VYQ1626" s="1"/>
      <c r="VYR1626" s="1"/>
      <c r="VYS1626" s="1"/>
      <c r="VYT1626" s="1"/>
      <c r="VYU1626" s="1"/>
      <c r="VYV1626" s="1"/>
      <c r="VYW1626" s="1"/>
      <c r="VYX1626" s="1"/>
      <c r="VYY1626" s="1"/>
      <c r="VYZ1626" s="1"/>
      <c r="VZA1626" s="1"/>
      <c r="VZB1626" s="1"/>
      <c r="VZC1626" s="1"/>
      <c r="VZD1626" s="1"/>
      <c r="VZE1626" s="1"/>
      <c r="VZF1626" s="1"/>
      <c r="VZG1626" s="1"/>
      <c r="VZH1626" s="1"/>
      <c r="VZI1626" s="1"/>
      <c r="VZJ1626" s="1"/>
      <c r="VZK1626" s="1"/>
      <c r="VZL1626" s="1"/>
      <c r="VZM1626" s="1"/>
      <c r="VZN1626" s="1"/>
      <c r="VZO1626" s="1"/>
      <c r="VZP1626" s="1"/>
      <c r="VZQ1626" s="1"/>
      <c r="VZR1626" s="1"/>
      <c r="VZS1626" s="1"/>
      <c r="VZT1626" s="1"/>
      <c r="VZU1626" s="1"/>
      <c r="VZV1626" s="1"/>
      <c r="VZW1626" s="1"/>
      <c r="VZX1626" s="1"/>
      <c r="VZY1626" s="1"/>
      <c r="VZZ1626" s="1"/>
      <c r="WAA1626" s="1"/>
      <c r="WAB1626" s="1"/>
      <c r="WAC1626" s="1"/>
      <c r="WAD1626" s="1"/>
      <c r="WAE1626" s="1"/>
      <c r="WAF1626" s="1"/>
      <c r="WAG1626" s="1"/>
      <c r="WAH1626" s="1"/>
      <c r="WAI1626" s="1"/>
      <c r="WAJ1626" s="1"/>
      <c r="WAK1626" s="1"/>
      <c r="WAL1626" s="1"/>
      <c r="WAM1626" s="1"/>
      <c r="WAN1626" s="1"/>
      <c r="WAO1626" s="1"/>
      <c r="WAP1626" s="1"/>
      <c r="WAQ1626" s="1"/>
      <c r="WAR1626" s="1"/>
      <c r="WAS1626" s="1"/>
      <c r="WAT1626" s="1"/>
      <c r="WAU1626" s="1"/>
      <c r="WAV1626" s="1"/>
      <c r="WAW1626" s="1"/>
      <c r="WAX1626" s="1"/>
      <c r="WAY1626" s="1"/>
      <c r="WAZ1626" s="1"/>
      <c r="WBA1626" s="1"/>
      <c r="WBB1626" s="1"/>
      <c r="WBC1626" s="1"/>
      <c r="WBD1626" s="1"/>
      <c r="WBE1626" s="1"/>
      <c r="WBF1626" s="1"/>
      <c r="WBG1626" s="1"/>
      <c r="WBH1626" s="1"/>
      <c r="WBI1626" s="1"/>
      <c r="WBJ1626" s="1"/>
      <c r="WBK1626" s="1"/>
      <c r="WBL1626" s="1"/>
      <c r="WBM1626" s="1"/>
      <c r="WBN1626" s="1"/>
      <c r="WBO1626" s="1"/>
      <c r="WBP1626" s="1"/>
      <c r="WBQ1626" s="1"/>
      <c r="WBR1626" s="1"/>
      <c r="WBS1626" s="1"/>
      <c r="WBT1626" s="1"/>
      <c r="WBU1626" s="1"/>
      <c r="WBV1626" s="1"/>
      <c r="WBW1626" s="1"/>
      <c r="WBX1626" s="1"/>
      <c r="WBY1626" s="1"/>
      <c r="WBZ1626" s="1"/>
      <c r="WCA1626" s="1"/>
      <c r="WCB1626" s="1"/>
      <c r="WCC1626" s="1"/>
      <c r="WCD1626" s="1"/>
      <c r="WCE1626" s="1"/>
      <c r="WCF1626" s="1"/>
      <c r="WCG1626" s="1"/>
      <c r="WCH1626" s="1"/>
      <c r="WCI1626" s="1"/>
      <c r="WCJ1626" s="1"/>
      <c r="WCK1626" s="1"/>
      <c r="WCL1626" s="1"/>
      <c r="WCM1626" s="1"/>
      <c r="WCN1626" s="1"/>
      <c r="WCO1626" s="1"/>
      <c r="WCP1626" s="1"/>
      <c r="WCQ1626" s="1"/>
      <c r="WCR1626" s="1"/>
      <c r="WCS1626" s="1"/>
      <c r="WCT1626" s="1"/>
      <c r="WCU1626" s="1"/>
      <c r="WCV1626" s="1"/>
      <c r="WCW1626" s="1"/>
      <c r="WCX1626" s="1"/>
      <c r="WCY1626" s="1"/>
      <c r="WCZ1626" s="1"/>
      <c r="WDA1626" s="1"/>
      <c r="WDB1626" s="1"/>
      <c r="WDC1626" s="1"/>
      <c r="WDD1626" s="1"/>
      <c r="WDE1626" s="1"/>
      <c r="WDF1626" s="1"/>
      <c r="WDG1626" s="1"/>
      <c r="WDH1626" s="1"/>
      <c r="WDI1626" s="1"/>
      <c r="WDJ1626" s="1"/>
      <c r="WDK1626" s="1"/>
      <c r="WDL1626" s="1"/>
      <c r="WDM1626" s="1"/>
      <c r="WDN1626" s="1"/>
      <c r="WDO1626" s="1"/>
      <c r="WDP1626" s="1"/>
      <c r="WDQ1626" s="1"/>
      <c r="WDR1626" s="1"/>
      <c r="WDS1626" s="1"/>
      <c r="WDT1626" s="1"/>
      <c r="WDU1626" s="1"/>
      <c r="WDV1626" s="1"/>
      <c r="WDW1626" s="1"/>
      <c r="WDX1626" s="1"/>
      <c r="WDY1626" s="1"/>
      <c r="WDZ1626" s="1"/>
      <c r="WEA1626" s="1"/>
      <c r="WEB1626" s="1"/>
      <c r="WEC1626" s="1"/>
      <c r="WED1626" s="1"/>
      <c r="WEE1626" s="1"/>
      <c r="WEF1626" s="1"/>
      <c r="WEG1626" s="1"/>
      <c r="WEH1626" s="1"/>
      <c r="WEI1626" s="1"/>
      <c r="WEJ1626" s="1"/>
      <c r="WEK1626" s="1"/>
      <c r="WEL1626" s="1"/>
      <c r="WEM1626" s="1"/>
      <c r="WEN1626" s="1"/>
      <c r="WEO1626" s="1"/>
      <c r="WEP1626" s="1"/>
      <c r="WEQ1626" s="1"/>
      <c r="WER1626" s="1"/>
      <c r="WES1626" s="1"/>
      <c r="WET1626" s="1"/>
      <c r="WEU1626" s="1"/>
      <c r="WEV1626" s="1"/>
      <c r="WEW1626" s="1"/>
      <c r="WEX1626" s="1"/>
      <c r="WEY1626" s="1"/>
      <c r="WEZ1626" s="1"/>
      <c r="WFA1626" s="1"/>
      <c r="WFB1626" s="1"/>
      <c r="WFC1626" s="1"/>
      <c r="WFD1626" s="1"/>
      <c r="WFE1626" s="1"/>
      <c r="WFF1626" s="1"/>
      <c r="WFG1626" s="1"/>
      <c r="WFH1626" s="1"/>
      <c r="WFI1626" s="1"/>
      <c r="WFJ1626" s="1"/>
      <c r="WFK1626" s="1"/>
      <c r="WFL1626" s="1"/>
      <c r="WFM1626" s="1"/>
      <c r="WFN1626" s="1"/>
      <c r="WFO1626" s="1"/>
      <c r="WFP1626" s="1"/>
      <c r="WFQ1626" s="1"/>
      <c r="WFR1626" s="1"/>
      <c r="WFS1626" s="1"/>
      <c r="WFT1626" s="1"/>
      <c r="WFU1626" s="1"/>
      <c r="WFV1626" s="1"/>
      <c r="WFW1626" s="1"/>
      <c r="WFX1626" s="1"/>
      <c r="WFY1626" s="1"/>
      <c r="WFZ1626" s="1"/>
      <c r="WGA1626" s="1"/>
      <c r="WGB1626" s="1"/>
      <c r="WGC1626" s="1"/>
      <c r="WGD1626" s="1"/>
      <c r="WGE1626" s="1"/>
      <c r="WGF1626" s="1"/>
      <c r="WGG1626" s="1"/>
      <c r="WGH1626" s="1"/>
      <c r="WGI1626" s="1"/>
      <c r="WGJ1626" s="1"/>
      <c r="WGK1626" s="1"/>
      <c r="WGL1626" s="1"/>
      <c r="WGM1626" s="1"/>
      <c r="WGN1626" s="1"/>
      <c r="WGO1626" s="1"/>
      <c r="WGP1626" s="1"/>
      <c r="WGQ1626" s="1"/>
      <c r="WGR1626" s="1"/>
      <c r="WGS1626" s="1"/>
      <c r="WGT1626" s="1"/>
      <c r="WGU1626" s="1"/>
      <c r="WGV1626" s="1"/>
      <c r="WGW1626" s="1"/>
      <c r="WGX1626" s="1"/>
      <c r="WGY1626" s="1"/>
      <c r="WGZ1626" s="1"/>
      <c r="WHA1626" s="1"/>
      <c r="WHB1626" s="1"/>
      <c r="WHC1626" s="1"/>
      <c r="WHD1626" s="1"/>
      <c r="WHE1626" s="1"/>
      <c r="WHF1626" s="1"/>
      <c r="WHG1626" s="1"/>
      <c r="WHH1626" s="1"/>
      <c r="WHI1626" s="1"/>
      <c r="WHJ1626" s="1"/>
      <c r="WHK1626" s="1"/>
      <c r="WHL1626" s="1"/>
      <c r="WHM1626" s="1"/>
      <c r="WHN1626" s="1"/>
      <c r="WHO1626" s="1"/>
      <c r="WHP1626" s="1"/>
      <c r="WHQ1626" s="1"/>
      <c r="WHR1626" s="1"/>
      <c r="WHS1626" s="1"/>
      <c r="WHT1626" s="1"/>
      <c r="WHU1626" s="1"/>
      <c r="WHV1626" s="1"/>
      <c r="WHW1626" s="1"/>
      <c r="WHX1626" s="1"/>
      <c r="WHY1626" s="1"/>
      <c r="WHZ1626" s="1"/>
      <c r="WIA1626" s="1"/>
      <c r="WIB1626" s="1"/>
      <c r="WIC1626" s="1"/>
      <c r="WID1626" s="1"/>
      <c r="WIE1626" s="1"/>
      <c r="WIF1626" s="1"/>
      <c r="WIG1626" s="1"/>
      <c r="WIH1626" s="1"/>
      <c r="WII1626" s="1"/>
      <c r="WIJ1626" s="1"/>
      <c r="WIK1626" s="1"/>
      <c r="WIL1626" s="1"/>
      <c r="WIM1626" s="1"/>
      <c r="WIN1626" s="1"/>
      <c r="WIO1626" s="1"/>
      <c r="WIP1626" s="1"/>
      <c r="WIQ1626" s="1"/>
      <c r="WIR1626" s="1"/>
      <c r="WIS1626" s="1"/>
      <c r="WIT1626" s="1"/>
      <c r="WIU1626" s="1"/>
      <c r="WIV1626" s="1"/>
      <c r="WIW1626" s="1"/>
      <c r="WIX1626" s="1"/>
      <c r="WIY1626" s="1"/>
      <c r="WIZ1626" s="1"/>
      <c r="WJA1626" s="1"/>
      <c r="WJB1626" s="1"/>
      <c r="WJC1626" s="1"/>
      <c r="WJD1626" s="1"/>
      <c r="WJE1626" s="1"/>
      <c r="WJF1626" s="1"/>
      <c r="WJG1626" s="1"/>
      <c r="WJH1626" s="1"/>
      <c r="WJI1626" s="1"/>
      <c r="WJJ1626" s="1"/>
      <c r="WJK1626" s="1"/>
      <c r="WJL1626" s="1"/>
      <c r="WJM1626" s="1"/>
      <c r="WJN1626" s="1"/>
      <c r="WJO1626" s="1"/>
      <c r="WJP1626" s="1"/>
      <c r="WJQ1626" s="1"/>
      <c r="WJR1626" s="1"/>
      <c r="WJS1626" s="1"/>
      <c r="WJT1626" s="1"/>
      <c r="WJU1626" s="1"/>
      <c r="WJV1626" s="1"/>
      <c r="WJW1626" s="1"/>
      <c r="WJX1626" s="1"/>
      <c r="WJY1626" s="1"/>
      <c r="WJZ1626" s="1"/>
      <c r="WKA1626" s="1"/>
      <c r="WKB1626" s="1"/>
      <c r="WKC1626" s="1"/>
      <c r="WKD1626" s="1"/>
      <c r="WKE1626" s="1"/>
      <c r="WKF1626" s="1"/>
      <c r="WKG1626" s="1"/>
      <c r="WKH1626" s="1"/>
      <c r="WKI1626" s="1"/>
      <c r="WKJ1626" s="1"/>
      <c r="WKK1626" s="1"/>
      <c r="WKL1626" s="1"/>
      <c r="WKM1626" s="1"/>
      <c r="WKN1626" s="1"/>
      <c r="WKO1626" s="1"/>
      <c r="WKP1626" s="1"/>
      <c r="WKQ1626" s="1"/>
      <c r="WKR1626" s="1"/>
      <c r="WKS1626" s="1"/>
      <c r="WKT1626" s="1"/>
      <c r="WKU1626" s="1"/>
      <c r="WKV1626" s="1"/>
      <c r="WKW1626" s="1"/>
      <c r="WKX1626" s="1"/>
      <c r="WKY1626" s="1"/>
      <c r="WKZ1626" s="1"/>
      <c r="WLA1626" s="1"/>
      <c r="WLB1626" s="1"/>
      <c r="WLC1626" s="1"/>
      <c r="WLD1626" s="1"/>
      <c r="WLE1626" s="1"/>
      <c r="WLF1626" s="1"/>
      <c r="WLG1626" s="1"/>
      <c r="WLH1626" s="1"/>
      <c r="WLI1626" s="1"/>
      <c r="WLJ1626" s="1"/>
      <c r="WLK1626" s="1"/>
      <c r="WLL1626" s="1"/>
      <c r="WLM1626" s="1"/>
      <c r="WLN1626" s="1"/>
      <c r="WLO1626" s="1"/>
      <c r="WLP1626" s="1"/>
      <c r="WLQ1626" s="1"/>
      <c r="WLR1626" s="1"/>
      <c r="WLS1626" s="1"/>
      <c r="WLT1626" s="1"/>
      <c r="WLU1626" s="1"/>
      <c r="WLV1626" s="1"/>
      <c r="WLW1626" s="1"/>
      <c r="WLX1626" s="1"/>
      <c r="WLY1626" s="1"/>
      <c r="WLZ1626" s="1"/>
      <c r="WMA1626" s="1"/>
      <c r="WMB1626" s="1"/>
      <c r="WMC1626" s="1"/>
      <c r="WMD1626" s="1"/>
      <c r="WME1626" s="1"/>
      <c r="WMF1626" s="1"/>
      <c r="WMG1626" s="1"/>
      <c r="WMH1626" s="1"/>
      <c r="WMI1626" s="1"/>
      <c r="WMJ1626" s="1"/>
      <c r="WMK1626" s="1"/>
      <c r="WML1626" s="1"/>
      <c r="WMM1626" s="1"/>
      <c r="WMN1626" s="1"/>
      <c r="WMO1626" s="1"/>
      <c r="WMP1626" s="1"/>
      <c r="WMQ1626" s="1"/>
      <c r="WMR1626" s="1"/>
      <c r="WMS1626" s="1"/>
      <c r="WMT1626" s="1"/>
      <c r="WMU1626" s="1"/>
      <c r="WMV1626" s="1"/>
      <c r="WMW1626" s="1"/>
      <c r="WMX1626" s="1"/>
      <c r="WMY1626" s="1"/>
      <c r="WMZ1626" s="1"/>
      <c r="WNA1626" s="1"/>
      <c r="WNB1626" s="1"/>
      <c r="WNC1626" s="1"/>
      <c r="WND1626" s="1"/>
      <c r="WNE1626" s="1"/>
      <c r="WNF1626" s="1"/>
      <c r="WNG1626" s="1"/>
      <c r="WNH1626" s="1"/>
      <c r="WNI1626" s="1"/>
      <c r="WNJ1626" s="1"/>
      <c r="WNK1626" s="1"/>
      <c r="WNL1626" s="1"/>
      <c r="WNM1626" s="1"/>
      <c r="WNN1626" s="1"/>
      <c r="WNO1626" s="1"/>
      <c r="WNP1626" s="1"/>
      <c r="WNQ1626" s="1"/>
      <c r="WNR1626" s="1"/>
      <c r="WNS1626" s="1"/>
      <c r="WNT1626" s="1"/>
      <c r="WNU1626" s="1"/>
      <c r="WNV1626" s="1"/>
      <c r="WNW1626" s="1"/>
      <c r="WNX1626" s="1"/>
      <c r="WNY1626" s="1"/>
      <c r="WNZ1626" s="1"/>
      <c r="WOA1626" s="1"/>
      <c r="WOB1626" s="1"/>
      <c r="WOC1626" s="1"/>
      <c r="WOD1626" s="1"/>
      <c r="WOE1626" s="1"/>
      <c r="WOF1626" s="1"/>
      <c r="WOG1626" s="1"/>
      <c r="WOH1626" s="1"/>
      <c r="WOI1626" s="1"/>
      <c r="WOJ1626" s="1"/>
      <c r="WOK1626" s="1"/>
      <c r="WOL1626" s="1"/>
      <c r="WOM1626" s="1"/>
      <c r="WON1626" s="1"/>
      <c r="WOO1626" s="1"/>
      <c r="WOP1626" s="1"/>
      <c r="WOQ1626" s="1"/>
      <c r="WOR1626" s="1"/>
      <c r="WOS1626" s="1"/>
      <c r="WOT1626" s="1"/>
      <c r="WOU1626" s="1"/>
      <c r="WOV1626" s="1"/>
      <c r="WOW1626" s="1"/>
      <c r="WOX1626" s="1"/>
      <c r="WOY1626" s="1"/>
      <c r="WOZ1626" s="1"/>
      <c r="WPA1626" s="1"/>
      <c r="WPB1626" s="1"/>
      <c r="WPC1626" s="1"/>
      <c r="WPD1626" s="1"/>
      <c r="WPE1626" s="1"/>
      <c r="WPF1626" s="1"/>
      <c r="WPG1626" s="1"/>
      <c r="WPH1626" s="1"/>
      <c r="WPI1626" s="1"/>
      <c r="WPJ1626" s="1"/>
      <c r="WPK1626" s="1"/>
      <c r="WPL1626" s="1"/>
      <c r="WPM1626" s="1"/>
      <c r="WPN1626" s="1"/>
      <c r="WPO1626" s="1"/>
      <c r="WPP1626" s="1"/>
      <c r="WPQ1626" s="1"/>
      <c r="WPR1626" s="1"/>
      <c r="WPS1626" s="1"/>
      <c r="WPT1626" s="1"/>
      <c r="WPU1626" s="1"/>
      <c r="WPV1626" s="1"/>
      <c r="WPW1626" s="1"/>
      <c r="WPX1626" s="1"/>
      <c r="WPY1626" s="1"/>
      <c r="WPZ1626" s="1"/>
      <c r="WQA1626" s="1"/>
      <c r="WQB1626" s="1"/>
      <c r="WQC1626" s="1"/>
      <c r="WQD1626" s="1"/>
      <c r="WQE1626" s="1"/>
      <c r="WQF1626" s="1"/>
      <c r="WQG1626" s="1"/>
      <c r="WQH1626" s="1"/>
      <c r="WQI1626" s="1"/>
      <c r="WQJ1626" s="1"/>
      <c r="WQK1626" s="1"/>
      <c r="WQL1626" s="1"/>
      <c r="WQM1626" s="1"/>
      <c r="WQN1626" s="1"/>
      <c r="WQO1626" s="1"/>
      <c r="WQP1626" s="1"/>
      <c r="WQQ1626" s="1"/>
      <c r="WQR1626" s="1"/>
      <c r="WQS1626" s="1"/>
      <c r="WQT1626" s="1"/>
      <c r="WQU1626" s="1"/>
      <c r="WQV1626" s="1"/>
      <c r="WQW1626" s="1"/>
      <c r="WQX1626" s="1"/>
      <c r="WQY1626" s="1"/>
      <c r="WQZ1626" s="1"/>
      <c r="WRA1626" s="1"/>
      <c r="WRB1626" s="1"/>
      <c r="WRC1626" s="1"/>
      <c r="WRD1626" s="1"/>
      <c r="WRE1626" s="1"/>
      <c r="WRF1626" s="1"/>
      <c r="WRG1626" s="1"/>
      <c r="WRH1626" s="1"/>
      <c r="WRI1626" s="1"/>
      <c r="WRJ1626" s="1"/>
      <c r="WRK1626" s="1"/>
      <c r="WRL1626" s="1"/>
      <c r="WRM1626" s="1"/>
      <c r="WRN1626" s="1"/>
      <c r="WRO1626" s="1"/>
      <c r="WRP1626" s="1"/>
      <c r="WRQ1626" s="1"/>
      <c r="WRR1626" s="1"/>
      <c r="WRS1626" s="1"/>
      <c r="WRT1626" s="1"/>
      <c r="WRU1626" s="1"/>
      <c r="WRV1626" s="1"/>
      <c r="WRW1626" s="1"/>
      <c r="WRX1626" s="1"/>
      <c r="WRY1626" s="1"/>
      <c r="WRZ1626" s="1"/>
      <c r="WSA1626" s="1"/>
      <c r="WSB1626" s="1"/>
      <c r="WSC1626" s="1"/>
      <c r="WSD1626" s="1"/>
      <c r="WSE1626" s="1"/>
      <c r="WSF1626" s="1"/>
      <c r="WSG1626" s="1"/>
      <c r="WSH1626" s="1"/>
      <c r="WSI1626" s="1"/>
      <c r="WSJ1626" s="1"/>
      <c r="WSK1626" s="1"/>
      <c r="WSL1626" s="1"/>
      <c r="WSM1626" s="1"/>
      <c r="WSN1626" s="1"/>
      <c r="WSO1626" s="1"/>
      <c r="WSP1626" s="1"/>
      <c r="WSQ1626" s="1"/>
      <c r="WSR1626" s="1"/>
      <c r="WSS1626" s="1"/>
      <c r="WST1626" s="1"/>
      <c r="WSU1626" s="1"/>
      <c r="WSV1626" s="1"/>
      <c r="WSW1626" s="1"/>
      <c r="WSX1626" s="1"/>
      <c r="WSY1626" s="1"/>
      <c r="WSZ1626" s="1"/>
      <c r="WTA1626" s="1"/>
      <c r="WTB1626" s="1"/>
      <c r="WTC1626" s="1"/>
      <c r="WTD1626" s="1"/>
      <c r="WTE1626" s="1"/>
      <c r="WTF1626" s="1"/>
      <c r="WTG1626" s="1"/>
      <c r="WTH1626" s="1"/>
      <c r="WTI1626" s="1"/>
      <c r="WTJ1626" s="1"/>
      <c r="WTK1626" s="1"/>
      <c r="WTL1626" s="1"/>
      <c r="WTM1626" s="1"/>
      <c r="WTN1626" s="1"/>
      <c r="WTO1626" s="1"/>
      <c r="WTP1626" s="1"/>
      <c r="WTQ1626" s="1"/>
      <c r="WTR1626" s="1"/>
      <c r="WTS1626" s="1"/>
      <c r="WTT1626" s="1"/>
      <c r="WTU1626" s="1"/>
      <c r="WTV1626" s="1"/>
      <c r="WTW1626" s="1"/>
      <c r="WTX1626" s="1"/>
      <c r="WTY1626" s="1"/>
      <c r="WTZ1626" s="1"/>
      <c r="WUA1626" s="1"/>
      <c r="WUB1626" s="1"/>
      <c r="WUC1626" s="1"/>
      <c r="WUD1626" s="1"/>
      <c r="WUE1626" s="1"/>
      <c r="WUF1626" s="1"/>
      <c r="WUG1626" s="1"/>
      <c r="WUH1626" s="1"/>
      <c r="WUI1626" s="1"/>
      <c r="WUJ1626" s="1"/>
      <c r="WUK1626" s="1"/>
      <c r="WUL1626" s="1"/>
      <c r="WUM1626" s="1"/>
      <c r="WUN1626" s="1"/>
      <c r="WUO1626" s="1"/>
      <c r="WUP1626" s="1"/>
      <c r="WUQ1626" s="1"/>
      <c r="WUR1626" s="1"/>
      <c r="WUS1626" s="1"/>
      <c r="WUT1626" s="1"/>
      <c r="WUU1626" s="1"/>
      <c r="WUV1626" s="1"/>
      <c r="WUW1626" s="1"/>
      <c r="WUX1626" s="1"/>
      <c r="WUY1626" s="1"/>
      <c r="WUZ1626" s="1"/>
      <c r="WVA1626" s="1"/>
      <c r="WVB1626" s="1"/>
      <c r="WVC1626" s="1"/>
      <c r="WVD1626" s="1"/>
      <c r="WVE1626" s="1"/>
      <c r="WVF1626" s="1"/>
      <c r="WVG1626" s="1"/>
      <c r="WVH1626" s="1"/>
      <c r="WVI1626" s="1"/>
      <c r="WVJ1626" s="1"/>
      <c r="WVK1626" s="1"/>
      <c r="WVL1626" s="1"/>
      <c r="WVM1626" s="1"/>
      <c r="WVN1626" s="1"/>
      <c r="WVO1626" s="1"/>
      <c r="WVP1626" s="1"/>
      <c r="WVQ1626" s="1"/>
      <c r="WVR1626" s="1"/>
      <c r="WVS1626" s="1"/>
      <c r="WVT1626" s="1"/>
      <c r="WVU1626" s="1"/>
      <c r="WVV1626" s="1"/>
      <c r="WVW1626" s="1"/>
      <c r="WVX1626" s="1"/>
      <c r="WVY1626" s="1"/>
      <c r="WVZ1626" s="1"/>
      <c r="WWA1626" s="1"/>
      <c r="WWB1626" s="1"/>
      <c r="WWC1626" s="1"/>
      <c r="WWD1626" s="1"/>
      <c r="WWE1626" s="1"/>
      <c r="WWF1626" s="1"/>
      <c r="WWG1626" s="1"/>
      <c r="WWH1626" s="1"/>
      <c r="WWI1626" s="1"/>
      <c r="WWJ1626" s="1"/>
      <c r="WWK1626" s="1"/>
      <c r="WWL1626" s="1"/>
      <c r="WWM1626" s="1"/>
      <c r="WWN1626" s="1"/>
      <c r="WWO1626" s="1"/>
      <c r="WWP1626" s="1"/>
      <c r="WWQ1626" s="1"/>
      <c r="WWR1626" s="1"/>
      <c r="WWS1626" s="1"/>
      <c r="WWT1626" s="1"/>
      <c r="WWU1626" s="1"/>
      <c r="WWV1626" s="1"/>
      <c r="WWW1626" s="1"/>
      <c r="WWX1626" s="1"/>
      <c r="WWY1626" s="1"/>
      <c r="WWZ1626" s="1"/>
      <c r="WXA1626" s="1"/>
      <c r="WXB1626" s="1"/>
      <c r="WXC1626" s="1"/>
      <c r="WXD1626" s="1"/>
      <c r="WXE1626" s="1"/>
      <c r="WXF1626" s="1"/>
      <c r="WXG1626" s="1"/>
      <c r="WXH1626" s="1"/>
      <c r="WXI1626" s="1"/>
      <c r="WXJ1626" s="1"/>
      <c r="WXK1626" s="1"/>
      <c r="WXL1626" s="1"/>
      <c r="WXM1626" s="1"/>
      <c r="WXN1626" s="1"/>
      <c r="WXO1626" s="1"/>
      <c r="WXP1626" s="1"/>
      <c r="WXQ1626" s="1"/>
      <c r="WXR1626" s="1"/>
      <c r="WXS1626" s="1"/>
      <c r="WXT1626" s="1"/>
      <c r="WXU1626" s="1"/>
      <c r="WXV1626" s="1"/>
      <c r="WXW1626" s="1"/>
      <c r="WXX1626" s="1"/>
      <c r="WXY1626" s="1"/>
      <c r="WXZ1626" s="1"/>
      <c r="WYA1626" s="1"/>
      <c r="WYB1626" s="1"/>
      <c r="WYC1626" s="1"/>
      <c r="WYD1626" s="1"/>
      <c r="WYE1626" s="1"/>
      <c r="WYF1626" s="1"/>
      <c r="WYG1626" s="1"/>
      <c r="WYH1626" s="1"/>
      <c r="WYI1626" s="1"/>
      <c r="WYJ1626" s="1"/>
      <c r="WYK1626" s="1"/>
      <c r="WYL1626" s="1"/>
      <c r="WYM1626" s="1"/>
      <c r="WYN1626" s="1"/>
      <c r="WYO1626" s="1"/>
      <c r="WYP1626" s="1"/>
      <c r="WYQ1626" s="1"/>
      <c r="WYR1626" s="1"/>
      <c r="WYS1626" s="1"/>
      <c r="WYT1626" s="1"/>
      <c r="WYU1626" s="1"/>
      <c r="WYV1626" s="1"/>
      <c r="WYW1626" s="1"/>
      <c r="WYX1626" s="1"/>
      <c r="WYY1626" s="1"/>
      <c r="WYZ1626" s="1"/>
      <c r="WZA1626" s="1"/>
      <c r="WZB1626" s="1"/>
      <c r="WZC1626" s="1"/>
      <c r="WZD1626" s="1"/>
      <c r="WZE1626" s="1"/>
      <c r="WZF1626" s="1"/>
      <c r="WZG1626" s="1"/>
      <c r="WZH1626" s="1"/>
      <c r="WZI1626" s="1"/>
      <c r="WZJ1626" s="1"/>
      <c r="WZK1626" s="1"/>
      <c r="WZL1626" s="1"/>
      <c r="WZM1626" s="1"/>
      <c r="WZN1626" s="1"/>
      <c r="WZO1626" s="1"/>
      <c r="WZP1626" s="1"/>
      <c r="WZQ1626" s="1"/>
      <c r="WZR1626" s="1"/>
      <c r="WZS1626" s="1"/>
      <c r="WZT1626" s="1"/>
      <c r="WZU1626" s="1"/>
      <c r="WZV1626" s="1"/>
      <c r="WZW1626" s="1"/>
      <c r="WZX1626" s="1"/>
      <c r="WZY1626" s="1"/>
      <c r="WZZ1626" s="1"/>
      <c r="XAA1626" s="1"/>
      <c r="XAB1626" s="1"/>
      <c r="XAC1626" s="1"/>
      <c r="XAD1626" s="1"/>
      <c r="XAE1626" s="1"/>
      <c r="XAF1626" s="1"/>
      <c r="XAG1626" s="1"/>
      <c r="XAH1626" s="1"/>
      <c r="XAI1626" s="1"/>
      <c r="XAJ1626" s="1"/>
      <c r="XAK1626" s="1"/>
      <c r="XAL1626" s="1"/>
      <c r="XAM1626" s="1"/>
      <c r="XAN1626" s="1"/>
      <c r="XAO1626" s="1"/>
      <c r="XAP1626" s="1"/>
      <c r="XAQ1626" s="1"/>
      <c r="XAR1626" s="1"/>
      <c r="XAS1626" s="1"/>
      <c r="XAT1626" s="1"/>
      <c r="XAU1626" s="1"/>
      <c r="XAV1626" s="1"/>
      <c r="XAW1626" s="1"/>
      <c r="XAX1626" s="1"/>
      <c r="XAY1626" s="1"/>
      <c r="XAZ1626" s="1"/>
      <c r="XBA1626" s="1"/>
      <c r="XBB1626" s="1"/>
      <c r="XBC1626" s="1"/>
      <c r="XBD1626" s="1"/>
      <c r="XBE1626" s="1"/>
      <c r="XBF1626" s="1"/>
      <c r="XBG1626" s="1"/>
      <c r="XBH1626" s="1"/>
      <c r="XBI1626" s="1"/>
      <c r="XBJ1626" s="1"/>
      <c r="XBK1626" s="1"/>
      <c r="XBL1626" s="1"/>
      <c r="XBM1626" s="1"/>
      <c r="XBN1626" s="1"/>
      <c r="XBO1626" s="1"/>
      <c r="XBP1626" s="1"/>
      <c r="XBQ1626" s="1"/>
      <c r="XBR1626" s="1"/>
      <c r="XBS1626" s="1"/>
      <c r="XBT1626" s="1"/>
      <c r="XBU1626" s="1"/>
      <c r="XBV1626" s="1"/>
      <c r="XBW1626" s="1"/>
      <c r="XBX1626" s="1"/>
      <c r="XBY1626" s="1"/>
      <c r="XBZ1626" s="1"/>
      <c r="XCA1626" s="1"/>
      <c r="XCB1626" s="1"/>
      <c r="XCC1626" s="1"/>
      <c r="XCD1626" s="1"/>
      <c r="XCE1626" s="1"/>
      <c r="XCF1626" s="1"/>
      <c r="XCG1626" s="1"/>
      <c r="XCH1626" s="1"/>
      <c r="XCI1626" s="1"/>
      <c r="XCJ1626" s="1"/>
      <c r="XCK1626" s="1"/>
      <c r="XCL1626" s="1"/>
      <c r="XCM1626" s="1"/>
      <c r="XCN1626" s="1"/>
      <c r="XCO1626" s="1"/>
      <c r="XCP1626" s="1"/>
      <c r="XCQ1626" s="1"/>
      <c r="XCR1626" s="1"/>
      <c r="XCS1626" s="1"/>
      <c r="XCT1626" s="1"/>
      <c r="XCU1626" s="1"/>
      <c r="XCV1626" s="1"/>
      <c r="XCW1626" s="1"/>
      <c r="XCX1626" s="1"/>
      <c r="XCY1626" s="1"/>
      <c r="XCZ1626" s="1"/>
      <c r="XDA1626" s="1"/>
      <c r="XDB1626" s="1"/>
      <c r="XDC1626" s="1"/>
      <c r="XDD1626" s="1"/>
      <c r="XDE1626" s="1"/>
      <c r="XDF1626" s="1"/>
      <c r="XDG1626" s="1"/>
      <c r="XDH1626" s="1"/>
      <c r="XDI1626" s="1"/>
      <c r="XDJ1626" s="1"/>
      <c r="XDK1626" s="1"/>
      <c r="XDL1626" s="1"/>
      <c r="XDM1626" s="1"/>
      <c r="XDN1626" s="1"/>
      <c r="XDO1626" s="1"/>
      <c r="XDP1626" s="1"/>
      <c r="XDQ1626" s="1"/>
      <c r="XDR1626" s="1"/>
      <c r="XDS1626" s="1"/>
    </row>
    <row r="1627" spans="1:16347" s="26" customFormat="1" x14ac:dyDescent="0.25">
      <c r="A1627" s="1" t="s">
        <v>1014</v>
      </c>
      <c r="B1627" s="1" t="s">
        <v>1457</v>
      </c>
      <c r="C1627" s="1">
        <v>615</v>
      </c>
      <c r="D1627" s="1">
        <v>0.5</v>
      </c>
      <c r="E1627" s="3">
        <f t="shared" si="104"/>
        <v>307.5</v>
      </c>
      <c r="F1627" s="1">
        <f t="shared" si="105"/>
        <v>369</v>
      </c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  <c r="BF1627" s="1"/>
      <c r="BG1627" s="1"/>
      <c r="BH1627" s="1"/>
      <c r="BI1627" s="1"/>
      <c r="BJ1627" s="1"/>
      <c r="BK1627" s="1"/>
      <c r="BL1627" s="1"/>
      <c r="BM1627" s="1"/>
      <c r="BN1627" s="1"/>
      <c r="BO1627" s="1"/>
      <c r="BP1627" s="1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  <c r="CC1627" s="1"/>
      <c r="CD1627" s="1"/>
      <c r="CE1627" s="1"/>
      <c r="CF1627" s="1"/>
      <c r="CG1627" s="1"/>
      <c r="CH1627" s="1"/>
      <c r="CI1627" s="1"/>
      <c r="CJ1627" s="1"/>
      <c r="CK1627" s="1"/>
      <c r="CL1627" s="1"/>
      <c r="CM1627" s="1"/>
      <c r="CN1627" s="1"/>
      <c r="CO1627" s="1"/>
      <c r="CP1627" s="1"/>
      <c r="CQ1627" s="1"/>
      <c r="CR1627" s="1"/>
      <c r="CS1627" s="1"/>
      <c r="CT1627" s="1"/>
      <c r="CU1627" s="1"/>
      <c r="CV1627" s="1"/>
      <c r="CW1627" s="1"/>
      <c r="CX1627" s="1"/>
      <c r="CY1627" s="1"/>
      <c r="CZ1627" s="1"/>
      <c r="DA1627" s="1"/>
      <c r="DB1627" s="1"/>
      <c r="DC1627" s="1"/>
      <c r="DD1627" s="1"/>
      <c r="DE1627" s="1"/>
      <c r="DF1627" s="1"/>
      <c r="DG1627" s="1"/>
      <c r="DH1627" s="1"/>
      <c r="DI1627" s="1"/>
      <c r="DJ1627" s="1"/>
      <c r="DK1627" s="1"/>
      <c r="DL1627" s="1"/>
      <c r="DM1627" s="1"/>
      <c r="DN1627" s="1"/>
      <c r="DO1627" s="1"/>
      <c r="DP1627" s="1"/>
      <c r="DQ1627" s="1"/>
      <c r="DR1627" s="1"/>
      <c r="DS1627" s="1"/>
      <c r="DT1627" s="1"/>
      <c r="DU1627" s="1"/>
      <c r="DV1627" s="1"/>
      <c r="DW1627" s="1"/>
      <c r="DX1627" s="1"/>
      <c r="DY1627" s="1"/>
      <c r="DZ1627" s="1"/>
      <c r="EA1627" s="1"/>
      <c r="EB1627" s="1"/>
      <c r="EC1627" s="1"/>
      <c r="ED1627" s="1"/>
      <c r="EE1627" s="1"/>
      <c r="EF1627" s="1"/>
      <c r="EG1627" s="1"/>
      <c r="EH1627" s="1"/>
      <c r="EI1627" s="1"/>
      <c r="EJ1627" s="1"/>
      <c r="EK1627" s="1"/>
      <c r="EL1627" s="1"/>
      <c r="EM1627" s="1"/>
      <c r="EN1627" s="1"/>
      <c r="EO1627" s="1"/>
      <c r="EP1627" s="1"/>
      <c r="EQ1627" s="1"/>
      <c r="ER1627" s="1"/>
      <c r="ES1627" s="1"/>
      <c r="ET1627" s="1"/>
      <c r="EU1627" s="1"/>
      <c r="EV1627" s="1"/>
      <c r="EW1627" s="1"/>
      <c r="EX1627" s="1"/>
      <c r="EY1627" s="1"/>
      <c r="EZ1627" s="1"/>
      <c r="FA1627" s="1"/>
      <c r="FB1627" s="1"/>
      <c r="FC1627" s="1"/>
      <c r="FD1627" s="1"/>
      <c r="FE1627" s="1"/>
      <c r="FF1627" s="1"/>
      <c r="FG1627" s="1"/>
      <c r="FH1627" s="1"/>
      <c r="FI1627" s="1"/>
      <c r="FJ1627" s="1"/>
      <c r="FK1627" s="1"/>
      <c r="FL1627" s="1"/>
      <c r="FM1627" s="1"/>
      <c r="FN1627" s="1"/>
      <c r="FO1627" s="1"/>
      <c r="FP1627" s="1"/>
      <c r="FQ1627" s="1"/>
      <c r="FR1627" s="1"/>
      <c r="FS1627" s="1"/>
      <c r="FT1627" s="1"/>
      <c r="FU1627" s="1"/>
      <c r="FV1627" s="1"/>
      <c r="FW1627" s="1"/>
      <c r="FX1627" s="1"/>
      <c r="FY1627" s="1"/>
      <c r="FZ1627" s="1"/>
      <c r="GA1627" s="1"/>
      <c r="GB1627" s="1"/>
      <c r="GC1627" s="1"/>
      <c r="GD1627" s="1"/>
      <c r="GE1627" s="1"/>
      <c r="GF1627" s="1"/>
      <c r="GG1627" s="1"/>
      <c r="GH1627" s="1"/>
      <c r="GI1627" s="1"/>
      <c r="GJ1627" s="1"/>
      <c r="GK1627" s="1"/>
      <c r="GL1627" s="1"/>
      <c r="GM1627" s="1"/>
      <c r="GN1627" s="1"/>
      <c r="GO1627" s="1"/>
      <c r="GP1627" s="1"/>
      <c r="GQ1627" s="1"/>
      <c r="GR1627" s="1"/>
      <c r="GS1627" s="1"/>
      <c r="GT1627" s="1"/>
      <c r="GU1627" s="1"/>
      <c r="GV1627" s="1"/>
      <c r="GW1627" s="1"/>
      <c r="GX1627" s="1"/>
      <c r="GY1627" s="1"/>
      <c r="GZ1627" s="1"/>
      <c r="HA1627" s="1"/>
      <c r="HB1627" s="1"/>
      <c r="HC1627" s="1"/>
      <c r="HD1627" s="1"/>
      <c r="HE1627" s="1"/>
      <c r="HF1627" s="1"/>
      <c r="HG1627" s="1"/>
      <c r="HH1627" s="1"/>
      <c r="HI1627" s="1"/>
      <c r="HJ1627" s="1"/>
      <c r="HK1627" s="1"/>
      <c r="HL1627" s="1"/>
      <c r="HM1627" s="1"/>
      <c r="HN1627" s="1"/>
      <c r="HO1627" s="1"/>
      <c r="HP1627" s="1"/>
      <c r="HQ1627" s="1"/>
      <c r="HR1627" s="1"/>
      <c r="HS1627" s="1"/>
      <c r="HT1627" s="1"/>
      <c r="HU1627" s="1"/>
      <c r="HV1627" s="1"/>
      <c r="HW1627" s="1"/>
      <c r="HX1627" s="1"/>
      <c r="HY1627" s="1"/>
      <c r="HZ1627" s="1"/>
      <c r="IA1627" s="1"/>
      <c r="IB1627" s="1"/>
      <c r="IC1627" s="1"/>
      <c r="ID1627" s="1"/>
      <c r="IE1627" s="1"/>
      <c r="IF1627" s="1"/>
      <c r="IG1627" s="1"/>
      <c r="IH1627" s="1"/>
      <c r="II1627" s="1"/>
      <c r="IJ1627" s="1"/>
      <c r="IK1627" s="1"/>
      <c r="IL1627" s="1"/>
      <c r="IM1627" s="1"/>
      <c r="IN1627" s="1"/>
      <c r="IO1627" s="1"/>
      <c r="IP1627" s="1"/>
      <c r="IQ1627" s="1"/>
      <c r="IR1627" s="1"/>
      <c r="IS1627" s="1"/>
      <c r="IT1627" s="1"/>
      <c r="IU1627" s="1"/>
      <c r="IV1627" s="1"/>
      <c r="IW1627" s="1"/>
      <c r="IX1627" s="1"/>
      <c r="IY1627" s="1"/>
      <c r="IZ1627" s="1"/>
      <c r="JA1627" s="1"/>
      <c r="JB1627" s="1"/>
      <c r="JC1627" s="1"/>
      <c r="JD1627" s="1"/>
      <c r="JE1627" s="1"/>
      <c r="JF1627" s="1"/>
      <c r="JG1627" s="1"/>
      <c r="JH1627" s="1"/>
      <c r="JI1627" s="1"/>
      <c r="JJ1627" s="1"/>
      <c r="JK1627" s="1"/>
      <c r="JL1627" s="1"/>
      <c r="JM1627" s="1"/>
      <c r="JN1627" s="1"/>
      <c r="JO1627" s="1"/>
      <c r="JP1627" s="1"/>
      <c r="JQ1627" s="1"/>
      <c r="JR1627" s="1"/>
      <c r="JS1627" s="1"/>
      <c r="JT1627" s="1"/>
      <c r="JU1627" s="1"/>
      <c r="JV1627" s="1"/>
      <c r="JW1627" s="1"/>
      <c r="JX1627" s="1"/>
      <c r="JY1627" s="1"/>
      <c r="JZ1627" s="1"/>
      <c r="KA1627" s="1"/>
      <c r="KB1627" s="1"/>
      <c r="KC1627" s="1"/>
      <c r="KD1627" s="1"/>
      <c r="KE1627" s="1"/>
      <c r="KF1627" s="1"/>
      <c r="KG1627" s="1"/>
      <c r="KH1627" s="1"/>
      <c r="KI1627" s="1"/>
      <c r="KJ1627" s="1"/>
      <c r="KK1627" s="1"/>
      <c r="KL1627" s="1"/>
      <c r="KM1627" s="1"/>
      <c r="KN1627" s="1"/>
      <c r="KO1627" s="1"/>
      <c r="KP1627" s="1"/>
      <c r="KQ1627" s="1"/>
      <c r="KR1627" s="1"/>
      <c r="KS1627" s="1"/>
      <c r="KT1627" s="1"/>
      <c r="KU1627" s="1"/>
      <c r="KV1627" s="1"/>
      <c r="KW1627" s="1"/>
      <c r="KX1627" s="1"/>
      <c r="KY1627" s="1"/>
      <c r="KZ1627" s="1"/>
      <c r="LA1627" s="1"/>
      <c r="LB1627" s="1"/>
      <c r="LC1627" s="1"/>
      <c r="LD1627" s="1"/>
      <c r="LE1627" s="1"/>
      <c r="LF1627" s="1"/>
      <c r="LG1627" s="1"/>
      <c r="LH1627" s="1"/>
      <c r="LI1627" s="1"/>
      <c r="LJ1627" s="1"/>
      <c r="LK1627" s="1"/>
      <c r="LL1627" s="1"/>
      <c r="LM1627" s="1"/>
      <c r="LN1627" s="1"/>
      <c r="LO1627" s="1"/>
      <c r="LP1627" s="1"/>
      <c r="LQ1627" s="1"/>
      <c r="LR1627" s="1"/>
      <c r="LS1627" s="1"/>
      <c r="LT1627" s="1"/>
      <c r="LU1627" s="1"/>
      <c r="LV1627" s="1"/>
      <c r="LW1627" s="1"/>
      <c r="LX1627" s="1"/>
      <c r="LY1627" s="1"/>
      <c r="LZ1627" s="1"/>
      <c r="MA1627" s="1"/>
      <c r="MB1627" s="1"/>
      <c r="MC1627" s="1"/>
      <c r="MD1627" s="1"/>
      <c r="ME1627" s="1"/>
      <c r="MF1627" s="1"/>
      <c r="MG1627" s="1"/>
      <c r="MH1627" s="1"/>
      <c r="MI1627" s="1"/>
      <c r="MJ1627" s="1"/>
      <c r="MK1627" s="1"/>
      <c r="ML1627" s="1"/>
      <c r="MM1627" s="1"/>
      <c r="MN1627" s="1"/>
      <c r="MO1627" s="1"/>
      <c r="MP1627" s="1"/>
      <c r="MQ1627" s="1"/>
      <c r="MR1627" s="1"/>
      <c r="MS1627" s="1"/>
      <c r="MT1627" s="1"/>
      <c r="MU1627" s="1"/>
      <c r="MV1627" s="1"/>
      <c r="MW1627" s="1"/>
      <c r="MX1627" s="1"/>
      <c r="MY1627" s="1"/>
      <c r="MZ1627" s="1"/>
      <c r="NA1627" s="1"/>
      <c r="NB1627" s="1"/>
      <c r="NC1627" s="1"/>
      <c r="ND1627" s="1"/>
      <c r="NE1627" s="1"/>
      <c r="NF1627" s="1"/>
      <c r="NG1627" s="1"/>
      <c r="NH1627" s="1"/>
      <c r="NI1627" s="1"/>
      <c r="NJ1627" s="1"/>
      <c r="NK1627" s="1"/>
      <c r="NL1627" s="1"/>
      <c r="NM1627" s="1"/>
      <c r="NN1627" s="1"/>
      <c r="NO1627" s="1"/>
      <c r="NP1627" s="1"/>
      <c r="NQ1627" s="1"/>
      <c r="NR1627" s="1"/>
      <c r="NS1627" s="1"/>
      <c r="NT1627" s="1"/>
      <c r="NU1627" s="1"/>
      <c r="NV1627" s="1"/>
      <c r="NW1627" s="1"/>
      <c r="NX1627" s="1"/>
      <c r="NY1627" s="1"/>
      <c r="NZ1627" s="1"/>
      <c r="OA1627" s="1"/>
      <c r="OB1627" s="1"/>
      <c r="OC1627" s="1"/>
      <c r="OD1627" s="1"/>
      <c r="OE1627" s="1"/>
      <c r="OF1627" s="1"/>
      <c r="OG1627" s="1"/>
      <c r="OH1627" s="1"/>
      <c r="OI1627" s="1"/>
      <c r="OJ1627" s="1"/>
      <c r="OK1627" s="1"/>
      <c r="OL1627" s="1"/>
      <c r="OM1627" s="1"/>
      <c r="ON1627" s="1"/>
      <c r="OO1627" s="1"/>
      <c r="OP1627" s="1"/>
      <c r="OQ1627" s="1"/>
      <c r="OR1627" s="1"/>
      <c r="OS1627" s="1"/>
      <c r="OT1627" s="1"/>
      <c r="OU1627" s="1"/>
      <c r="OV1627" s="1"/>
      <c r="OW1627" s="1"/>
      <c r="OX1627" s="1"/>
      <c r="OY1627" s="1"/>
      <c r="OZ1627" s="1"/>
      <c r="PA1627" s="1"/>
      <c r="PB1627" s="1"/>
      <c r="PC1627" s="1"/>
      <c r="PD1627" s="1"/>
      <c r="PE1627" s="1"/>
      <c r="PF1627" s="1"/>
      <c r="PG1627" s="1"/>
      <c r="PH1627" s="1"/>
      <c r="PI1627" s="1"/>
      <c r="PJ1627" s="1"/>
      <c r="PK1627" s="1"/>
      <c r="PL1627" s="1"/>
      <c r="PM1627" s="1"/>
      <c r="PN1627" s="1"/>
      <c r="PO1627" s="1"/>
      <c r="PP1627" s="1"/>
      <c r="PQ1627" s="1"/>
      <c r="PR1627" s="1"/>
      <c r="PS1627" s="1"/>
      <c r="PT1627" s="1"/>
      <c r="PU1627" s="1"/>
      <c r="PV1627" s="1"/>
      <c r="PW1627" s="1"/>
      <c r="PX1627" s="1"/>
      <c r="PY1627" s="1"/>
      <c r="PZ1627" s="1"/>
      <c r="QA1627" s="1"/>
      <c r="QB1627" s="1"/>
      <c r="QC1627" s="1"/>
      <c r="QD1627" s="1"/>
      <c r="QE1627" s="1"/>
      <c r="QF1627" s="1"/>
      <c r="QG1627" s="1"/>
      <c r="QH1627" s="1"/>
      <c r="QI1627" s="1"/>
      <c r="QJ1627" s="1"/>
      <c r="QK1627" s="1"/>
      <c r="QL1627" s="1"/>
      <c r="QM1627" s="1"/>
      <c r="QN1627" s="1"/>
      <c r="QO1627" s="1"/>
      <c r="QP1627" s="1"/>
      <c r="QQ1627" s="1"/>
      <c r="QR1627" s="1"/>
      <c r="QS1627" s="1"/>
      <c r="QT1627" s="1"/>
      <c r="QU1627" s="1"/>
      <c r="QV1627" s="1"/>
      <c r="QW1627" s="1"/>
      <c r="QX1627" s="1"/>
      <c r="QY1627" s="1"/>
      <c r="QZ1627" s="1"/>
      <c r="RA1627" s="1"/>
      <c r="RB1627" s="1"/>
      <c r="RC1627" s="1"/>
      <c r="RD1627" s="1"/>
      <c r="RE1627" s="1"/>
      <c r="RF1627" s="1"/>
      <c r="RG1627" s="1"/>
      <c r="RH1627" s="1"/>
      <c r="RI1627" s="1"/>
      <c r="RJ1627" s="1"/>
      <c r="RK1627" s="1"/>
      <c r="RL1627" s="1"/>
      <c r="RM1627" s="1"/>
      <c r="RN1627" s="1"/>
      <c r="RO1627" s="1"/>
      <c r="RP1627" s="1"/>
      <c r="RQ1627" s="1"/>
      <c r="RR1627" s="1"/>
      <c r="RS1627" s="1"/>
      <c r="RT1627" s="1"/>
      <c r="RU1627" s="1"/>
      <c r="RV1627" s="1"/>
      <c r="RW1627" s="1"/>
      <c r="RX1627" s="1"/>
      <c r="RY1627" s="1"/>
      <c r="RZ1627" s="1"/>
      <c r="SA1627" s="1"/>
      <c r="SB1627" s="1"/>
      <c r="SC1627" s="1"/>
      <c r="SD1627" s="1"/>
      <c r="SE1627" s="1"/>
      <c r="SF1627" s="1"/>
      <c r="SG1627" s="1"/>
      <c r="SH1627" s="1"/>
      <c r="SI1627" s="1"/>
      <c r="SJ1627" s="1"/>
      <c r="SK1627" s="1"/>
      <c r="SL1627" s="1"/>
      <c r="SM1627" s="1"/>
      <c r="SN1627" s="1"/>
      <c r="SO1627" s="1"/>
      <c r="SP1627" s="1"/>
      <c r="SQ1627" s="1"/>
      <c r="SR1627" s="1"/>
      <c r="SS1627" s="1"/>
      <c r="ST1627" s="1"/>
      <c r="SU1627" s="1"/>
      <c r="SV1627" s="1"/>
      <c r="SW1627" s="1"/>
      <c r="SX1627" s="1"/>
      <c r="SY1627" s="1"/>
      <c r="SZ1627" s="1"/>
      <c r="TA1627" s="1"/>
      <c r="TB1627" s="1"/>
      <c r="TC1627" s="1"/>
      <c r="TD1627" s="1"/>
      <c r="TE1627" s="1"/>
      <c r="TF1627" s="1"/>
      <c r="TG1627" s="1"/>
      <c r="TH1627" s="1"/>
      <c r="TI1627" s="1"/>
      <c r="TJ1627" s="1"/>
      <c r="TK1627" s="1"/>
      <c r="TL1627" s="1"/>
      <c r="TM1627" s="1"/>
      <c r="TN1627" s="1"/>
      <c r="TO1627" s="1"/>
      <c r="TP1627" s="1"/>
      <c r="TQ1627" s="1"/>
      <c r="TR1627" s="1"/>
      <c r="TS1627" s="1"/>
      <c r="TT1627" s="1"/>
      <c r="TU1627" s="1"/>
      <c r="TV1627" s="1"/>
      <c r="TW1627" s="1"/>
      <c r="TX1627" s="1"/>
      <c r="TY1627" s="1"/>
      <c r="TZ1627" s="1"/>
      <c r="UA1627" s="1"/>
      <c r="UB1627" s="1"/>
      <c r="UC1627" s="1"/>
      <c r="UD1627" s="1"/>
      <c r="UE1627" s="1"/>
      <c r="UF1627" s="1"/>
      <c r="UG1627" s="1"/>
      <c r="UH1627" s="1"/>
      <c r="UI1627" s="1"/>
      <c r="UJ1627" s="1"/>
      <c r="UK1627" s="1"/>
      <c r="UL1627" s="1"/>
      <c r="UM1627" s="1"/>
      <c r="UN1627" s="1"/>
      <c r="UO1627" s="1"/>
      <c r="UP1627" s="1"/>
      <c r="UQ1627" s="1"/>
      <c r="UR1627" s="1"/>
      <c r="US1627" s="1"/>
      <c r="UT1627" s="1"/>
      <c r="UU1627" s="1"/>
      <c r="UV1627" s="1"/>
      <c r="UW1627" s="1"/>
      <c r="UX1627" s="1"/>
      <c r="UY1627" s="1"/>
      <c r="UZ1627" s="1"/>
      <c r="VA1627" s="1"/>
      <c r="VB1627" s="1"/>
      <c r="VC1627" s="1"/>
      <c r="VD1627" s="1"/>
      <c r="VE1627" s="1"/>
      <c r="VF1627" s="1"/>
      <c r="VG1627" s="1"/>
      <c r="VH1627" s="1"/>
      <c r="VI1627" s="1"/>
      <c r="VJ1627" s="1"/>
      <c r="VK1627" s="1"/>
      <c r="VL1627" s="1"/>
      <c r="VM1627" s="1"/>
      <c r="VN1627" s="1"/>
      <c r="VO1627" s="1"/>
      <c r="VP1627" s="1"/>
      <c r="VQ1627" s="1"/>
      <c r="VR1627" s="1"/>
      <c r="VS1627" s="1"/>
      <c r="VT1627" s="1"/>
      <c r="VU1627" s="1"/>
      <c r="VV1627" s="1"/>
      <c r="VW1627" s="1"/>
      <c r="VX1627" s="1"/>
      <c r="VY1627" s="1"/>
      <c r="VZ1627" s="1"/>
      <c r="WA1627" s="1"/>
      <c r="WB1627" s="1"/>
      <c r="WC1627" s="1"/>
      <c r="WD1627" s="1"/>
      <c r="WE1627" s="1"/>
      <c r="WF1627" s="1"/>
      <c r="WG1627" s="1"/>
      <c r="WH1627" s="1"/>
      <c r="WI1627" s="1"/>
      <c r="WJ1627" s="1"/>
      <c r="WK1627" s="1"/>
      <c r="WL1627" s="1"/>
      <c r="WM1627" s="1"/>
      <c r="WN1627" s="1"/>
      <c r="WO1627" s="1"/>
      <c r="WP1627" s="1"/>
      <c r="WQ1627" s="1"/>
      <c r="WR1627" s="1"/>
      <c r="WS1627" s="1"/>
      <c r="WT1627" s="1"/>
      <c r="WU1627" s="1"/>
      <c r="WV1627" s="1"/>
      <c r="WW1627" s="1"/>
      <c r="WX1627" s="1"/>
      <c r="WY1627" s="1"/>
      <c r="WZ1627" s="1"/>
      <c r="XA1627" s="1"/>
      <c r="XB1627" s="1"/>
      <c r="XC1627" s="1"/>
      <c r="XD1627" s="1"/>
      <c r="XE1627" s="1"/>
      <c r="XF1627" s="1"/>
      <c r="XG1627" s="1"/>
      <c r="XH1627" s="1"/>
      <c r="XI1627" s="1"/>
      <c r="XJ1627" s="1"/>
      <c r="XK1627" s="1"/>
      <c r="XL1627" s="1"/>
      <c r="XM1627" s="1"/>
      <c r="XN1627" s="1"/>
      <c r="XO1627" s="1"/>
      <c r="XP1627" s="1"/>
      <c r="XQ1627" s="1"/>
      <c r="XR1627" s="1"/>
      <c r="XS1627" s="1"/>
      <c r="XT1627" s="1"/>
      <c r="XU1627" s="1"/>
      <c r="XV1627" s="1"/>
      <c r="XW1627" s="1"/>
      <c r="XX1627" s="1"/>
      <c r="XY1627" s="1"/>
      <c r="XZ1627" s="1"/>
      <c r="YA1627" s="1"/>
      <c r="YB1627" s="1"/>
      <c r="YC1627" s="1"/>
      <c r="YD1627" s="1"/>
      <c r="YE1627" s="1"/>
      <c r="YF1627" s="1"/>
      <c r="YG1627" s="1"/>
      <c r="YH1627" s="1"/>
      <c r="YI1627" s="1"/>
      <c r="YJ1627" s="1"/>
      <c r="YK1627" s="1"/>
      <c r="YL1627" s="1"/>
      <c r="YM1627" s="1"/>
      <c r="YN1627" s="1"/>
      <c r="YO1627" s="1"/>
      <c r="YP1627" s="1"/>
      <c r="YQ1627" s="1"/>
      <c r="YR1627" s="1"/>
      <c r="YS1627" s="1"/>
      <c r="YT1627" s="1"/>
      <c r="YU1627" s="1"/>
      <c r="YV1627" s="1"/>
      <c r="YW1627" s="1"/>
      <c r="YX1627" s="1"/>
      <c r="YY1627" s="1"/>
      <c r="YZ1627" s="1"/>
      <c r="ZA1627" s="1"/>
      <c r="ZB1627" s="1"/>
      <c r="ZC1627" s="1"/>
      <c r="ZD1627" s="1"/>
      <c r="ZE1627" s="1"/>
      <c r="ZF1627" s="1"/>
      <c r="ZG1627" s="1"/>
      <c r="ZH1627" s="1"/>
      <c r="ZI1627" s="1"/>
      <c r="ZJ1627" s="1"/>
      <c r="ZK1627" s="1"/>
      <c r="ZL1627" s="1"/>
      <c r="ZM1627" s="1"/>
      <c r="ZN1627" s="1"/>
      <c r="ZO1627" s="1"/>
      <c r="ZP1627" s="1"/>
      <c r="ZQ1627" s="1"/>
      <c r="ZR1627" s="1"/>
      <c r="ZS1627" s="1"/>
      <c r="ZT1627" s="1"/>
      <c r="ZU1627" s="1"/>
      <c r="ZV1627" s="1"/>
      <c r="ZW1627" s="1"/>
      <c r="ZX1627" s="1"/>
      <c r="ZY1627" s="1"/>
      <c r="ZZ1627" s="1"/>
      <c r="AAA1627" s="1"/>
      <c r="AAB1627" s="1"/>
      <c r="AAC1627" s="1"/>
      <c r="AAD1627" s="1"/>
      <c r="AAE1627" s="1"/>
      <c r="AAF1627" s="1"/>
      <c r="AAG1627" s="1"/>
      <c r="AAH1627" s="1"/>
      <c r="AAI1627" s="1"/>
      <c r="AAJ1627" s="1"/>
      <c r="AAK1627" s="1"/>
      <c r="AAL1627" s="1"/>
      <c r="AAM1627" s="1"/>
      <c r="AAN1627" s="1"/>
      <c r="AAO1627" s="1"/>
      <c r="AAP1627" s="1"/>
      <c r="AAQ1627" s="1"/>
      <c r="AAR1627" s="1"/>
      <c r="AAS1627" s="1"/>
      <c r="AAT1627" s="1"/>
      <c r="AAU1627" s="1"/>
      <c r="AAV1627" s="1"/>
      <c r="AAW1627" s="1"/>
      <c r="AAX1627" s="1"/>
      <c r="AAY1627" s="1"/>
      <c r="AAZ1627" s="1"/>
      <c r="ABA1627" s="1"/>
      <c r="ABB1627" s="1"/>
      <c r="ABC1627" s="1"/>
      <c r="ABD1627" s="1"/>
      <c r="ABE1627" s="1"/>
      <c r="ABF1627" s="1"/>
      <c r="ABG1627" s="1"/>
      <c r="ABH1627" s="1"/>
      <c r="ABI1627" s="1"/>
      <c r="ABJ1627" s="1"/>
      <c r="ABK1627" s="1"/>
      <c r="ABL1627" s="1"/>
      <c r="ABM1627" s="1"/>
      <c r="ABN1627" s="1"/>
      <c r="ABO1627" s="1"/>
      <c r="ABP1627" s="1"/>
      <c r="ABQ1627" s="1"/>
      <c r="ABR1627" s="1"/>
      <c r="ABS1627" s="1"/>
      <c r="ABT1627" s="1"/>
      <c r="ABU1627" s="1"/>
      <c r="ABV1627" s="1"/>
      <c r="ABW1627" s="1"/>
      <c r="ABX1627" s="1"/>
      <c r="ABY1627" s="1"/>
      <c r="ABZ1627" s="1"/>
      <c r="ACA1627" s="1"/>
      <c r="ACB1627" s="1"/>
      <c r="ACC1627" s="1"/>
      <c r="ACD1627" s="1"/>
      <c r="ACE1627" s="1"/>
      <c r="ACF1627" s="1"/>
      <c r="ACG1627" s="1"/>
      <c r="ACH1627" s="1"/>
      <c r="ACI1627" s="1"/>
      <c r="ACJ1627" s="1"/>
      <c r="ACK1627" s="1"/>
      <c r="ACL1627" s="1"/>
      <c r="ACM1627" s="1"/>
      <c r="ACN1627" s="1"/>
      <c r="ACO1627" s="1"/>
      <c r="ACP1627" s="1"/>
      <c r="ACQ1627" s="1"/>
      <c r="ACR1627" s="1"/>
      <c r="ACS1627" s="1"/>
      <c r="ACT1627" s="1"/>
      <c r="ACU1627" s="1"/>
      <c r="ACV1627" s="1"/>
      <c r="ACW1627" s="1"/>
      <c r="ACX1627" s="1"/>
      <c r="ACY1627" s="1"/>
      <c r="ACZ1627" s="1"/>
      <c r="ADA1627" s="1"/>
      <c r="ADB1627" s="1"/>
      <c r="ADC1627" s="1"/>
      <c r="ADD1627" s="1"/>
      <c r="ADE1627" s="1"/>
      <c r="ADF1627" s="1"/>
      <c r="ADG1627" s="1"/>
      <c r="ADH1627" s="1"/>
      <c r="ADI1627" s="1"/>
      <c r="ADJ1627" s="1"/>
      <c r="ADK1627" s="1"/>
      <c r="ADL1627" s="1"/>
      <c r="ADM1627" s="1"/>
      <c r="ADN1627" s="1"/>
      <c r="ADO1627" s="1"/>
      <c r="ADP1627" s="1"/>
      <c r="ADQ1627" s="1"/>
      <c r="ADR1627" s="1"/>
      <c r="ADS1627" s="1"/>
      <c r="ADT1627" s="1"/>
      <c r="ADU1627" s="1"/>
      <c r="ADV1627" s="1"/>
      <c r="ADW1627" s="1"/>
      <c r="ADX1627" s="1"/>
      <c r="ADY1627" s="1"/>
      <c r="ADZ1627" s="1"/>
      <c r="AEA1627" s="1"/>
      <c r="AEB1627" s="1"/>
      <c r="AEC1627" s="1"/>
      <c r="AED1627" s="1"/>
      <c r="AEE1627" s="1"/>
      <c r="AEF1627" s="1"/>
      <c r="AEG1627" s="1"/>
      <c r="AEH1627" s="1"/>
      <c r="AEI1627" s="1"/>
      <c r="AEJ1627" s="1"/>
      <c r="AEK1627" s="1"/>
      <c r="AEL1627" s="1"/>
      <c r="AEM1627" s="1"/>
      <c r="AEN1627" s="1"/>
      <c r="AEO1627" s="1"/>
      <c r="AEP1627" s="1"/>
      <c r="AEQ1627" s="1"/>
      <c r="AER1627" s="1"/>
      <c r="AES1627" s="1"/>
      <c r="AET1627" s="1"/>
      <c r="AEU1627" s="1"/>
      <c r="AEV1627" s="1"/>
      <c r="AEW1627" s="1"/>
      <c r="AEX1627" s="1"/>
      <c r="AEY1627" s="1"/>
      <c r="AEZ1627" s="1"/>
      <c r="AFA1627" s="1"/>
      <c r="AFB1627" s="1"/>
      <c r="AFC1627" s="1"/>
      <c r="AFD1627" s="1"/>
      <c r="AFE1627" s="1"/>
      <c r="AFF1627" s="1"/>
      <c r="AFG1627" s="1"/>
      <c r="AFH1627" s="1"/>
      <c r="AFI1627" s="1"/>
      <c r="AFJ1627" s="1"/>
      <c r="AFK1627" s="1"/>
      <c r="AFL1627" s="1"/>
      <c r="AFM1627" s="1"/>
      <c r="AFN1627" s="1"/>
      <c r="AFO1627" s="1"/>
      <c r="AFP1627" s="1"/>
      <c r="AFQ1627" s="1"/>
      <c r="AFR1627" s="1"/>
      <c r="AFS1627" s="1"/>
      <c r="AFT1627" s="1"/>
      <c r="AFU1627" s="1"/>
      <c r="AFV1627" s="1"/>
      <c r="AFW1627" s="1"/>
      <c r="AFX1627" s="1"/>
      <c r="AFY1627" s="1"/>
      <c r="AFZ1627" s="1"/>
      <c r="AGA1627" s="1"/>
      <c r="AGB1627" s="1"/>
      <c r="AGC1627" s="1"/>
      <c r="AGD1627" s="1"/>
      <c r="AGE1627" s="1"/>
      <c r="AGF1627" s="1"/>
      <c r="AGG1627" s="1"/>
      <c r="AGH1627" s="1"/>
      <c r="AGI1627" s="1"/>
      <c r="AGJ1627" s="1"/>
      <c r="AGK1627" s="1"/>
      <c r="AGL1627" s="1"/>
      <c r="AGM1627" s="1"/>
      <c r="AGN1627" s="1"/>
      <c r="AGO1627" s="1"/>
      <c r="AGP1627" s="1"/>
      <c r="AGQ1627" s="1"/>
      <c r="AGR1627" s="1"/>
      <c r="AGS1627" s="1"/>
      <c r="AGT1627" s="1"/>
      <c r="AGU1627" s="1"/>
      <c r="AGV1627" s="1"/>
      <c r="AGW1627" s="1"/>
      <c r="AGX1627" s="1"/>
      <c r="AGY1627" s="1"/>
      <c r="AGZ1627" s="1"/>
      <c r="AHA1627" s="1"/>
      <c r="AHB1627" s="1"/>
      <c r="AHC1627" s="1"/>
      <c r="AHD1627" s="1"/>
      <c r="AHE1627" s="1"/>
      <c r="AHF1627" s="1"/>
      <c r="AHG1627" s="1"/>
      <c r="AHH1627" s="1"/>
      <c r="AHI1627" s="1"/>
      <c r="AHJ1627" s="1"/>
      <c r="AHK1627" s="1"/>
      <c r="AHL1627" s="1"/>
      <c r="AHM1627" s="1"/>
      <c r="AHN1627" s="1"/>
      <c r="AHO1627" s="1"/>
      <c r="AHP1627" s="1"/>
      <c r="AHQ1627" s="1"/>
      <c r="AHR1627" s="1"/>
      <c r="AHS1627" s="1"/>
      <c r="AHT1627" s="1"/>
      <c r="AHU1627" s="1"/>
      <c r="AHV1627" s="1"/>
      <c r="AHW1627" s="1"/>
      <c r="AHX1627" s="1"/>
      <c r="AHY1627" s="1"/>
      <c r="AHZ1627" s="1"/>
      <c r="AIA1627" s="1"/>
      <c r="AIB1627" s="1"/>
      <c r="AIC1627" s="1"/>
      <c r="AID1627" s="1"/>
      <c r="AIE1627" s="1"/>
      <c r="AIF1627" s="1"/>
      <c r="AIG1627" s="1"/>
      <c r="AIH1627" s="1"/>
      <c r="AII1627" s="1"/>
      <c r="AIJ1627" s="1"/>
      <c r="AIK1627" s="1"/>
      <c r="AIL1627" s="1"/>
      <c r="AIM1627" s="1"/>
      <c r="AIN1627" s="1"/>
      <c r="AIO1627" s="1"/>
      <c r="AIP1627" s="1"/>
      <c r="AIQ1627" s="1"/>
      <c r="AIR1627" s="1"/>
      <c r="AIS1627" s="1"/>
      <c r="AIT1627" s="1"/>
      <c r="AIU1627" s="1"/>
      <c r="AIV1627" s="1"/>
      <c r="AIW1627" s="1"/>
      <c r="AIX1627" s="1"/>
      <c r="AIY1627" s="1"/>
      <c r="AIZ1627" s="1"/>
      <c r="AJA1627" s="1"/>
      <c r="AJB1627" s="1"/>
      <c r="AJC1627" s="1"/>
      <c r="AJD1627" s="1"/>
      <c r="AJE1627" s="1"/>
      <c r="AJF1627" s="1"/>
      <c r="AJG1627" s="1"/>
      <c r="AJH1627" s="1"/>
      <c r="AJI1627" s="1"/>
      <c r="AJJ1627" s="1"/>
      <c r="AJK1627" s="1"/>
      <c r="AJL1627" s="1"/>
      <c r="AJM1627" s="1"/>
      <c r="AJN1627" s="1"/>
      <c r="AJO1627" s="1"/>
      <c r="AJP1627" s="1"/>
      <c r="AJQ1627" s="1"/>
      <c r="AJR1627" s="1"/>
      <c r="AJS1627" s="1"/>
      <c r="AJT1627" s="1"/>
      <c r="AJU1627" s="1"/>
      <c r="AJV1627" s="1"/>
      <c r="AJW1627" s="1"/>
      <c r="AJX1627" s="1"/>
      <c r="AJY1627" s="1"/>
      <c r="AJZ1627" s="1"/>
      <c r="AKA1627" s="1"/>
      <c r="AKB1627" s="1"/>
      <c r="AKC1627" s="1"/>
      <c r="AKD1627" s="1"/>
      <c r="AKE1627" s="1"/>
      <c r="AKF1627" s="1"/>
      <c r="AKG1627" s="1"/>
      <c r="AKH1627" s="1"/>
      <c r="AKI1627" s="1"/>
      <c r="AKJ1627" s="1"/>
      <c r="AKK1627" s="1"/>
      <c r="AKL1627" s="1"/>
      <c r="AKM1627" s="1"/>
      <c r="AKN1627" s="1"/>
      <c r="AKO1627" s="1"/>
      <c r="AKP1627" s="1"/>
      <c r="AKQ1627" s="1"/>
      <c r="AKR1627" s="1"/>
      <c r="AKS1627" s="1"/>
      <c r="AKT1627" s="1"/>
      <c r="AKU1627" s="1"/>
      <c r="AKV1627" s="1"/>
      <c r="AKW1627" s="1"/>
      <c r="AKX1627" s="1"/>
      <c r="AKY1627" s="1"/>
      <c r="AKZ1627" s="1"/>
      <c r="ALA1627" s="1"/>
      <c r="ALB1627" s="1"/>
      <c r="ALC1627" s="1"/>
      <c r="ALD1627" s="1"/>
      <c r="ALE1627" s="1"/>
      <c r="ALF1627" s="1"/>
      <c r="ALG1627" s="1"/>
      <c r="ALH1627" s="1"/>
      <c r="ALI1627" s="1"/>
      <c r="ALJ1627" s="1"/>
      <c r="ALK1627" s="1"/>
      <c r="ALL1627" s="1"/>
      <c r="ALM1627" s="1"/>
      <c r="ALN1627" s="1"/>
      <c r="ALO1627" s="1"/>
      <c r="ALP1627" s="1"/>
      <c r="ALQ1627" s="1"/>
      <c r="ALR1627" s="1"/>
      <c r="ALS1627" s="1"/>
      <c r="ALT1627" s="1"/>
      <c r="ALU1627" s="1"/>
      <c r="ALV1627" s="1"/>
      <c r="ALW1627" s="1"/>
      <c r="ALX1627" s="1"/>
      <c r="ALY1627" s="1"/>
      <c r="ALZ1627" s="1"/>
      <c r="AMA1627" s="1"/>
      <c r="AMB1627" s="1"/>
      <c r="AMC1627" s="1"/>
      <c r="AMD1627" s="1"/>
      <c r="AME1627" s="1"/>
      <c r="AMF1627" s="1"/>
      <c r="AMG1627" s="1"/>
      <c r="AMH1627" s="1"/>
      <c r="AMI1627" s="1"/>
      <c r="AMJ1627" s="1"/>
      <c r="AMK1627" s="1"/>
      <c r="AML1627" s="1"/>
      <c r="AMM1627" s="1"/>
      <c r="AMN1627" s="1"/>
      <c r="AMO1627" s="1"/>
      <c r="AMP1627" s="1"/>
      <c r="AMQ1627" s="1"/>
      <c r="AMR1627" s="1"/>
      <c r="AMS1627" s="1"/>
      <c r="AMT1627" s="1"/>
      <c r="AMU1627" s="1"/>
      <c r="AMV1627" s="1"/>
      <c r="AMW1627" s="1"/>
      <c r="AMX1627" s="1"/>
      <c r="AMY1627" s="1"/>
      <c r="AMZ1627" s="1"/>
      <c r="ANA1627" s="1"/>
      <c r="ANB1627" s="1"/>
      <c r="ANC1627" s="1"/>
      <c r="AND1627" s="1"/>
      <c r="ANE1627" s="1"/>
      <c r="ANF1627" s="1"/>
      <c r="ANG1627" s="1"/>
      <c r="ANH1627" s="1"/>
      <c r="ANI1627" s="1"/>
      <c r="ANJ1627" s="1"/>
      <c r="ANK1627" s="1"/>
      <c r="ANL1627" s="1"/>
      <c r="ANM1627" s="1"/>
      <c r="ANN1627" s="1"/>
      <c r="ANO1627" s="1"/>
      <c r="ANP1627" s="1"/>
      <c r="ANQ1627" s="1"/>
      <c r="ANR1627" s="1"/>
      <c r="ANS1627" s="1"/>
      <c r="ANT1627" s="1"/>
      <c r="ANU1627" s="1"/>
      <c r="ANV1627" s="1"/>
      <c r="ANW1627" s="1"/>
      <c r="ANX1627" s="1"/>
      <c r="ANY1627" s="1"/>
      <c r="ANZ1627" s="1"/>
      <c r="AOA1627" s="1"/>
      <c r="AOB1627" s="1"/>
      <c r="AOC1627" s="1"/>
      <c r="AOD1627" s="1"/>
      <c r="AOE1627" s="1"/>
      <c r="AOF1627" s="1"/>
      <c r="AOG1627" s="1"/>
      <c r="AOH1627" s="1"/>
      <c r="AOI1627" s="1"/>
      <c r="AOJ1627" s="1"/>
      <c r="AOK1627" s="1"/>
      <c r="AOL1627" s="1"/>
      <c r="AOM1627" s="1"/>
      <c r="AON1627" s="1"/>
      <c r="AOO1627" s="1"/>
      <c r="AOP1627" s="1"/>
      <c r="AOQ1627" s="1"/>
      <c r="AOR1627" s="1"/>
      <c r="AOS1627" s="1"/>
      <c r="AOT1627" s="1"/>
      <c r="AOU1627" s="1"/>
      <c r="AOV1627" s="1"/>
      <c r="AOW1627" s="1"/>
      <c r="AOX1627" s="1"/>
      <c r="AOY1627" s="1"/>
      <c r="AOZ1627" s="1"/>
      <c r="APA1627" s="1"/>
      <c r="APB1627" s="1"/>
      <c r="APC1627" s="1"/>
      <c r="APD1627" s="1"/>
      <c r="APE1627" s="1"/>
      <c r="APF1627" s="1"/>
      <c r="APG1627" s="1"/>
      <c r="APH1627" s="1"/>
      <c r="API1627" s="1"/>
      <c r="APJ1627" s="1"/>
      <c r="APK1627" s="1"/>
      <c r="APL1627" s="1"/>
      <c r="APM1627" s="1"/>
      <c r="APN1627" s="1"/>
      <c r="APO1627" s="1"/>
      <c r="APP1627" s="1"/>
      <c r="APQ1627" s="1"/>
      <c r="APR1627" s="1"/>
      <c r="APS1627" s="1"/>
      <c r="APT1627" s="1"/>
      <c r="APU1627" s="1"/>
      <c r="APV1627" s="1"/>
      <c r="APW1627" s="1"/>
      <c r="APX1627" s="1"/>
      <c r="APY1627" s="1"/>
      <c r="APZ1627" s="1"/>
      <c r="AQA1627" s="1"/>
      <c r="AQB1627" s="1"/>
      <c r="AQC1627" s="1"/>
      <c r="AQD1627" s="1"/>
      <c r="AQE1627" s="1"/>
      <c r="AQF1627" s="1"/>
      <c r="AQG1627" s="1"/>
      <c r="AQH1627" s="1"/>
      <c r="AQI1627" s="1"/>
      <c r="AQJ1627" s="1"/>
      <c r="AQK1627" s="1"/>
      <c r="AQL1627" s="1"/>
      <c r="AQM1627" s="1"/>
      <c r="AQN1627" s="1"/>
      <c r="AQO1627" s="1"/>
      <c r="AQP1627" s="1"/>
      <c r="AQQ1627" s="1"/>
      <c r="AQR1627" s="1"/>
      <c r="AQS1627" s="1"/>
      <c r="AQT1627" s="1"/>
      <c r="AQU1627" s="1"/>
      <c r="AQV1627" s="1"/>
      <c r="AQW1627" s="1"/>
      <c r="AQX1627" s="1"/>
      <c r="AQY1627" s="1"/>
      <c r="AQZ1627" s="1"/>
      <c r="ARA1627" s="1"/>
      <c r="ARB1627" s="1"/>
      <c r="ARC1627" s="1"/>
      <c r="ARD1627" s="1"/>
      <c r="ARE1627" s="1"/>
      <c r="ARF1627" s="1"/>
      <c r="ARG1627" s="1"/>
      <c r="ARH1627" s="1"/>
      <c r="ARI1627" s="1"/>
      <c r="ARJ1627" s="1"/>
      <c r="ARK1627" s="1"/>
      <c r="ARL1627" s="1"/>
      <c r="ARM1627" s="1"/>
      <c r="ARN1627" s="1"/>
      <c r="ARO1627" s="1"/>
      <c r="ARP1627" s="1"/>
      <c r="ARQ1627" s="1"/>
      <c r="ARR1627" s="1"/>
      <c r="ARS1627" s="1"/>
      <c r="ART1627" s="1"/>
      <c r="ARU1627" s="1"/>
      <c r="ARV1627" s="1"/>
      <c r="ARW1627" s="1"/>
      <c r="ARX1627" s="1"/>
      <c r="ARY1627" s="1"/>
      <c r="ARZ1627" s="1"/>
      <c r="ASA1627" s="1"/>
      <c r="ASB1627" s="1"/>
      <c r="ASC1627" s="1"/>
      <c r="ASD1627" s="1"/>
      <c r="ASE1627" s="1"/>
      <c r="ASF1627" s="1"/>
      <c r="ASG1627" s="1"/>
      <c r="ASH1627" s="1"/>
      <c r="ASI1627" s="1"/>
      <c r="ASJ1627" s="1"/>
      <c r="ASK1627" s="1"/>
      <c r="ASL1627" s="1"/>
      <c r="ASM1627" s="1"/>
      <c r="ASN1627" s="1"/>
      <c r="ASO1627" s="1"/>
      <c r="ASP1627" s="1"/>
      <c r="ASQ1627" s="1"/>
      <c r="ASR1627" s="1"/>
      <c r="ASS1627" s="1"/>
      <c r="AST1627" s="1"/>
      <c r="ASU1627" s="1"/>
      <c r="ASV1627" s="1"/>
      <c r="ASW1627" s="1"/>
      <c r="ASX1627" s="1"/>
      <c r="ASY1627" s="1"/>
      <c r="ASZ1627" s="1"/>
      <c r="ATA1627" s="1"/>
      <c r="ATB1627" s="1"/>
      <c r="ATC1627" s="1"/>
      <c r="ATD1627" s="1"/>
      <c r="ATE1627" s="1"/>
      <c r="ATF1627" s="1"/>
      <c r="ATG1627" s="1"/>
      <c r="ATH1627" s="1"/>
      <c r="ATI1627" s="1"/>
      <c r="ATJ1627" s="1"/>
      <c r="ATK1627" s="1"/>
      <c r="ATL1627" s="1"/>
      <c r="ATM1627" s="1"/>
      <c r="ATN1627" s="1"/>
      <c r="ATO1627" s="1"/>
      <c r="ATP1627" s="1"/>
      <c r="ATQ1627" s="1"/>
      <c r="ATR1627" s="1"/>
      <c r="ATS1627" s="1"/>
      <c r="ATT1627" s="1"/>
      <c r="ATU1627" s="1"/>
      <c r="ATV1627" s="1"/>
      <c r="ATW1627" s="1"/>
      <c r="ATX1627" s="1"/>
      <c r="ATY1627" s="1"/>
      <c r="ATZ1627" s="1"/>
      <c r="AUA1627" s="1"/>
      <c r="AUB1627" s="1"/>
      <c r="AUC1627" s="1"/>
      <c r="AUD1627" s="1"/>
      <c r="AUE1627" s="1"/>
      <c r="AUF1627" s="1"/>
      <c r="AUG1627" s="1"/>
      <c r="AUH1627" s="1"/>
      <c r="AUI1627" s="1"/>
      <c r="AUJ1627" s="1"/>
      <c r="AUK1627" s="1"/>
      <c r="AUL1627" s="1"/>
      <c r="AUM1627" s="1"/>
      <c r="AUN1627" s="1"/>
      <c r="AUO1627" s="1"/>
      <c r="AUP1627" s="1"/>
      <c r="AUQ1627" s="1"/>
      <c r="AUR1627" s="1"/>
      <c r="AUS1627" s="1"/>
      <c r="AUT1627" s="1"/>
      <c r="AUU1627" s="1"/>
      <c r="AUV1627" s="1"/>
      <c r="AUW1627" s="1"/>
      <c r="AUX1627" s="1"/>
      <c r="AUY1627" s="1"/>
      <c r="AUZ1627" s="1"/>
      <c r="AVA1627" s="1"/>
      <c r="AVB1627" s="1"/>
      <c r="AVC1627" s="1"/>
      <c r="AVD1627" s="1"/>
      <c r="AVE1627" s="1"/>
      <c r="AVF1627" s="1"/>
      <c r="AVG1627" s="1"/>
      <c r="AVH1627" s="1"/>
      <c r="AVI1627" s="1"/>
      <c r="AVJ1627" s="1"/>
      <c r="AVK1627" s="1"/>
      <c r="AVL1627" s="1"/>
      <c r="AVM1627" s="1"/>
      <c r="AVN1627" s="1"/>
      <c r="AVO1627" s="1"/>
      <c r="AVP1627" s="1"/>
      <c r="AVQ1627" s="1"/>
      <c r="AVR1627" s="1"/>
      <c r="AVS1627" s="1"/>
      <c r="AVT1627" s="1"/>
      <c r="AVU1627" s="1"/>
      <c r="AVV1627" s="1"/>
      <c r="AVW1627" s="1"/>
      <c r="AVX1627" s="1"/>
      <c r="AVY1627" s="1"/>
      <c r="AVZ1627" s="1"/>
      <c r="AWA1627" s="1"/>
      <c r="AWB1627" s="1"/>
      <c r="AWC1627" s="1"/>
      <c r="AWD1627" s="1"/>
      <c r="AWE1627" s="1"/>
      <c r="AWF1627" s="1"/>
      <c r="AWG1627" s="1"/>
      <c r="AWH1627" s="1"/>
      <c r="AWI1627" s="1"/>
      <c r="AWJ1627" s="1"/>
      <c r="AWK1627" s="1"/>
      <c r="AWL1627" s="1"/>
      <c r="AWM1627" s="1"/>
      <c r="AWN1627" s="1"/>
      <c r="AWO1627" s="1"/>
      <c r="AWP1627" s="1"/>
      <c r="AWQ1627" s="1"/>
      <c r="AWR1627" s="1"/>
      <c r="AWS1627" s="1"/>
      <c r="AWT1627" s="1"/>
      <c r="AWU1627" s="1"/>
      <c r="AWV1627" s="1"/>
      <c r="AWW1627" s="1"/>
      <c r="AWX1627" s="1"/>
      <c r="AWY1627" s="1"/>
      <c r="AWZ1627" s="1"/>
      <c r="AXA1627" s="1"/>
      <c r="AXB1627" s="1"/>
      <c r="AXC1627" s="1"/>
      <c r="AXD1627" s="1"/>
      <c r="AXE1627" s="1"/>
      <c r="AXF1627" s="1"/>
      <c r="AXG1627" s="1"/>
      <c r="AXH1627" s="1"/>
      <c r="AXI1627" s="1"/>
      <c r="AXJ1627" s="1"/>
      <c r="AXK1627" s="1"/>
      <c r="AXL1627" s="1"/>
      <c r="AXM1627" s="1"/>
      <c r="AXN1627" s="1"/>
      <c r="AXO1627" s="1"/>
      <c r="AXP1627" s="1"/>
      <c r="AXQ1627" s="1"/>
      <c r="AXR1627" s="1"/>
      <c r="AXS1627" s="1"/>
      <c r="AXT1627" s="1"/>
      <c r="AXU1627" s="1"/>
      <c r="AXV1627" s="1"/>
      <c r="AXW1627" s="1"/>
      <c r="AXX1627" s="1"/>
      <c r="AXY1627" s="1"/>
      <c r="AXZ1627" s="1"/>
      <c r="AYA1627" s="1"/>
      <c r="AYB1627" s="1"/>
      <c r="AYC1627" s="1"/>
      <c r="AYD1627" s="1"/>
      <c r="AYE1627" s="1"/>
      <c r="AYF1627" s="1"/>
      <c r="AYG1627" s="1"/>
      <c r="AYH1627" s="1"/>
      <c r="AYI1627" s="1"/>
      <c r="AYJ1627" s="1"/>
      <c r="AYK1627" s="1"/>
      <c r="AYL1627" s="1"/>
      <c r="AYM1627" s="1"/>
      <c r="AYN1627" s="1"/>
      <c r="AYO1627" s="1"/>
      <c r="AYP1627" s="1"/>
      <c r="AYQ1627" s="1"/>
      <c r="AYR1627" s="1"/>
      <c r="AYS1627" s="1"/>
      <c r="AYT1627" s="1"/>
      <c r="AYU1627" s="1"/>
      <c r="AYV1627" s="1"/>
      <c r="AYW1627" s="1"/>
      <c r="AYX1627" s="1"/>
      <c r="AYY1627" s="1"/>
      <c r="AYZ1627" s="1"/>
      <c r="AZA1627" s="1"/>
      <c r="AZB1627" s="1"/>
      <c r="AZC1627" s="1"/>
      <c r="AZD1627" s="1"/>
      <c r="AZE1627" s="1"/>
      <c r="AZF1627" s="1"/>
      <c r="AZG1627" s="1"/>
      <c r="AZH1627" s="1"/>
      <c r="AZI1627" s="1"/>
      <c r="AZJ1627" s="1"/>
      <c r="AZK1627" s="1"/>
      <c r="AZL1627" s="1"/>
      <c r="AZM1627" s="1"/>
      <c r="AZN1627" s="1"/>
      <c r="AZO1627" s="1"/>
      <c r="AZP1627" s="1"/>
      <c r="AZQ1627" s="1"/>
      <c r="AZR1627" s="1"/>
      <c r="AZS1627" s="1"/>
      <c r="AZT1627" s="1"/>
      <c r="AZU1627" s="1"/>
      <c r="AZV1627" s="1"/>
      <c r="AZW1627" s="1"/>
      <c r="AZX1627" s="1"/>
      <c r="AZY1627" s="1"/>
      <c r="AZZ1627" s="1"/>
      <c r="BAA1627" s="1"/>
      <c r="BAB1627" s="1"/>
      <c r="BAC1627" s="1"/>
      <c r="BAD1627" s="1"/>
      <c r="BAE1627" s="1"/>
      <c r="BAF1627" s="1"/>
      <c r="BAG1627" s="1"/>
      <c r="BAH1627" s="1"/>
      <c r="BAI1627" s="1"/>
      <c r="BAJ1627" s="1"/>
      <c r="BAK1627" s="1"/>
      <c r="BAL1627" s="1"/>
      <c r="BAM1627" s="1"/>
      <c r="BAN1627" s="1"/>
      <c r="BAO1627" s="1"/>
      <c r="BAP1627" s="1"/>
      <c r="BAQ1627" s="1"/>
      <c r="BAR1627" s="1"/>
      <c r="BAS1627" s="1"/>
      <c r="BAT1627" s="1"/>
      <c r="BAU1627" s="1"/>
      <c r="BAV1627" s="1"/>
      <c r="BAW1627" s="1"/>
      <c r="BAX1627" s="1"/>
      <c r="BAY1627" s="1"/>
      <c r="BAZ1627" s="1"/>
      <c r="BBA1627" s="1"/>
      <c r="BBB1627" s="1"/>
      <c r="BBC1627" s="1"/>
      <c r="BBD1627" s="1"/>
      <c r="BBE1627" s="1"/>
      <c r="BBF1627" s="1"/>
      <c r="BBG1627" s="1"/>
      <c r="BBH1627" s="1"/>
      <c r="BBI1627" s="1"/>
      <c r="BBJ1627" s="1"/>
      <c r="BBK1627" s="1"/>
      <c r="BBL1627" s="1"/>
      <c r="BBM1627" s="1"/>
      <c r="BBN1627" s="1"/>
      <c r="BBO1627" s="1"/>
      <c r="BBP1627" s="1"/>
      <c r="BBQ1627" s="1"/>
      <c r="BBR1627" s="1"/>
      <c r="BBS1627" s="1"/>
      <c r="BBT1627" s="1"/>
      <c r="BBU1627" s="1"/>
      <c r="BBV1627" s="1"/>
      <c r="BBW1627" s="1"/>
      <c r="BBX1627" s="1"/>
      <c r="BBY1627" s="1"/>
      <c r="BBZ1627" s="1"/>
      <c r="BCA1627" s="1"/>
      <c r="BCB1627" s="1"/>
      <c r="BCC1627" s="1"/>
      <c r="BCD1627" s="1"/>
      <c r="BCE1627" s="1"/>
      <c r="BCF1627" s="1"/>
      <c r="BCG1627" s="1"/>
      <c r="BCH1627" s="1"/>
      <c r="BCI1627" s="1"/>
      <c r="BCJ1627" s="1"/>
      <c r="BCK1627" s="1"/>
      <c r="BCL1627" s="1"/>
      <c r="BCM1627" s="1"/>
      <c r="BCN1627" s="1"/>
      <c r="BCO1627" s="1"/>
      <c r="BCP1627" s="1"/>
      <c r="BCQ1627" s="1"/>
      <c r="BCR1627" s="1"/>
      <c r="BCS1627" s="1"/>
      <c r="BCT1627" s="1"/>
      <c r="BCU1627" s="1"/>
      <c r="BCV1627" s="1"/>
      <c r="BCW1627" s="1"/>
      <c r="BCX1627" s="1"/>
      <c r="BCY1627" s="1"/>
      <c r="BCZ1627" s="1"/>
      <c r="BDA1627" s="1"/>
      <c r="BDB1627" s="1"/>
      <c r="BDC1627" s="1"/>
      <c r="BDD1627" s="1"/>
      <c r="BDE1627" s="1"/>
      <c r="BDF1627" s="1"/>
      <c r="BDG1627" s="1"/>
      <c r="BDH1627" s="1"/>
      <c r="BDI1627" s="1"/>
      <c r="BDJ1627" s="1"/>
      <c r="BDK1627" s="1"/>
      <c r="BDL1627" s="1"/>
      <c r="BDM1627" s="1"/>
      <c r="BDN1627" s="1"/>
      <c r="BDO1627" s="1"/>
      <c r="BDP1627" s="1"/>
      <c r="BDQ1627" s="1"/>
      <c r="BDR1627" s="1"/>
      <c r="BDS1627" s="1"/>
      <c r="BDT1627" s="1"/>
      <c r="BDU1627" s="1"/>
      <c r="BDV1627" s="1"/>
      <c r="BDW1627" s="1"/>
      <c r="BDX1627" s="1"/>
      <c r="BDY1627" s="1"/>
      <c r="BDZ1627" s="1"/>
      <c r="BEA1627" s="1"/>
      <c r="BEB1627" s="1"/>
      <c r="BEC1627" s="1"/>
      <c r="BED1627" s="1"/>
      <c r="BEE1627" s="1"/>
      <c r="BEF1627" s="1"/>
      <c r="BEG1627" s="1"/>
      <c r="BEH1627" s="1"/>
      <c r="BEI1627" s="1"/>
      <c r="BEJ1627" s="1"/>
      <c r="BEK1627" s="1"/>
      <c r="BEL1627" s="1"/>
      <c r="BEM1627" s="1"/>
      <c r="BEN1627" s="1"/>
      <c r="BEO1627" s="1"/>
      <c r="BEP1627" s="1"/>
      <c r="BEQ1627" s="1"/>
      <c r="BER1627" s="1"/>
      <c r="BES1627" s="1"/>
      <c r="BET1627" s="1"/>
      <c r="BEU1627" s="1"/>
      <c r="BEV1627" s="1"/>
      <c r="BEW1627" s="1"/>
      <c r="BEX1627" s="1"/>
      <c r="BEY1627" s="1"/>
      <c r="BEZ1627" s="1"/>
      <c r="BFA1627" s="1"/>
      <c r="BFB1627" s="1"/>
      <c r="BFC1627" s="1"/>
      <c r="BFD1627" s="1"/>
      <c r="BFE1627" s="1"/>
      <c r="BFF1627" s="1"/>
      <c r="BFG1627" s="1"/>
      <c r="BFH1627" s="1"/>
      <c r="BFI1627" s="1"/>
      <c r="BFJ1627" s="1"/>
      <c r="BFK1627" s="1"/>
      <c r="BFL1627" s="1"/>
      <c r="BFM1627" s="1"/>
      <c r="BFN1627" s="1"/>
      <c r="BFO1627" s="1"/>
      <c r="BFP1627" s="1"/>
      <c r="BFQ1627" s="1"/>
      <c r="BFR1627" s="1"/>
      <c r="BFS1627" s="1"/>
      <c r="BFT1627" s="1"/>
      <c r="BFU1627" s="1"/>
      <c r="BFV1627" s="1"/>
      <c r="BFW1627" s="1"/>
      <c r="BFX1627" s="1"/>
      <c r="BFY1627" s="1"/>
      <c r="BFZ1627" s="1"/>
      <c r="BGA1627" s="1"/>
      <c r="BGB1627" s="1"/>
      <c r="BGC1627" s="1"/>
      <c r="BGD1627" s="1"/>
      <c r="BGE1627" s="1"/>
      <c r="BGF1627" s="1"/>
      <c r="BGG1627" s="1"/>
      <c r="BGH1627" s="1"/>
      <c r="BGI1627" s="1"/>
      <c r="BGJ1627" s="1"/>
      <c r="BGK1627" s="1"/>
      <c r="BGL1627" s="1"/>
      <c r="BGM1627" s="1"/>
      <c r="BGN1627" s="1"/>
      <c r="BGO1627" s="1"/>
      <c r="BGP1627" s="1"/>
      <c r="BGQ1627" s="1"/>
      <c r="BGR1627" s="1"/>
      <c r="BGS1627" s="1"/>
      <c r="BGT1627" s="1"/>
      <c r="BGU1627" s="1"/>
      <c r="BGV1627" s="1"/>
      <c r="BGW1627" s="1"/>
      <c r="BGX1627" s="1"/>
      <c r="BGY1627" s="1"/>
      <c r="BGZ1627" s="1"/>
      <c r="BHA1627" s="1"/>
      <c r="BHB1627" s="1"/>
      <c r="BHC1627" s="1"/>
      <c r="BHD1627" s="1"/>
      <c r="BHE1627" s="1"/>
      <c r="BHF1627" s="1"/>
      <c r="BHG1627" s="1"/>
      <c r="BHH1627" s="1"/>
      <c r="BHI1627" s="1"/>
      <c r="BHJ1627" s="1"/>
      <c r="BHK1627" s="1"/>
      <c r="BHL1627" s="1"/>
      <c r="BHM1627" s="1"/>
      <c r="BHN1627" s="1"/>
      <c r="BHO1627" s="1"/>
      <c r="BHP1627" s="1"/>
      <c r="BHQ1627" s="1"/>
      <c r="BHR1627" s="1"/>
      <c r="BHS1627" s="1"/>
      <c r="BHT1627" s="1"/>
      <c r="BHU1627" s="1"/>
      <c r="BHV1627" s="1"/>
      <c r="BHW1627" s="1"/>
      <c r="BHX1627" s="1"/>
      <c r="BHY1627" s="1"/>
      <c r="BHZ1627" s="1"/>
      <c r="BIA1627" s="1"/>
      <c r="BIB1627" s="1"/>
      <c r="BIC1627" s="1"/>
      <c r="BID1627" s="1"/>
      <c r="BIE1627" s="1"/>
      <c r="BIF1627" s="1"/>
      <c r="BIG1627" s="1"/>
      <c r="BIH1627" s="1"/>
      <c r="BII1627" s="1"/>
      <c r="BIJ1627" s="1"/>
      <c r="BIK1627" s="1"/>
      <c r="BIL1627" s="1"/>
      <c r="BIM1627" s="1"/>
      <c r="BIN1627" s="1"/>
      <c r="BIO1627" s="1"/>
      <c r="BIP1627" s="1"/>
      <c r="BIQ1627" s="1"/>
      <c r="BIR1627" s="1"/>
      <c r="BIS1627" s="1"/>
      <c r="BIT1627" s="1"/>
      <c r="BIU1627" s="1"/>
      <c r="BIV1627" s="1"/>
      <c r="BIW1627" s="1"/>
      <c r="BIX1627" s="1"/>
      <c r="BIY1627" s="1"/>
      <c r="BIZ1627" s="1"/>
      <c r="BJA1627" s="1"/>
      <c r="BJB1627" s="1"/>
      <c r="BJC1627" s="1"/>
      <c r="BJD1627" s="1"/>
      <c r="BJE1627" s="1"/>
      <c r="BJF1627" s="1"/>
      <c r="BJG1627" s="1"/>
      <c r="BJH1627" s="1"/>
      <c r="BJI1627" s="1"/>
      <c r="BJJ1627" s="1"/>
      <c r="BJK1627" s="1"/>
      <c r="BJL1627" s="1"/>
      <c r="BJM1627" s="1"/>
      <c r="BJN1627" s="1"/>
      <c r="BJO1627" s="1"/>
      <c r="BJP1627" s="1"/>
      <c r="BJQ1627" s="1"/>
      <c r="BJR1627" s="1"/>
      <c r="BJS1627" s="1"/>
      <c r="BJT1627" s="1"/>
      <c r="BJU1627" s="1"/>
      <c r="BJV1627" s="1"/>
      <c r="BJW1627" s="1"/>
      <c r="BJX1627" s="1"/>
      <c r="BJY1627" s="1"/>
      <c r="BJZ1627" s="1"/>
      <c r="BKA1627" s="1"/>
      <c r="BKB1627" s="1"/>
      <c r="BKC1627" s="1"/>
      <c r="BKD1627" s="1"/>
      <c r="BKE1627" s="1"/>
      <c r="BKF1627" s="1"/>
      <c r="BKG1627" s="1"/>
      <c r="BKH1627" s="1"/>
      <c r="BKI1627" s="1"/>
      <c r="BKJ1627" s="1"/>
      <c r="BKK1627" s="1"/>
      <c r="BKL1627" s="1"/>
      <c r="BKM1627" s="1"/>
      <c r="BKN1627" s="1"/>
      <c r="BKO1627" s="1"/>
      <c r="BKP1627" s="1"/>
      <c r="BKQ1627" s="1"/>
      <c r="BKR1627" s="1"/>
      <c r="BKS1627" s="1"/>
      <c r="BKT1627" s="1"/>
      <c r="BKU1627" s="1"/>
      <c r="BKV1627" s="1"/>
      <c r="BKW1627" s="1"/>
      <c r="BKX1627" s="1"/>
      <c r="BKY1627" s="1"/>
      <c r="BKZ1627" s="1"/>
      <c r="BLA1627" s="1"/>
      <c r="BLB1627" s="1"/>
      <c r="BLC1627" s="1"/>
      <c r="BLD1627" s="1"/>
      <c r="BLE1627" s="1"/>
      <c r="BLF1627" s="1"/>
      <c r="BLG1627" s="1"/>
      <c r="BLH1627" s="1"/>
      <c r="BLI1627" s="1"/>
      <c r="BLJ1627" s="1"/>
      <c r="BLK1627" s="1"/>
      <c r="BLL1627" s="1"/>
      <c r="BLM1627" s="1"/>
      <c r="BLN1627" s="1"/>
      <c r="BLO1627" s="1"/>
      <c r="BLP1627" s="1"/>
      <c r="BLQ1627" s="1"/>
      <c r="BLR1627" s="1"/>
      <c r="BLS1627" s="1"/>
      <c r="BLT1627" s="1"/>
      <c r="BLU1627" s="1"/>
      <c r="BLV1627" s="1"/>
      <c r="BLW1627" s="1"/>
      <c r="BLX1627" s="1"/>
      <c r="BLY1627" s="1"/>
      <c r="BLZ1627" s="1"/>
      <c r="BMA1627" s="1"/>
      <c r="BMB1627" s="1"/>
      <c r="BMC1627" s="1"/>
      <c r="BMD1627" s="1"/>
      <c r="BME1627" s="1"/>
      <c r="BMF1627" s="1"/>
      <c r="BMG1627" s="1"/>
      <c r="BMH1627" s="1"/>
      <c r="BMI1627" s="1"/>
      <c r="BMJ1627" s="1"/>
      <c r="BMK1627" s="1"/>
      <c r="BML1627" s="1"/>
      <c r="BMM1627" s="1"/>
      <c r="BMN1627" s="1"/>
      <c r="BMO1627" s="1"/>
      <c r="BMP1627" s="1"/>
      <c r="BMQ1627" s="1"/>
      <c r="BMR1627" s="1"/>
      <c r="BMS1627" s="1"/>
      <c r="BMT1627" s="1"/>
      <c r="BMU1627" s="1"/>
      <c r="BMV1627" s="1"/>
      <c r="BMW1627" s="1"/>
      <c r="BMX1627" s="1"/>
      <c r="BMY1627" s="1"/>
      <c r="BMZ1627" s="1"/>
      <c r="BNA1627" s="1"/>
      <c r="BNB1627" s="1"/>
      <c r="BNC1627" s="1"/>
      <c r="BND1627" s="1"/>
      <c r="BNE1627" s="1"/>
      <c r="BNF1627" s="1"/>
      <c r="BNG1627" s="1"/>
      <c r="BNH1627" s="1"/>
      <c r="BNI1627" s="1"/>
      <c r="BNJ1627" s="1"/>
      <c r="BNK1627" s="1"/>
      <c r="BNL1627" s="1"/>
      <c r="BNM1627" s="1"/>
      <c r="BNN1627" s="1"/>
      <c r="BNO1627" s="1"/>
      <c r="BNP1627" s="1"/>
      <c r="BNQ1627" s="1"/>
      <c r="BNR1627" s="1"/>
      <c r="BNS1627" s="1"/>
      <c r="BNT1627" s="1"/>
      <c r="BNU1627" s="1"/>
      <c r="BNV1627" s="1"/>
      <c r="BNW1627" s="1"/>
      <c r="BNX1627" s="1"/>
      <c r="BNY1627" s="1"/>
      <c r="BNZ1627" s="1"/>
      <c r="BOA1627" s="1"/>
      <c r="BOB1627" s="1"/>
      <c r="BOC1627" s="1"/>
      <c r="BOD1627" s="1"/>
      <c r="BOE1627" s="1"/>
      <c r="BOF1627" s="1"/>
      <c r="BOG1627" s="1"/>
      <c r="BOH1627" s="1"/>
      <c r="BOI1627" s="1"/>
      <c r="BOJ1627" s="1"/>
      <c r="BOK1627" s="1"/>
      <c r="BOL1627" s="1"/>
      <c r="BOM1627" s="1"/>
      <c r="BON1627" s="1"/>
      <c r="BOO1627" s="1"/>
      <c r="BOP1627" s="1"/>
      <c r="BOQ1627" s="1"/>
      <c r="BOR1627" s="1"/>
      <c r="BOS1627" s="1"/>
      <c r="BOT1627" s="1"/>
      <c r="BOU1627" s="1"/>
      <c r="BOV1627" s="1"/>
      <c r="BOW1627" s="1"/>
      <c r="BOX1627" s="1"/>
      <c r="BOY1627" s="1"/>
      <c r="BOZ1627" s="1"/>
      <c r="BPA1627" s="1"/>
      <c r="BPB1627" s="1"/>
      <c r="BPC1627" s="1"/>
      <c r="BPD1627" s="1"/>
      <c r="BPE1627" s="1"/>
      <c r="BPF1627" s="1"/>
      <c r="BPG1627" s="1"/>
      <c r="BPH1627" s="1"/>
      <c r="BPI1627" s="1"/>
      <c r="BPJ1627" s="1"/>
      <c r="BPK1627" s="1"/>
      <c r="BPL1627" s="1"/>
      <c r="BPM1627" s="1"/>
      <c r="BPN1627" s="1"/>
      <c r="BPO1627" s="1"/>
      <c r="BPP1627" s="1"/>
      <c r="BPQ1627" s="1"/>
      <c r="BPR1627" s="1"/>
      <c r="BPS1627" s="1"/>
      <c r="BPT1627" s="1"/>
      <c r="BPU1627" s="1"/>
      <c r="BPV1627" s="1"/>
      <c r="BPW1627" s="1"/>
      <c r="BPX1627" s="1"/>
      <c r="BPY1627" s="1"/>
      <c r="BPZ1627" s="1"/>
      <c r="BQA1627" s="1"/>
      <c r="BQB1627" s="1"/>
      <c r="BQC1627" s="1"/>
      <c r="BQD1627" s="1"/>
      <c r="BQE1627" s="1"/>
      <c r="BQF1627" s="1"/>
      <c r="BQG1627" s="1"/>
      <c r="BQH1627" s="1"/>
      <c r="BQI1627" s="1"/>
      <c r="BQJ1627" s="1"/>
      <c r="BQK1627" s="1"/>
      <c r="BQL1627" s="1"/>
      <c r="BQM1627" s="1"/>
      <c r="BQN1627" s="1"/>
      <c r="BQO1627" s="1"/>
      <c r="BQP1627" s="1"/>
      <c r="BQQ1627" s="1"/>
      <c r="BQR1627" s="1"/>
      <c r="BQS1627" s="1"/>
      <c r="BQT1627" s="1"/>
      <c r="BQU1627" s="1"/>
      <c r="BQV1627" s="1"/>
      <c r="BQW1627" s="1"/>
      <c r="BQX1627" s="1"/>
      <c r="BQY1627" s="1"/>
      <c r="BQZ1627" s="1"/>
      <c r="BRA1627" s="1"/>
      <c r="BRB1627" s="1"/>
      <c r="BRC1627" s="1"/>
      <c r="BRD1627" s="1"/>
      <c r="BRE1627" s="1"/>
      <c r="BRF1627" s="1"/>
      <c r="BRG1627" s="1"/>
      <c r="BRH1627" s="1"/>
      <c r="BRI1627" s="1"/>
      <c r="BRJ1627" s="1"/>
      <c r="BRK1627" s="1"/>
      <c r="BRL1627" s="1"/>
      <c r="BRM1627" s="1"/>
      <c r="BRN1627" s="1"/>
      <c r="BRO1627" s="1"/>
      <c r="BRP1627" s="1"/>
      <c r="BRQ1627" s="1"/>
      <c r="BRR1627" s="1"/>
      <c r="BRS1627" s="1"/>
      <c r="BRT1627" s="1"/>
      <c r="BRU1627" s="1"/>
      <c r="BRV1627" s="1"/>
      <c r="BRW1627" s="1"/>
      <c r="BRX1627" s="1"/>
      <c r="BRY1627" s="1"/>
      <c r="BRZ1627" s="1"/>
      <c r="BSA1627" s="1"/>
      <c r="BSB1627" s="1"/>
      <c r="BSC1627" s="1"/>
      <c r="BSD1627" s="1"/>
      <c r="BSE1627" s="1"/>
      <c r="BSF1627" s="1"/>
      <c r="BSG1627" s="1"/>
      <c r="BSH1627" s="1"/>
      <c r="BSI1627" s="1"/>
      <c r="BSJ1627" s="1"/>
      <c r="BSK1627" s="1"/>
      <c r="BSL1627" s="1"/>
      <c r="BSM1627" s="1"/>
      <c r="BSN1627" s="1"/>
      <c r="BSO1627" s="1"/>
      <c r="BSP1627" s="1"/>
      <c r="BSQ1627" s="1"/>
      <c r="BSR1627" s="1"/>
      <c r="BSS1627" s="1"/>
      <c r="BST1627" s="1"/>
      <c r="BSU1627" s="1"/>
      <c r="BSV1627" s="1"/>
      <c r="BSW1627" s="1"/>
      <c r="BSX1627" s="1"/>
      <c r="BSY1627" s="1"/>
      <c r="BSZ1627" s="1"/>
      <c r="BTA1627" s="1"/>
      <c r="BTB1627" s="1"/>
      <c r="BTC1627" s="1"/>
      <c r="BTD1627" s="1"/>
      <c r="BTE1627" s="1"/>
      <c r="BTF1627" s="1"/>
      <c r="BTG1627" s="1"/>
      <c r="BTH1627" s="1"/>
      <c r="BTI1627" s="1"/>
      <c r="BTJ1627" s="1"/>
      <c r="BTK1627" s="1"/>
      <c r="BTL1627" s="1"/>
      <c r="BTM1627" s="1"/>
      <c r="BTN1627" s="1"/>
      <c r="BTO1627" s="1"/>
      <c r="BTP1627" s="1"/>
      <c r="BTQ1627" s="1"/>
      <c r="BTR1627" s="1"/>
      <c r="BTS1627" s="1"/>
      <c r="BTT1627" s="1"/>
      <c r="BTU1627" s="1"/>
      <c r="BTV1627" s="1"/>
      <c r="BTW1627" s="1"/>
      <c r="BTX1627" s="1"/>
      <c r="BTY1627" s="1"/>
      <c r="BTZ1627" s="1"/>
      <c r="BUA1627" s="1"/>
      <c r="BUB1627" s="1"/>
      <c r="BUC1627" s="1"/>
      <c r="BUD1627" s="1"/>
      <c r="BUE1627" s="1"/>
      <c r="BUF1627" s="1"/>
      <c r="BUG1627" s="1"/>
      <c r="BUH1627" s="1"/>
      <c r="BUI1627" s="1"/>
      <c r="BUJ1627" s="1"/>
      <c r="BUK1627" s="1"/>
      <c r="BUL1627" s="1"/>
      <c r="BUM1627" s="1"/>
      <c r="BUN1627" s="1"/>
      <c r="BUO1627" s="1"/>
      <c r="BUP1627" s="1"/>
      <c r="BUQ1627" s="1"/>
      <c r="BUR1627" s="1"/>
      <c r="BUS1627" s="1"/>
      <c r="BUT1627" s="1"/>
      <c r="BUU1627" s="1"/>
      <c r="BUV1627" s="1"/>
      <c r="BUW1627" s="1"/>
      <c r="BUX1627" s="1"/>
      <c r="BUY1627" s="1"/>
      <c r="BUZ1627" s="1"/>
      <c r="BVA1627" s="1"/>
      <c r="BVB1627" s="1"/>
      <c r="BVC1627" s="1"/>
      <c r="BVD1627" s="1"/>
      <c r="BVE1627" s="1"/>
      <c r="BVF1627" s="1"/>
      <c r="BVG1627" s="1"/>
      <c r="BVH1627" s="1"/>
      <c r="BVI1627" s="1"/>
      <c r="BVJ1627" s="1"/>
      <c r="BVK1627" s="1"/>
      <c r="BVL1627" s="1"/>
      <c r="BVM1627" s="1"/>
      <c r="BVN1627" s="1"/>
      <c r="BVO1627" s="1"/>
      <c r="BVP1627" s="1"/>
      <c r="BVQ1627" s="1"/>
      <c r="BVR1627" s="1"/>
      <c r="BVS1627" s="1"/>
      <c r="BVT1627" s="1"/>
      <c r="BVU1627" s="1"/>
      <c r="BVV1627" s="1"/>
      <c r="BVW1627" s="1"/>
      <c r="BVX1627" s="1"/>
      <c r="BVY1627" s="1"/>
      <c r="BVZ1627" s="1"/>
      <c r="BWA1627" s="1"/>
      <c r="BWB1627" s="1"/>
      <c r="BWC1627" s="1"/>
      <c r="BWD1627" s="1"/>
      <c r="BWE1627" s="1"/>
      <c r="BWF1627" s="1"/>
      <c r="BWG1627" s="1"/>
      <c r="BWH1627" s="1"/>
      <c r="BWI1627" s="1"/>
      <c r="BWJ1627" s="1"/>
      <c r="BWK1627" s="1"/>
      <c r="BWL1627" s="1"/>
      <c r="BWM1627" s="1"/>
      <c r="BWN1627" s="1"/>
      <c r="BWO1627" s="1"/>
      <c r="BWP1627" s="1"/>
      <c r="BWQ1627" s="1"/>
      <c r="BWR1627" s="1"/>
      <c r="BWS1627" s="1"/>
      <c r="BWT1627" s="1"/>
      <c r="BWU1627" s="1"/>
      <c r="BWV1627" s="1"/>
      <c r="BWW1627" s="1"/>
      <c r="BWX1627" s="1"/>
      <c r="BWY1627" s="1"/>
      <c r="BWZ1627" s="1"/>
      <c r="BXA1627" s="1"/>
      <c r="BXB1627" s="1"/>
      <c r="BXC1627" s="1"/>
      <c r="BXD1627" s="1"/>
      <c r="BXE1627" s="1"/>
      <c r="BXF1627" s="1"/>
      <c r="BXG1627" s="1"/>
      <c r="BXH1627" s="1"/>
      <c r="BXI1627" s="1"/>
      <c r="BXJ1627" s="1"/>
      <c r="BXK1627" s="1"/>
      <c r="BXL1627" s="1"/>
      <c r="BXM1627" s="1"/>
      <c r="BXN1627" s="1"/>
      <c r="BXO1627" s="1"/>
      <c r="BXP1627" s="1"/>
      <c r="BXQ1627" s="1"/>
      <c r="BXR1627" s="1"/>
      <c r="BXS1627" s="1"/>
      <c r="BXT1627" s="1"/>
      <c r="BXU1627" s="1"/>
      <c r="BXV1627" s="1"/>
      <c r="BXW1627" s="1"/>
      <c r="BXX1627" s="1"/>
      <c r="BXY1627" s="1"/>
      <c r="BXZ1627" s="1"/>
      <c r="BYA1627" s="1"/>
      <c r="BYB1627" s="1"/>
      <c r="BYC1627" s="1"/>
      <c r="BYD1627" s="1"/>
      <c r="BYE1627" s="1"/>
      <c r="BYF1627" s="1"/>
      <c r="BYG1627" s="1"/>
      <c r="BYH1627" s="1"/>
      <c r="BYI1627" s="1"/>
      <c r="BYJ1627" s="1"/>
      <c r="BYK1627" s="1"/>
      <c r="BYL1627" s="1"/>
      <c r="BYM1627" s="1"/>
      <c r="BYN1627" s="1"/>
      <c r="BYO1627" s="1"/>
      <c r="BYP1627" s="1"/>
      <c r="BYQ1627" s="1"/>
      <c r="BYR1627" s="1"/>
      <c r="BYS1627" s="1"/>
      <c r="BYT1627" s="1"/>
      <c r="BYU1627" s="1"/>
      <c r="BYV1627" s="1"/>
      <c r="BYW1627" s="1"/>
      <c r="BYX1627" s="1"/>
      <c r="BYY1627" s="1"/>
      <c r="BYZ1627" s="1"/>
      <c r="BZA1627" s="1"/>
      <c r="BZB1627" s="1"/>
      <c r="BZC1627" s="1"/>
      <c r="BZD1627" s="1"/>
      <c r="BZE1627" s="1"/>
      <c r="BZF1627" s="1"/>
      <c r="BZG1627" s="1"/>
      <c r="BZH1627" s="1"/>
      <c r="BZI1627" s="1"/>
      <c r="BZJ1627" s="1"/>
      <c r="BZK1627" s="1"/>
      <c r="BZL1627" s="1"/>
      <c r="BZM1627" s="1"/>
      <c r="BZN1627" s="1"/>
      <c r="BZO1627" s="1"/>
      <c r="BZP1627" s="1"/>
      <c r="BZQ1627" s="1"/>
      <c r="BZR1627" s="1"/>
      <c r="BZS1627" s="1"/>
      <c r="BZT1627" s="1"/>
      <c r="BZU1627" s="1"/>
      <c r="BZV1627" s="1"/>
      <c r="BZW1627" s="1"/>
      <c r="BZX1627" s="1"/>
      <c r="BZY1627" s="1"/>
      <c r="BZZ1627" s="1"/>
      <c r="CAA1627" s="1"/>
      <c r="CAB1627" s="1"/>
      <c r="CAC1627" s="1"/>
      <c r="CAD1627" s="1"/>
      <c r="CAE1627" s="1"/>
      <c r="CAF1627" s="1"/>
      <c r="CAG1627" s="1"/>
      <c r="CAH1627" s="1"/>
      <c r="CAI1627" s="1"/>
      <c r="CAJ1627" s="1"/>
      <c r="CAK1627" s="1"/>
      <c r="CAL1627" s="1"/>
      <c r="CAM1627" s="1"/>
      <c r="CAN1627" s="1"/>
      <c r="CAO1627" s="1"/>
      <c r="CAP1627" s="1"/>
      <c r="CAQ1627" s="1"/>
      <c r="CAR1627" s="1"/>
      <c r="CAS1627" s="1"/>
      <c r="CAT1627" s="1"/>
      <c r="CAU1627" s="1"/>
      <c r="CAV1627" s="1"/>
      <c r="CAW1627" s="1"/>
      <c r="CAX1627" s="1"/>
      <c r="CAY1627" s="1"/>
      <c r="CAZ1627" s="1"/>
      <c r="CBA1627" s="1"/>
      <c r="CBB1627" s="1"/>
      <c r="CBC1627" s="1"/>
      <c r="CBD1627" s="1"/>
      <c r="CBE1627" s="1"/>
      <c r="CBF1627" s="1"/>
      <c r="CBG1627" s="1"/>
      <c r="CBH1627" s="1"/>
      <c r="CBI1627" s="1"/>
      <c r="CBJ1627" s="1"/>
      <c r="CBK1627" s="1"/>
      <c r="CBL1627" s="1"/>
      <c r="CBM1627" s="1"/>
      <c r="CBN1627" s="1"/>
      <c r="CBO1627" s="1"/>
      <c r="CBP1627" s="1"/>
      <c r="CBQ1627" s="1"/>
      <c r="CBR1627" s="1"/>
      <c r="CBS1627" s="1"/>
      <c r="CBT1627" s="1"/>
      <c r="CBU1627" s="1"/>
      <c r="CBV1627" s="1"/>
      <c r="CBW1627" s="1"/>
      <c r="CBX1627" s="1"/>
      <c r="CBY1627" s="1"/>
      <c r="CBZ1627" s="1"/>
      <c r="CCA1627" s="1"/>
      <c r="CCB1627" s="1"/>
      <c r="CCC1627" s="1"/>
      <c r="CCD1627" s="1"/>
      <c r="CCE1627" s="1"/>
      <c r="CCF1627" s="1"/>
      <c r="CCG1627" s="1"/>
      <c r="CCH1627" s="1"/>
      <c r="CCI1627" s="1"/>
      <c r="CCJ1627" s="1"/>
      <c r="CCK1627" s="1"/>
      <c r="CCL1627" s="1"/>
      <c r="CCM1627" s="1"/>
      <c r="CCN1627" s="1"/>
      <c r="CCO1627" s="1"/>
      <c r="CCP1627" s="1"/>
      <c r="CCQ1627" s="1"/>
      <c r="CCR1627" s="1"/>
      <c r="CCS1627" s="1"/>
      <c r="CCT1627" s="1"/>
      <c r="CCU1627" s="1"/>
      <c r="CCV1627" s="1"/>
      <c r="CCW1627" s="1"/>
      <c r="CCX1627" s="1"/>
      <c r="CCY1627" s="1"/>
      <c r="CCZ1627" s="1"/>
      <c r="CDA1627" s="1"/>
      <c r="CDB1627" s="1"/>
      <c r="CDC1627" s="1"/>
      <c r="CDD1627" s="1"/>
      <c r="CDE1627" s="1"/>
      <c r="CDF1627" s="1"/>
      <c r="CDG1627" s="1"/>
      <c r="CDH1627" s="1"/>
      <c r="CDI1627" s="1"/>
      <c r="CDJ1627" s="1"/>
      <c r="CDK1627" s="1"/>
      <c r="CDL1627" s="1"/>
      <c r="CDM1627" s="1"/>
      <c r="CDN1627" s="1"/>
      <c r="CDO1627" s="1"/>
      <c r="CDP1627" s="1"/>
      <c r="CDQ1627" s="1"/>
      <c r="CDR1627" s="1"/>
      <c r="CDS1627" s="1"/>
      <c r="CDT1627" s="1"/>
      <c r="CDU1627" s="1"/>
      <c r="CDV1627" s="1"/>
      <c r="CDW1627" s="1"/>
      <c r="CDX1627" s="1"/>
      <c r="CDY1627" s="1"/>
      <c r="CDZ1627" s="1"/>
      <c r="CEA1627" s="1"/>
      <c r="CEB1627" s="1"/>
      <c r="CEC1627" s="1"/>
      <c r="CED1627" s="1"/>
      <c r="CEE1627" s="1"/>
      <c r="CEF1627" s="1"/>
      <c r="CEG1627" s="1"/>
      <c r="CEH1627" s="1"/>
      <c r="CEI1627" s="1"/>
      <c r="CEJ1627" s="1"/>
      <c r="CEK1627" s="1"/>
      <c r="CEL1627" s="1"/>
      <c r="CEM1627" s="1"/>
      <c r="CEN1627" s="1"/>
      <c r="CEO1627" s="1"/>
      <c r="CEP1627" s="1"/>
      <c r="CEQ1627" s="1"/>
      <c r="CER1627" s="1"/>
      <c r="CES1627" s="1"/>
      <c r="CET1627" s="1"/>
      <c r="CEU1627" s="1"/>
      <c r="CEV1627" s="1"/>
      <c r="CEW1627" s="1"/>
      <c r="CEX1627" s="1"/>
      <c r="CEY1627" s="1"/>
      <c r="CEZ1627" s="1"/>
      <c r="CFA1627" s="1"/>
      <c r="CFB1627" s="1"/>
      <c r="CFC1627" s="1"/>
      <c r="CFD1627" s="1"/>
      <c r="CFE1627" s="1"/>
      <c r="CFF1627" s="1"/>
      <c r="CFG1627" s="1"/>
      <c r="CFH1627" s="1"/>
      <c r="CFI1627" s="1"/>
      <c r="CFJ1627" s="1"/>
      <c r="CFK1627" s="1"/>
      <c r="CFL1627" s="1"/>
      <c r="CFM1627" s="1"/>
      <c r="CFN1627" s="1"/>
      <c r="CFO1627" s="1"/>
      <c r="CFP1627" s="1"/>
      <c r="CFQ1627" s="1"/>
      <c r="CFR1627" s="1"/>
      <c r="CFS1627" s="1"/>
      <c r="CFT1627" s="1"/>
      <c r="CFU1627" s="1"/>
      <c r="CFV1627" s="1"/>
      <c r="CFW1627" s="1"/>
      <c r="CFX1627" s="1"/>
      <c r="CFY1627" s="1"/>
      <c r="CFZ1627" s="1"/>
      <c r="CGA1627" s="1"/>
      <c r="CGB1627" s="1"/>
      <c r="CGC1627" s="1"/>
      <c r="CGD1627" s="1"/>
      <c r="CGE1627" s="1"/>
      <c r="CGF1627" s="1"/>
      <c r="CGG1627" s="1"/>
      <c r="CGH1627" s="1"/>
      <c r="CGI1627" s="1"/>
      <c r="CGJ1627" s="1"/>
      <c r="CGK1627" s="1"/>
      <c r="CGL1627" s="1"/>
      <c r="CGM1627" s="1"/>
      <c r="CGN1627" s="1"/>
      <c r="CGO1627" s="1"/>
      <c r="CGP1627" s="1"/>
      <c r="CGQ1627" s="1"/>
      <c r="CGR1627" s="1"/>
      <c r="CGS1627" s="1"/>
      <c r="CGT1627" s="1"/>
      <c r="CGU1627" s="1"/>
      <c r="CGV1627" s="1"/>
      <c r="CGW1627" s="1"/>
      <c r="CGX1627" s="1"/>
      <c r="CGY1627" s="1"/>
      <c r="CGZ1627" s="1"/>
      <c r="CHA1627" s="1"/>
      <c r="CHB1627" s="1"/>
      <c r="CHC1627" s="1"/>
      <c r="CHD1627" s="1"/>
      <c r="CHE1627" s="1"/>
      <c r="CHF1627" s="1"/>
      <c r="CHG1627" s="1"/>
      <c r="CHH1627" s="1"/>
      <c r="CHI1627" s="1"/>
      <c r="CHJ1627" s="1"/>
      <c r="CHK1627" s="1"/>
      <c r="CHL1627" s="1"/>
      <c r="CHM1627" s="1"/>
      <c r="CHN1627" s="1"/>
      <c r="CHO1627" s="1"/>
      <c r="CHP1627" s="1"/>
      <c r="CHQ1627" s="1"/>
      <c r="CHR1627" s="1"/>
      <c r="CHS1627" s="1"/>
      <c r="CHT1627" s="1"/>
      <c r="CHU1627" s="1"/>
      <c r="CHV1627" s="1"/>
      <c r="CHW1627" s="1"/>
      <c r="CHX1627" s="1"/>
      <c r="CHY1627" s="1"/>
      <c r="CHZ1627" s="1"/>
      <c r="CIA1627" s="1"/>
      <c r="CIB1627" s="1"/>
      <c r="CIC1627" s="1"/>
      <c r="CID1627" s="1"/>
      <c r="CIE1627" s="1"/>
      <c r="CIF1627" s="1"/>
      <c r="CIG1627" s="1"/>
      <c r="CIH1627" s="1"/>
      <c r="CII1627" s="1"/>
      <c r="CIJ1627" s="1"/>
      <c r="CIK1627" s="1"/>
      <c r="CIL1627" s="1"/>
      <c r="CIM1627" s="1"/>
      <c r="CIN1627" s="1"/>
      <c r="CIO1627" s="1"/>
      <c r="CIP1627" s="1"/>
      <c r="CIQ1627" s="1"/>
      <c r="CIR1627" s="1"/>
      <c r="CIS1627" s="1"/>
      <c r="CIT1627" s="1"/>
      <c r="CIU1627" s="1"/>
      <c r="CIV1627" s="1"/>
      <c r="CIW1627" s="1"/>
      <c r="CIX1627" s="1"/>
      <c r="CIY1627" s="1"/>
      <c r="CIZ1627" s="1"/>
      <c r="CJA1627" s="1"/>
      <c r="CJB1627" s="1"/>
      <c r="CJC1627" s="1"/>
      <c r="CJD1627" s="1"/>
      <c r="CJE1627" s="1"/>
      <c r="CJF1627" s="1"/>
      <c r="CJG1627" s="1"/>
      <c r="CJH1627" s="1"/>
      <c r="CJI1627" s="1"/>
      <c r="CJJ1627" s="1"/>
      <c r="CJK1627" s="1"/>
      <c r="CJL1627" s="1"/>
      <c r="CJM1627" s="1"/>
      <c r="CJN1627" s="1"/>
      <c r="CJO1627" s="1"/>
      <c r="CJP1627" s="1"/>
      <c r="CJQ1627" s="1"/>
      <c r="CJR1627" s="1"/>
      <c r="CJS1627" s="1"/>
      <c r="CJT1627" s="1"/>
      <c r="CJU1627" s="1"/>
      <c r="CJV1627" s="1"/>
      <c r="CJW1627" s="1"/>
      <c r="CJX1627" s="1"/>
      <c r="CJY1627" s="1"/>
      <c r="CJZ1627" s="1"/>
      <c r="CKA1627" s="1"/>
      <c r="CKB1627" s="1"/>
      <c r="CKC1627" s="1"/>
      <c r="CKD1627" s="1"/>
      <c r="CKE1627" s="1"/>
      <c r="CKF1627" s="1"/>
      <c r="CKG1627" s="1"/>
      <c r="CKH1627" s="1"/>
      <c r="CKI1627" s="1"/>
      <c r="CKJ1627" s="1"/>
      <c r="CKK1627" s="1"/>
      <c r="CKL1627" s="1"/>
      <c r="CKM1627" s="1"/>
      <c r="CKN1627" s="1"/>
      <c r="CKO1627" s="1"/>
      <c r="CKP1627" s="1"/>
      <c r="CKQ1627" s="1"/>
      <c r="CKR1627" s="1"/>
      <c r="CKS1627" s="1"/>
      <c r="CKT1627" s="1"/>
      <c r="CKU1627" s="1"/>
      <c r="CKV1627" s="1"/>
      <c r="CKW1627" s="1"/>
      <c r="CKX1627" s="1"/>
      <c r="CKY1627" s="1"/>
      <c r="CKZ1627" s="1"/>
      <c r="CLA1627" s="1"/>
      <c r="CLB1627" s="1"/>
      <c r="CLC1627" s="1"/>
      <c r="CLD1627" s="1"/>
      <c r="CLE1627" s="1"/>
      <c r="CLF1627" s="1"/>
      <c r="CLG1627" s="1"/>
      <c r="CLH1627" s="1"/>
      <c r="CLI1627" s="1"/>
      <c r="CLJ1627" s="1"/>
      <c r="CLK1627" s="1"/>
      <c r="CLL1627" s="1"/>
      <c r="CLM1627" s="1"/>
      <c r="CLN1627" s="1"/>
      <c r="CLO1627" s="1"/>
      <c r="CLP1627" s="1"/>
      <c r="CLQ1627" s="1"/>
      <c r="CLR1627" s="1"/>
      <c r="CLS1627" s="1"/>
      <c r="CLT1627" s="1"/>
      <c r="CLU1627" s="1"/>
      <c r="CLV1627" s="1"/>
      <c r="CLW1627" s="1"/>
      <c r="CLX1627" s="1"/>
      <c r="CLY1627" s="1"/>
      <c r="CLZ1627" s="1"/>
      <c r="CMA1627" s="1"/>
      <c r="CMB1627" s="1"/>
      <c r="CMC1627" s="1"/>
      <c r="CMD1627" s="1"/>
      <c r="CME1627" s="1"/>
      <c r="CMF1627" s="1"/>
      <c r="CMG1627" s="1"/>
      <c r="CMH1627" s="1"/>
      <c r="CMI1627" s="1"/>
      <c r="CMJ1627" s="1"/>
      <c r="CMK1627" s="1"/>
      <c r="CML1627" s="1"/>
      <c r="CMM1627" s="1"/>
      <c r="CMN1627" s="1"/>
      <c r="CMO1627" s="1"/>
      <c r="CMP1627" s="1"/>
      <c r="CMQ1627" s="1"/>
      <c r="CMR1627" s="1"/>
      <c r="CMS1627" s="1"/>
      <c r="CMT1627" s="1"/>
      <c r="CMU1627" s="1"/>
      <c r="CMV1627" s="1"/>
      <c r="CMW1627" s="1"/>
      <c r="CMX1627" s="1"/>
      <c r="CMY1627" s="1"/>
      <c r="CMZ1627" s="1"/>
      <c r="CNA1627" s="1"/>
      <c r="CNB1627" s="1"/>
      <c r="CNC1627" s="1"/>
      <c r="CND1627" s="1"/>
      <c r="CNE1627" s="1"/>
      <c r="CNF1627" s="1"/>
      <c r="CNG1627" s="1"/>
      <c r="CNH1627" s="1"/>
      <c r="CNI1627" s="1"/>
      <c r="CNJ1627" s="1"/>
      <c r="CNK1627" s="1"/>
      <c r="CNL1627" s="1"/>
      <c r="CNM1627" s="1"/>
      <c r="CNN1627" s="1"/>
      <c r="CNO1627" s="1"/>
      <c r="CNP1627" s="1"/>
      <c r="CNQ1627" s="1"/>
      <c r="CNR1627" s="1"/>
      <c r="CNS1627" s="1"/>
      <c r="CNT1627" s="1"/>
      <c r="CNU1627" s="1"/>
      <c r="CNV1627" s="1"/>
      <c r="CNW1627" s="1"/>
      <c r="CNX1627" s="1"/>
      <c r="CNY1627" s="1"/>
      <c r="CNZ1627" s="1"/>
      <c r="COA1627" s="1"/>
      <c r="COB1627" s="1"/>
      <c r="COC1627" s="1"/>
      <c r="COD1627" s="1"/>
      <c r="COE1627" s="1"/>
      <c r="COF1627" s="1"/>
      <c r="COG1627" s="1"/>
      <c r="COH1627" s="1"/>
      <c r="COI1627" s="1"/>
      <c r="COJ1627" s="1"/>
      <c r="COK1627" s="1"/>
      <c r="COL1627" s="1"/>
      <c r="COM1627" s="1"/>
      <c r="CON1627" s="1"/>
      <c r="COO1627" s="1"/>
      <c r="COP1627" s="1"/>
      <c r="COQ1627" s="1"/>
      <c r="COR1627" s="1"/>
      <c r="COS1627" s="1"/>
      <c r="COT1627" s="1"/>
      <c r="COU1627" s="1"/>
      <c r="COV1627" s="1"/>
      <c r="COW1627" s="1"/>
      <c r="COX1627" s="1"/>
      <c r="COY1627" s="1"/>
      <c r="COZ1627" s="1"/>
      <c r="CPA1627" s="1"/>
      <c r="CPB1627" s="1"/>
      <c r="CPC1627" s="1"/>
      <c r="CPD1627" s="1"/>
      <c r="CPE1627" s="1"/>
      <c r="CPF1627" s="1"/>
      <c r="CPG1627" s="1"/>
      <c r="CPH1627" s="1"/>
      <c r="CPI1627" s="1"/>
      <c r="CPJ1627" s="1"/>
      <c r="CPK1627" s="1"/>
      <c r="CPL1627" s="1"/>
      <c r="CPM1627" s="1"/>
      <c r="CPN1627" s="1"/>
      <c r="CPO1627" s="1"/>
      <c r="CPP1627" s="1"/>
      <c r="CPQ1627" s="1"/>
      <c r="CPR1627" s="1"/>
      <c r="CPS1627" s="1"/>
      <c r="CPT1627" s="1"/>
      <c r="CPU1627" s="1"/>
      <c r="CPV1627" s="1"/>
      <c r="CPW1627" s="1"/>
      <c r="CPX1627" s="1"/>
      <c r="CPY1627" s="1"/>
      <c r="CPZ1627" s="1"/>
      <c r="CQA1627" s="1"/>
      <c r="CQB1627" s="1"/>
      <c r="CQC1627" s="1"/>
      <c r="CQD1627" s="1"/>
      <c r="CQE1627" s="1"/>
      <c r="CQF1627" s="1"/>
      <c r="CQG1627" s="1"/>
      <c r="CQH1627" s="1"/>
      <c r="CQI1627" s="1"/>
      <c r="CQJ1627" s="1"/>
      <c r="CQK1627" s="1"/>
      <c r="CQL1627" s="1"/>
      <c r="CQM1627" s="1"/>
      <c r="CQN1627" s="1"/>
      <c r="CQO1627" s="1"/>
      <c r="CQP1627" s="1"/>
      <c r="CQQ1627" s="1"/>
      <c r="CQR1627" s="1"/>
      <c r="CQS1627" s="1"/>
      <c r="CQT1627" s="1"/>
      <c r="CQU1627" s="1"/>
      <c r="CQV1627" s="1"/>
      <c r="CQW1627" s="1"/>
      <c r="CQX1627" s="1"/>
      <c r="CQY1627" s="1"/>
      <c r="CQZ1627" s="1"/>
      <c r="CRA1627" s="1"/>
      <c r="CRB1627" s="1"/>
      <c r="CRC1627" s="1"/>
      <c r="CRD1627" s="1"/>
      <c r="CRE1627" s="1"/>
      <c r="CRF1627" s="1"/>
      <c r="CRG1627" s="1"/>
      <c r="CRH1627" s="1"/>
      <c r="CRI1627" s="1"/>
      <c r="CRJ1627" s="1"/>
      <c r="CRK1627" s="1"/>
      <c r="CRL1627" s="1"/>
      <c r="CRM1627" s="1"/>
      <c r="CRN1627" s="1"/>
      <c r="CRO1627" s="1"/>
      <c r="CRP1627" s="1"/>
      <c r="CRQ1627" s="1"/>
      <c r="CRR1627" s="1"/>
      <c r="CRS1627" s="1"/>
      <c r="CRT1627" s="1"/>
      <c r="CRU1627" s="1"/>
      <c r="CRV1627" s="1"/>
      <c r="CRW1627" s="1"/>
      <c r="CRX1627" s="1"/>
      <c r="CRY1627" s="1"/>
      <c r="CRZ1627" s="1"/>
      <c r="CSA1627" s="1"/>
      <c r="CSB1627" s="1"/>
      <c r="CSC1627" s="1"/>
      <c r="CSD1627" s="1"/>
      <c r="CSE1627" s="1"/>
      <c r="CSF1627" s="1"/>
      <c r="CSG1627" s="1"/>
      <c r="CSH1627" s="1"/>
      <c r="CSI1627" s="1"/>
      <c r="CSJ1627" s="1"/>
      <c r="CSK1627" s="1"/>
      <c r="CSL1627" s="1"/>
      <c r="CSM1627" s="1"/>
      <c r="CSN1627" s="1"/>
      <c r="CSO1627" s="1"/>
      <c r="CSP1627" s="1"/>
      <c r="CSQ1627" s="1"/>
      <c r="CSR1627" s="1"/>
      <c r="CSS1627" s="1"/>
      <c r="CST1627" s="1"/>
      <c r="CSU1627" s="1"/>
      <c r="CSV1627" s="1"/>
      <c r="CSW1627" s="1"/>
      <c r="CSX1627" s="1"/>
      <c r="CSY1627" s="1"/>
      <c r="CSZ1627" s="1"/>
      <c r="CTA1627" s="1"/>
      <c r="CTB1627" s="1"/>
      <c r="CTC1627" s="1"/>
      <c r="CTD1627" s="1"/>
      <c r="CTE1627" s="1"/>
      <c r="CTF1627" s="1"/>
      <c r="CTG1627" s="1"/>
      <c r="CTH1627" s="1"/>
      <c r="CTI1627" s="1"/>
      <c r="CTJ1627" s="1"/>
      <c r="CTK1627" s="1"/>
      <c r="CTL1627" s="1"/>
      <c r="CTM1627" s="1"/>
      <c r="CTN1627" s="1"/>
      <c r="CTO1627" s="1"/>
      <c r="CTP1627" s="1"/>
      <c r="CTQ1627" s="1"/>
      <c r="CTR1627" s="1"/>
      <c r="CTS1627" s="1"/>
      <c r="CTT1627" s="1"/>
      <c r="CTU1627" s="1"/>
      <c r="CTV1627" s="1"/>
      <c r="CTW1627" s="1"/>
      <c r="CTX1627" s="1"/>
      <c r="CTY1627" s="1"/>
      <c r="CTZ1627" s="1"/>
      <c r="CUA1627" s="1"/>
      <c r="CUB1627" s="1"/>
      <c r="CUC1627" s="1"/>
      <c r="CUD1627" s="1"/>
      <c r="CUE1627" s="1"/>
      <c r="CUF1627" s="1"/>
      <c r="CUG1627" s="1"/>
      <c r="CUH1627" s="1"/>
      <c r="CUI1627" s="1"/>
      <c r="CUJ1627" s="1"/>
      <c r="CUK1627" s="1"/>
      <c r="CUL1627" s="1"/>
      <c r="CUM1627" s="1"/>
      <c r="CUN1627" s="1"/>
      <c r="CUO1627" s="1"/>
      <c r="CUP1627" s="1"/>
      <c r="CUQ1627" s="1"/>
      <c r="CUR1627" s="1"/>
      <c r="CUS1627" s="1"/>
      <c r="CUT1627" s="1"/>
      <c r="CUU1627" s="1"/>
      <c r="CUV1627" s="1"/>
      <c r="CUW1627" s="1"/>
      <c r="CUX1627" s="1"/>
      <c r="CUY1627" s="1"/>
      <c r="CUZ1627" s="1"/>
      <c r="CVA1627" s="1"/>
      <c r="CVB1627" s="1"/>
      <c r="CVC1627" s="1"/>
      <c r="CVD1627" s="1"/>
      <c r="CVE1627" s="1"/>
      <c r="CVF1627" s="1"/>
      <c r="CVG1627" s="1"/>
      <c r="CVH1627" s="1"/>
      <c r="CVI1627" s="1"/>
      <c r="CVJ1627" s="1"/>
      <c r="CVK1627" s="1"/>
      <c r="CVL1627" s="1"/>
      <c r="CVM1627" s="1"/>
      <c r="CVN1627" s="1"/>
      <c r="CVO1627" s="1"/>
      <c r="CVP1627" s="1"/>
      <c r="CVQ1627" s="1"/>
      <c r="CVR1627" s="1"/>
      <c r="CVS1627" s="1"/>
      <c r="CVT1627" s="1"/>
      <c r="CVU1627" s="1"/>
      <c r="CVV1627" s="1"/>
      <c r="CVW1627" s="1"/>
      <c r="CVX1627" s="1"/>
      <c r="CVY1627" s="1"/>
      <c r="CVZ1627" s="1"/>
      <c r="CWA1627" s="1"/>
      <c r="CWB1627" s="1"/>
      <c r="CWC1627" s="1"/>
      <c r="CWD1627" s="1"/>
      <c r="CWE1627" s="1"/>
      <c r="CWF1627" s="1"/>
      <c r="CWG1627" s="1"/>
      <c r="CWH1627" s="1"/>
      <c r="CWI1627" s="1"/>
      <c r="CWJ1627" s="1"/>
      <c r="CWK1627" s="1"/>
      <c r="CWL1627" s="1"/>
      <c r="CWM1627" s="1"/>
      <c r="CWN1627" s="1"/>
      <c r="CWO1627" s="1"/>
      <c r="CWP1627" s="1"/>
      <c r="CWQ1627" s="1"/>
      <c r="CWR1627" s="1"/>
      <c r="CWS1627" s="1"/>
      <c r="CWT1627" s="1"/>
      <c r="CWU1627" s="1"/>
      <c r="CWV1627" s="1"/>
      <c r="CWW1627" s="1"/>
      <c r="CWX1627" s="1"/>
      <c r="CWY1627" s="1"/>
      <c r="CWZ1627" s="1"/>
      <c r="CXA1627" s="1"/>
      <c r="CXB1627" s="1"/>
      <c r="CXC1627" s="1"/>
      <c r="CXD1627" s="1"/>
      <c r="CXE1627" s="1"/>
      <c r="CXF1627" s="1"/>
      <c r="CXG1627" s="1"/>
      <c r="CXH1627" s="1"/>
      <c r="CXI1627" s="1"/>
      <c r="CXJ1627" s="1"/>
      <c r="CXK1627" s="1"/>
      <c r="CXL1627" s="1"/>
      <c r="CXM1627" s="1"/>
      <c r="CXN1627" s="1"/>
      <c r="CXO1627" s="1"/>
      <c r="CXP1627" s="1"/>
      <c r="CXQ1627" s="1"/>
      <c r="CXR1627" s="1"/>
      <c r="CXS1627" s="1"/>
      <c r="CXT1627" s="1"/>
      <c r="CXU1627" s="1"/>
      <c r="CXV1627" s="1"/>
      <c r="CXW1627" s="1"/>
      <c r="CXX1627" s="1"/>
      <c r="CXY1627" s="1"/>
      <c r="CXZ1627" s="1"/>
      <c r="CYA1627" s="1"/>
      <c r="CYB1627" s="1"/>
      <c r="CYC1627" s="1"/>
      <c r="CYD1627" s="1"/>
      <c r="CYE1627" s="1"/>
      <c r="CYF1627" s="1"/>
      <c r="CYG1627" s="1"/>
      <c r="CYH1627" s="1"/>
      <c r="CYI1627" s="1"/>
      <c r="CYJ1627" s="1"/>
      <c r="CYK1627" s="1"/>
      <c r="CYL1627" s="1"/>
      <c r="CYM1627" s="1"/>
      <c r="CYN1627" s="1"/>
      <c r="CYO1627" s="1"/>
      <c r="CYP1627" s="1"/>
      <c r="CYQ1627" s="1"/>
      <c r="CYR1627" s="1"/>
      <c r="CYS1627" s="1"/>
      <c r="CYT1627" s="1"/>
      <c r="CYU1627" s="1"/>
      <c r="CYV1627" s="1"/>
      <c r="CYW1627" s="1"/>
      <c r="CYX1627" s="1"/>
      <c r="CYY1627" s="1"/>
      <c r="CYZ1627" s="1"/>
      <c r="CZA1627" s="1"/>
      <c r="CZB1627" s="1"/>
      <c r="CZC1627" s="1"/>
      <c r="CZD1627" s="1"/>
      <c r="CZE1627" s="1"/>
      <c r="CZF1627" s="1"/>
      <c r="CZG1627" s="1"/>
      <c r="CZH1627" s="1"/>
      <c r="CZI1627" s="1"/>
      <c r="CZJ1627" s="1"/>
      <c r="CZK1627" s="1"/>
      <c r="CZL1627" s="1"/>
      <c r="CZM1627" s="1"/>
      <c r="CZN1627" s="1"/>
      <c r="CZO1627" s="1"/>
      <c r="CZP1627" s="1"/>
      <c r="CZQ1627" s="1"/>
      <c r="CZR1627" s="1"/>
      <c r="CZS1627" s="1"/>
      <c r="CZT1627" s="1"/>
      <c r="CZU1627" s="1"/>
      <c r="CZV1627" s="1"/>
      <c r="CZW1627" s="1"/>
      <c r="CZX1627" s="1"/>
      <c r="CZY1627" s="1"/>
      <c r="CZZ1627" s="1"/>
      <c r="DAA1627" s="1"/>
      <c r="DAB1627" s="1"/>
      <c r="DAC1627" s="1"/>
      <c r="DAD1627" s="1"/>
      <c r="DAE1627" s="1"/>
      <c r="DAF1627" s="1"/>
      <c r="DAG1627" s="1"/>
      <c r="DAH1627" s="1"/>
      <c r="DAI1627" s="1"/>
      <c r="DAJ1627" s="1"/>
      <c r="DAK1627" s="1"/>
      <c r="DAL1627" s="1"/>
      <c r="DAM1627" s="1"/>
      <c r="DAN1627" s="1"/>
      <c r="DAO1627" s="1"/>
      <c r="DAP1627" s="1"/>
      <c r="DAQ1627" s="1"/>
      <c r="DAR1627" s="1"/>
      <c r="DAS1627" s="1"/>
      <c r="DAT1627" s="1"/>
      <c r="DAU1627" s="1"/>
      <c r="DAV1627" s="1"/>
      <c r="DAW1627" s="1"/>
      <c r="DAX1627" s="1"/>
      <c r="DAY1627" s="1"/>
      <c r="DAZ1627" s="1"/>
      <c r="DBA1627" s="1"/>
      <c r="DBB1627" s="1"/>
      <c r="DBC1627" s="1"/>
      <c r="DBD1627" s="1"/>
      <c r="DBE1627" s="1"/>
      <c r="DBF1627" s="1"/>
      <c r="DBG1627" s="1"/>
      <c r="DBH1627" s="1"/>
      <c r="DBI1627" s="1"/>
      <c r="DBJ1627" s="1"/>
      <c r="DBK1627" s="1"/>
      <c r="DBL1627" s="1"/>
      <c r="DBM1627" s="1"/>
      <c r="DBN1627" s="1"/>
      <c r="DBO1627" s="1"/>
      <c r="DBP1627" s="1"/>
      <c r="DBQ1627" s="1"/>
      <c r="DBR1627" s="1"/>
      <c r="DBS1627" s="1"/>
      <c r="DBT1627" s="1"/>
      <c r="DBU1627" s="1"/>
      <c r="DBV1627" s="1"/>
      <c r="DBW1627" s="1"/>
      <c r="DBX1627" s="1"/>
      <c r="DBY1627" s="1"/>
      <c r="DBZ1627" s="1"/>
      <c r="DCA1627" s="1"/>
      <c r="DCB1627" s="1"/>
      <c r="DCC1627" s="1"/>
      <c r="DCD1627" s="1"/>
      <c r="DCE1627" s="1"/>
      <c r="DCF1627" s="1"/>
      <c r="DCG1627" s="1"/>
      <c r="DCH1627" s="1"/>
      <c r="DCI1627" s="1"/>
      <c r="DCJ1627" s="1"/>
      <c r="DCK1627" s="1"/>
      <c r="DCL1627" s="1"/>
      <c r="DCM1627" s="1"/>
      <c r="DCN1627" s="1"/>
      <c r="DCO1627" s="1"/>
      <c r="DCP1627" s="1"/>
      <c r="DCQ1627" s="1"/>
      <c r="DCR1627" s="1"/>
      <c r="DCS1627" s="1"/>
      <c r="DCT1627" s="1"/>
      <c r="DCU1627" s="1"/>
      <c r="DCV1627" s="1"/>
      <c r="DCW1627" s="1"/>
      <c r="DCX1627" s="1"/>
      <c r="DCY1627" s="1"/>
      <c r="DCZ1627" s="1"/>
      <c r="DDA1627" s="1"/>
      <c r="DDB1627" s="1"/>
      <c r="DDC1627" s="1"/>
      <c r="DDD1627" s="1"/>
      <c r="DDE1627" s="1"/>
      <c r="DDF1627" s="1"/>
      <c r="DDG1627" s="1"/>
      <c r="DDH1627" s="1"/>
      <c r="DDI1627" s="1"/>
      <c r="DDJ1627" s="1"/>
      <c r="DDK1627" s="1"/>
      <c r="DDL1627" s="1"/>
      <c r="DDM1627" s="1"/>
      <c r="DDN1627" s="1"/>
      <c r="DDO1627" s="1"/>
      <c r="DDP1627" s="1"/>
      <c r="DDQ1627" s="1"/>
      <c r="DDR1627" s="1"/>
      <c r="DDS1627" s="1"/>
      <c r="DDT1627" s="1"/>
      <c r="DDU1627" s="1"/>
      <c r="DDV1627" s="1"/>
      <c r="DDW1627" s="1"/>
      <c r="DDX1627" s="1"/>
      <c r="DDY1627" s="1"/>
      <c r="DDZ1627" s="1"/>
      <c r="DEA1627" s="1"/>
      <c r="DEB1627" s="1"/>
      <c r="DEC1627" s="1"/>
      <c r="DED1627" s="1"/>
      <c r="DEE1627" s="1"/>
      <c r="DEF1627" s="1"/>
      <c r="DEG1627" s="1"/>
      <c r="DEH1627" s="1"/>
      <c r="DEI1627" s="1"/>
      <c r="DEJ1627" s="1"/>
      <c r="DEK1627" s="1"/>
      <c r="DEL1627" s="1"/>
      <c r="DEM1627" s="1"/>
      <c r="DEN1627" s="1"/>
      <c r="DEO1627" s="1"/>
      <c r="DEP1627" s="1"/>
      <c r="DEQ1627" s="1"/>
      <c r="DER1627" s="1"/>
      <c r="DES1627" s="1"/>
      <c r="DET1627" s="1"/>
      <c r="DEU1627" s="1"/>
      <c r="DEV1627" s="1"/>
      <c r="DEW1627" s="1"/>
      <c r="DEX1627" s="1"/>
      <c r="DEY1627" s="1"/>
      <c r="DEZ1627" s="1"/>
      <c r="DFA1627" s="1"/>
      <c r="DFB1627" s="1"/>
      <c r="DFC1627" s="1"/>
      <c r="DFD1627" s="1"/>
      <c r="DFE1627" s="1"/>
      <c r="DFF1627" s="1"/>
      <c r="DFG1627" s="1"/>
      <c r="DFH1627" s="1"/>
      <c r="DFI1627" s="1"/>
      <c r="DFJ1627" s="1"/>
      <c r="DFK1627" s="1"/>
      <c r="DFL1627" s="1"/>
      <c r="DFM1627" s="1"/>
      <c r="DFN1627" s="1"/>
      <c r="DFO1627" s="1"/>
      <c r="DFP1627" s="1"/>
      <c r="DFQ1627" s="1"/>
      <c r="DFR1627" s="1"/>
      <c r="DFS1627" s="1"/>
      <c r="DFT1627" s="1"/>
      <c r="DFU1627" s="1"/>
      <c r="DFV1627" s="1"/>
      <c r="DFW1627" s="1"/>
      <c r="DFX1627" s="1"/>
      <c r="DFY1627" s="1"/>
      <c r="DFZ1627" s="1"/>
      <c r="DGA1627" s="1"/>
      <c r="DGB1627" s="1"/>
      <c r="DGC1627" s="1"/>
      <c r="DGD1627" s="1"/>
      <c r="DGE1627" s="1"/>
      <c r="DGF1627" s="1"/>
      <c r="DGG1627" s="1"/>
      <c r="DGH1627" s="1"/>
      <c r="DGI1627" s="1"/>
      <c r="DGJ1627" s="1"/>
      <c r="DGK1627" s="1"/>
      <c r="DGL1627" s="1"/>
      <c r="DGM1627" s="1"/>
      <c r="DGN1627" s="1"/>
      <c r="DGO1627" s="1"/>
      <c r="DGP1627" s="1"/>
      <c r="DGQ1627" s="1"/>
      <c r="DGR1627" s="1"/>
      <c r="DGS1627" s="1"/>
      <c r="DGT1627" s="1"/>
      <c r="DGU1627" s="1"/>
      <c r="DGV1627" s="1"/>
      <c r="DGW1627" s="1"/>
      <c r="DGX1627" s="1"/>
      <c r="DGY1627" s="1"/>
      <c r="DGZ1627" s="1"/>
      <c r="DHA1627" s="1"/>
      <c r="DHB1627" s="1"/>
      <c r="DHC1627" s="1"/>
      <c r="DHD1627" s="1"/>
      <c r="DHE1627" s="1"/>
      <c r="DHF1627" s="1"/>
      <c r="DHG1627" s="1"/>
      <c r="DHH1627" s="1"/>
      <c r="DHI1627" s="1"/>
      <c r="DHJ1627" s="1"/>
      <c r="DHK1627" s="1"/>
      <c r="DHL1627" s="1"/>
      <c r="DHM1627" s="1"/>
      <c r="DHN1627" s="1"/>
      <c r="DHO1627" s="1"/>
      <c r="DHP1627" s="1"/>
      <c r="DHQ1627" s="1"/>
      <c r="DHR1627" s="1"/>
      <c r="DHS1627" s="1"/>
      <c r="DHT1627" s="1"/>
      <c r="DHU1627" s="1"/>
      <c r="DHV1627" s="1"/>
      <c r="DHW1627" s="1"/>
      <c r="DHX1627" s="1"/>
      <c r="DHY1627" s="1"/>
      <c r="DHZ1627" s="1"/>
      <c r="DIA1627" s="1"/>
      <c r="DIB1627" s="1"/>
      <c r="DIC1627" s="1"/>
      <c r="DID1627" s="1"/>
      <c r="DIE1627" s="1"/>
      <c r="DIF1627" s="1"/>
      <c r="DIG1627" s="1"/>
      <c r="DIH1627" s="1"/>
      <c r="DII1627" s="1"/>
      <c r="DIJ1627" s="1"/>
      <c r="DIK1627" s="1"/>
      <c r="DIL1627" s="1"/>
      <c r="DIM1627" s="1"/>
      <c r="DIN1627" s="1"/>
      <c r="DIO1627" s="1"/>
      <c r="DIP1627" s="1"/>
      <c r="DIQ1627" s="1"/>
      <c r="DIR1627" s="1"/>
      <c r="DIS1627" s="1"/>
      <c r="DIT1627" s="1"/>
      <c r="DIU1627" s="1"/>
      <c r="DIV1627" s="1"/>
      <c r="DIW1627" s="1"/>
      <c r="DIX1627" s="1"/>
      <c r="DIY1627" s="1"/>
      <c r="DIZ1627" s="1"/>
      <c r="DJA1627" s="1"/>
      <c r="DJB1627" s="1"/>
      <c r="DJC1627" s="1"/>
      <c r="DJD1627" s="1"/>
      <c r="DJE1627" s="1"/>
      <c r="DJF1627" s="1"/>
      <c r="DJG1627" s="1"/>
      <c r="DJH1627" s="1"/>
      <c r="DJI1627" s="1"/>
      <c r="DJJ1627" s="1"/>
      <c r="DJK1627" s="1"/>
      <c r="DJL1627" s="1"/>
      <c r="DJM1627" s="1"/>
      <c r="DJN1627" s="1"/>
      <c r="DJO1627" s="1"/>
      <c r="DJP1627" s="1"/>
      <c r="DJQ1627" s="1"/>
      <c r="DJR1627" s="1"/>
      <c r="DJS1627" s="1"/>
      <c r="DJT1627" s="1"/>
      <c r="DJU1627" s="1"/>
      <c r="DJV1627" s="1"/>
      <c r="DJW1627" s="1"/>
      <c r="DJX1627" s="1"/>
      <c r="DJY1627" s="1"/>
      <c r="DJZ1627" s="1"/>
      <c r="DKA1627" s="1"/>
      <c r="DKB1627" s="1"/>
      <c r="DKC1627" s="1"/>
      <c r="DKD1627" s="1"/>
      <c r="DKE1627" s="1"/>
      <c r="DKF1627" s="1"/>
      <c r="DKG1627" s="1"/>
      <c r="DKH1627" s="1"/>
      <c r="DKI1627" s="1"/>
      <c r="DKJ1627" s="1"/>
      <c r="DKK1627" s="1"/>
      <c r="DKL1627" s="1"/>
      <c r="DKM1627" s="1"/>
      <c r="DKN1627" s="1"/>
      <c r="DKO1627" s="1"/>
      <c r="DKP1627" s="1"/>
      <c r="DKQ1627" s="1"/>
      <c r="DKR1627" s="1"/>
      <c r="DKS1627" s="1"/>
      <c r="DKT1627" s="1"/>
      <c r="DKU1627" s="1"/>
      <c r="DKV1627" s="1"/>
      <c r="DKW1627" s="1"/>
      <c r="DKX1627" s="1"/>
      <c r="DKY1627" s="1"/>
      <c r="DKZ1627" s="1"/>
      <c r="DLA1627" s="1"/>
      <c r="DLB1627" s="1"/>
      <c r="DLC1627" s="1"/>
      <c r="DLD1627" s="1"/>
      <c r="DLE1627" s="1"/>
      <c r="DLF1627" s="1"/>
      <c r="DLG1627" s="1"/>
      <c r="DLH1627" s="1"/>
      <c r="DLI1627" s="1"/>
      <c r="DLJ1627" s="1"/>
      <c r="DLK1627" s="1"/>
      <c r="DLL1627" s="1"/>
      <c r="DLM1627" s="1"/>
      <c r="DLN1627" s="1"/>
      <c r="DLO1627" s="1"/>
      <c r="DLP1627" s="1"/>
      <c r="DLQ1627" s="1"/>
      <c r="DLR1627" s="1"/>
      <c r="DLS1627" s="1"/>
      <c r="DLT1627" s="1"/>
      <c r="DLU1627" s="1"/>
      <c r="DLV1627" s="1"/>
      <c r="DLW1627" s="1"/>
      <c r="DLX1627" s="1"/>
      <c r="DLY1627" s="1"/>
      <c r="DLZ1627" s="1"/>
      <c r="DMA1627" s="1"/>
      <c r="DMB1627" s="1"/>
      <c r="DMC1627" s="1"/>
      <c r="DMD1627" s="1"/>
      <c r="DME1627" s="1"/>
      <c r="DMF1627" s="1"/>
      <c r="DMG1627" s="1"/>
      <c r="DMH1627" s="1"/>
      <c r="DMI1627" s="1"/>
      <c r="DMJ1627" s="1"/>
      <c r="DMK1627" s="1"/>
      <c r="DML1627" s="1"/>
      <c r="DMM1627" s="1"/>
      <c r="DMN1627" s="1"/>
      <c r="DMO1627" s="1"/>
      <c r="DMP1627" s="1"/>
      <c r="DMQ1627" s="1"/>
      <c r="DMR1627" s="1"/>
      <c r="DMS1627" s="1"/>
      <c r="DMT1627" s="1"/>
      <c r="DMU1627" s="1"/>
      <c r="DMV1627" s="1"/>
      <c r="DMW1627" s="1"/>
      <c r="DMX1627" s="1"/>
      <c r="DMY1627" s="1"/>
      <c r="DMZ1627" s="1"/>
      <c r="DNA1627" s="1"/>
      <c r="DNB1627" s="1"/>
      <c r="DNC1627" s="1"/>
      <c r="DND1627" s="1"/>
      <c r="DNE1627" s="1"/>
      <c r="DNF1627" s="1"/>
      <c r="DNG1627" s="1"/>
      <c r="DNH1627" s="1"/>
      <c r="DNI1627" s="1"/>
      <c r="DNJ1627" s="1"/>
      <c r="DNK1627" s="1"/>
      <c r="DNL1627" s="1"/>
      <c r="DNM1627" s="1"/>
      <c r="DNN1627" s="1"/>
      <c r="DNO1627" s="1"/>
      <c r="DNP1627" s="1"/>
      <c r="DNQ1627" s="1"/>
      <c r="DNR1627" s="1"/>
      <c r="DNS1627" s="1"/>
      <c r="DNT1627" s="1"/>
      <c r="DNU1627" s="1"/>
      <c r="DNV1627" s="1"/>
      <c r="DNW1627" s="1"/>
      <c r="DNX1627" s="1"/>
      <c r="DNY1627" s="1"/>
      <c r="DNZ1627" s="1"/>
      <c r="DOA1627" s="1"/>
      <c r="DOB1627" s="1"/>
      <c r="DOC1627" s="1"/>
      <c r="DOD1627" s="1"/>
      <c r="DOE1627" s="1"/>
      <c r="DOF1627" s="1"/>
      <c r="DOG1627" s="1"/>
      <c r="DOH1627" s="1"/>
      <c r="DOI1627" s="1"/>
      <c r="DOJ1627" s="1"/>
      <c r="DOK1627" s="1"/>
      <c r="DOL1627" s="1"/>
      <c r="DOM1627" s="1"/>
      <c r="DON1627" s="1"/>
      <c r="DOO1627" s="1"/>
      <c r="DOP1627" s="1"/>
      <c r="DOQ1627" s="1"/>
      <c r="DOR1627" s="1"/>
      <c r="DOS1627" s="1"/>
      <c r="DOT1627" s="1"/>
      <c r="DOU1627" s="1"/>
      <c r="DOV1627" s="1"/>
      <c r="DOW1627" s="1"/>
      <c r="DOX1627" s="1"/>
      <c r="DOY1627" s="1"/>
      <c r="DOZ1627" s="1"/>
      <c r="DPA1627" s="1"/>
      <c r="DPB1627" s="1"/>
      <c r="DPC1627" s="1"/>
      <c r="DPD1627" s="1"/>
      <c r="DPE1627" s="1"/>
      <c r="DPF1627" s="1"/>
      <c r="DPG1627" s="1"/>
      <c r="DPH1627" s="1"/>
      <c r="DPI1627" s="1"/>
      <c r="DPJ1627" s="1"/>
      <c r="DPK1627" s="1"/>
      <c r="DPL1627" s="1"/>
      <c r="DPM1627" s="1"/>
      <c r="DPN1627" s="1"/>
      <c r="DPO1627" s="1"/>
      <c r="DPP1627" s="1"/>
      <c r="DPQ1627" s="1"/>
      <c r="DPR1627" s="1"/>
      <c r="DPS1627" s="1"/>
      <c r="DPT1627" s="1"/>
      <c r="DPU1627" s="1"/>
      <c r="DPV1627" s="1"/>
      <c r="DPW1627" s="1"/>
      <c r="DPX1627" s="1"/>
      <c r="DPY1627" s="1"/>
      <c r="DPZ1627" s="1"/>
      <c r="DQA1627" s="1"/>
      <c r="DQB1627" s="1"/>
      <c r="DQC1627" s="1"/>
      <c r="DQD1627" s="1"/>
      <c r="DQE1627" s="1"/>
      <c r="DQF1627" s="1"/>
      <c r="DQG1627" s="1"/>
      <c r="DQH1627" s="1"/>
      <c r="DQI1627" s="1"/>
      <c r="DQJ1627" s="1"/>
      <c r="DQK1627" s="1"/>
      <c r="DQL1627" s="1"/>
      <c r="DQM1627" s="1"/>
      <c r="DQN1627" s="1"/>
      <c r="DQO1627" s="1"/>
      <c r="DQP1627" s="1"/>
      <c r="DQQ1627" s="1"/>
      <c r="DQR1627" s="1"/>
      <c r="DQS1627" s="1"/>
      <c r="DQT1627" s="1"/>
      <c r="DQU1627" s="1"/>
      <c r="DQV1627" s="1"/>
      <c r="DQW1627" s="1"/>
      <c r="DQX1627" s="1"/>
      <c r="DQY1627" s="1"/>
      <c r="DQZ1627" s="1"/>
      <c r="DRA1627" s="1"/>
      <c r="DRB1627" s="1"/>
      <c r="DRC1627" s="1"/>
      <c r="DRD1627" s="1"/>
      <c r="DRE1627" s="1"/>
      <c r="DRF1627" s="1"/>
      <c r="DRG1627" s="1"/>
      <c r="DRH1627" s="1"/>
      <c r="DRI1627" s="1"/>
      <c r="DRJ1627" s="1"/>
      <c r="DRK1627" s="1"/>
      <c r="DRL1627" s="1"/>
      <c r="DRM1627" s="1"/>
      <c r="DRN1627" s="1"/>
      <c r="DRO1627" s="1"/>
      <c r="DRP1627" s="1"/>
      <c r="DRQ1627" s="1"/>
      <c r="DRR1627" s="1"/>
      <c r="DRS1627" s="1"/>
      <c r="DRT1627" s="1"/>
      <c r="DRU1627" s="1"/>
      <c r="DRV1627" s="1"/>
      <c r="DRW1627" s="1"/>
      <c r="DRX1627" s="1"/>
      <c r="DRY1627" s="1"/>
      <c r="DRZ1627" s="1"/>
      <c r="DSA1627" s="1"/>
      <c r="DSB1627" s="1"/>
      <c r="DSC1627" s="1"/>
      <c r="DSD1627" s="1"/>
      <c r="DSE1627" s="1"/>
      <c r="DSF1627" s="1"/>
      <c r="DSG1627" s="1"/>
      <c r="DSH1627" s="1"/>
      <c r="DSI1627" s="1"/>
      <c r="DSJ1627" s="1"/>
      <c r="DSK1627" s="1"/>
      <c r="DSL1627" s="1"/>
      <c r="DSM1627" s="1"/>
      <c r="DSN1627" s="1"/>
      <c r="DSO1627" s="1"/>
      <c r="DSP1627" s="1"/>
      <c r="DSQ1627" s="1"/>
      <c r="DSR1627" s="1"/>
      <c r="DSS1627" s="1"/>
      <c r="DST1627" s="1"/>
      <c r="DSU1627" s="1"/>
      <c r="DSV1627" s="1"/>
      <c r="DSW1627" s="1"/>
      <c r="DSX1627" s="1"/>
      <c r="DSY1627" s="1"/>
      <c r="DSZ1627" s="1"/>
      <c r="DTA1627" s="1"/>
      <c r="DTB1627" s="1"/>
      <c r="DTC1627" s="1"/>
      <c r="DTD1627" s="1"/>
      <c r="DTE1627" s="1"/>
      <c r="DTF1627" s="1"/>
      <c r="DTG1627" s="1"/>
      <c r="DTH1627" s="1"/>
      <c r="DTI1627" s="1"/>
      <c r="DTJ1627" s="1"/>
      <c r="DTK1627" s="1"/>
      <c r="DTL1627" s="1"/>
      <c r="DTM1627" s="1"/>
      <c r="DTN1627" s="1"/>
      <c r="DTO1627" s="1"/>
      <c r="DTP1627" s="1"/>
      <c r="DTQ1627" s="1"/>
      <c r="DTR1627" s="1"/>
      <c r="DTS1627" s="1"/>
      <c r="DTT1627" s="1"/>
      <c r="DTU1627" s="1"/>
      <c r="DTV1627" s="1"/>
      <c r="DTW1627" s="1"/>
      <c r="DTX1627" s="1"/>
      <c r="DTY1627" s="1"/>
      <c r="DTZ1627" s="1"/>
      <c r="DUA1627" s="1"/>
      <c r="DUB1627" s="1"/>
      <c r="DUC1627" s="1"/>
      <c r="DUD1627" s="1"/>
      <c r="DUE1627" s="1"/>
      <c r="DUF1627" s="1"/>
      <c r="DUG1627" s="1"/>
      <c r="DUH1627" s="1"/>
      <c r="DUI1627" s="1"/>
      <c r="DUJ1627" s="1"/>
      <c r="DUK1627" s="1"/>
      <c r="DUL1627" s="1"/>
      <c r="DUM1627" s="1"/>
      <c r="DUN1627" s="1"/>
      <c r="DUO1627" s="1"/>
      <c r="DUP1627" s="1"/>
      <c r="DUQ1627" s="1"/>
      <c r="DUR1627" s="1"/>
      <c r="DUS1627" s="1"/>
      <c r="DUT1627" s="1"/>
      <c r="DUU1627" s="1"/>
      <c r="DUV1627" s="1"/>
      <c r="DUW1627" s="1"/>
      <c r="DUX1627" s="1"/>
      <c r="DUY1627" s="1"/>
      <c r="DUZ1627" s="1"/>
      <c r="DVA1627" s="1"/>
      <c r="DVB1627" s="1"/>
      <c r="DVC1627" s="1"/>
      <c r="DVD1627" s="1"/>
      <c r="DVE1627" s="1"/>
      <c r="DVF1627" s="1"/>
      <c r="DVG1627" s="1"/>
      <c r="DVH1627" s="1"/>
      <c r="DVI1627" s="1"/>
      <c r="DVJ1627" s="1"/>
      <c r="DVK1627" s="1"/>
      <c r="DVL1627" s="1"/>
      <c r="DVM1627" s="1"/>
      <c r="DVN1627" s="1"/>
      <c r="DVO1627" s="1"/>
      <c r="DVP1627" s="1"/>
      <c r="DVQ1627" s="1"/>
      <c r="DVR1627" s="1"/>
      <c r="DVS1627" s="1"/>
      <c r="DVT1627" s="1"/>
      <c r="DVU1627" s="1"/>
      <c r="DVV1627" s="1"/>
      <c r="DVW1627" s="1"/>
      <c r="DVX1627" s="1"/>
      <c r="DVY1627" s="1"/>
      <c r="DVZ1627" s="1"/>
      <c r="DWA1627" s="1"/>
      <c r="DWB1627" s="1"/>
      <c r="DWC1627" s="1"/>
      <c r="DWD1627" s="1"/>
      <c r="DWE1627" s="1"/>
      <c r="DWF1627" s="1"/>
      <c r="DWG1627" s="1"/>
      <c r="DWH1627" s="1"/>
      <c r="DWI1627" s="1"/>
      <c r="DWJ1627" s="1"/>
      <c r="DWK1627" s="1"/>
      <c r="DWL1627" s="1"/>
      <c r="DWM1627" s="1"/>
      <c r="DWN1627" s="1"/>
      <c r="DWO1627" s="1"/>
      <c r="DWP1627" s="1"/>
      <c r="DWQ1627" s="1"/>
      <c r="DWR1627" s="1"/>
      <c r="DWS1627" s="1"/>
      <c r="DWT1627" s="1"/>
      <c r="DWU1627" s="1"/>
      <c r="DWV1627" s="1"/>
      <c r="DWW1627" s="1"/>
      <c r="DWX1627" s="1"/>
      <c r="DWY1627" s="1"/>
      <c r="DWZ1627" s="1"/>
      <c r="DXA1627" s="1"/>
      <c r="DXB1627" s="1"/>
      <c r="DXC1627" s="1"/>
      <c r="DXD1627" s="1"/>
      <c r="DXE1627" s="1"/>
      <c r="DXF1627" s="1"/>
      <c r="DXG1627" s="1"/>
      <c r="DXH1627" s="1"/>
      <c r="DXI1627" s="1"/>
      <c r="DXJ1627" s="1"/>
      <c r="DXK1627" s="1"/>
      <c r="DXL1627" s="1"/>
      <c r="DXM1627" s="1"/>
      <c r="DXN1627" s="1"/>
      <c r="DXO1627" s="1"/>
      <c r="DXP1627" s="1"/>
      <c r="DXQ1627" s="1"/>
      <c r="DXR1627" s="1"/>
      <c r="DXS1627" s="1"/>
      <c r="DXT1627" s="1"/>
      <c r="DXU1627" s="1"/>
      <c r="DXV1627" s="1"/>
      <c r="DXW1627" s="1"/>
      <c r="DXX1627" s="1"/>
      <c r="DXY1627" s="1"/>
      <c r="DXZ1627" s="1"/>
      <c r="DYA1627" s="1"/>
      <c r="DYB1627" s="1"/>
      <c r="DYC1627" s="1"/>
      <c r="DYD1627" s="1"/>
      <c r="DYE1627" s="1"/>
      <c r="DYF1627" s="1"/>
      <c r="DYG1627" s="1"/>
      <c r="DYH1627" s="1"/>
      <c r="DYI1627" s="1"/>
      <c r="DYJ1627" s="1"/>
      <c r="DYK1627" s="1"/>
      <c r="DYL1627" s="1"/>
      <c r="DYM1627" s="1"/>
      <c r="DYN1627" s="1"/>
      <c r="DYO1627" s="1"/>
      <c r="DYP1627" s="1"/>
      <c r="DYQ1627" s="1"/>
      <c r="DYR1627" s="1"/>
      <c r="DYS1627" s="1"/>
      <c r="DYT1627" s="1"/>
      <c r="DYU1627" s="1"/>
      <c r="DYV1627" s="1"/>
      <c r="DYW1627" s="1"/>
      <c r="DYX1627" s="1"/>
      <c r="DYY1627" s="1"/>
      <c r="DYZ1627" s="1"/>
      <c r="DZA1627" s="1"/>
      <c r="DZB1627" s="1"/>
      <c r="DZC1627" s="1"/>
      <c r="DZD1627" s="1"/>
      <c r="DZE1627" s="1"/>
      <c r="DZF1627" s="1"/>
      <c r="DZG1627" s="1"/>
      <c r="DZH1627" s="1"/>
      <c r="DZI1627" s="1"/>
      <c r="DZJ1627" s="1"/>
      <c r="DZK1627" s="1"/>
      <c r="DZL1627" s="1"/>
      <c r="DZM1627" s="1"/>
      <c r="DZN1627" s="1"/>
      <c r="DZO1627" s="1"/>
      <c r="DZP1627" s="1"/>
      <c r="DZQ1627" s="1"/>
      <c r="DZR1627" s="1"/>
      <c r="DZS1627" s="1"/>
      <c r="DZT1627" s="1"/>
      <c r="DZU1627" s="1"/>
      <c r="DZV1627" s="1"/>
      <c r="DZW1627" s="1"/>
      <c r="DZX1627" s="1"/>
      <c r="DZY1627" s="1"/>
      <c r="DZZ1627" s="1"/>
      <c r="EAA1627" s="1"/>
      <c r="EAB1627" s="1"/>
      <c r="EAC1627" s="1"/>
      <c r="EAD1627" s="1"/>
      <c r="EAE1627" s="1"/>
      <c r="EAF1627" s="1"/>
      <c r="EAG1627" s="1"/>
      <c r="EAH1627" s="1"/>
      <c r="EAI1627" s="1"/>
      <c r="EAJ1627" s="1"/>
      <c r="EAK1627" s="1"/>
      <c r="EAL1627" s="1"/>
      <c r="EAM1627" s="1"/>
      <c r="EAN1627" s="1"/>
      <c r="EAO1627" s="1"/>
      <c r="EAP1627" s="1"/>
      <c r="EAQ1627" s="1"/>
      <c r="EAR1627" s="1"/>
      <c r="EAS1627" s="1"/>
      <c r="EAT1627" s="1"/>
      <c r="EAU1627" s="1"/>
      <c r="EAV1627" s="1"/>
      <c r="EAW1627" s="1"/>
      <c r="EAX1627" s="1"/>
      <c r="EAY1627" s="1"/>
      <c r="EAZ1627" s="1"/>
      <c r="EBA1627" s="1"/>
      <c r="EBB1627" s="1"/>
      <c r="EBC1627" s="1"/>
      <c r="EBD1627" s="1"/>
      <c r="EBE1627" s="1"/>
      <c r="EBF1627" s="1"/>
      <c r="EBG1627" s="1"/>
      <c r="EBH1627" s="1"/>
      <c r="EBI1627" s="1"/>
      <c r="EBJ1627" s="1"/>
      <c r="EBK1627" s="1"/>
      <c r="EBL1627" s="1"/>
      <c r="EBM1627" s="1"/>
      <c r="EBN1627" s="1"/>
      <c r="EBO1627" s="1"/>
      <c r="EBP1627" s="1"/>
      <c r="EBQ1627" s="1"/>
      <c r="EBR1627" s="1"/>
      <c r="EBS1627" s="1"/>
      <c r="EBT1627" s="1"/>
      <c r="EBU1627" s="1"/>
      <c r="EBV1627" s="1"/>
      <c r="EBW1627" s="1"/>
      <c r="EBX1627" s="1"/>
      <c r="EBY1627" s="1"/>
      <c r="EBZ1627" s="1"/>
      <c r="ECA1627" s="1"/>
      <c r="ECB1627" s="1"/>
      <c r="ECC1627" s="1"/>
      <c r="ECD1627" s="1"/>
      <c r="ECE1627" s="1"/>
      <c r="ECF1627" s="1"/>
      <c r="ECG1627" s="1"/>
      <c r="ECH1627" s="1"/>
      <c r="ECI1627" s="1"/>
      <c r="ECJ1627" s="1"/>
      <c r="ECK1627" s="1"/>
      <c r="ECL1627" s="1"/>
      <c r="ECM1627" s="1"/>
      <c r="ECN1627" s="1"/>
      <c r="ECO1627" s="1"/>
      <c r="ECP1627" s="1"/>
      <c r="ECQ1627" s="1"/>
      <c r="ECR1627" s="1"/>
      <c r="ECS1627" s="1"/>
      <c r="ECT1627" s="1"/>
      <c r="ECU1627" s="1"/>
      <c r="ECV1627" s="1"/>
      <c r="ECW1627" s="1"/>
      <c r="ECX1627" s="1"/>
      <c r="ECY1627" s="1"/>
      <c r="ECZ1627" s="1"/>
      <c r="EDA1627" s="1"/>
      <c r="EDB1627" s="1"/>
      <c r="EDC1627" s="1"/>
      <c r="EDD1627" s="1"/>
      <c r="EDE1627" s="1"/>
      <c r="EDF1627" s="1"/>
      <c r="EDG1627" s="1"/>
      <c r="EDH1627" s="1"/>
      <c r="EDI1627" s="1"/>
      <c r="EDJ1627" s="1"/>
      <c r="EDK1627" s="1"/>
      <c r="EDL1627" s="1"/>
      <c r="EDM1627" s="1"/>
      <c r="EDN1627" s="1"/>
      <c r="EDO1627" s="1"/>
      <c r="EDP1627" s="1"/>
      <c r="EDQ1627" s="1"/>
      <c r="EDR1627" s="1"/>
      <c r="EDS1627" s="1"/>
      <c r="EDT1627" s="1"/>
      <c r="EDU1627" s="1"/>
      <c r="EDV1627" s="1"/>
      <c r="EDW1627" s="1"/>
      <c r="EDX1627" s="1"/>
      <c r="EDY1627" s="1"/>
      <c r="EDZ1627" s="1"/>
      <c r="EEA1627" s="1"/>
      <c r="EEB1627" s="1"/>
      <c r="EEC1627" s="1"/>
      <c r="EED1627" s="1"/>
      <c r="EEE1627" s="1"/>
      <c r="EEF1627" s="1"/>
      <c r="EEG1627" s="1"/>
      <c r="EEH1627" s="1"/>
      <c r="EEI1627" s="1"/>
      <c r="EEJ1627" s="1"/>
      <c r="EEK1627" s="1"/>
      <c r="EEL1627" s="1"/>
      <c r="EEM1627" s="1"/>
      <c r="EEN1627" s="1"/>
      <c r="EEO1627" s="1"/>
      <c r="EEP1627" s="1"/>
      <c r="EEQ1627" s="1"/>
      <c r="EER1627" s="1"/>
      <c r="EES1627" s="1"/>
      <c r="EET1627" s="1"/>
      <c r="EEU1627" s="1"/>
      <c r="EEV1627" s="1"/>
      <c r="EEW1627" s="1"/>
      <c r="EEX1627" s="1"/>
      <c r="EEY1627" s="1"/>
      <c r="EEZ1627" s="1"/>
      <c r="EFA1627" s="1"/>
      <c r="EFB1627" s="1"/>
      <c r="EFC1627" s="1"/>
      <c r="EFD1627" s="1"/>
      <c r="EFE1627" s="1"/>
      <c r="EFF1627" s="1"/>
      <c r="EFG1627" s="1"/>
      <c r="EFH1627" s="1"/>
      <c r="EFI1627" s="1"/>
      <c r="EFJ1627" s="1"/>
      <c r="EFK1627" s="1"/>
      <c r="EFL1627" s="1"/>
      <c r="EFM1627" s="1"/>
      <c r="EFN1627" s="1"/>
      <c r="EFO1627" s="1"/>
      <c r="EFP1627" s="1"/>
      <c r="EFQ1627" s="1"/>
      <c r="EFR1627" s="1"/>
      <c r="EFS1627" s="1"/>
      <c r="EFT1627" s="1"/>
      <c r="EFU1627" s="1"/>
      <c r="EFV1627" s="1"/>
      <c r="EFW1627" s="1"/>
      <c r="EFX1627" s="1"/>
      <c r="EFY1627" s="1"/>
      <c r="EFZ1627" s="1"/>
      <c r="EGA1627" s="1"/>
      <c r="EGB1627" s="1"/>
      <c r="EGC1627" s="1"/>
      <c r="EGD1627" s="1"/>
      <c r="EGE1627" s="1"/>
      <c r="EGF1627" s="1"/>
      <c r="EGG1627" s="1"/>
      <c r="EGH1627" s="1"/>
      <c r="EGI1627" s="1"/>
      <c r="EGJ1627" s="1"/>
      <c r="EGK1627" s="1"/>
      <c r="EGL1627" s="1"/>
      <c r="EGM1627" s="1"/>
      <c r="EGN1627" s="1"/>
      <c r="EGO1627" s="1"/>
      <c r="EGP1627" s="1"/>
      <c r="EGQ1627" s="1"/>
      <c r="EGR1627" s="1"/>
      <c r="EGS1627" s="1"/>
      <c r="EGT1627" s="1"/>
      <c r="EGU1627" s="1"/>
      <c r="EGV1627" s="1"/>
      <c r="EGW1627" s="1"/>
      <c r="EGX1627" s="1"/>
      <c r="EGY1627" s="1"/>
      <c r="EGZ1627" s="1"/>
      <c r="EHA1627" s="1"/>
      <c r="EHB1627" s="1"/>
      <c r="EHC1627" s="1"/>
      <c r="EHD1627" s="1"/>
      <c r="EHE1627" s="1"/>
      <c r="EHF1627" s="1"/>
      <c r="EHG1627" s="1"/>
      <c r="EHH1627" s="1"/>
      <c r="EHI1627" s="1"/>
      <c r="EHJ1627" s="1"/>
      <c r="EHK1627" s="1"/>
      <c r="EHL1627" s="1"/>
      <c r="EHM1627" s="1"/>
      <c r="EHN1627" s="1"/>
      <c r="EHO1627" s="1"/>
      <c r="EHP1627" s="1"/>
      <c r="EHQ1627" s="1"/>
      <c r="EHR1627" s="1"/>
      <c r="EHS1627" s="1"/>
      <c r="EHT1627" s="1"/>
      <c r="EHU1627" s="1"/>
      <c r="EHV1627" s="1"/>
      <c r="EHW1627" s="1"/>
      <c r="EHX1627" s="1"/>
      <c r="EHY1627" s="1"/>
      <c r="EHZ1627" s="1"/>
      <c r="EIA1627" s="1"/>
      <c r="EIB1627" s="1"/>
      <c r="EIC1627" s="1"/>
      <c r="EID1627" s="1"/>
      <c r="EIE1627" s="1"/>
      <c r="EIF1627" s="1"/>
      <c r="EIG1627" s="1"/>
      <c r="EIH1627" s="1"/>
      <c r="EII1627" s="1"/>
      <c r="EIJ1627" s="1"/>
      <c r="EIK1627" s="1"/>
      <c r="EIL1627" s="1"/>
      <c r="EIM1627" s="1"/>
      <c r="EIN1627" s="1"/>
      <c r="EIO1627" s="1"/>
      <c r="EIP1627" s="1"/>
      <c r="EIQ1627" s="1"/>
      <c r="EIR1627" s="1"/>
      <c r="EIS1627" s="1"/>
      <c r="EIT1627" s="1"/>
      <c r="EIU1627" s="1"/>
      <c r="EIV1627" s="1"/>
      <c r="EIW1627" s="1"/>
      <c r="EIX1627" s="1"/>
      <c r="EIY1627" s="1"/>
      <c r="EIZ1627" s="1"/>
      <c r="EJA1627" s="1"/>
      <c r="EJB1627" s="1"/>
      <c r="EJC1627" s="1"/>
      <c r="EJD1627" s="1"/>
      <c r="EJE1627" s="1"/>
      <c r="EJF1627" s="1"/>
      <c r="EJG1627" s="1"/>
      <c r="EJH1627" s="1"/>
      <c r="EJI1627" s="1"/>
      <c r="EJJ1627" s="1"/>
      <c r="EJK1627" s="1"/>
      <c r="EJL1627" s="1"/>
      <c r="EJM1627" s="1"/>
      <c r="EJN1627" s="1"/>
      <c r="EJO1627" s="1"/>
      <c r="EJP1627" s="1"/>
      <c r="EJQ1627" s="1"/>
      <c r="EJR1627" s="1"/>
      <c r="EJS1627" s="1"/>
      <c r="EJT1627" s="1"/>
      <c r="EJU1627" s="1"/>
      <c r="EJV1627" s="1"/>
      <c r="EJW1627" s="1"/>
      <c r="EJX1627" s="1"/>
      <c r="EJY1627" s="1"/>
      <c r="EJZ1627" s="1"/>
      <c r="EKA1627" s="1"/>
      <c r="EKB1627" s="1"/>
      <c r="EKC1627" s="1"/>
      <c r="EKD1627" s="1"/>
      <c r="EKE1627" s="1"/>
      <c r="EKF1627" s="1"/>
      <c r="EKG1627" s="1"/>
      <c r="EKH1627" s="1"/>
      <c r="EKI1627" s="1"/>
      <c r="EKJ1627" s="1"/>
      <c r="EKK1627" s="1"/>
      <c r="EKL1627" s="1"/>
      <c r="EKM1627" s="1"/>
      <c r="EKN1627" s="1"/>
      <c r="EKO1627" s="1"/>
      <c r="EKP1627" s="1"/>
      <c r="EKQ1627" s="1"/>
      <c r="EKR1627" s="1"/>
      <c r="EKS1627" s="1"/>
      <c r="EKT1627" s="1"/>
      <c r="EKU1627" s="1"/>
      <c r="EKV1627" s="1"/>
      <c r="EKW1627" s="1"/>
      <c r="EKX1627" s="1"/>
      <c r="EKY1627" s="1"/>
      <c r="EKZ1627" s="1"/>
      <c r="ELA1627" s="1"/>
      <c r="ELB1627" s="1"/>
      <c r="ELC1627" s="1"/>
      <c r="ELD1627" s="1"/>
      <c r="ELE1627" s="1"/>
      <c r="ELF1627" s="1"/>
      <c r="ELG1627" s="1"/>
      <c r="ELH1627" s="1"/>
      <c r="ELI1627" s="1"/>
      <c r="ELJ1627" s="1"/>
      <c r="ELK1627" s="1"/>
      <c r="ELL1627" s="1"/>
      <c r="ELM1627" s="1"/>
      <c r="ELN1627" s="1"/>
      <c r="ELO1627" s="1"/>
      <c r="ELP1627" s="1"/>
      <c r="ELQ1627" s="1"/>
      <c r="ELR1627" s="1"/>
      <c r="ELS1627" s="1"/>
      <c r="ELT1627" s="1"/>
      <c r="ELU1627" s="1"/>
      <c r="ELV1627" s="1"/>
      <c r="ELW1627" s="1"/>
      <c r="ELX1627" s="1"/>
      <c r="ELY1627" s="1"/>
      <c r="ELZ1627" s="1"/>
      <c r="EMA1627" s="1"/>
      <c r="EMB1627" s="1"/>
      <c r="EMC1627" s="1"/>
      <c r="EMD1627" s="1"/>
      <c r="EME1627" s="1"/>
      <c r="EMF1627" s="1"/>
      <c r="EMG1627" s="1"/>
      <c r="EMH1627" s="1"/>
      <c r="EMI1627" s="1"/>
      <c r="EMJ1627" s="1"/>
      <c r="EMK1627" s="1"/>
      <c r="EML1627" s="1"/>
      <c r="EMM1627" s="1"/>
      <c r="EMN1627" s="1"/>
      <c r="EMO1627" s="1"/>
      <c r="EMP1627" s="1"/>
      <c r="EMQ1627" s="1"/>
      <c r="EMR1627" s="1"/>
      <c r="EMS1627" s="1"/>
      <c r="EMT1627" s="1"/>
      <c r="EMU1627" s="1"/>
      <c r="EMV1627" s="1"/>
      <c r="EMW1627" s="1"/>
      <c r="EMX1627" s="1"/>
      <c r="EMY1627" s="1"/>
      <c r="EMZ1627" s="1"/>
      <c r="ENA1627" s="1"/>
      <c r="ENB1627" s="1"/>
      <c r="ENC1627" s="1"/>
      <c r="END1627" s="1"/>
      <c r="ENE1627" s="1"/>
      <c r="ENF1627" s="1"/>
      <c r="ENG1627" s="1"/>
      <c r="ENH1627" s="1"/>
      <c r="ENI1627" s="1"/>
      <c r="ENJ1627" s="1"/>
      <c r="ENK1627" s="1"/>
      <c r="ENL1627" s="1"/>
      <c r="ENM1627" s="1"/>
      <c r="ENN1627" s="1"/>
      <c r="ENO1627" s="1"/>
      <c r="ENP1627" s="1"/>
      <c r="ENQ1627" s="1"/>
      <c r="ENR1627" s="1"/>
      <c r="ENS1627" s="1"/>
      <c r="ENT1627" s="1"/>
      <c r="ENU1627" s="1"/>
      <c r="ENV1627" s="1"/>
      <c r="ENW1627" s="1"/>
      <c r="ENX1627" s="1"/>
      <c r="ENY1627" s="1"/>
      <c r="ENZ1627" s="1"/>
      <c r="EOA1627" s="1"/>
      <c r="EOB1627" s="1"/>
      <c r="EOC1627" s="1"/>
      <c r="EOD1627" s="1"/>
      <c r="EOE1627" s="1"/>
      <c r="EOF1627" s="1"/>
      <c r="EOG1627" s="1"/>
      <c r="EOH1627" s="1"/>
      <c r="EOI1627" s="1"/>
      <c r="EOJ1627" s="1"/>
      <c r="EOK1627" s="1"/>
      <c r="EOL1627" s="1"/>
      <c r="EOM1627" s="1"/>
      <c r="EON1627" s="1"/>
      <c r="EOO1627" s="1"/>
      <c r="EOP1627" s="1"/>
      <c r="EOQ1627" s="1"/>
      <c r="EOR1627" s="1"/>
      <c r="EOS1627" s="1"/>
      <c r="EOT1627" s="1"/>
      <c r="EOU1627" s="1"/>
      <c r="EOV1627" s="1"/>
      <c r="EOW1627" s="1"/>
      <c r="EOX1627" s="1"/>
      <c r="EOY1627" s="1"/>
      <c r="EOZ1627" s="1"/>
      <c r="EPA1627" s="1"/>
      <c r="EPB1627" s="1"/>
      <c r="EPC1627" s="1"/>
      <c r="EPD1627" s="1"/>
      <c r="EPE1627" s="1"/>
      <c r="EPF1627" s="1"/>
      <c r="EPG1627" s="1"/>
      <c r="EPH1627" s="1"/>
      <c r="EPI1627" s="1"/>
      <c r="EPJ1627" s="1"/>
      <c r="EPK1627" s="1"/>
      <c r="EPL1627" s="1"/>
      <c r="EPM1627" s="1"/>
      <c r="EPN1627" s="1"/>
      <c r="EPO1627" s="1"/>
      <c r="EPP1627" s="1"/>
      <c r="EPQ1627" s="1"/>
      <c r="EPR1627" s="1"/>
      <c r="EPS1627" s="1"/>
      <c r="EPT1627" s="1"/>
      <c r="EPU1627" s="1"/>
      <c r="EPV1627" s="1"/>
      <c r="EPW1627" s="1"/>
      <c r="EPX1627" s="1"/>
      <c r="EPY1627" s="1"/>
      <c r="EPZ1627" s="1"/>
      <c r="EQA1627" s="1"/>
      <c r="EQB1627" s="1"/>
      <c r="EQC1627" s="1"/>
      <c r="EQD1627" s="1"/>
      <c r="EQE1627" s="1"/>
      <c r="EQF1627" s="1"/>
      <c r="EQG1627" s="1"/>
      <c r="EQH1627" s="1"/>
      <c r="EQI1627" s="1"/>
      <c r="EQJ1627" s="1"/>
      <c r="EQK1627" s="1"/>
      <c r="EQL1627" s="1"/>
      <c r="EQM1627" s="1"/>
      <c r="EQN1627" s="1"/>
      <c r="EQO1627" s="1"/>
      <c r="EQP1627" s="1"/>
      <c r="EQQ1627" s="1"/>
      <c r="EQR1627" s="1"/>
      <c r="EQS1627" s="1"/>
      <c r="EQT1627" s="1"/>
      <c r="EQU1627" s="1"/>
      <c r="EQV1627" s="1"/>
      <c r="EQW1627" s="1"/>
      <c r="EQX1627" s="1"/>
      <c r="EQY1627" s="1"/>
      <c r="EQZ1627" s="1"/>
      <c r="ERA1627" s="1"/>
      <c r="ERB1627" s="1"/>
      <c r="ERC1627" s="1"/>
      <c r="ERD1627" s="1"/>
      <c r="ERE1627" s="1"/>
      <c r="ERF1627" s="1"/>
      <c r="ERG1627" s="1"/>
      <c r="ERH1627" s="1"/>
      <c r="ERI1627" s="1"/>
      <c r="ERJ1627" s="1"/>
      <c r="ERK1627" s="1"/>
      <c r="ERL1627" s="1"/>
      <c r="ERM1627" s="1"/>
      <c r="ERN1627" s="1"/>
      <c r="ERO1627" s="1"/>
      <c r="ERP1627" s="1"/>
      <c r="ERQ1627" s="1"/>
      <c r="ERR1627" s="1"/>
      <c r="ERS1627" s="1"/>
      <c r="ERT1627" s="1"/>
      <c r="ERU1627" s="1"/>
      <c r="ERV1627" s="1"/>
      <c r="ERW1627" s="1"/>
      <c r="ERX1627" s="1"/>
      <c r="ERY1627" s="1"/>
      <c r="ERZ1627" s="1"/>
      <c r="ESA1627" s="1"/>
      <c r="ESB1627" s="1"/>
      <c r="ESC1627" s="1"/>
      <c r="ESD1627" s="1"/>
      <c r="ESE1627" s="1"/>
      <c r="ESF1627" s="1"/>
      <c r="ESG1627" s="1"/>
      <c r="ESH1627" s="1"/>
      <c r="ESI1627" s="1"/>
      <c r="ESJ1627" s="1"/>
      <c r="ESK1627" s="1"/>
      <c r="ESL1627" s="1"/>
      <c r="ESM1627" s="1"/>
      <c r="ESN1627" s="1"/>
      <c r="ESO1627" s="1"/>
      <c r="ESP1627" s="1"/>
      <c r="ESQ1627" s="1"/>
      <c r="ESR1627" s="1"/>
      <c r="ESS1627" s="1"/>
      <c r="EST1627" s="1"/>
      <c r="ESU1627" s="1"/>
      <c r="ESV1627" s="1"/>
      <c r="ESW1627" s="1"/>
      <c r="ESX1627" s="1"/>
      <c r="ESY1627" s="1"/>
      <c r="ESZ1627" s="1"/>
      <c r="ETA1627" s="1"/>
      <c r="ETB1627" s="1"/>
      <c r="ETC1627" s="1"/>
      <c r="ETD1627" s="1"/>
      <c r="ETE1627" s="1"/>
      <c r="ETF1627" s="1"/>
      <c r="ETG1627" s="1"/>
      <c r="ETH1627" s="1"/>
      <c r="ETI1627" s="1"/>
      <c r="ETJ1627" s="1"/>
      <c r="ETK1627" s="1"/>
      <c r="ETL1627" s="1"/>
      <c r="ETM1627" s="1"/>
      <c r="ETN1627" s="1"/>
      <c r="ETO1627" s="1"/>
      <c r="ETP1627" s="1"/>
      <c r="ETQ1627" s="1"/>
      <c r="ETR1627" s="1"/>
      <c r="ETS1627" s="1"/>
      <c r="ETT1627" s="1"/>
      <c r="ETU1627" s="1"/>
      <c r="ETV1627" s="1"/>
      <c r="ETW1627" s="1"/>
      <c r="ETX1627" s="1"/>
      <c r="ETY1627" s="1"/>
      <c r="ETZ1627" s="1"/>
      <c r="EUA1627" s="1"/>
      <c r="EUB1627" s="1"/>
      <c r="EUC1627" s="1"/>
      <c r="EUD1627" s="1"/>
      <c r="EUE1627" s="1"/>
      <c r="EUF1627" s="1"/>
      <c r="EUG1627" s="1"/>
      <c r="EUH1627" s="1"/>
      <c r="EUI1627" s="1"/>
      <c r="EUJ1627" s="1"/>
      <c r="EUK1627" s="1"/>
      <c r="EUL1627" s="1"/>
      <c r="EUM1627" s="1"/>
      <c r="EUN1627" s="1"/>
      <c r="EUO1627" s="1"/>
      <c r="EUP1627" s="1"/>
      <c r="EUQ1627" s="1"/>
      <c r="EUR1627" s="1"/>
      <c r="EUS1627" s="1"/>
      <c r="EUT1627" s="1"/>
      <c r="EUU1627" s="1"/>
      <c r="EUV1627" s="1"/>
      <c r="EUW1627" s="1"/>
      <c r="EUX1627" s="1"/>
      <c r="EUY1627" s="1"/>
      <c r="EUZ1627" s="1"/>
      <c r="EVA1627" s="1"/>
      <c r="EVB1627" s="1"/>
      <c r="EVC1627" s="1"/>
      <c r="EVD1627" s="1"/>
      <c r="EVE1627" s="1"/>
      <c r="EVF1627" s="1"/>
      <c r="EVG1627" s="1"/>
      <c r="EVH1627" s="1"/>
      <c r="EVI1627" s="1"/>
      <c r="EVJ1627" s="1"/>
      <c r="EVK1627" s="1"/>
      <c r="EVL1627" s="1"/>
      <c r="EVM1627" s="1"/>
      <c r="EVN1627" s="1"/>
      <c r="EVO1627" s="1"/>
      <c r="EVP1627" s="1"/>
      <c r="EVQ1627" s="1"/>
      <c r="EVR1627" s="1"/>
      <c r="EVS1627" s="1"/>
      <c r="EVT1627" s="1"/>
      <c r="EVU1627" s="1"/>
      <c r="EVV1627" s="1"/>
      <c r="EVW1627" s="1"/>
      <c r="EVX1627" s="1"/>
      <c r="EVY1627" s="1"/>
      <c r="EVZ1627" s="1"/>
      <c r="EWA1627" s="1"/>
      <c r="EWB1627" s="1"/>
      <c r="EWC1627" s="1"/>
      <c r="EWD1627" s="1"/>
      <c r="EWE1627" s="1"/>
      <c r="EWF1627" s="1"/>
      <c r="EWG1627" s="1"/>
      <c r="EWH1627" s="1"/>
      <c r="EWI1627" s="1"/>
      <c r="EWJ1627" s="1"/>
      <c r="EWK1627" s="1"/>
      <c r="EWL1627" s="1"/>
      <c r="EWM1627" s="1"/>
      <c r="EWN1627" s="1"/>
      <c r="EWO1627" s="1"/>
      <c r="EWP1627" s="1"/>
      <c r="EWQ1627" s="1"/>
      <c r="EWR1627" s="1"/>
      <c r="EWS1627" s="1"/>
      <c r="EWT1627" s="1"/>
      <c r="EWU1627" s="1"/>
      <c r="EWV1627" s="1"/>
      <c r="EWW1627" s="1"/>
      <c r="EWX1627" s="1"/>
      <c r="EWY1627" s="1"/>
      <c r="EWZ1627" s="1"/>
      <c r="EXA1627" s="1"/>
      <c r="EXB1627" s="1"/>
      <c r="EXC1627" s="1"/>
      <c r="EXD1627" s="1"/>
      <c r="EXE1627" s="1"/>
      <c r="EXF1627" s="1"/>
      <c r="EXG1627" s="1"/>
      <c r="EXH1627" s="1"/>
      <c r="EXI1627" s="1"/>
      <c r="EXJ1627" s="1"/>
      <c r="EXK1627" s="1"/>
      <c r="EXL1627" s="1"/>
      <c r="EXM1627" s="1"/>
      <c r="EXN1627" s="1"/>
      <c r="EXO1627" s="1"/>
      <c r="EXP1627" s="1"/>
      <c r="EXQ1627" s="1"/>
      <c r="EXR1627" s="1"/>
      <c r="EXS1627" s="1"/>
      <c r="EXT1627" s="1"/>
      <c r="EXU1627" s="1"/>
      <c r="EXV1627" s="1"/>
      <c r="EXW1627" s="1"/>
      <c r="EXX1627" s="1"/>
      <c r="EXY1627" s="1"/>
      <c r="EXZ1627" s="1"/>
      <c r="EYA1627" s="1"/>
      <c r="EYB1627" s="1"/>
      <c r="EYC1627" s="1"/>
      <c r="EYD1627" s="1"/>
      <c r="EYE1627" s="1"/>
      <c r="EYF1627" s="1"/>
      <c r="EYG1627" s="1"/>
      <c r="EYH1627" s="1"/>
      <c r="EYI1627" s="1"/>
      <c r="EYJ1627" s="1"/>
      <c r="EYK1627" s="1"/>
      <c r="EYL1627" s="1"/>
      <c r="EYM1627" s="1"/>
      <c r="EYN1627" s="1"/>
      <c r="EYO1627" s="1"/>
      <c r="EYP1627" s="1"/>
      <c r="EYQ1627" s="1"/>
      <c r="EYR1627" s="1"/>
      <c r="EYS1627" s="1"/>
      <c r="EYT1627" s="1"/>
      <c r="EYU1627" s="1"/>
      <c r="EYV1627" s="1"/>
      <c r="EYW1627" s="1"/>
      <c r="EYX1627" s="1"/>
      <c r="EYY1627" s="1"/>
      <c r="EYZ1627" s="1"/>
      <c r="EZA1627" s="1"/>
      <c r="EZB1627" s="1"/>
      <c r="EZC1627" s="1"/>
      <c r="EZD1627" s="1"/>
      <c r="EZE1627" s="1"/>
      <c r="EZF1627" s="1"/>
      <c r="EZG1627" s="1"/>
      <c r="EZH1627" s="1"/>
      <c r="EZI1627" s="1"/>
      <c r="EZJ1627" s="1"/>
      <c r="EZK1627" s="1"/>
      <c r="EZL1627" s="1"/>
      <c r="EZM1627" s="1"/>
      <c r="EZN1627" s="1"/>
      <c r="EZO1627" s="1"/>
      <c r="EZP1627" s="1"/>
      <c r="EZQ1627" s="1"/>
      <c r="EZR1627" s="1"/>
      <c r="EZS1627" s="1"/>
      <c r="EZT1627" s="1"/>
      <c r="EZU1627" s="1"/>
      <c r="EZV1627" s="1"/>
      <c r="EZW1627" s="1"/>
      <c r="EZX1627" s="1"/>
      <c r="EZY1627" s="1"/>
      <c r="EZZ1627" s="1"/>
      <c r="FAA1627" s="1"/>
      <c r="FAB1627" s="1"/>
      <c r="FAC1627" s="1"/>
      <c r="FAD1627" s="1"/>
      <c r="FAE1627" s="1"/>
      <c r="FAF1627" s="1"/>
      <c r="FAG1627" s="1"/>
      <c r="FAH1627" s="1"/>
      <c r="FAI1627" s="1"/>
      <c r="FAJ1627" s="1"/>
      <c r="FAK1627" s="1"/>
      <c r="FAL1627" s="1"/>
      <c r="FAM1627" s="1"/>
      <c r="FAN1627" s="1"/>
      <c r="FAO1627" s="1"/>
      <c r="FAP1627" s="1"/>
      <c r="FAQ1627" s="1"/>
      <c r="FAR1627" s="1"/>
      <c r="FAS1627" s="1"/>
      <c r="FAT1627" s="1"/>
      <c r="FAU1627" s="1"/>
      <c r="FAV1627" s="1"/>
      <c r="FAW1627" s="1"/>
      <c r="FAX1627" s="1"/>
      <c r="FAY1627" s="1"/>
      <c r="FAZ1627" s="1"/>
      <c r="FBA1627" s="1"/>
      <c r="FBB1627" s="1"/>
      <c r="FBC1627" s="1"/>
      <c r="FBD1627" s="1"/>
      <c r="FBE1627" s="1"/>
      <c r="FBF1627" s="1"/>
      <c r="FBG1627" s="1"/>
      <c r="FBH1627" s="1"/>
      <c r="FBI1627" s="1"/>
      <c r="FBJ1627" s="1"/>
      <c r="FBK1627" s="1"/>
      <c r="FBL1627" s="1"/>
      <c r="FBM1627" s="1"/>
      <c r="FBN1627" s="1"/>
      <c r="FBO1627" s="1"/>
      <c r="FBP1627" s="1"/>
      <c r="FBQ1627" s="1"/>
      <c r="FBR1627" s="1"/>
      <c r="FBS1627" s="1"/>
      <c r="FBT1627" s="1"/>
      <c r="FBU1627" s="1"/>
      <c r="FBV1627" s="1"/>
      <c r="FBW1627" s="1"/>
      <c r="FBX1627" s="1"/>
      <c r="FBY1627" s="1"/>
      <c r="FBZ1627" s="1"/>
      <c r="FCA1627" s="1"/>
      <c r="FCB1627" s="1"/>
      <c r="FCC1627" s="1"/>
      <c r="FCD1627" s="1"/>
      <c r="FCE1627" s="1"/>
      <c r="FCF1627" s="1"/>
      <c r="FCG1627" s="1"/>
      <c r="FCH1627" s="1"/>
      <c r="FCI1627" s="1"/>
      <c r="FCJ1627" s="1"/>
      <c r="FCK1627" s="1"/>
      <c r="FCL1627" s="1"/>
      <c r="FCM1627" s="1"/>
      <c r="FCN1627" s="1"/>
      <c r="FCO1627" s="1"/>
      <c r="FCP1627" s="1"/>
      <c r="FCQ1627" s="1"/>
      <c r="FCR1627" s="1"/>
      <c r="FCS1627" s="1"/>
      <c r="FCT1627" s="1"/>
      <c r="FCU1627" s="1"/>
      <c r="FCV1627" s="1"/>
      <c r="FCW1627" s="1"/>
      <c r="FCX1627" s="1"/>
      <c r="FCY1627" s="1"/>
      <c r="FCZ1627" s="1"/>
      <c r="FDA1627" s="1"/>
      <c r="FDB1627" s="1"/>
      <c r="FDC1627" s="1"/>
      <c r="FDD1627" s="1"/>
      <c r="FDE1627" s="1"/>
      <c r="FDF1627" s="1"/>
      <c r="FDG1627" s="1"/>
      <c r="FDH1627" s="1"/>
      <c r="FDI1627" s="1"/>
      <c r="FDJ1627" s="1"/>
      <c r="FDK1627" s="1"/>
      <c r="FDL1627" s="1"/>
      <c r="FDM1627" s="1"/>
      <c r="FDN1627" s="1"/>
      <c r="FDO1627" s="1"/>
      <c r="FDP1627" s="1"/>
      <c r="FDQ1627" s="1"/>
      <c r="FDR1627" s="1"/>
      <c r="FDS1627" s="1"/>
      <c r="FDT1627" s="1"/>
      <c r="FDU1627" s="1"/>
      <c r="FDV1627" s="1"/>
      <c r="FDW1627" s="1"/>
      <c r="FDX1627" s="1"/>
      <c r="FDY1627" s="1"/>
      <c r="FDZ1627" s="1"/>
      <c r="FEA1627" s="1"/>
      <c r="FEB1627" s="1"/>
      <c r="FEC1627" s="1"/>
      <c r="FED1627" s="1"/>
      <c r="FEE1627" s="1"/>
      <c r="FEF1627" s="1"/>
      <c r="FEG1627" s="1"/>
      <c r="FEH1627" s="1"/>
      <c r="FEI1627" s="1"/>
      <c r="FEJ1627" s="1"/>
      <c r="FEK1627" s="1"/>
      <c r="FEL1627" s="1"/>
      <c r="FEM1627" s="1"/>
      <c r="FEN1627" s="1"/>
      <c r="FEO1627" s="1"/>
      <c r="FEP1627" s="1"/>
      <c r="FEQ1627" s="1"/>
      <c r="FER1627" s="1"/>
      <c r="FES1627" s="1"/>
      <c r="FET1627" s="1"/>
      <c r="FEU1627" s="1"/>
      <c r="FEV1627" s="1"/>
      <c r="FEW1627" s="1"/>
      <c r="FEX1627" s="1"/>
      <c r="FEY1627" s="1"/>
      <c r="FEZ1627" s="1"/>
      <c r="FFA1627" s="1"/>
      <c r="FFB1627" s="1"/>
      <c r="FFC1627" s="1"/>
      <c r="FFD1627" s="1"/>
      <c r="FFE1627" s="1"/>
      <c r="FFF1627" s="1"/>
      <c r="FFG1627" s="1"/>
      <c r="FFH1627" s="1"/>
      <c r="FFI1627" s="1"/>
      <c r="FFJ1627" s="1"/>
      <c r="FFK1627" s="1"/>
      <c r="FFL1627" s="1"/>
      <c r="FFM1627" s="1"/>
      <c r="FFN1627" s="1"/>
      <c r="FFO1627" s="1"/>
      <c r="FFP1627" s="1"/>
      <c r="FFQ1627" s="1"/>
      <c r="FFR1627" s="1"/>
      <c r="FFS1627" s="1"/>
      <c r="FFT1627" s="1"/>
      <c r="FFU1627" s="1"/>
      <c r="FFV1627" s="1"/>
      <c r="FFW1627" s="1"/>
      <c r="FFX1627" s="1"/>
      <c r="FFY1627" s="1"/>
      <c r="FFZ1627" s="1"/>
      <c r="FGA1627" s="1"/>
      <c r="FGB1627" s="1"/>
      <c r="FGC1627" s="1"/>
      <c r="FGD1627" s="1"/>
      <c r="FGE1627" s="1"/>
      <c r="FGF1627" s="1"/>
      <c r="FGG1627" s="1"/>
      <c r="FGH1627" s="1"/>
      <c r="FGI1627" s="1"/>
      <c r="FGJ1627" s="1"/>
      <c r="FGK1627" s="1"/>
      <c r="FGL1627" s="1"/>
      <c r="FGM1627" s="1"/>
      <c r="FGN1627" s="1"/>
      <c r="FGO1627" s="1"/>
      <c r="FGP1627" s="1"/>
      <c r="FGQ1627" s="1"/>
      <c r="FGR1627" s="1"/>
      <c r="FGS1627" s="1"/>
      <c r="FGT1627" s="1"/>
      <c r="FGU1627" s="1"/>
      <c r="FGV1627" s="1"/>
      <c r="FGW1627" s="1"/>
      <c r="FGX1627" s="1"/>
      <c r="FGY1627" s="1"/>
      <c r="FGZ1627" s="1"/>
      <c r="FHA1627" s="1"/>
      <c r="FHB1627" s="1"/>
      <c r="FHC1627" s="1"/>
      <c r="FHD1627" s="1"/>
      <c r="FHE1627" s="1"/>
      <c r="FHF1627" s="1"/>
      <c r="FHG1627" s="1"/>
      <c r="FHH1627" s="1"/>
      <c r="FHI1627" s="1"/>
      <c r="FHJ1627" s="1"/>
      <c r="FHK1627" s="1"/>
      <c r="FHL1627" s="1"/>
      <c r="FHM1627" s="1"/>
      <c r="FHN1627" s="1"/>
      <c r="FHO1627" s="1"/>
      <c r="FHP1627" s="1"/>
      <c r="FHQ1627" s="1"/>
      <c r="FHR1627" s="1"/>
      <c r="FHS1627" s="1"/>
      <c r="FHT1627" s="1"/>
      <c r="FHU1627" s="1"/>
      <c r="FHV1627" s="1"/>
      <c r="FHW1627" s="1"/>
      <c r="FHX1627" s="1"/>
      <c r="FHY1627" s="1"/>
      <c r="FHZ1627" s="1"/>
      <c r="FIA1627" s="1"/>
      <c r="FIB1627" s="1"/>
      <c r="FIC1627" s="1"/>
      <c r="FID1627" s="1"/>
      <c r="FIE1627" s="1"/>
      <c r="FIF1627" s="1"/>
      <c r="FIG1627" s="1"/>
      <c r="FIH1627" s="1"/>
      <c r="FII1627" s="1"/>
      <c r="FIJ1627" s="1"/>
      <c r="FIK1627" s="1"/>
      <c r="FIL1627" s="1"/>
      <c r="FIM1627" s="1"/>
      <c r="FIN1627" s="1"/>
      <c r="FIO1627" s="1"/>
      <c r="FIP1627" s="1"/>
      <c r="FIQ1627" s="1"/>
      <c r="FIR1627" s="1"/>
      <c r="FIS1627" s="1"/>
      <c r="FIT1627" s="1"/>
      <c r="FIU1627" s="1"/>
      <c r="FIV1627" s="1"/>
      <c r="FIW1627" s="1"/>
      <c r="FIX1627" s="1"/>
      <c r="FIY1627" s="1"/>
      <c r="FIZ1627" s="1"/>
      <c r="FJA1627" s="1"/>
      <c r="FJB1627" s="1"/>
      <c r="FJC1627" s="1"/>
      <c r="FJD1627" s="1"/>
      <c r="FJE1627" s="1"/>
      <c r="FJF1627" s="1"/>
      <c r="FJG1627" s="1"/>
      <c r="FJH1627" s="1"/>
      <c r="FJI1627" s="1"/>
      <c r="FJJ1627" s="1"/>
      <c r="FJK1627" s="1"/>
      <c r="FJL1627" s="1"/>
      <c r="FJM1627" s="1"/>
      <c r="FJN1627" s="1"/>
      <c r="FJO1627" s="1"/>
      <c r="FJP1627" s="1"/>
      <c r="FJQ1627" s="1"/>
      <c r="FJR1627" s="1"/>
      <c r="FJS1627" s="1"/>
      <c r="FJT1627" s="1"/>
      <c r="FJU1627" s="1"/>
      <c r="FJV1627" s="1"/>
      <c r="FJW1627" s="1"/>
      <c r="FJX1627" s="1"/>
      <c r="FJY1627" s="1"/>
      <c r="FJZ1627" s="1"/>
      <c r="FKA1627" s="1"/>
      <c r="FKB1627" s="1"/>
      <c r="FKC1627" s="1"/>
      <c r="FKD1627" s="1"/>
      <c r="FKE1627" s="1"/>
      <c r="FKF1627" s="1"/>
      <c r="FKG1627" s="1"/>
      <c r="FKH1627" s="1"/>
      <c r="FKI1627" s="1"/>
      <c r="FKJ1627" s="1"/>
      <c r="FKK1627" s="1"/>
      <c r="FKL1627" s="1"/>
      <c r="FKM1627" s="1"/>
      <c r="FKN1627" s="1"/>
      <c r="FKO1627" s="1"/>
      <c r="FKP1627" s="1"/>
      <c r="FKQ1627" s="1"/>
      <c r="FKR1627" s="1"/>
      <c r="FKS1627" s="1"/>
      <c r="FKT1627" s="1"/>
      <c r="FKU1627" s="1"/>
      <c r="FKV1627" s="1"/>
      <c r="FKW1627" s="1"/>
      <c r="FKX1627" s="1"/>
      <c r="FKY1627" s="1"/>
      <c r="FKZ1627" s="1"/>
      <c r="FLA1627" s="1"/>
      <c r="FLB1627" s="1"/>
      <c r="FLC1627" s="1"/>
      <c r="FLD1627" s="1"/>
      <c r="FLE1627" s="1"/>
      <c r="FLF1627" s="1"/>
      <c r="FLG1627" s="1"/>
      <c r="FLH1627" s="1"/>
      <c r="FLI1627" s="1"/>
      <c r="FLJ1627" s="1"/>
      <c r="FLK1627" s="1"/>
      <c r="FLL1627" s="1"/>
      <c r="FLM1627" s="1"/>
      <c r="FLN1627" s="1"/>
      <c r="FLO1627" s="1"/>
      <c r="FLP1627" s="1"/>
      <c r="FLQ1627" s="1"/>
      <c r="FLR1627" s="1"/>
      <c r="FLS1627" s="1"/>
      <c r="FLT1627" s="1"/>
      <c r="FLU1627" s="1"/>
      <c r="FLV1627" s="1"/>
      <c r="FLW1627" s="1"/>
      <c r="FLX1627" s="1"/>
      <c r="FLY1627" s="1"/>
      <c r="FLZ1627" s="1"/>
      <c r="FMA1627" s="1"/>
      <c r="FMB1627" s="1"/>
      <c r="FMC1627" s="1"/>
      <c r="FMD1627" s="1"/>
      <c r="FME1627" s="1"/>
      <c r="FMF1627" s="1"/>
      <c r="FMG1627" s="1"/>
      <c r="FMH1627" s="1"/>
      <c r="FMI1627" s="1"/>
      <c r="FMJ1627" s="1"/>
      <c r="FMK1627" s="1"/>
      <c r="FML1627" s="1"/>
      <c r="FMM1627" s="1"/>
      <c r="FMN1627" s="1"/>
      <c r="FMO1627" s="1"/>
      <c r="FMP1627" s="1"/>
      <c r="FMQ1627" s="1"/>
      <c r="FMR1627" s="1"/>
      <c r="FMS1627" s="1"/>
      <c r="FMT1627" s="1"/>
      <c r="FMU1627" s="1"/>
      <c r="FMV1627" s="1"/>
      <c r="FMW1627" s="1"/>
      <c r="FMX1627" s="1"/>
      <c r="FMY1627" s="1"/>
      <c r="FMZ1627" s="1"/>
      <c r="FNA1627" s="1"/>
      <c r="FNB1627" s="1"/>
      <c r="FNC1627" s="1"/>
      <c r="FND1627" s="1"/>
      <c r="FNE1627" s="1"/>
      <c r="FNF1627" s="1"/>
      <c r="FNG1627" s="1"/>
      <c r="FNH1627" s="1"/>
      <c r="FNI1627" s="1"/>
      <c r="FNJ1627" s="1"/>
      <c r="FNK1627" s="1"/>
      <c r="FNL1627" s="1"/>
      <c r="FNM1627" s="1"/>
      <c r="FNN1627" s="1"/>
      <c r="FNO1627" s="1"/>
      <c r="FNP1627" s="1"/>
      <c r="FNQ1627" s="1"/>
      <c r="FNR1627" s="1"/>
      <c r="FNS1627" s="1"/>
      <c r="FNT1627" s="1"/>
      <c r="FNU1627" s="1"/>
      <c r="FNV1627" s="1"/>
      <c r="FNW1627" s="1"/>
      <c r="FNX1627" s="1"/>
      <c r="FNY1627" s="1"/>
      <c r="FNZ1627" s="1"/>
      <c r="FOA1627" s="1"/>
      <c r="FOB1627" s="1"/>
      <c r="FOC1627" s="1"/>
      <c r="FOD1627" s="1"/>
      <c r="FOE1627" s="1"/>
      <c r="FOF1627" s="1"/>
      <c r="FOG1627" s="1"/>
      <c r="FOH1627" s="1"/>
      <c r="FOI1627" s="1"/>
      <c r="FOJ1627" s="1"/>
      <c r="FOK1627" s="1"/>
      <c r="FOL1627" s="1"/>
      <c r="FOM1627" s="1"/>
      <c r="FON1627" s="1"/>
      <c r="FOO1627" s="1"/>
      <c r="FOP1627" s="1"/>
      <c r="FOQ1627" s="1"/>
      <c r="FOR1627" s="1"/>
      <c r="FOS1627" s="1"/>
      <c r="FOT1627" s="1"/>
      <c r="FOU1627" s="1"/>
      <c r="FOV1627" s="1"/>
      <c r="FOW1627" s="1"/>
      <c r="FOX1627" s="1"/>
      <c r="FOY1627" s="1"/>
      <c r="FOZ1627" s="1"/>
      <c r="FPA1627" s="1"/>
      <c r="FPB1627" s="1"/>
      <c r="FPC1627" s="1"/>
      <c r="FPD1627" s="1"/>
      <c r="FPE1627" s="1"/>
      <c r="FPF1627" s="1"/>
      <c r="FPG1627" s="1"/>
      <c r="FPH1627" s="1"/>
      <c r="FPI1627" s="1"/>
      <c r="FPJ1627" s="1"/>
      <c r="FPK1627" s="1"/>
      <c r="FPL1627" s="1"/>
      <c r="FPM1627" s="1"/>
      <c r="FPN1627" s="1"/>
      <c r="FPO1627" s="1"/>
      <c r="FPP1627" s="1"/>
      <c r="FPQ1627" s="1"/>
      <c r="FPR1627" s="1"/>
      <c r="FPS1627" s="1"/>
      <c r="FPT1627" s="1"/>
      <c r="FPU1627" s="1"/>
      <c r="FPV1627" s="1"/>
      <c r="FPW1627" s="1"/>
      <c r="FPX1627" s="1"/>
      <c r="FPY1627" s="1"/>
      <c r="FPZ1627" s="1"/>
      <c r="FQA1627" s="1"/>
      <c r="FQB1627" s="1"/>
      <c r="FQC1627" s="1"/>
      <c r="FQD1627" s="1"/>
      <c r="FQE1627" s="1"/>
      <c r="FQF1627" s="1"/>
      <c r="FQG1627" s="1"/>
      <c r="FQH1627" s="1"/>
      <c r="FQI1627" s="1"/>
      <c r="FQJ1627" s="1"/>
      <c r="FQK1627" s="1"/>
      <c r="FQL1627" s="1"/>
      <c r="FQM1627" s="1"/>
      <c r="FQN1627" s="1"/>
      <c r="FQO1627" s="1"/>
      <c r="FQP1627" s="1"/>
      <c r="FQQ1627" s="1"/>
      <c r="FQR1627" s="1"/>
      <c r="FQS1627" s="1"/>
      <c r="FQT1627" s="1"/>
      <c r="FQU1627" s="1"/>
      <c r="FQV1627" s="1"/>
      <c r="FQW1627" s="1"/>
      <c r="FQX1627" s="1"/>
      <c r="FQY1627" s="1"/>
      <c r="FQZ1627" s="1"/>
      <c r="FRA1627" s="1"/>
      <c r="FRB1627" s="1"/>
      <c r="FRC1627" s="1"/>
      <c r="FRD1627" s="1"/>
      <c r="FRE1627" s="1"/>
      <c r="FRF1627" s="1"/>
      <c r="FRG1627" s="1"/>
      <c r="FRH1627" s="1"/>
      <c r="FRI1627" s="1"/>
      <c r="FRJ1627" s="1"/>
      <c r="FRK1627" s="1"/>
      <c r="FRL1627" s="1"/>
      <c r="FRM1627" s="1"/>
      <c r="FRN1627" s="1"/>
      <c r="FRO1627" s="1"/>
      <c r="FRP1627" s="1"/>
      <c r="FRQ1627" s="1"/>
      <c r="FRR1627" s="1"/>
      <c r="FRS1627" s="1"/>
      <c r="FRT1627" s="1"/>
      <c r="FRU1627" s="1"/>
      <c r="FRV1627" s="1"/>
      <c r="FRW1627" s="1"/>
      <c r="FRX1627" s="1"/>
      <c r="FRY1627" s="1"/>
      <c r="FRZ1627" s="1"/>
      <c r="FSA1627" s="1"/>
      <c r="FSB1627" s="1"/>
      <c r="FSC1627" s="1"/>
      <c r="FSD1627" s="1"/>
      <c r="FSE1627" s="1"/>
      <c r="FSF1627" s="1"/>
      <c r="FSG1627" s="1"/>
      <c r="FSH1627" s="1"/>
      <c r="FSI1627" s="1"/>
      <c r="FSJ1627" s="1"/>
      <c r="FSK1627" s="1"/>
      <c r="FSL1627" s="1"/>
      <c r="FSM1627" s="1"/>
      <c r="FSN1627" s="1"/>
      <c r="FSO1627" s="1"/>
      <c r="FSP1627" s="1"/>
      <c r="FSQ1627" s="1"/>
      <c r="FSR1627" s="1"/>
      <c r="FSS1627" s="1"/>
      <c r="FST1627" s="1"/>
      <c r="FSU1627" s="1"/>
      <c r="FSV1627" s="1"/>
      <c r="FSW1627" s="1"/>
      <c r="FSX1627" s="1"/>
      <c r="FSY1627" s="1"/>
      <c r="FSZ1627" s="1"/>
      <c r="FTA1627" s="1"/>
      <c r="FTB1627" s="1"/>
      <c r="FTC1627" s="1"/>
      <c r="FTD1627" s="1"/>
      <c r="FTE1627" s="1"/>
      <c r="FTF1627" s="1"/>
      <c r="FTG1627" s="1"/>
      <c r="FTH1627" s="1"/>
      <c r="FTI1627" s="1"/>
      <c r="FTJ1627" s="1"/>
      <c r="FTK1627" s="1"/>
      <c r="FTL1627" s="1"/>
      <c r="FTM1627" s="1"/>
      <c r="FTN1627" s="1"/>
      <c r="FTO1627" s="1"/>
      <c r="FTP1627" s="1"/>
      <c r="FTQ1627" s="1"/>
      <c r="FTR1627" s="1"/>
      <c r="FTS1627" s="1"/>
      <c r="FTT1627" s="1"/>
      <c r="FTU1627" s="1"/>
      <c r="FTV1627" s="1"/>
      <c r="FTW1627" s="1"/>
      <c r="FTX1627" s="1"/>
      <c r="FTY1627" s="1"/>
      <c r="FTZ1627" s="1"/>
      <c r="FUA1627" s="1"/>
      <c r="FUB1627" s="1"/>
      <c r="FUC1627" s="1"/>
      <c r="FUD1627" s="1"/>
      <c r="FUE1627" s="1"/>
      <c r="FUF1627" s="1"/>
      <c r="FUG1627" s="1"/>
      <c r="FUH1627" s="1"/>
      <c r="FUI1627" s="1"/>
      <c r="FUJ1627" s="1"/>
      <c r="FUK1627" s="1"/>
      <c r="FUL1627" s="1"/>
      <c r="FUM1627" s="1"/>
      <c r="FUN1627" s="1"/>
      <c r="FUO1627" s="1"/>
      <c r="FUP1627" s="1"/>
      <c r="FUQ1627" s="1"/>
      <c r="FUR1627" s="1"/>
      <c r="FUS1627" s="1"/>
      <c r="FUT1627" s="1"/>
      <c r="FUU1627" s="1"/>
      <c r="FUV1627" s="1"/>
      <c r="FUW1627" s="1"/>
      <c r="FUX1627" s="1"/>
      <c r="FUY1627" s="1"/>
      <c r="FUZ1627" s="1"/>
      <c r="FVA1627" s="1"/>
      <c r="FVB1627" s="1"/>
      <c r="FVC1627" s="1"/>
      <c r="FVD1627" s="1"/>
      <c r="FVE1627" s="1"/>
      <c r="FVF1627" s="1"/>
      <c r="FVG1627" s="1"/>
      <c r="FVH1627" s="1"/>
      <c r="FVI1627" s="1"/>
      <c r="FVJ1627" s="1"/>
      <c r="FVK1627" s="1"/>
      <c r="FVL1627" s="1"/>
      <c r="FVM1627" s="1"/>
      <c r="FVN1627" s="1"/>
      <c r="FVO1627" s="1"/>
      <c r="FVP1627" s="1"/>
      <c r="FVQ1627" s="1"/>
      <c r="FVR1627" s="1"/>
      <c r="FVS1627" s="1"/>
      <c r="FVT1627" s="1"/>
      <c r="FVU1627" s="1"/>
      <c r="FVV1627" s="1"/>
      <c r="FVW1627" s="1"/>
      <c r="FVX1627" s="1"/>
      <c r="FVY1627" s="1"/>
      <c r="FVZ1627" s="1"/>
      <c r="FWA1627" s="1"/>
      <c r="FWB1627" s="1"/>
      <c r="FWC1627" s="1"/>
      <c r="FWD1627" s="1"/>
      <c r="FWE1627" s="1"/>
      <c r="FWF1627" s="1"/>
      <c r="FWG1627" s="1"/>
      <c r="FWH1627" s="1"/>
      <c r="FWI1627" s="1"/>
      <c r="FWJ1627" s="1"/>
      <c r="FWK1627" s="1"/>
      <c r="FWL1627" s="1"/>
      <c r="FWM1627" s="1"/>
      <c r="FWN1627" s="1"/>
      <c r="FWO1627" s="1"/>
      <c r="FWP1627" s="1"/>
      <c r="FWQ1627" s="1"/>
      <c r="FWR1627" s="1"/>
      <c r="FWS1627" s="1"/>
      <c r="FWT1627" s="1"/>
      <c r="FWU1627" s="1"/>
      <c r="FWV1627" s="1"/>
      <c r="FWW1627" s="1"/>
      <c r="FWX1627" s="1"/>
      <c r="FWY1627" s="1"/>
      <c r="FWZ1627" s="1"/>
      <c r="FXA1627" s="1"/>
      <c r="FXB1627" s="1"/>
      <c r="FXC1627" s="1"/>
      <c r="FXD1627" s="1"/>
      <c r="FXE1627" s="1"/>
      <c r="FXF1627" s="1"/>
      <c r="FXG1627" s="1"/>
      <c r="FXH1627" s="1"/>
      <c r="FXI1627" s="1"/>
      <c r="FXJ1627" s="1"/>
      <c r="FXK1627" s="1"/>
      <c r="FXL1627" s="1"/>
      <c r="FXM1627" s="1"/>
      <c r="FXN1627" s="1"/>
      <c r="FXO1627" s="1"/>
      <c r="FXP1627" s="1"/>
      <c r="FXQ1627" s="1"/>
      <c r="FXR1627" s="1"/>
      <c r="FXS1627" s="1"/>
      <c r="FXT1627" s="1"/>
      <c r="FXU1627" s="1"/>
      <c r="FXV1627" s="1"/>
      <c r="FXW1627" s="1"/>
      <c r="FXX1627" s="1"/>
      <c r="FXY1627" s="1"/>
      <c r="FXZ1627" s="1"/>
      <c r="FYA1627" s="1"/>
      <c r="FYB1627" s="1"/>
      <c r="FYC1627" s="1"/>
      <c r="FYD1627" s="1"/>
      <c r="FYE1627" s="1"/>
      <c r="FYF1627" s="1"/>
      <c r="FYG1627" s="1"/>
      <c r="FYH1627" s="1"/>
      <c r="FYI1627" s="1"/>
      <c r="FYJ1627" s="1"/>
      <c r="FYK1627" s="1"/>
      <c r="FYL1627" s="1"/>
      <c r="FYM1627" s="1"/>
      <c r="FYN1627" s="1"/>
      <c r="FYO1627" s="1"/>
      <c r="FYP1627" s="1"/>
      <c r="FYQ1627" s="1"/>
      <c r="FYR1627" s="1"/>
      <c r="FYS1627" s="1"/>
      <c r="FYT1627" s="1"/>
      <c r="FYU1627" s="1"/>
      <c r="FYV1627" s="1"/>
      <c r="FYW1627" s="1"/>
      <c r="FYX1627" s="1"/>
      <c r="FYY1627" s="1"/>
      <c r="FYZ1627" s="1"/>
      <c r="FZA1627" s="1"/>
      <c r="FZB1627" s="1"/>
      <c r="FZC1627" s="1"/>
      <c r="FZD1627" s="1"/>
      <c r="FZE1627" s="1"/>
      <c r="FZF1627" s="1"/>
      <c r="FZG1627" s="1"/>
      <c r="FZH1627" s="1"/>
      <c r="FZI1627" s="1"/>
      <c r="FZJ1627" s="1"/>
      <c r="FZK1627" s="1"/>
      <c r="FZL1627" s="1"/>
      <c r="FZM1627" s="1"/>
      <c r="FZN1627" s="1"/>
      <c r="FZO1627" s="1"/>
      <c r="FZP1627" s="1"/>
      <c r="FZQ1627" s="1"/>
      <c r="FZR1627" s="1"/>
      <c r="FZS1627" s="1"/>
      <c r="FZT1627" s="1"/>
      <c r="FZU1627" s="1"/>
      <c r="FZV1627" s="1"/>
      <c r="FZW1627" s="1"/>
      <c r="FZX1627" s="1"/>
      <c r="FZY1627" s="1"/>
      <c r="FZZ1627" s="1"/>
      <c r="GAA1627" s="1"/>
      <c r="GAB1627" s="1"/>
      <c r="GAC1627" s="1"/>
      <c r="GAD1627" s="1"/>
      <c r="GAE1627" s="1"/>
      <c r="GAF1627" s="1"/>
      <c r="GAG1627" s="1"/>
      <c r="GAH1627" s="1"/>
      <c r="GAI1627" s="1"/>
      <c r="GAJ1627" s="1"/>
      <c r="GAK1627" s="1"/>
      <c r="GAL1627" s="1"/>
      <c r="GAM1627" s="1"/>
      <c r="GAN1627" s="1"/>
      <c r="GAO1627" s="1"/>
      <c r="GAP1627" s="1"/>
      <c r="GAQ1627" s="1"/>
      <c r="GAR1627" s="1"/>
      <c r="GAS1627" s="1"/>
      <c r="GAT1627" s="1"/>
      <c r="GAU1627" s="1"/>
      <c r="GAV1627" s="1"/>
      <c r="GAW1627" s="1"/>
      <c r="GAX1627" s="1"/>
      <c r="GAY1627" s="1"/>
      <c r="GAZ1627" s="1"/>
      <c r="GBA1627" s="1"/>
      <c r="GBB1627" s="1"/>
      <c r="GBC1627" s="1"/>
      <c r="GBD1627" s="1"/>
      <c r="GBE1627" s="1"/>
      <c r="GBF1627" s="1"/>
      <c r="GBG1627" s="1"/>
      <c r="GBH1627" s="1"/>
      <c r="GBI1627" s="1"/>
      <c r="GBJ1627" s="1"/>
      <c r="GBK1627" s="1"/>
      <c r="GBL1627" s="1"/>
      <c r="GBM1627" s="1"/>
      <c r="GBN1627" s="1"/>
      <c r="GBO1627" s="1"/>
      <c r="GBP1627" s="1"/>
      <c r="GBQ1627" s="1"/>
      <c r="GBR1627" s="1"/>
      <c r="GBS1627" s="1"/>
      <c r="GBT1627" s="1"/>
      <c r="GBU1627" s="1"/>
      <c r="GBV1627" s="1"/>
      <c r="GBW1627" s="1"/>
      <c r="GBX1627" s="1"/>
      <c r="GBY1627" s="1"/>
      <c r="GBZ1627" s="1"/>
      <c r="GCA1627" s="1"/>
      <c r="GCB1627" s="1"/>
      <c r="GCC1627" s="1"/>
      <c r="GCD1627" s="1"/>
      <c r="GCE1627" s="1"/>
      <c r="GCF1627" s="1"/>
      <c r="GCG1627" s="1"/>
      <c r="GCH1627" s="1"/>
      <c r="GCI1627" s="1"/>
      <c r="GCJ1627" s="1"/>
      <c r="GCK1627" s="1"/>
      <c r="GCL1627" s="1"/>
      <c r="GCM1627" s="1"/>
      <c r="GCN1627" s="1"/>
      <c r="GCO1627" s="1"/>
      <c r="GCP1627" s="1"/>
      <c r="GCQ1627" s="1"/>
      <c r="GCR1627" s="1"/>
      <c r="GCS1627" s="1"/>
      <c r="GCT1627" s="1"/>
      <c r="GCU1627" s="1"/>
      <c r="GCV1627" s="1"/>
      <c r="GCW1627" s="1"/>
      <c r="GCX1627" s="1"/>
      <c r="GCY1627" s="1"/>
      <c r="GCZ1627" s="1"/>
      <c r="GDA1627" s="1"/>
      <c r="GDB1627" s="1"/>
      <c r="GDC1627" s="1"/>
      <c r="GDD1627" s="1"/>
      <c r="GDE1627" s="1"/>
      <c r="GDF1627" s="1"/>
      <c r="GDG1627" s="1"/>
      <c r="GDH1627" s="1"/>
      <c r="GDI1627" s="1"/>
      <c r="GDJ1627" s="1"/>
      <c r="GDK1627" s="1"/>
      <c r="GDL1627" s="1"/>
      <c r="GDM1627" s="1"/>
      <c r="GDN1627" s="1"/>
      <c r="GDO1627" s="1"/>
      <c r="GDP1627" s="1"/>
      <c r="GDQ1627" s="1"/>
      <c r="GDR1627" s="1"/>
      <c r="GDS1627" s="1"/>
      <c r="GDT1627" s="1"/>
      <c r="GDU1627" s="1"/>
      <c r="GDV1627" s="1"/>
      <c r="GDW1627" s="1"/>
      <c r="GDX1627" s="1"/>
      <c r="GDY1627" s="1"/>
      <c r="GDZ1627" s="1"/>
      <c r="GEA1627" s="1"/>
      <c r="GEB1627" s="1"/>
      <c r="GEC1627" s="1"/>
      <c r="GED1627" s="1"/>
      <c r="GEE1627" s="1"/>
      <c r="GEF1627" s="1"/>
      <c r="GEG1627" s="1"/>
      <c r="GEH1627" s="1"/>
      <c r="GEI1627" s="1"/>
      <c r="GEJ1627" s="1"/>
      <c r="GEK1627" s="1"/>
      <c r="GEL1627" s="1"/>
      <c r="GEM1627" s="1"/>
      <c r="GEN1627" s="1"/>
      <c r="GEO1627" s="1"/>
      <c r="GEP1627" s="1"/>
      <c r="GEQ1627" s="1"/>
      <c r="GER1627" s="1"/>
      <c r="GES1627" s="1"/>
      <c r="GET1627" s="1"/>
      <c r="GEU1627" s="1"/>
      <c r="GEV1627" s="1"/>
      <c r="GEW1627" s="1"/>
      <c r="GEX1627" s="1"/>
      <c r="GEY1627" s="1"/>
      <c r="GEZ1627" s="1"/>
      <c r="GFA1627" s="1"/>
      <c r="GFB1627" s="1"/>
      <c r="GFC1627" s="1"/>
      <c r="GFD1627" s="1"/>
      <c r="GFE1627" s="1"/>
      <c r="GFF1627" s="1"/>
      <c r="GFG1627" s="1"/>
      <c r="GFH1627" s="1"/>
      <c r="GFI1627" s="1"/>
      <c r="GFJ1627" s="1"/>
      <c r="GFK1627" s="1"/>
      <c r="GFL1627" s="1"/>
      <c r="GFM1627" s="1"/>
      <c r="GFN1627" s="1"/>
      <c r="GFO1627" s="1"/>
      <c r="GFP1627" s="1"/>
      <c r="GFQ1627" s="1"/>
      <c r="GFR1627" s="1"/>
      <c r="GFS1627" s="1"/>
      <c r="GFT1627" s="1"/>
      <c r="GFU1627" s="1"/>
      <c r="GFV1627" s="1"/>
      <c r="GFW1627" s="1"/>
      <c r="GFX1627" s="1"/>
      <c r="GFY1627" s="1"/>
      <c r="GFZ1627" s="1"/>
      <c r="GGA1627" s="1"/>
      <c r="GGB1627" s="1"/>
      <c r="GGC1627" s="1"/>
      <c r="GGD1627" s="1"/>
      <c r="GGE1627" s="1"/>
      <c r="GGF1627" s="1"/>
      <c r="GGG1627" s="1"/>
      <c r="GGH1627" s="1"/>
      <c r="GGI1627" s="1"/>
      <c r="GGJ1627" s="1"/>
      <c r="GGK1627" s="1"/>
      <c r="GGL1627" s="1"/>
      <c r="GGM1627" s="1"/>
      <c r="GGN1627" s="1"/>
      <c r="GGO1627" s="1"/>
      <c r="GGP1627" s="1"/>
      <c r="GGQ1627" s="1"/>
      <c r="GGR1627" s="1"/>
      <c r="GGS1627" s="1"/>
      <c r="GGT1627" s="1"/>
      <c r="GGU1627" s="1"/>
      <c r="GGV1627" s="1"/>
      <c r="GGW1627" s="1"/>
      <c r="GGX1627" s="1"/>
      <c r="GGY1627" s="1"/>
      <c r="GGZ1627" s="1"/>
      <c r="GHA1627" s="1"/>
      <c r="GHB1627" s="1"/>
      <c r="GHC1627" s="1"/>
      <c r="GHD1627" s="1"/>
      <c r="GHE1627" s="1"/>
      <c r="GHF1627" s="1"/>
      <c r="GHG1627" s="1"/>
      <c r="GHH1627" s="1"/>
      <c r="GHI1627" s="1"/>
      <c r="GHJ1627" s="1"/>
      <c r="GHK1627" s="1"/>
      <c r="GHL1627" s="1"/>
      <c r="GHM1627" s="1"/>
      <c r="GHN1627" s="1"/>
      <c r="GHO1627" s="1"/>
      <c r="GHP1627" s="1"/>
      <c r="GHQ1627" s="1"/>
      <c r="GHR1627" s="1"/>
      <c r="GHS1627" s="1"/>
      <c r="GHT1627" s="1"/>
      <c r="GHU1627" s="1"/>
      <c r="GHV1627" s="1"/>
      <c r="GHW1627" s="1"/>
      <c r="GHX1627" s="1"/>
      <c r="GHY1627" s="1"/>
      <c r="GHZ1627" s="1"/>
      <c r="GIA1627" s="1"/>
      <c r="GIB1627" s="1"/>
      <c r="GIC1627" s="1"/>
      <c r="GID1627" s="1"/>
      <c r="GIE1627" s="1"/>
      <c r="GIF1627" s="1"/>
      <c r="GIG1627" s="1"/>
      <c r="GIH1627" s="1"/>
      <c r="GII1627" s="1"/>
      <c r="GIJ1627" s="1"/>
      <c r="GIK1627" s="1"/>
      <c r="GIL1627" s="1"/>
      <c r="GIM1627" s="1"/>
      <c r="GIN1627" s="1"/>
      <c r="GIO1627" s="1"/>
      <c r="GIP1627" s="1"/>
      <c r="GIQ1627" s="1"/>
      <c r="GIR1627" s="1"/>
      <c r="GIS1627" s="1"/>
      <c r="GIT1627" s="1"/>
      <c r="GIU1627" s="1"/>
      <c r="GIV1627" s="1"/>
      <c r="GIW1627" s="1"/>
      <c r="GIX1627" s="1"/>
      <c r="GIY1627" s="1"/>
      <c r="GIZ1627" s="1"/>
      <c r="GJA1627" s="1"/>
      <c r="GJB1627" s="1"/>
      <c r="GJC1627" s="1"/>
      <c r="GJD1627" s="1"/>
      <c r="GJE1627" s="1"/>
      <c r="GJF1627" s="1"/>
      <c r="GJG1627" s="1"/>
      <c r="GJH1627" s="1"/>
      <c r="GJI1627" s="1"/>
      <c r="GJJ1627" s="1"/>
      <c r="GJK1627" s="1"/>
      <c r="GJL1627" s="1"/>
      <c r="GJM1627" s="1"/>
      <c r="GJN1627" s="1"/>
      <c r="GJO1627" s="1"/>
      <c r="GJP1627" s="1"/>
      <c r="GJQ1627" s="1"/>
      <c r="GJR1627" s="1"/>
      <c r="GJS1627" s="1"/>
      <c r="GJT1627" s="1"/>
      <c r="GJU1627" s="1"/>
      <c r="GJV1627" s="1"/>
      <c r="GJW1627" s="1"/>
      <c r="GJX1627" s="1"/>
      <c r="GJY1627" s="1"/>
      <c r="GJZ1627" s="1"/>
      <c r="GKA1627" s="1"/>
      <c r="GKB1627" s="1"/>
      <c r="GKC1627" s="1"/>
      <c r="GKD1627" s="1"/>
      <c r="GKE1627" s="1"/>
      <c r="GKF1627" s="1"/>
      <c r="GKG1627" s="1"/>
      <c r="GKH1627" s="1"/>
      <c r="GKI1627" s="1"/>
      <c r="GKJ1627" s="1"/>
      <c r="GKK1627" s="1"/>
      <c r="GKL1627" s="1"/>
      <c r="GKM1627" s="1"/>
      <c r="GKN1627" s="1"/>
      <c r="GKO1627" s="1"/>
      <c r="GKP1627" s="1"/>
      <c r="GKQ1627" s="1"/>
      <c r="GKR1627" s="1"/>
      <c r="GKS1627" s="1"/>
      <c r="GKT1627" s="1"/>
      <c r="GKU1627" s="1"/>
      <c r="GKV1627" s="1"/>
      <c r="GKW1627" s="1"/>
      <c r="GKX1627" s="1"/>
      <c r="GKY1627" s="1"/>
      <c r="GKZ1627" s="1"/>
      <c r="GLA1627" s="1"/>
      <c r="GLB1627" s="1"/>
      <c r="GLC1627" s="1"/>
      <c r="GLD1627" s="1"/>
      <c r="GLE1627" s="1"/>
      <c r="GLF1627" s="1"/>
      <c r="GLG1627" s="1"/>
      <c r="GLH1627" s="1"/>
      <c r="GLI1627" s="1"/>
      <c r="GLJ1627" s="1"/>
      <c r="GLK1627" s="1"/>
      <c r="GLL1627" s="1"/>
      <c r="GLM1627" s="1"/>
      <c r="GLN1627" s="1"/>
      <c r="GLO1627" s="1"/>
      <c r="GLP1627" s="1"/>
      <c r="GLQ1627" s="1"/>
      <c r="GLR1627" s="1"/>
      <c r="GLS1627" s="1"/>
      <c r="GLT1627" s="1"/>
      <c r="GLU1627" s="1"/>
      <c r="GLV1627" s="1"/>
      <c r="GLW1627" s="1"/>
      <c r="GLX1627" s="1"/>
      <c r="GLY1627" s="1"/>
      <c r="GLZ1627" s="1"/>
      <c r="GMA1627" s="1"/>
      <c r="GMB1627" s="1"/>
      <c r="GMC1627" s="1"/>
      <c r="GMD1627" s="1"/>
      <c r="GME1627" s="1"/>
      <c r="GMF1627" s="1"/>
      <c r="GMG1627" s="1"/>
      <c r="GMH1627" s="1"/>
      <c r="GMI1627" s="1"/>
      <c r="GMJ1627" s="1"/>
      <c r="GMK1627" s="1"/>
      <c r="GML1627" s="1"/>
      <c r="GMM1627" s="1"/>
      <c r="GMN1627" s="1"/>
      <c r="GMO1627" s="1"/>
      <c r="GMP1627" s="1"/>
      <c r="GMQ1627" s="1"/>
      <c r="GMR1627" s="1"/>
      <c r="GMS1627" s="1"/>
      <c r="GMT1627" s="1"/>
      <c r="GMU1627" s="1"/>
      <c r="GMV1627" s="1"/>
      <c r="GMW1627" s="1"/>
      <c r="GMX1627" s="1"/>
      <c r="GMY1627" s="1"/>
      <c r="GMZ1627" s="1"/>
      <c r="GNA1627" s="1"/>
      <c r="GNB1627" s="1"/>
      <c r="GNC1627" s="1"/>
      <c r="GND1627" s="1"/>
      <c r="GNE1627" s="1"/>
      <c r="GNF1627" s="1"/>
      <c r="GNG1627" s="1"/>
      <c r="GNH1627" s="1"/>
      <c r="GNI1627" s="1"/>
      <c r="GNJ1627" s="1"/>
      <c r="GNK1627" s="1"/>
      <c r="GNL1627" s="1"/>
      <c r="GNM1627" s="1"/>
      <c r="GNN1627" s="1"/>
      <c r="GNO1627" s="1"/>
      <c r="GNP1627" s="1"/>
      <c r="GNQ1627" s="1"/>
      <c r="GNR1627" s="1"/>
      <c r="GNS1627" s="1"/>
      <c r="GNT1627" s="1"/>
      <c r="GNU1627" s="1"/>
      <c r="GNV1627" s="1"/>
      <c r="GNW1627" s="1"/>
      <c r="GNX1627" s="1"/>
      <c r="GNY1627" s="1"/>
      <c r="GNZ1627" s="1"/>
      <c r="GOA1627" s="1"/>
      <c r="GOB1627" s="1"/>
      <c r="GOC1627" s="1"/>
      <c r="GOD1627" s="1"/>
      <c r="GOE1627" s="1"/>
      <c r="GOF1627" s="1"/>
      <c r="GOG1627" s="1"/>
      <c r="GOH1627" s="1"/>
      <c r="GOI1627" s="1"/>
      <c r="GOJ1627" s="1"/>
      <c r="GOK1627" s="1"/>
      <c r="GOL1627" s="1"/>
      <c r="GOM1627" s="1"/>
      <c r="GON1627" s="1"/>
      <c r="GOO1627" s="1"/>
      <c r="GOP1627" s="1"/>
      <c r="GOQ1627" s="1"/>
      <c r="GOR1627" s="1"/>
      <c r="GOS1627" s="1"/>
      <c r="GOT1627" s="1"/>
      <c r="GOU1627" s="1"/>
      <c r="GOV1627" s="1"/>
      <c r="GOW1627" s="1"/>
      <c r="GOX1627" s="1"/>
      <c r="GOY1627" s="1"/>
      <c r="GOZ1627" s="1"/>
      <c r="GPA1627" s="1"/>
      <c r="GPB1627" s="1"/>
      <c r="GPC1627" s="1"/>
      <c r="GPD1627" s="1"/>
      <c r="GPE1627" s="1"/>
      <c r="GPF1627" s="1"/>
      <c r="GPG1627" s="1"/>
      <c r="GPH1627" s="1"/>
      <c r="GPI1627" s="1"/>
      <c r="GPJ1627" s="1"/>
      <c r="GPK1627" s="1"/>
      <c r="GPL1627" s="1"/>
      <c r="GPM1627" s="1"/>
      <c r="GPN1627" s="1"/>
      <c r="GPO1627" s="1"/>
      <c r="GPP1627" s="1"/>
      <c r="GPQ1627" s="1"/>
      <c r="GPR1627" s="1"/>
      <c r="GPS1627" s="1"/>
      <c r="GPT1627" s="1"/>
      <c r="GPU1627" s="1"/>
      <c r="GPV1627" s="1"/>
      <c r="GPW1627" s="1"/>
      <c r="GPX1627" s="1"/>
      <c r="GPY1627" s="1"/>
      <c r="GPZ1627" s="1"/>
      <c r="GQA1627" s="1"/>
      <c r="GQB1627" s="1"/>
      <c r="GQC1627" s="1"/>
      <c r="GQD1627" s="1"/>
      <c r="GQE1627" s="1"/>
      <c r="GQF1627" s="1"/>
      <c r="GQG1627" s="1"/>
      <c r="GQH1627" s="1"/>
      <c r="GQI1627" s="1"/>
      <c r="GQJ1627" s="1"/>
      <c r="GQK1627" s="1"/>
      <c r="GQL1627" s="1"/>
      <c r="GQM1627" s="1"/>
      <c r="GQN1627" s="1"/>
      <c r="GQO1627" s="1"/>
      <c r="GQP1627" s="1"/>
      <c r="GQQ1627" s="1"/>
      <c r="GQR1627" s="1"/>
      <c r="GQS1627" s="1"/>
      <c r="GQT1627" s="1"/>
      <c r="GQU1627" s="1"/>
      <c r="GQV1627" s="1"/>
      <c r="GQW1627" s="1"/>
      <c r="GQX1627" s="1"/>
      <c r="GQY1627" s="1"/>
      <c r="GQZ1627" s="1"/>
      <c r="GRA1627" s="1"/>
      <c r="GRB1627" s="1"/>
      <c r="GRC1627" s="1"/>
      <c r="GRD1627" s="1"/>
      <c r="GRE1627" s="1"/>
      <c r="GRF1627" s="1"/>
      <c r="GRG1627" s="1"/>
      <c r="GRH1627" s="1"/>
      <c r="GRI1627" s="1"/>
      <c r="GRJ1627" s="1"/>
      <c r="GRK1627" s="1"/>
      <c r="GRL1627" s="1"/>
      <c r="GRM1627" s="1"/>
      <c r="GRN1627" s="1"/>
      <c r="GRO1627" s="1"/>
      <c r="GRP1627" s="1"/>
      <c r="GRQ1627" s="1"/>
      <c r="GRR1627" s="1"/>
      <c r="GRS1627" s="1"/>
      <c r="GRT1627" s="1"/>
      <c r="GRU1627" s="1"/>
      <c r="GRV1627" s="1"/>
      <c r="GRW1627" s="1"/>
      <c r="GRX1627" s="1"/>
      <c r="GRY1627" s="1"/>
      <c r="GRZ1627" s="1"/>
      <c r="GSA1627" s="1"/>
      <c r="GSB1627" s="1"/>
      <c r="GSC1627" s="1"/>
      <c r="GSD1627" s="1"/>
      <c r="GSE1627" s="1"/>
      <c r="GSF1627" s="1"/>
      <c r="GSG1627" s="1"/>
      <c r="GSH1627" s="1"/>
      <c r="GSI1627" s="1"/>
      <c r="GSJ1627" s="1"/>
      <c r="GSK1627" s="1"/>
      <c r="GSL1627" s="1"/>
      <c r="GSM1627" s="1"/>
      <c r="GSN1627" s="1"/>
      <c r="GSO1627" s="1"/>
      <c r="GSP1627" s="1"/>
      <c r="GSQ1627" s="1"/>
      <c r="GSR1627" s="1"/>
      <c r="GSS1627" s="1"/>
      <c r="GST1627" s="1"/>
      <c r="GSU1627" s="1"/>
      <c r="GSV1627" s="1"/>
      <c r="GSW1627" s="1"/>
      <c r="GSX1627" s="1"/>
      <c r="GSY1627" s="1"/>
      <c r="GSZ1627" s="1"/>
      <c r="GTA1627" s="1"/>
      <c r="GTB1627" s="1"/>
      <c r="GTC1627" s="1"/>
      <c r="GTD1627" s="1"/>
      <c r="GTE1627" s="1"/>
      <c r="GTF1627" s="1"/>
      <c r="GTG1627" s="1"/>
      <c r="GTH1627" s="1"/>
      <c r="GTI1627" s="1"/>
      <c r="GTJ1627" s="1"/>
      <c r="GTK1627" s="1"/>
      <c r="GTL1627" s="1"/>
      <c r="GTM1627" s="1"/>
      <c r="GTN1627" s="1"/>
      <c r="GTO1627" s="1"/>
      <c r="GTP1627" s="1"/>
      <c r="GTQ1627" s="1"/>
      <c r="GTR1627" s="1"/>
      <c r="GTS1627" s="1"/>
      <c r="GTT1627" s="1"/>
      <c r="GTU1627" s="1"/>
      <c r="GTV1627" s="1"/>
      <c r="GTW1627" s="1"/>
      <c r="GTX1627" s="1"/>
      <c r="GTY1627" s="1"/>
      <c r="GTZ1627" s="1"/>
      <c r="GUA1627" s="1"/>
      <c r="GUB1627" s="1"/>
      <c r="GUC1627" s="1"/>
      <c r="GUD1627" s="1"/>
      <c r="GUE1627" s="1"/>
      <c r="GUF1627" s="1"/>
      <c r="GUG1627" s="1"/>
      <c r="GUH1627" s="1"/>
      <c r="GUI1627" s="1"/>
      <c r="GUJ1627" s="1"/>
      <c r="GUK1627" s="1"/>
      <c r="GUL1627" s="1"/>
      <c r="GUM1627" s="1"/>
      <c r="GUN1627" s="1"/>
      <c r="GUO1627" s="1"/>
      <c r="GUP1627" s="1"/>
      <c r="GUQ1627" s="1"/>
      <c r="GUR1627" s="1"/>
      <c r="GUS1627" s="1"/>
      <c r="GUT1627" s="1"/>
      <c r="GUU1627" s="1"/>
      <c r="GUV1627" s="1"/>
      <c r="GUW1627" s="1"/>
      <c r="GUX1627" s="1"/>
      <c r="GUY1627" s="1"/>
      <c r="GUZ1627" s="1"/>
      <c r="GVA1627" s="1"/>
      <c r="GVB1627" s="1"/>
      <c r="GVC1627" s="1"/>
      <c r="GVD1627" s="1"/>
      <c r="GVE1627" s="1"/>
      <c r="GVF1627" s="1"/>
      <c r="GVG1627" s="1"/>
      <c r="GVH1627" s="1"/>
      <c r="GVI1627" s="1"/>
      <c r="GVJ1627" s="1"/>
      <c r="GVK1627" s="1"/>
      <c r="GVL1627" s="1"/>
      <c r="GVM1627" s="1"/>
      <c r="GVN1627" s="1"/>
      <c r="GVO1627" s="1"/>
      <c r="GVP1627" s="1"/>
      <c r="GVQ1627" s="1"/>
      <c r="GVR1627" s="1"/>
      <c r="GVS1627" s="1"/>
      <c r="GVT1627" s="1"/>
      <c r="GVU1627" s="1"/>
      <c r="GVV1627" s="1"/>
      <c r="GVW1627" s="1"/>
      <c r="GVX1627" s="1"/>
      <c r="GVY1627" s="1"/>
      <c r="GVZ1627" s="1"/>
      <c r="GWA1627" s="1"/>
      <c r="GWB1627" s="1"/>
      <c r="GWC1627" s="1"/>
      <c r="GWD1627" s="1"/>
      <c r="GWE1627" s="1"/>
      <c r="GWF1627" s="1"/>
      <c r="GWG1627" s="1"/>
      <c r="GWH1627" s="1"/>
      <c r="GWI1627" s="1"/>
      <c r="GWJ1627" s="1"/>
      <c r="GWK1627" s="1"/>
      <c r="GWL1627" s="1"/>
      <c r="GWM1627" s="1"/>
      <c r="GWN1627" s="1"/>
      <c r="GWO1627" s="1"/>
      <c r="GWP1627" s="1"/>
      <c r="GWQ1627" s="1"/>
      <c r="GWR1627" s="1"/>
      <c r="GWS1627" s="1"/>
      <c r="GWT1627" s="1"/>
      <c r="GWU1627" s="1"/>
      <c r="GWV1627" s="1"/>
      <c r="GWW1627" s="1"/>
      <c r="GWX1627" s="1"/>
      <c r="GWY1627" s="1"/>
      <c r="GWZ1627" s="1"/>
      <c r="GXA1627" s="1"/>
      <c r="GXB1627" s="1"/>
      <c r="GXC1627" s="1"/>
      <c r="GXD1627" s="1"/>
      <c r="GXE1627" s="1"/>
      <c r="GXF1627" s="1"/>
      <c r="GXG1627" s="1"/>
      <c r="GXH1627" s="1"/>
      <c r="GXI1627" s="1"/>
      <c r="GXJ1627" s="1"/>
      <c r="GXK1627" s="1"/>
      <c r="GXL1627" s="1"/>
      <c r="GXM1627" s="1"/>
      <c r="GXN1627" s="1"/>
      <c r="GXO1627" s="1"/>
      <c r="GXP1627" s="1"/>
      <c r="GXQ1627" s="1"/>
      <c r="GXR1627" s="1"/>
      <c r="GXS1627" s="1"/>
      <c r="GXT1627" s="1"/>
      <c r="GXU1627" s="1"/>
      <c r="GXV1627" s="1"/>
      <c r="GXW1627" s="1"/>
      <c r="GXX1627" s="1"/>
      <c r="GXY1627" s="1"/>
      <c r="GXZ1627" s="1"/>
      <c r="GYA1627" s="1"/>
      <c r="GYB1627" s="1"/>
      <c r="GYC1627" s="1"/>
      <c r="GYD1627" s="1"/>
      <c r="GYE1627" s="1"/>
      <c r="GYF1627" s="1"/>
      <c r="GYG1627" s="1"/>
      <c r="GYH1627" s="1"/>
      <c r="GYI1627" s="1"/>
      <c r="GYJ1627" s="1"/>
      <c r="GYK1627" s="1"/>
      <c r="GYL1627" s="1"/>
      <c r="GYM1627" s="1"/>
      <c r="GYN1627" s="1"/>
      <c r="GYO1627" s="1"/>
      <c r="GYP1627" s="1"/>
      <c r="GYQ1627" s="1"/>
      <c r="GYR1627" s="1"/>
      <c r="GYS1627" s="1"/>
      <c r="GYT1627" s="1"/>
      <c r="GYU1627" s="1"/>
      <c r="GYV1627" s="1"/>
      <c r="GYW1627" s="1"/>
      <c r="GYX1627" s="1"/>
      <c r="GYY1627" s="1"/>
      <c r="GYZ1627" s="1"/>
      <c r="GZA1627" s="1"/>
      <c r="GZB1627" s="1"/>
      <c r="GZC1627" s="1"/>
      <c r="GZD1627" s="1"/>
      <c r="GZE1627" s="1"/>
      <c r="GZF1627" s="1"/>
      <c r="GZG1627" s="1"/>
      <c r="GZH1627" s="1"/>
      <c r="GZI1627" s="1"/>
      <c r="GZJ1627" s="1"/>
      <c r="GZK1627" s="1"/>
      <c r="GZL1627" s="1"/>
      <c r="GZM1627" s="1"/>
      <c r="GZN1627" s="1"/>
      <c r="GZO1627" s="1"/>
      <c r="GZP1627" s="1"/>
      <c r="GZQ1627" s="1"/>
      <c r="GZR1627" s="1"/>
      <c r="GZS1627" s="1"/>
      <c r="GZT1627" s="1"/>
      <c r="GZU1627" s="1"/>
      <c r="GZV1627" s="1"/>
      <c r="GZW1627" s="1"/>
      <c r="GZX1627" s="1"/>
      <c r="GZY1627" s="1"/>
      <c r="GZZ1627" s="1"/>
      <c r="HAA1627" s="1"/>
      <c r="HAB1627" s="1"/>
      <c r="HAC1627" s="1"/>
      <c r="HAD1627" s="1"/>
      <c r="HAE1627" s="1"/>
      <c r="HAF1627" s="1"/>
      <c r="HAG1627" s="1"/>
      <c r="HAH1627" s="1"/>
      <c r="HAI1627" s="1"/>
      <c r="HAJ1627" s="1"/>
      <c r="HAK1627" s="1"/>
      <c r="HAL1627" s="1"/>
      <c r="HAM1627" s="1"/>
      <c r="HAN1627" s="1"/>
      <c r="HAO1627" s="1"/>
      <c r="HAP1627" s="1"/>
      <c r="HAQ1627" s="1"/>
      <c r="HAR1627" s="1"/>
      <c r="HAS1627" s="1"/>
      <c r="HAT1627" s="1"/>
      <c r="HAU1627" s="1"/>
      <c r="HAV1627" s="1"/>
      <c r="HAW1627" s="1"/>
      <c r="HAX1627" s="1"/>
      <c r="HAY1627" s="1"/>
      <c r="HAZ1627" s="1"/>
      <c r="HBA1627" s="1"/>
      <c r="HBB1627" s="1"/>
      <c r="HBC1627" s="1"/>
      <c r="HBD1627" s="1"/>
      <c r="HBE1627" s="1"/>
      <c r="HBF1627" s="1"/>
      <c r="HBG1627" s="1"/>
      <c r="HBH1627" s="1"/>
      <c r="HBI1627" s="1"/>
      <c r="HBJ1627" s="1"/>
      <c r="HBK1627" s="1"/>
      <c r="HBL1627" s="1"/>
      <c r="HBM1627" s="1"/>
      <c r="HBN1627" s="1"/>
      <c r="HBO1627" s="1"/>
      <c r="HBP1627" s="1"/>
      <c r="HBQ1627" s="1"/>
      <c r="HBR1627" s="1"/>
      <c r="HBS1627" s="1"/>
      <c r="HBT1627" s="1"/>
      <c r="HBU1627" s="1"/>
      <c r="HBV1627" s="1"/>
      <c r="HBW1627" s="1"/>
      <c r="HBX1627" s="1"/>
      <c r="HBY1627" s="1"/>
      <c r="HBZ1627" s="1"/>
      <c r="HCA1627" s="1"/>
      <c r="HCB1627" s="1"/>
      <c r="HCC1627" s="1"/>
      <c r="HCD1627" s="1"/>
      <c r="HCE1627" s="1"/>
      <c r="HCF1627" s="1"/>
      <c r="HCG1627" s="1"/>
      <c r="HCH1627" s="1"/>
      <c r="HCI1627" s="1"/>
      <c r="HCJ1627" s="1"/>
      <c r="HCK1627" s="1"/>
      <c r="HCL1627" s="1"/>
      <c r="HCM1627" s="1"/>
      <c r="HCN1627" s="1"/>
      <c r="HCO1627" s="1"/>
      <c r="HCP1627" s="1"/>
      <c r="HCQ1627" s="1"/>
      <c r="HCR1627" s="1"/>
      <c r="HCS1627" s="1"/>
      <c r="HCT1627" s="1"/>
      <c r="HCU1627" s="1"/>
      <c r="HCV1627" s="1"/>
      <c r="HCW1627" s="1"/>
      <c r="HCX1627" s="1"/>
      <c r="HCY1627" s="1"/>
      <c r="HCZ1627" s="1"/>
      <c r="HDA1627" s="1"/>
      <c r="HDB1627" s="1"/>
      <c r="HDC1627" s="1"/>
      <c r="HDD1627" s="1"/>
      <c r="HDE1627" s="1"/>
      <c r="HDF1627" s="1"/>
      <c r="HDG1627" s="1"/>
      <c r="HDH1627" s="1"/>
      <c r="HDI1627" s="1"/>
      <c r="HDJ1627" s="1"/>
      <c r="HDK1627" s="1"/>
      <c r="HDL1627" s="1"/>
      <c r="HDM1627" s="1"/>
      <c r="HDN1627" s="1"/>
      <c r="HDO1627" s="1"/>
      <c r="HDP1627" s="1"/>
      <c r="HDQ1627" s="1"/>
      <c r="HDR1627" s="1"/>
      <c r="HDS1627" s="1"/>
      <c r="HDT1627" s="1"/>
      <c r="HDU1627" s="1"/>
      <c r="HDV1627" s="1"/>
      <c r="HDW1627" s="1"/>
      <c r="HDX1627" s="1"/>
      <c r="HDY1627" s="1"/>
      <c r="HDZ1627" s="1"/>
      <c r="HEA1627" s="1"/>
      <c r="HEB1627" s="1"/>
      <c r="HEC1627" s="1"/>
      <c r="HED1627" s="1"/>
      <c r="HEE1627" s="1"/>
      <c r="HEF1627" s="1"/>
      <c r="HEG1627" s="1"/>
      <c r="HEH1627" s="1"/>
      <c r="HEI1627" s="1"/>
      <c r="HEJ1627" s="1"/>
      <c r="HEK1627" s="1"/>
      <c r="HEL1627" s="1"/>
      <c r="HEM1627" s="1"/>
      <c r="HEN1627" s="1"/>
      <c r="HEO1627" s="1"/>
      <c r="HEP1627" s="1"/>
      <c r="HEQ1627" s="1"/>
      <c r="HER1627" s="1"/>
      <c r="HES1627" s="1"/>
      <c r="HET1627" s="1"/>
      <c r="HEU1627" s="1"/>
      <c r="HEV1627" s="1"/>
      <c r="HEW1627" s="1"/>
      <c r="HEX1627" s="1"/>
      <c r="HEY1627" s="1"/>
      <c r="HEZ1627" s="1"/>
      <c r="HFA1627" s="1"/>
      <c r="HFB1627" s="1"/>
      <c r="HFC1627" s="1"/>
      <c r="HFD1627" s="1"/>
      <c r="HFE1627" s="1"/>
      <c r="HFF1627" s="1"/>
      <c r="HFG1627" s="1"/>
      <c r="HFH1627" s="1"/>
      <c r="HFI1627" s="1"/>
      <c r="HFJ1627" s="1"/>
      <c r="HFK1627" s="1"/>
      <c r="HFL1627" s="1"/>
      <c r="HFM1627" s="1"/>
      <c r="HFN1627" s="1"/>
      <c r="HFO1627" s="1"/>
      <c r="HFP1627" s="1"/>
      <c r="HFQ1627" s="1"/>
      <c r="HFR1627" s="1"/>
      <c r="HFS1627" s="1"/>
      <c r="HFT1627" s="1"/>
      <c r="HFU1627" s="1"/>
      <c r="HFV1627" s="1"/>
      <c r="HFW1627" s="1"/>
      <c r="HFX1627" s="1"/>
      <c r="HFY1627" s="1"/>
      <c r="HFZ1627" s="1"/>
      <c r="HGA1627" s="1"/>
      <c r="HGB1627" s="1"/>
      <c r="HGC1627" s="1"/>
      <c r="HGD1627" s="1"/>
      <c r="HGE1627" s="1"/>
      <c r="HGF1627" s="1"/>
      <c r="HGG1627" s="1"/>
      <c r="HGH1627" s="1"/>
      <c r="HGI1627" s="1"/>
      <c r="HGJ1627" s="1"/>
      <c r="HGK1627" s="1"/>
      <c r="HGL1627" s="1"/>
      <c r="HGM1627" s="1"/>
      <c r="HGN1627" s="1"/>
      <c r="HGO1627" s="1"/>
      <c r="HGP1627" s="1"/>
      <c r="HGQ1627" s="1"/>
      <c r="HGR1627" s="1"/>
      <c r="HGS1627" s="1"/>
      <c r="HGT1627" s="1"/>
      <c r="HGU1627" s="1"/>
      <c r="HGV1627" s="1"/>
      <c r="HGW1627" s="1"/>
      <c r="HGX1627" s="1"/>
      <c r="HGY1627" s="1"/>
      <c r="HGZ1627" s="1"/>
      <c r="HHA1627" s="1"/>
      <c r="HHB1627" s="1"/>
      <c r="HHC1627" s="1"/>
      <c r="HHD1627" s="1"/>
      <c r="HHE1627" s="1"/>
      <c r="HHF1627" s="1"/>
      <c r="HHG1627" s="1"/>
      <c r="HHH1627" s="1"/>
      <c r="HHI1627" s="1"/>
      <c r="HHJ1627" s="1"/>
      <c r="HHK1627" s="1"/>
      <c r="HHL1627" s="1"/>
      <c r="HHM1627" s="1"/>
      <c r="HHN1627" s="1"/>
      <c r="HHO1627" s="1"/>
      <c r="HHP1627" s="1"/>
      <c r="HHQ1627" s="1"/>
      <c r="HHR1627" s="1"/>
      <c r="HHS1627" s="1"/>
      <c r="HHT1627" s="1"/>
      <c r="HHU1627" s="1"/>
      <c r="HHV1627" s="1"/>
      <c r="HHW1627" s="1"/>
      <c r="HHX1627" s="1"/>
      <c r="HHY1627" s="1"/>
      <c r="HHZ1627" s="1"/>
      <c r="HIA1627" s="1"/>
      <c r="HIB1627" s="1"/>
      <c r="HIC1627" s="1"/>
      <c r="HID1627" s="1"/>
      <c r="HIE1627" s="1"/>
      <c r="HIF1627" s="1"/>
      <c r="HIG1627" s="1"/>
      <c r="HIH1627" s="1"/>
      <c r="HII1627" s="1"/>
      <c r="HIJ1627" s="1"/>
      <c r="HIK1627" s="1"/>
      <c r="HIL1627" s="1"/>
      <c r="HIM1627" s="1"/>
      <c r="HIN1627" s="1"/>
      <c r="HIO1627" s="1"/>
      <c r="HIP1627" s="1"/>
      <c r="HIQ1627" s="1"/>
      <c r="HIR1627" s="1"/>
      <c r="HIS1627" s="1"/>
      <c r="HIT1627" s="1"/>
      <c r="HIU1627" s="1"/>
      <c r="HIV1627" s="1"/>
      <c r="HIW1627" s="1"/>
      <c r="HIX1627" s="1"/>
      <c r="HIY1627" s="1"/>
      <c r="HIZ1627" s="1"/>
      <c r="HJA1627" s="1"/>
      <c r="HJB1627" s="1"/>
      <c r="HJC1627" s="1"/>
      <c r="HJD1627" s="1"/>
      <c r="HJE1627" s="1"/>
      <c r="HJF1627" s="1"/>
      <c r="HJG1627" s="1"/>
      <c r="HJH1627" s="1"/>
      <c r="HJI1627" s="1"/>
      <c r="HJJ1627" s="1"/>
      <c r="HJK1627" s="1"/>
      <c r="HJL1627" s="1"/>
      <c r="HJM1627" s="1"/>
      <c r="HJN1627" s="1"/>
      <c r="HJO1627" s="1"/>
      <c r="HJP1627" s="1"/>
      <c r="HJQ1627" s="1"/>
      <c r="HJR1627" s="1"/>
      <c r="HJS1627" s="1"/>
      <c r="HJT1627" s="1"/>
      <c r="HJU1627" s="1"/>
      <c r="HJV1627" s="1"/>
      <c r="HJW1627" s="1"/>
      <c r="HJX1627" s="1"/>
      <c r="HJY1627" s="1"/>
      <c r="HJZ1627" s="1"/>
      <c r="HKA1627" s="1"/>
      <c r="HKB1627" s="1"/>
      <c r="HKC1627" s="1"/>
      <c r="HKD1627" s="1"/>
      <c r="HKE1627" s="1"/>
      <c r="HKF1627" s="1"/>
      <c r="HKG1627" s="1"/>
      <c r="HKH1627" s="1"/>
      <c r="HKI1627" s="1"/>
      <c r="HKJ1627" s="1"/>
      <c r="HKK1627" s="1"/>
      <c r="HKL1627" s="1"/>
      <c r="HKM1627" s="1"/>
      <c r="HKN1627" s="1"/>
      <c r="HKO1627" s="1"/>
      <c r="HKP1627" s="1"/>
      <c r="HKQ1627" s="1"/>
      <c r="HKR1627" s="1"/>
      <c r="HKS1627" s="1"/>
      <c r="HKT1627" s="1"/>
      <c r="HKU1627" s="1"/>
      <c r="HKV1627" s="1"/>
      <c r="HKW1627" s="1"/>
      <c r="HKX1627" s="1"/>
      <c r="HKY1627" s="1"/>
      <c r="HKZ1627" s="1"/>
      <c r="HLA1627" s="1"/>
      <c r="HLB1627" s="1"/>
      <c r="HLC1627" s="1"/>
      <c r="HLD1627" s="1"/>
      <c r="HLE1627" s="1"/>
      <c r="HLF1627" s="1"/>
      <c r="HLG1627" s="1"/>
      <c r="HLH1627" s="1"/>
      <c r="HLI1627" s="1"/>
      <c r="HLJ1627" s="1"/>
      <c r="HLK1627" s="1"/>
      <c r="HLL1627" s="1"/>
      <c r="HLM1627" s="1"/>
      <c r="HLN1627" s="1"/>
      <c r="HLO1627" s="1"/>
      <c r="HLP1627" s="1"/>
      <c r="HLQ1627" s="1"/>
      <c r="HLR1627" s="1"/>
      <c r="HLS1627" s="1"/>
      <c r="HLT1627" s="1"/>
      <c r="HLU1627" s="1"/>
      <c r="HLV1627" s="1"/>
      <c r="HLW1627" s="1"/>
      <c r="HLX1627" s="1"/>
      <c r="HLY1627" s="1"/>
      <c r="HLZ1627" s="1"/>
      <c r="HMA1627" s="1"/>
      <c r="HMB1627" s="1"/>
      <c r="HMC1627" s="1"/>
      <c r="HMD1627" s="1"/>
      <c r="HME1627" s="1"/>
      <c r="HMF1627" s="1"/>
      <c r="HMG1627" s="1"/>
      <c r="HMH1627" s="1"/>
      <c r="HMI1627" s="1"/>
      <c r="HMJ1627" s="1"/>
      <c r="HMK1627" s="1"/>
      <c r="HML1627" s="1"/>
      <c r="HMM1627" s="1"/>
      <c r="HMN1627" s="1"/>
      <c r="HMO1627" s="1"/>
      <c r="HMP1627" s="1"/>
      <c r="HMQ1627" s="1"/>
      <c r="HMR1627" s="1"/>
      <c r="HMS1627" s="1"/>
      <c r="HMT1627" s="1"/>
      <c r="HMU1627" s="1"/>
      <c r="HMV1627" s="1"/>
      <c r="HMW1627" s="1"/>
      <c r="HMX1627" s="1"/>
      <c r="HMY1627" s="1"/>
      <c r="HMZ1627" s="1"/>
      <c r="HNA1627" s="1"/>
      <c r="HNB1627" s="1"/>
      <c r="HNC1627" s="1"/>
      <c r="HND1627" s="1"/>
      <c r="HNE1627" s="1"/>
      <c r="HNF1627" s="1"/>
      <c r="HNG1627" s="1"/>
      <c r="HNH1627" s="1"/>
      <c r="HNI1627" s="1"/>
      <c r="HNJ1627" s="1"/>
      <c r="HNK1627" s="1"/>
      <c r="HNL1627" s="1"/>
      <c r="HNM1627" s="1"/>
      <c r="HNN1627" s="1"/>
      <c r="HNO1627" s="1"/>
      <c r="HNP1627" s="1"/>
      <c r="HNQ1627" s="1"/>
      <c r="HNR1627" s="1"/>
      <c r="HNS1627" s="1"/>
      <c r="HNT1627" s="1"/>
      <c r="HNU1627" s="1"/>
      <c r="HNV1627" s="1"/>
      <c r="HNW1627" s="1"/>
      <c r="HNX1627" s="1"/>
      <c r="HNY1627" s="1"/>
      <c r="HNZ1627" s="1"/>
      <c r="HOA1627" s="1"/>
      <c r="HOB1627" s="1"/>
      <c r="HOC1627" s="1"/>
      <c r="HOD1627" s="1"/>
      <c r="HOE1627" s="1"/>
      <c r="HOF1627" s="1"/>
      <c r="HOG1627" s="1"/>
      <c r="HOH1627" s="1"/>
      <c r="HOI1627" s="1"/>
      <c r="HOJ1627" s="1"/>
      <c r="HOK1627" s="1"/>
      <c r="HOL1627" s="1"/>
      <c r="HOM1627" s="1"/>
      <c r="HON1627" s="1"/>
      <c r="HOO1627" s="1"/>
      <c r="HOP1627" s="1"/>
      <c r="HOQ1627" s="1"/>
      <c r="HOR1627" s="1"/>
      <c r="HOS1627" s="1"/>
      <c r="HOT1627" s="1"/>
      <c r="HOU1627" s="1"/>
      <c r="HOV1627" s="1"/>
      <c r="HOW1627" s="1"/>
      <c r="HOX1627" s="1"/>
      <c r="HOY1627" s="1"/>
      <c r="HOZ1627" s="1"/>
      <c r="HPA1627" s="1"/>
      <c r="HPB1627" s="1"/>
      <c r="HPC1627" s="1"/>
      <c r="HPD1627" s="1"/>
      <c r="HPE1627" s="1"/>
      <c r="HPF1627" s="1"/>
      <c r="HPG1627" s="1"/>
      <c r="HPH1627" s="1"/>
      <c r="HPI1627" s="1"/>
      <c r="HPJ1627" s="1"/>
      <c r="HPK1627" s="1"/>
      <c r="HPL1627" s="1"/>
      <c r="HPM1627" s="1"/>
      <c r="HPN1627" s="1"/>
      <c r="HPO1627" s="1"/>
      <c r="HPP1627" s="1"/>
      <c r="HPQ1627" s="1"/>
      <c r="HPR1627" s="1"/>
      <c r="HPS1627" s="1"/>
      <c r="HPT1627" s="1"/>
      <c r="HPU1627" s="1"/>
      <c r="HPV1627" s="1"/>
      <c r="HPW1627" s="1"/>
      <c r="HPX1627" s="1"/>
      <c r="HPY1627" s="1"/>
      <c r="HPZ1627" s="1"/>
      <c r="HQA1627" s="1"/>
      <c r="HQB1627" s="1"/>
      <c r="HQC1627" s="1"/>
      <c r="HQD1627" s="1"/>
      <c r="HQE1627" s="1"/>
      <c r="HQF1627" s="1"/>
      <c r="HQG1627" s="1"/>
      <c r="HQH1627" s="1"/>
      <c r="HQI1627" s="1"/>
      <c r="HQJ1627" s="1"/>
      <c r="HQK1627" s="1"/>
      <c r="HQL1627" s="1"/>
      <c r="HQM1627" s="1"/>
      <c r="HQN1627" s="1"/>
      <c r="HQO1627" s="1"/>
      <c r="HQP1627" s="1"/>
      <c r="HQQ1627" s="1"/>
      <c r="HQR1627" s="1"/>
      <c r="HQS1627" s="1"/>
      <c r="HQT1627" s="1"/>
      <c r="HQU1627" s="1"/>
      <c r="HQV1627" s="1"/>
      <c r="HQW1627" s="1"/>
      <c r="HQX1627" s="1"/>
      <c r="HQY1627" s="1"/>
      <c r="HQZ1627" s="1"/>
      <c r="HRA1627" s="1"/>
      <c r="HRB1627" s="1"/>
      <c r="HRC1627" s="1"/>
      <c r="HRD1627" s="1"/>
      <c r="HRE1627" s="1"/>
      <c r="HRF1627" s="1"/>
      <c r="HRG1627" s="1"/>
      <c r="HRH1627" s="1"/>
      <c r="HRI1627" s="1"/>
      <c r="HRJ1627" s="1"/>
      <c r="HRK1627" s="1"/>
      <c r="HRL1627" s="1"/>
      <c r="HRM1627" s="1"/>
      <c r="HRN1627" s="1"/>
      <c r="HRO1627" s="1"/>
      <c r="HRP1627" s="1"/>
      <c r="HRQ1627" s="1"/>
      <c r="HRR1627" s="1"/>
      <c r="HRS1627" s="1"/>
      <c r="HRT1627" s="1"/>
      <c r="HRU1627" s="1"/>
      <c r="HRV1627" s="1"/>
      <c r="HRW1627" s="1"/>
      <c r="HRX1627" s="1"/>
      <c r="HRY1627" s="1"/>
      <c r="HRZ1627" s="1"/>
      <c r="HSA1627" s="1"/>
      <c r="HSB1627" s="1"/>
      <c r="HSC1627" s="1"/>
      <c r="HSD1627" s="1"/>
      <c r="HSE1627" s="1"/>
      <c r="HSF1627" s="1"/>
      <c r="HSG1627" s="1"/>
      <c r="HSH1627" s="1"/>
      <c r="HSI1627" s="1"/>
      <c r="HSJ1627" s="1"/>
      <c r="HSK1627" s="1"/>
      <c r="HSL1627" s="1"/>
      <c r="HSM1627" s="1"/>
      <c r="HSN1627" s="1"/>
      <c r="HSO1627" s="1"/>
      <c r="HSP1627" s="1"/>
      <c r="HSQ1627" s="1"/>
      <c r="HSR1627" s="1"/>
      <c r="HSS1627" s="1"/>
      <c r="HST1627" s="1"/>
      <c r="HSU1627" s="1"/>
      <c r="HSV1627" s="1"/>
      <c r="HSW1627" s="1"/>
      <c r="HSX1627" s="1"/>
      <c r="HSY1627" s="1"/>
      <c r="HSZ1627" s="1"/>
      <c r="HTA1627" s="1"/>
      <c r="HTB1627" s="1"/>
      <c r="HTC1627" s="1"/>
      <c r="HTD1627" s="1"/>
      <c r="HTE1627" s="1"/>
      <c r="HTF1627" s="1"/>
      <c r="HTG1627" s="1"/>
      <c r="HTH1627" s="1"/>
      <c r="HTI1627" s="1"/>
      <c r="HTJ1627" s="1"/>
      <c r="HTK1627" s="1"/>
      <c r="HTL1627" s="1"/>
      <c r="HTM1627" s="1"/>
      <c r="HTN1627" s="1"/>
      <c r="HTO1627" s="1"/>
      <c r="HTP1627" s="1"/>
      <c r="HTQ1627" s="1"/>
      <c r="HTR1627" s="1"/>
      <c r="HTS1627" s="1"/>
      <c r="HTT1627" s="1"/>
      <c r="HTU1627" s="1"/>
      <c r="HTV1627" s="1"/>
      <c r="HTW1627" s="1"/>
      <c r="HTX1627" s="1"/>
      <c r="HTY1627" s="1"/>
      <c r="HTZ1627" s="1"/>
      <c r="HUA1627" s="1"/>
      <c r="HUB1627" s="1"/>
      <c r="HUC1627" s="1"/>
      <c r="HUD1627" s="1"/>
      <c r="HUE1627" s="1"/>
      <c r="HUF1627" s="1"/>
      <c r="HUG1627" s="1"/>
      <c r="HUH1627" s="1"/>
      <c r="HUI1627" s="1"/>
      <c r="HUJ1627" s="1"/>
      <c r="HUK1627" s="1"/>
      <c r="HUL1627" s="1"/>
      <c r="HUM1627" s="1"/>
      <c r="HUN1627" s="1"/>
      <c r="HUO1627" s="1"/>
      <c r="HUP1627" s="1"/>
      <c r="HUQ1627" s="1"/>
      <c r="HUR1627" s="1"/>
      <c r="HUS1627" s="1"/>
      <c r="HUT1627" s="1"/>
      <c r="HUU1627" s="1"/>
      <c r="HUV1627" s="1"/>
      <c r="HUW1627" s="1"/>
      <c r="HUX1627" s="1"/>
      <c r="HUY1627" s="1"/>
      <c r="HUZ1627" s="1"/>
      <c r="HVA1627" s="1"/>
      <c r="HVB1627" s="1"/>
      <c r="HVC1627" s="1"/>
      <c r="HVD1627" s="1"/>
      <c r="HVE1627" s="1"/>
      <c r="HVF1627" s="1"/>
      <c r="HVG1627" s="1"/>
      <c r="HVH1627" s="1"/>
      <c r="HVI1627" s="1"/>
      <c r="HVJ1627" s="1"/>
      <c r="HVK1627" s="1"/>
      <c r="HVL1627" s="1"/>
      <c r="HVM1627" s="1"/>
      <c r="HVN1627" s="1"/>
      <c r="HVO1627" s="1"/>
      <c r="HVP1627" s="1"/>
      <c r="HVQ1627" s="1"/>
      <c r="HVR1627" s="1"/>
      <c r="HVS1627" s="1"/>
      <c r="HVT1627" s="1"/>
      <c r="HVU1627" s="1"/>
      <c r="HVV1627" s="1"/>
      <c r="HVW1627" s="1"/>
      <c r="HVX1627" s="1"/>
      <c r="HVY1627" s="1"/>
      <c r="HVZ1627" s="1"/>
      <c r="HWA1627" s="1"/>
      <c r="HWB1627" s="1"/>
      <c r="HWC1627" s="1"/>
      <c r="HWD1627" s="1"/>
      <c r="HWE1627" s="1"/>
      <c r="HWF1627" s="1"/>
      <c r="HWG1627" s="1"/>
      <c r="HWH1627" s="1"/>
      <c r="HWI1627" s="1"/>
      <c r="HWJ1627" s="1"/>
      <c r="HWK1627" s="1"/>
      <c r="HWL1627" s="1"/>
      <c r="HWM1627" s="1"/>
      <c r="HWN1627" s="1"/>
      <c r="HWO1627" s="1"/>
      <c r="HWP1627" s="1"/>
      <c r="HWQ1627" s="1"/>
      <c r="HWR1627" s="1"/>
      <c r="HWS1627" s="1"/>
      <c r="HWT1627" s="1"/>
      <c r="HWU1627" s="1"/>
      <c r="HWV1627" s="1"/>
      <c r="HWW1627" s="1"/>
      <c r="HWX1627" s="1"/>
      <c r="HWY1627" s="1"/>
      <c r="HWZ1627" s="1"/>
      <c r="HXA1627" s="1"/>
      <c r="HXB1627" s="1"/>
      <c r="HXC1627" s="1"/>
      <c r="HXD1627" s="1"/>
      <c r="HXE1627" s="1"/>
      <c r="HXF1627" s="1"/>
      <c r="HXG1627" s="1"/>
      <c r="HXH1627" s="1"/>
      <c r="HXI1627" s="1"/>
      <c r="HXJ1627" s="1"/>
      <c r="HXK1627" s="1"/>
      <c r="HXL1627" s="1"/>
      <c r="HXM1627" s="1"/>
      <c r="HXN1627" s="1"/>
      <c r="HXO1627" s="1"/>
      <c r="HXP1627" s="1"/>
      <c r="HXQ1627" s="1"/>
      <c r="HXR1627" s="1"/>
      <c r="HXS1627" s="1"/>
      <c r="HXT1627" s="1"/>
      <c r="HXU1627" s="1"/>
      <c r="HXV1627" s="1"/>
      <c r="HXW1627" s="1"/>
      <c r="HXX1627" s="1"/>
      <c r="HXY1627" s="1"/>
      <c r="HXZ1627" s="1"/>
      <c r="HYA1627" s="1"/>
      <c r="HYB1627" s="1"/>
      <c r="HYC1627" s="1"/>
      <c r="HYD1627" s="1"/>
      <c r="HYE1627" s="1"/>
      <c r="HYF1627" s="1"/>
      <c r="HYG1627" s="1"/>
      <c r="HYH1627" s="1"/>
      <c r="HYI1627" s="1"/>
      <c r="HYJ1627" s="1"/>
      <c r="HYK1627" s="1"/>
      <c r="HYL1627" s="1"/>
      <c r="HYM1627" s="1"/>
      <c r="HYN1627" s="1"/>
      <c r="HYO1627" s="1"/>
      <c r="HYP1627" s="1"/>
      <c r="HYQ1627" s="1"/>
      <c r="HYR1627" s="1"/>
      <c r="HYS1627" s="1"/>
      <c r="HYT1627" s="1"/>
      <c r="HYU1627" s="1"/>
      <c r="HYV1627" s="1"/>
      <c r="HYW1627" s="1"/>
      <c r="HYX1627" s="1"/>
      <c r="HYY1627" s="1"/>
      <c r="HYZ1627" s="1"/>
      <c r="HZA1627" s="1"/>
      <c r="HZB1627" s="1"/>
      <c r="HZC1627" s="1"/>
      <c r="HZD1627" s="1"/>
      <c r="HZE1627" s="1"/>
      <c r="HZF1627" s="1"/>
      <c r="HZG1627" s="1"/>
      <c r="HZH1627" s="1"/>
      <c r="HZI1627" s="1"/>
      <c r="HZJ1627" s="1"/>
      <c r="HZK1627" s="1"/>
      <c r="HZL1627" s="1"/>
      <c r="HZM1627" s="1"/>
      <c r="HZN1627" s="1"/>
      <c r="HZO1627" s="1"/>
      <c r="HZP1627" s="1"/>
      <c r="HZQ1627" s="1"/>
      <c r="HZR1627" s="1"/>
      <c r="HZS1627" s="1"/>
      <c r="HZT1627" s="1"/>
      <c r="HZU1627" s="1"/>
      <c r="HZV1627" s="1"/>
      <c r="HZW1627" s="1"/>
      <c r="HZX1627" s="1"/>
      <c r="HZY1627" s="1"/>
      <c r="HZZ1627" s="1"/>
      <c r="IAA1627" s="1"/>
      <c r="IAB1627" s="1"/>
      <c r="IAC1627" s="1"/>
      <c r="IAD1627" s="1"/>
      <c r="IAE1627" s="1"/>
      <c r="IAF1627" s="1"/>
      <c r="IAG1627" s="1"/>
      <c r="IAH1627" s="1"/>
      <c r="IAI1627" s="1"/>
      <c r="IAJ1627" s="1"/>
      <c r="IAK1627" s="1"/>
      <c r="IAL1627" s="1"/>
      <c r="IAM1627" s="1"/>
      <c r="IAN1627" s="1"/>
      <c r="IAO1627" s="1"/>
      <c r="IAP1627" s="1"/>
      <c r="IAQ1627" s="1"/>
      <c r="IAR1627" s="1"/>
      <c r="IAS1627" s="1"/>
      <c r="IAT1627" s="1"/>
      <c r="IAU1627" s="1"/>
      <c r="IAV1627" s="1"/>
      <c r="IAW1627" s="1"/>
      <c r="IAX1627" s="1"/>
      <c r="IAY1627" s="1"/>
      <c r="IAZ1627" s="1"/>
      <c r="IBA1627" s="1"/>
      <c r="IBB1627" s="1"/>
      <c r="IBC1627" s="1"/>
      <c r="IBD1627" s="1"/>
      <c r="IBE1627" s="1"/>
      <c r="IBF1627" s="1"/>
      <c r="IBG1627" s="1"/>
      <c r="IBH1627" s="1"/>
      <c r="IBI1627" s="1"/>
      <c r="IBJ1627" s="1"/>
      <c r="IBK1627" s="1"/>
      <c r="IBL1627" s="1"/>
      <c r="IBM1627" s="1"/>
      <c r="IBN1627" s="1"/>
      <c r="IBO1627" s="1"/>
      <c r="IBP1627" s="1"/>
      <c r="IBQ1627" s="1"/>
      <c r="IBR1627" s="1"/>
      <c r="IBS1627" s="1"/>
      <c r="IBT1627" s="1"/>
      <c r="IBU1627" s="1"/>
      <c r="IBV1627" s="1"/>
      <c r="IBW1627" s="1"/>
      <c r="IBX1627" s="1"/>
      <c r="IBY1627" s="1"/>
      <c r="IBZ1627" s="1"/>
      <c r="ICA1627" s="1"/>
      <c r="ICB1627" s="1"/>
      <c r="ICC1627" s="1"/>
      <c r="ICD1627" s="1"/>
      <c r="ICE1627" s="1"/>
      <c r="ICF1627" s="1"/>
      <c r="ICG1627" s="1"/>
      <c r="ICH1627" s="1"/>
      <c r="ICI1627" s="1"/>
      <c r="ICJ1627" s="1"/>
      <c r="ICK1627" s="1"/>
      <c r="ICL1627" s="1"/>
      <c r="ICM1627" s="1"/>
      <c r="ICN1627" s="1"/>
      <c r="ICO1627" s="1"/>
      <c r="ICP1627" s="1"/>
      <c r="ICQ1627" s="1"/>
      <c r="ICR1627" s="1"/>
      <c r="ICS1627" s="1"/>
      <c r="ICT1627" s="1"/>
      <c r="ICU1627" s="1"/>
      <c r="ICV1627" s="1"/>
      <c r="ICW1627" s="1"/>
      <c r="ICX1627" s="1"/>
      <c r="ICY1627" s="1"/>
      <c r="ICZ1627" s="1"/>
      <c r="IDA1627" s="1"/>
      <c r="IDB1627" s="1"/>
      <c r="IDC1627" s="1"/>
      <c r="IDD1627" s="1"/>
      <c r="IDE1627" s="1"/>
      <c r="IDF1627" s="1"/>
      <c r="IDG1627" s="1"/>
      <c r="IDH1627" s="1"/>
      <c r="IDI1627" s="1"/>
      <c r="IDJ1627" s="1"/>
      <c r="IDK1627" s="1"/>
      <c r="IDL1627" s="1"/>
      <c r="IDM1627" s="1"/>
      <c r="IDN1627" s="1"/>
      <c r="IDO1627" s="1"/>
      <c r="IDP1627" s="1"/>
      <c r="IDQ1627" s="1"/>
      <c r="IDR1627" s="1"/>
      <c r="IDS1627" s="1"/>
      <c r="IDT1627" s="1"/>
      <c r="IDU1627" s="1"/>
      <c r="IDV1627" s="1"/>
      <c r="IDW1627" s="1"/>
      <c r="IDX1627" s="1"/>
      <c r="IDY1627" s="1"/>
      <c r="IDZ1627" s="1"/>
      <c r="IEA1627" s="1"/>
      <c r="IEB1627" s="1"/>
      <c r="IEC1627" s="1"/>
      <c r="IED1627" s="1"/>
      <c r="IEE1627" s="1"/>
      <c r="IEF1627" s="1"/>
      <c r="IEG1627" s="1"/>
      <c r="IEH1627" s="1"/>
      <c r="IEI1627" s="1"/>
      <c r="IEJ1627" s="1"/>
      <c r="IEK1627" s="1"/>
      <c r="IEL1627" s="1"/>
      <c r="IEM1627" s="1"/>
      <c r="IEN1627" s="1"/>
      <c r="IEO1627" s="1"/>
      <c r="IEP1627" s="1"/>
      <c r="IEQ1627" s="1"/>
      <c r="IER1627" s="1"/>
      <c r="IES1627" s="1"/>
      <c r="IET1627" s="1"/>
      <c r="IEU1627" s="1"/>
      <c r="IEV1627" s="1"/>
      <c r="IEW1627" s="1"/>
      <c r="IEX1627" s="1"/>
      <c r="IEY1627" s="1"/>
      <c r="IEZ1627" s="1"/>
      <c r="IFA1627" s="1"/>
      <c r="IFB1627" s="1"/>
      <c r="IFC1627" s="1"/>
      <c r="IFD1627" s="1"/>
      <c r="IFE1627" s="1"/>
      <c r="IFF1627" s="1"/>
      <c r="IFG1627" s="1"/>
      <c r="IFH1627" s="1"/>
      <c r="IFI1627" s="1"/>
      <c r="IFJ1627" s="1"/>
      <c r="IFK1627" s="1"/>
      <c r="IFL1627" s="1"/>
      <c r="IFM1627" s="1"/>
      <c r="IFN1627" s="1"/>
      <c r="IFO1627" s="1"/>
      <c r="IFP1627" s="1"/>
      <c r="IFQ1627" s="1"/>
      <c r="IFR1627" s="1"/>
      <c r="IFS1627" s="1"/>
      <c r="IFT1627" s="1"/>
      <c r="IFU1627" s="1"/>
      <c r="IFV1627" s="1"/>
      <c r="IFW1627" s="1"/>
      <c r="IFX1627" s="1"/>
      <c r="IFY1627" s="1"/>
      <c r="IFZ1627" s="1"/>
      <c r="IGA1627" s="1"/>
      <c r="IGB1627" s="1"/>
      <c r="IGC1627" s="1"/>
      <c r="IGD1627" s="1"/>
      <c r="IGE1627" s="1"/>
      <c r="IGF1627" s="1"/>
      <c r="IGG1627" s="1"/>
      <c r="IGH1627" s="1"/>
      <c r="IGI1627" s="1"/>
      <c r="IGJ1627" s="1"/>
      <c r="IGK1627" s="1"/>
      <c r="IGL1627" s="1"/>
      <c r="IGM1627" s="1"/>
      <c r="IGN1627" s="1"/>
      <c r="IGO1627" s="1"/>
      <c r="IGP1627" s="1"/>
      <c r="IGQ1627" s="1"/>
      <c r="IGR1627" s="1"/>
      <c r="IGS1627" s="1"/>
      <c r="IGT1627" s="1"/>
      <c r="IGU1627" s="1"/>
      <c r="IGV1627" s="1"/>
      <c r="IGW1627" s="1"/>
      <c r="IGX1627" s="1"/>
      <c r="IGY1627" s="1"/>
      <c r="IGZ1627" s="1"/>
      <c r="IHA1627" s="1"/>
      <c r="IHB1627" s="1"/>
      <c r="IHC1627" s="1"/>
      <c r="IHD1627" s="1"/>
      <c r="IHE1627" s="1"/>
      <c r="IHF1627" s="1"/>
      <c r="IHG1627" s="1"/>
      <c r="IHH1627" s="1"/>
      <c r="IHI1627" s="1"/>
      <c r="IHJ1627" s="1"/>
      <c r="IHK1627" s="1"/>
      <c r="IHL1627" s="1"/>
      <c r="IHM1627" s="1"/>
      <c r="IHN1627" s="1"/>
      <c r="IHO1627" s="1"/>
      <c r="IHP1627" s="1"/>
      <c r="IHQ1627" s="1"/>
      <c r="IHR1627" s="1"/>
      <c r="IHS1627" s="1"/>
      <c r="IHT1627" s="1"/>
      <c r="IHU1627" s="1"/>
      <c r="IHV1627" s="1"/>
      <c r="IHW1627" s="1"/>
      <c r="IHX1627" s="1"/>
      <c r="IHY1627" s="1"/>
      <c r="IHZ1627" s="1"/>
      <c r="IIA1627" s="1"/>
      <c r="IIB1627" s="1"/>
      <c r="IIC1627" s="1"/>
      <c r="IID1627" s="1"/>
      <c r="IIE1627" s="1"/>
      <c r="IIF1627" s="1"/>
      <c r="IIG1627" s="1"/>
      <c r="IIH1627" s="1"/>
      <c r="III1627" s="1"/>
      <c r="IIJ1627" s="1"/>
      <c r="IIK1627" s="1"/>
      <c r="IIL1627" s="1"/>
      <c r="IIM1627" s="1"/>
      <c r="IIN1627" s="1"/>
      <c r="IIO1627" s="1"/>
      <c r="IIP1627" s="1"/>
      <c r="IIQ1627" s="1"/>
      <c r="IIR1627" s="1"/>
      <c r="IIS1627" s="1"/>
      <c r="IIT1627" s="1"/>
      <c r="IIU1627" s="1"/>
      <c r="IIV1627" s="1"/>
      <c r="IIW1627" s="1"/>
      <c r="IIX1627" s="1"/>
      <c r="IIY1627" s="1"/>
      <c r="IIZ1627" s="1"/>
      <c r="IJA1627" s="1"/>
      <c r="IJB1627" s="1"/>
      <c r="IJC1627" s="1"/>
      <c r="IJD1627" s="1"/>
      <c r="IJE1627" s="1"/>
      <c r="IJF1627" s="1"/>
      <c r="IJG1627" s="1"/>
      <c r="IJH1627" s="1"/>
      <c r="IJI1627" s="1"/>
      <c r="IJJ1627" s="1"/>
      <c r="IJK1627" s="1"/>
      <c r="IJL1627" s="1"/>
      <c r="IJM1627" s="1"/>
      <c r="IJN1627" s="1"/>
      <c r="IJO1627" s="1"/>
      <c r="IJP1627" s="1"/>
      <c r="IJQ1627" s="1"/>
      <c r="IJR1627" s="1"/>
      <c r="IJS1627" s="1"/>
      <c r="IJT1627" s="1"/>
      <c r="IJU1627" s="1"/>
      <c r="IJV1627" s="1"/>
      <c r="IJW1627" s="1"/>
      <c r="IJX1627" s="1"/>
      <c r="IJY1627" s="1"/>
      <c r="IJZ1627" s="1"/>
      <c r="IKA1627" s="1"/>
      <c r="IKB1627" s="1"/>
      <c r="IKC1627" s="1"/>
      <c r="IKD1627" s="1"/>
      <c r="IKE1627" s="1"/>
      <c r="IKF1627" s="1"/>
      <c r="IKG1627" s="1"/>
      <c r="IKH1627" s="1"/>
      <c r="IKI1627" s="1"/>
      <c r="IKJ1627" s="1"/>
      <c r="IKK1627" s="1"/>
      <c r="IKL1627" s="1"/>
      <c r="IKM1627" s="1"/>
      <c r="IKN1627" s="1"/>
      <c r="IKO1627" s="1"/>
      <c r="IKP1627" s="1"/>
      <c r="IKQ1627" s="1"/>
      <c r="IKR1627" s="1"/>
      <c r="IKS1627" s="1"/>
      <c r="IKT1627" s="1"/>
      <c r="IKU1627" s="1"/>
      <c r="IKV1627" s="1"/>
      <c r="IKW1627" s="1"/>
      <c r="IKX1627" s="1"/>
      <c r="IKY1627" s="1"/>
      <c r="IKZ1627" s="1"/>
      <c r="ILA1627" s="1"/>
      <c r="ILB1627" s="1"/>
      <c r="ILC1627" s="1"/>
      <c r="ILD1627" s="1"/>
      <c r="ILE1627" s="1"/>
      <c r="ILF1627" s="1"/>
      <c r="ILG1627" s="1"/>
      <c r="ILH1627" s="1"/>
      <c r="ILI1627" s="1"/>
      <c r="ILJ1627" s="1"/>
      <c r="ILK1627" s="1"/>
      <c r="ILL1627" s="1"/>
      <c r="ILM1627" s="1"/>
      <c r="ILN1627" s="1"/>
      <c r="ILO1627" s="1"/>
      <c r="ILP1627" s="1"/>
      <c r="ILQ1627" s="1"/>
      <c r="ILR1627" s="1"/>
      <c r="ILS1627" s="1"/>
      <c r="ILT1627" s="1"/>
      <c r="ILU1627" s="1"/>
      <c r="ILV1627" s="1"/>
      <c r="ILW1627" s="1"/>
      <c r="ILX1627" s="1"/>
      <c r="ILY1627" s="1"/>
      <c r="ILZ1627" s="1"/>
      <c r="IMA1627" s="1"/>
      <c r="IMB1627" s="1"/>
      <c r="IMC1627" s="1"/>
      <c r="IMD1627" s="1"/>
      <c r="IME1627" s="1"/>
      <c r="IMF1627" s="1"/>
      <c r="IMG1627" s="1"/>
      <c r="IMH1627" s="1"/>
      <c r="IMI1627" s="1"/>
      <c r="IMJ1627" s="1"/>
      <c r="IMK1627" s="1"/>
      <c r="IML1627" s="1"/>
      <c r="IMM1627" s="1"/>
      <c r="IMN1627" s="1"/>
      <c r="IMO1627" s="1"/>
      <c r="IMP1627" s="1"/>
      <c r="IMQ1627" s="1"/>
      <c r="IMR1627" s="1"/>
      <c r="IMS1627" s="1"/>
      <c r="IMT1627" s="1"/>
      <c r="IMU1627" s="1"/>
      <c r="IMV1627" s="1"/>
      <c r="IMW1627" s="1"/>
      <c r="IMX1627" s="1"/>
      <c r="IMY1627" s="1"/>
      <c r="IMZ1627" s="1"/>
      <c r="INA1627" s="1"/>
      <c r="INB1627" s="1"/>
      <c r="INC1627" s="1"/>
      <c r="IND1627" s="1"/>
      <c r="INE1627" s="1"/>
      <c r="INF1627" s="1"/>
      <c r="ING1627" s="1"/>
      <c r="INH1627" s="1"/>
      <c r="INI1627" s="1"/>
      <c r="INJ1627" s="1"/>
      <c r="INK1627" s="1"/>
      <c r="INL1627" s="1"/>
      <c r="INM1627" s="1"/>
      <c r="INN1627" s="1"/>
      <c r="INO1627" s="1"/>
      <c r="INP1627" s="1"/>
      <c r="INQ1627" s="1"/>
      <c r="INR1627" s="1"/>
      <c r="INS1627" s="1"/>
      <c r="INT1627" s="1"/>
      <c r="INU1627" s="1"/>
      <c r="INV1627" s="1"/>
      <c r="INW1627" s="1"/>
      <c r="INX1627" s="1"/>
      <c r="INY1627" s="1"/>
      <c r="INZ1627" s="1"/>
      <c r="IOA1627" s="1"/>
      <c r="IOB1627" s="1"/>
      <c r="IOC1627" s="1"/>
      <c r="IOD1627" s="1"/>
      <c r="IOE1627" s="1"/>
      <c r="IOF1627" s="1"/>
      <c r="IOG1627" s="1"/>
      <c r="IOH1627" s="1"/>
      <c r="IOI1627" s="1"/>
      <c r="IOJ1627" s="1"/>
      <c r="IOK1627" s="1"/>
      <c r="IOL1627" s="1"/>
      <c r="IOM1627" s="1"/>
      <c r="ION1627" s="1"/>
      <c r="IOO1627" s="1"/>
      <c r="IOP1627" s="1"/>
      <c r="IOQ1627" s="1"/>
      <c r="IOR1627" s="1"/>
      <c r="IOS1627" s="1"/>
      <c r="IOT1627" s="1"/>
      <c r="IOU1627" s="1"/>
      <c r="IOV1627" s="1"/>
      <c r="IOW1627" s="1"/>
      <c r="IOX1627" s="1"/>
      <c r="IOY1627" s="1"/>
      <c r="IOZ1627" s="1"/>
      <c r="IPA1627" s="1"/>
      <c r="IPB1627" s="1"/>
      <c r="IPC1627" s="1"/>
      <c r="IPD1627" s="1"/>
      <c r="IPE1627" s="1"/>
      <c r="IPF1627" s="1"/>
      <c r="IPG1627" s="1"/>
      <c r="IPH1627" s="1"/>
      <c r="IPI1627" s="1"/>
      <c r="IPJ1627" s="1"/>
      <c r="IPK1627" s="1"/>
      <c r="IPL1627" s="1"/>
      <c r="IPM1627" s="1"/>
      <c r="IPN1627" s="1"/>
      <c r="IPO1627" s="1"/>
      <c r="IPP1627" s="1"/>
      <c r="IPQ1627" s="1"/>
      <c r="IPR1627" s="1"/>
      <c r="IPS1627" s="1"/>
      <c r="IPT1627" s="1"/>
      <c r="IPU1627" s="1"/>
      <c r="IPV1627" s="1"/>
      <c r="IPW1627" s="1"/>
      <c r="IPX1627" s="1"/>
      <c r="IPY1627" s="1"/>
      <c r="IPZ1627" s="1"/>
      <c r="IQA1627" s="1"/>
      <c r="IQB1627" s="1"/>
      <c r="IQC1627" s="1"/>
      <c r="IQD1627" s="1"/>
      <c r="IQE1627" s="1"/>
      <c r="IQF1627" s="1"/>
      <c r="IQG1627" s="1"/>
      <c r="IQH1627" s="1"/>
      <c r="IQI1627" s="1"/>
      <c r="IQJ1627" s="1"/>
      <c r="IQK1627" s="1"/>
      <c r="IQL1627" s="1"/>
      <c r="IQM1627" s="1"/>
      <c r="IQN1627" s="1"/>
      <c r="IQO1627" s="1"/>
      <c r="IQP1627" s="1"/>
      <c r="IQQ1627" s="1"/>
      <c r="IQR1627" s="1"/>
      <c r="IQS1627" s="1"/>
      <c r="IQT1627" s="1"/>
      <c r="IQU1627" s="1"/>
      <c r="IQV1627" s="1"/>
      <c r="IQW1627" s="1"/>
      <c r="IQX1627" s="1"/>
      <c r="IQY1627" s="1"/>
      <c r="IQZ1627" s="1"/>
      <c r="IRA1627" s="1"/>
      <c r="IRB1627" s="1"/>
      <c r="IRC1627" s="1"/>
      <c r="IRD1627" s="1"/>
      <c r="IRE1627" s="1"/>
      <c r="IRF1627" s="1"/>
      <c r="IRG1627" s="1"/>
      <c r="IRH1627" s="1"/>
      <c r="IRI1627" s="1"/>
      <c r="IRJ1627" s="1"/>
      <c r="IRK1627" s="1"/>
      <c r="IRL1627" s="1"/>
      <c r="IRM1627" s="1"/>
      <c r="IRN1627" s="1"/>
      <c r="IRO1627" s="1"/>
      <c r="IRP1627" s="1"/>
      <c r="IRQ1627" s="1"/>
      <c r="IRR1627" s="1"/>
      <c r="IRS1627" s="1"/>
      <c r="IRT1627" s="1"/>
      <c r="IRU1627" s="1"/>
      <c r="IRV1627" s="1"/>
      <c r="IRW1627" s="1"/>
      <c r="IRX1627" s="1"/>
      <c r="IRY1627" s="1"/>
      <c r="IRZ1627" s="1"/>
      <c r="ISA1627" s="1"/>
      <c r="ISB1627" s="1"/>
      <c r="ISC1627" s="1"/>
      <c r="ISD1627" s="1"/>
      <c r="ISE1627" s="1"/>
      <c r="ISF1627" s="1"/>
      <c r="ISG1627" s="1"/>
      <c r="ISH1627" s="1"/>
      <c r="ISI1627" s="1"/>
      <c r="ISJ1627" s="1"/>
      <c r="ISK1627" s="1"/>
      <c r="ISL1627" s="1"/>
      <c r="ISM1627" s="1"/>
      <c r="ISN1627" s="1"/>
      <c r="ISO1627" s="1"/>
      <c r="ISP1627" s="1"/>
      <c r="ISQ1627" s="1"/>
      <c r="ISR1627" s="1"/>
      <c r="ISS1627" s="1"/>
      <c r="IST1627" s="1"/>
      <c r="ISU1627" s="1"/>
      <c r="ISV1627" s="1"/>
      <c r="ISW1627" s="1"/>
      <c r="ISX1627" s="1"/>
      <c r="ISY1627" s="1"/>
      <c r="ISZ1627" s="1"/>
      <c r="ITA1627" s="1"/>
      <c r="ITB1627" s="1"/>
      <c r="ITC1627" s="1"/>
      <c r="ITD1627" s="1"/>
      <c r="ITE1627" s="1"/>
      <c r="ITF1627" s="1"/>
      <c r="ITG1627" s="1"/>
      <c r="ITH1627" s="1"/>
      <c r="ITI1627" s="1"/>
      <c r="ITJ1627" s="1"/>
      <c r="ITK1627" s="1"/>
      <c r="ITL1627" s="1"/>
      <c r="ITM1627" s="1"/>
      <c r="ITN1627" s="1"/>
      <c r="ITO1627" s="1"/>
      <c r="ITP1627" s="1"/>
      <c r="ITQ1627" s="1"/>
      <c r="ITR1627" s="1"/>
      <c r="ITS1627" s="1"/>
      <c r="ITT1627" s="1"/>
      <c r="ITU1627" s="1"/>
      <c r="ITV1627" s="1"/>
      <c r="ITW1627" s="1"/>
      <c r="ITX1627" s="1"/>
      <c r="ITY1627" s="1"/>
      <c r="ITZ1627" s="1"/>
      <c r="IUA1627" s="1"/>
      <c r="IUB1627" s="1"/>
      <c r="IUC1627" s="1"/>
      <c r="IUD1627" s="1"/>
      <c r="IUE1627" s="1"/>
      <c r="IUF1627" s="1"/>
      <c r="IUG1627" s="1"/>
      <c r="IUH1627" s="1"/>
      <c r="IUI1627" s="1"/>
      <c r="IUJ1627" s="1"/>
      <c r="IUK1627" s="1"/>
      <c r="IUL1627" s="1"/>
      <c r="IUM1627" s="1"/>
      <c r="IUN1627" s="1"/>
      <c r="IUO1627" s="1"/>
      <c r="IUP1627" s="1"/>
      <c r="IUQ1627" s="1"/>
      <c r="IUR1627" s="1"/>
      <c r="IUS1627" s="1"/>
      <c r="IUT1627" s="1"/>
      <c r="IUU1627" s="1"/>
      <c r="IUV1627" s="1"/>
      <c r="IUW1627" s="1"/>
      <c r="IUX1627" s="1"/>
      <c r="IUY1627" s="1"/>
      <c r="IUZ1627" s="1"/>
      <c r="IVA1627" s="1"/>
      <c r="IVB1627" s="1"/>
      <c r="IVC1627" s="1"/>
      <c r="IVD1627" s="1"/>
      <c r="IVE1627" s="1"/>
      <c r="IVF1627" s="1"/>
      <c r="IVG1627" s="1"/>
      <c r="IVH1627" s="1"/>
      <c r="IVI1627" s="1"/>
      <c r="IVJ1627" s="1"/>
      <c r="IVK1627" s="1"/>
      <c r="IVL1627" s="1"/>
      <c r="IVM1627" s="1"/>
      <c r="IVN1627" s="1"/>
      <c r="IVO1627" s="1"/>
      <c r="IVP1627" s="1"/>
      <c r="IVQ1627" s="1"/>
      <c r="IVR1627" s="1"/>
      <c r="IVS1627" s="1"/>
      <c r="IVT1627" s="1"/>
      <c r="IVU1627" s="1"/>
      <c r="IVV1627" s="1"/>
      <c r="IVW1627" s="1"/>
      <c r="IVX1627" s="1"/>
      <c r="IVY1627" s="1"/>
      <c r="IVZ1627" s="1"/>
      <c r="IWA1627" s="1"/>
      <c r="IWB1627" s="1"/>
      <c r="IWC1627" s="1"/>
      <c r="IWD1627" s="1"/>
      <c r="IWE1627" s="1"/>
      <c r="IWF1627" s="1"/>
      <c r="IWG1627" s="1"/>
      <c r="IWH1627" s="1"/>
      <c r="IWI1627" s="1"/>
      <c r="IWJ1627" s="1"/>
      <c r="IWK1627" s="1"/>
      <c r="IWL1627" s="1"/>
      <c r="IWM1627" s="1"/>
      <c r="IWN1627" s="1"/>
      <c r="IWO1627" s="1"/>
      <c r="IWP1627" s="1"/>
      <c r="IWQ1627" s="1"/>
      <c r="IWR1627" s="1"/>
      <c r="IWS1627" s="1"/>
      <c r="IWT1627" s="1"/>
      <c r="IWU1627" s="1"/>
      <c r="IWV1627" s="1"/>
      <c r="IWW1627" s="1"/>
      <c r="IWX1627" s="1"/>
      <c r="IWY1627" s="1"/>
      <c r="IWZ1627" s="1"/>
      <c r="IXA1627" s="1"/>
      <c r="IXB1627" s="1"/>
      <c r="IXC1627" s="1"/>
      <c r="IXD1627" s="1"/>
      <c r="IXE1627" s="1"/>
      <c r="IXF1627" s="1"/>
      <c r="IXG1627" s="1"/>
      <c r="IXH1627" s="1"/>
      <c r="IXI1627" s="1"/>
      <c r="IXJ1627" s="1"/>
      <c r="IXK1627" s="1"/>
      <c r="IXL1627" s="1"/>
      <c r="IXM1627" s="1"/>
      <c r="IXN1627" s="1"/>
      <c r="IXO1627" s="1"/>
      <c r="IXP1627" s="1"/>
      <c r="IXQ1627" s="1"/>
      <c r="IXR1627" s="1"/>
      <c r="IXS1627" s="1"/>
      <c r="IXT1627" s="1"/>
      <c r="IXU1627" s="1"/>
      <c r="IXV1627" s="1"/>
      <c r="IXW1627" s="1"/>
      <c r="IXX1627" s="1"/>
      <c r="IXY1627" s="1"/>
      <c r="IXZ1627" s="1"/>
      <c r="IYA1627" s="1"/>
      <c r="IYB1627" s="1"/>
      <c r="IYC1627" s="1"/>
      <c r="IYD1627" s="1"/>
      <c r="IYE1627" s="1"/>
      <c r="IYF1627" s="1"/>
      <c r="IYG1627" s="1"/>
      <c r="IYH1627" s="1"/>
      <c r="IYI1627" s="1"/>
      <c r="IYJ1627" s="1"/>
      <c r="IYK1627" s="1"/>
      <c r="IYL1627" s="1"/>
      <c r="IYM1627" s="1"/>
      <c r="IYN1627" s="1"/>
      <c r="IYO1627" s="1"/>
      <c r="IYP1627" s="1"/>
      <c r="IYQ1627" s="1"/>
      <c r="IYR1627" s="1"/>
      <c r="IYS1627" s="1"/>
      <c r="IYT1627" s="1"/>
      <c r="IYU1627" s="1"/>
      <c r="IYV1627" s="1"/>
      <c r="IYW1627" s="1"/>
      <c r="IYX1627" s="1"/>
      <c r="IYY1627" s="1"/>
      <c r="IYZ1627" s="1"/>
      <c r="IZA1627" s="1"/>
      <c r="IZB1627" s="1"/>
      <c r="IZC1627" s="1"/>
      <c r="IZD1627" s="1"/>
      <c r="IZE1627" s="1"/>
      <c r="IZF1627" s="1"/>
      <c r="IZG1627" s="1"/>
      <c r="IZH1627" s="1"/>
      <c r="IZI1627" s="1"/>
      <c r="IZJ1627" s="1"/>
      <c r="IZK1627" s="1"/>
      <c r="IZL1627" s="1"/>
      <c r="IZM1627" s="1"/>
      <c r="IZN1627" s="1"/>
      <c r="IZO1627" s="1"/>
      <c r="IZP1627" s="1"/>
      <c r="IZQ1627" s="1"/>
      <c r="IZR1627" s="1"/>
      <c r="IZS1627" s="1"/>
      <c r="IZT1627" s="1"/>
      <c r="IZU1627" s="1"/>
      <c r="IZV1627" s="1"/>
      <c r="IZW1627" s="1"/>
      <c r="IZX1627" s="1"/>
      <c r="IZY1627" s="1"/>
      <c r="IZZ1627" s="1"/>
      <c r="JAA1627" s="1"/>
      <c r="JAB1627" s="1"/>
      <c r="JAC1627" s="1"/>
      <c r="JAD1627" s="1"/>
      <c r="JAE1627" s="1"/>
      <c r="JAF1627" s="1"/>
      <c r="JAG1627" s="1"/>
      <c r="JAH1627" s="1"/>
      <c r="JAI1627" s="1"/>
      <c r="JAJ1627" s="1"/>
      <c r="JAK1627" s="1"/>
      <c r="JAL1627" s="1"/>
      <c r="JAM1627" s="1"/>
      <c r="JAN1627" s="1"/>
      <c r="JAO1627" s="1"/>
      <c r="JAP1627" s="1"/>
      <c r="JAQ1627" s="1"/>
      <c r="JAR1627" s="1"/>
      <c r="JAS1627" s="1"/>
      <c r="JAT1627" s="1"/>
      <c r="JAU1627" s="1"/>
      <c r="JAV1627" s="1"/>
      <c r="JAW1627" s="1"/>
      <c r="JAX1627" s="1"/>
      <c r="JAY1627" s="1"/>
      <c r="JAZ1627" s="1"/>
      <c r="JBA1627" s="1"/>
      <c r="JBB1627" s="1"/>
      <c r="JBC1627" s="1"/>
      <c r="JBD1627" s="1"/>
      <c r="JBE1627" s="1"/>
      <c r="JBF1627" s="1"/>
      <c r="JBG1627" s="1"/>
      <c r="JBH1627" s="1"/>
      <c r="JBI1627" s="1"/>
      <c r="JBJ1627" s="1"/>
      <c r="JBK1627" s="1"/>
      <c r="JBL1627" s="1"/>
      <c r="JBM1627" s="1"/>
      <c r="JBN1627" s="1"/>
      <c r="JBO1627" s="1"/>
      <c r="JBP1627" s="1"/>
      <c r="JBQ1627" s="1"/>
      <c r="JBR1627" s="1"/>
      <c r="JBS1627" s="1"/>
      <c r="JBT1627" s="1"/>
      <c r="JBU1627" s="1"/>
      <c r="JBV1627" s="1"/>
      <c r="JBW1627" s="1"/>
      <c r="JBX1627" s="1"/>
      <c r="JBY1627" s="1"/>
      <c r="JBZ1627" s="1"/>
      <c r="JCA1627" s="1"/>
      <c r="JCB1627" s="1"/>
      <c r="JCC1627" s="1"/>
      <c r="JCD1627" s="1"/>
      <c r="JCE1627" s="1"/>
      <c r="JCF1627" s="1"/>
      <c r="JCG1627" s="1"/>
      <c r="JCH1627" s="1"/>
      <c r="JCI1627" s="1"/>
      <c r="JCJ1627" s="1"/>
      <c r="JCK1627" s="1"/>
      <c r="JCL1627" s="1"/>
      <c r="JCM1627" s="1"/>
      <c r="JCN1627" s="1"/>
      <c r="JCO1627" s="1"/>
      <c r="JCP1627" s="1"/>
      <c r="JCQ1627" s="1"/>
      <c r="JCR1627" s="1"/>
      <c r="JCS1627" s="1"/>
      <c r="JCT1627" s="1"/>
      <c r="JCU1627" s="1"/>
      <c r="JCV1627" s="1"/>
      <c r="JCW1627" s="1"/>
      <c r="JCX1627" s="1"/>
      <c r="JCY1627" s="1"/>
      <c r="JCZ1627" s="1"/>
      <c r="JDA1627" s="1"/>
      <c r="JDB1627" s="1"/>
      <c r="JDC1627" s="1"/>
      <c r="JDD1627" s="1"/>
      <c r="JDE1627" s="1"/>
      <c r="JDF1627" s="1"/>
      <c r="JDG1627" s="1"/>
      <c r="JDH1627" s="1"/>
      <c r="JDI1627" s="1"/>
      <c r="JDJ1627" s="1"/>
      <c r="JDK1627" s="1"/>
      <c r="JDL1627" s="1"/>
      <c r="JDM1627" s="1"/>
      <c r="JDN1627" s="1"/>
      <c r="JDO1627" s="1"/>
      <c r="JDP1627" s="1"/>
      <c r="JDQ1627" s="1"/>
      <c r="JDR1627" s="1"/>
      <c r="JDS1627" s="1"/>
      <c r="JDT1627" s="1"/>
      <c r="JDU1627" s="1"/>
      <c r="JDV1627" s="1"/>
      <c r="JDW1627" s="1"/>
      <c r="JDX1627" s="1"/>
      <c r="JDY1627" s="1"/>
      <c r="JDZ1627" s="1"/>
      <c r="JEA1627" s="1"/>
      <c r="JEB1627" s="1"/>
      <c r="JEC1627" s="1"/>
      <c r="JED1627" s="1"/>
      <c r="JEE1627" s="1"/>
      <c r="JEF1627" s="1"/>
      <c r="JEG1627" s="1"/>
      <c r="JEH1627" s="1"/>
      <c r="JEI1627" s="1"/>
      <c r="JEJ1627" s="1"/>
      <c r="JEK1627" s="1"/>
      <c r="JEL1627" s="1"/>
      <c r="JEM1627" s="1"/>
      <c r="JEN1627" s="1"/>
      <c r="JEO1627" s="1"/>
      <c r="JEP1627" s="1"/>
      <c r="JEQ1627" s="1"/>
      <c r="JER1627" s="1"/>
      <c r="JES1627" s="1"/>
      <c r="JET1627" s="1"/>
      <c r="JEU1627" s="1"/>
      <c r="JEV1627" s="1"/>
      <c r="JEW1627" s="1"/>
      <c r="JEX1627" s="1"/>
      <c r="JEY1627" s="1"/>
      <c r="JEZ1627" s="1"/>
      <c r="JFA1627" s="1"/>
      <c r="JFB1627" s="1"/>
      <c r="JFC1627" s="1"/>
      <c r="JFD1627" s="1"/>
      <c r="JFE1627" s="1"/>
      <c r="JFF1627" s="1"/>
      <c r="JFG1627" s="1"/>
      <c r="JFH1627" s="1"/>
      <c r="JFI1627" s="1"/>
      <c r="JFJ1627" s="1"/>
      <c r="JFK1627" s="1"/>
      <c r="JFL1627" s="1"/>
      <c r="JFM1627" s="1"/>
      <c r="JFN1627" s="1"/>
      <c r="JFO1627" s="1"/>
      <c r="JFP1627" s="1"/>
      <c r="JFQ1627" s="1"/>
      <c r="JFR1627" s="1"/>
      <c r="JFS1627" s="1"/>
      <c r="JFT1627" s="1"/>
      <c r="JFU1627" s="1"/>
      <c r="JFV1627" s="1"/>
      <c r="JFW1627" s="1"/>
      <c r="JFX1627" s="1"/>
      <c r="JFY1627" s="1"/>
      <c r="JFZ1627" s="1"/>
      <c r="JGA1627" s="1"/>
      <c r="JGB1627" s="1"/>
      <c r="JGC1627" s="1"/>
      <c r="JGD1627" s="1"/>
      <c r="JGE1627" s="1"/>
      <c r="JGF1627" s="1"/>
      <c r="JGG1627" s="1"/>
      <c r="JGH1627" s="1"/>
      <c r="JGI1627" s="1"/>
      <c r="JGJ1627" s="1"/>
      <c r="JGK1627" s="1"/>
      <c r="JGL1627" s="1"/>
      <c r="JGM1627" s="1"/>
      <c r="JGN1627" s="1"/>
      <c r="JGO1627" s="1"/>
      <c r="JGP1627" s="1"/>
      <c r="JGQ1627" s="1"/>
      <c r="JGR1627" s="1"/>
      <c r="JGS1627" s="1"/>
      <c r="JGT1627" s="1"/>
      <c r="JGU1627" s="1"/>
      <c r="JGV1627" s="1"/>
      <c r="JGW1627" s="1"/>
      <c r="JGX1627" s="1"/>
      <c r="JGY1627" s="1"/>
      <c r="JGZ1627" s="1"/>
      <c r="JHA1627" s="1"/>
      <c r="JHB1627" s="1"/>
      <c r="JHC1627" s="1"/>
      <c r="JHD1627" s="1"/>
      <c r="JHE1627" s="1"/>
      <c r="JHF1627" s="1"/>
      <c r="JHG1627" s="1"/>
      <c r="JHH1627" s="1"/>
      <c r="JHI1627" s="1"/>
      <c r="JHJ1627" s="1"/>
      <c r="JHK1627" s="1"/>
      <c r="JHL1627" s="1"/>
      <c r="JHM1627" s="1"/>
      <c r="JHN1627" s="1"/>
      <c r="JHO1627" s="1"/>
      <c r="JHP1627" s="1"/>
      <c r="JHQ1627" s="1"/>
      <c r="JHR1627" s="1"/>
      <c r="JHS1627" s="1"/>
      <c r="JHT1627" s="1"/>
      <c r="JHU1627" s="1"/>
      <c r="JHV1627" s="1"/>
      <c r="JHW1627" s="1"/>
      <c r="JHX1627" s="1"/>
      <c r="JHY1627" s="1"/>
      <c r="JHZ1627" s="1"/>
      <c r="JIA1627" s="1"/>
      <c r="JIB1627" s="1"/>
      <c r="JIC1627" s="1"/>
      <c r="JID1627" s="1"/>
      <c r="JIE1627" s="1"/>
      <c r="JIF1627" s="1"/>
      <c r="JIG1627" s="1"/>
      <c r="JIH1627" s="1"/>
      <c r="JII1627" s="1"/>
      <c r="JIJ1627" s="1"/>
      <c r="JIK1627" s="1"/>
      <c r="JIL1627" s="1"/>
      <c r="JIM1627" s="1"/>
      <c r="JIN1627" s="1"/>
      <c r="JIO1627" s="1"/>
      <c r="JIP1627" s="1"/>
      <c r="JIQ1627" s="1"/>
      <c r="JIR1627" s="1"/>
      <c r="JIS1627" s="1"/>
      <c r="JIT1627" s="1"/>
      <c r="JIU1627" s="1"/>
      <c r="JIV1627" s="1"/>
      <c r="JIW1627" s="1"/>
      <c r="JIX1627" s="1"/>
      <c r="JIY1627" s="1"/>
      <c r="JIZ1627" s="1"/>
      <c r="JJA1627" s="1"/>
      <c r="JJB1627" s="1"/>
      <c r="JJC1627" s="1"/>
      <c r="JJD1627" s="1"/>
      <c r="JJE1627" s="1"/>
      <c r="JJF1627" s="1"/>
      <c r="JJG1627" s="1"/>
      <c r="JJH1627" s="1"/>
      <c r="JJI1627" s="1"/>
      <c r="JJJ1627" s="1"/>
      <c r="JJK1627" s="1"/>
      <c r="JJL1627" s="1"/>
      <c r="JJM1627" s="1"/>
      <c r="JJN1627" s="1"/>
      <c r="JJO1627" s="1"/>
      <c r="JJP1627" s="1"/>
      <c r="JJQ1627" s="1"/>
      <c r="JJR1627" s="1"/>
      <c r="JJS1627" s="1"/>
      <c r="JJT1627" s="1"/>
      <c r="JJU1627" s="1"/>
      <c r="JJV1627" s="1"/>
      <c r="JJW1627" s="1"/>
      <c r="JJX1627" s="1"/>
      <c r="JJY1627" s="1"/>
      <c r="JJZ1627" s="1"/>
      <c r="JKA1627" s="1"/>
      <c r="JKB1627" s="1"/>
      <c r="JKC1627" s="1"/>
      <c r="JKD1627" s="1"/>
      <c r="JKE1627" s="1"/>
      <c r="JKF1627" s="1"/>
      <c r="JKG1627" s="1"/>
      <c r="JKH1627" s="1"/>
      <c r="JKI1627" s="1"/>
      <c r="JKJ1627" s="1"/>
      <c r="JKK1627" s="1"/>
      <c r="JKL1627" s="1"/>
      <c r="JKM1627" s="1"/>
      <c r="JKN1627" s="1"/>
      <c r="JKO1627" s="1"/>
      <c r="JKP1627" s="1"/>
      <c r="JKQ1627" s="1"/>
      <c r="JKR1627" s="1"/>
      <c r="JKS1627" s="1"/>
      <c r="JKT1627" s="1"/>
      <c r="JKU1627" s="1"/>
      <c r="JKV1627" s="1"/>
      <c r="JKW1627" s="1"/>
      <c r="JKX1627" s="1"/>
      <c r="JKY1627" s="1"/>
      <c r="JKZ1627" s="1"/>
      <c r="JLA1627" s="1"/>
      <c r="JLB1627" s="1"/>
      <c r="JLC1627" s="1"/>
      <c r="JLD1627" s="1"/>
      <c r="JLE1627" s="1"/>
      <c r="JLF1627" s="1"/>
      <c r="JLG1627" s="1"/>
      <c r="JLH1627" s="1"/>
      <c r="JLI1627" s="1"/>
      <c r="JLJ1627" s="1"/>
      <c r="JLK1627" s="1"/>
      <c r="JLL1627" s="1"/>
      <c r="JLM1627" s="1"/>
      <c r="JLN1627" s="1"/>
      <c r="JLO1627" s="1"/>
      <c r="JLP1627" s="1"/>
      <c r="JLQ1627" s="1"/>
      <c r="JLR1627" s="1"/>
      <c r="JLS1627" s="1"/>
      <c r="JLT1627" s="1"/>
      <c r="JLU1627" s="1"/>
      <c r="JLV1627" s="1"/>
      <c r="JLW1627" s="1"/>
      <c r="JLX1627" s="1"/>
      <c r="JLY1627" s="1"/>
      <c r="JLZ1627" s="1"/>
      <c r="JMA1627" s="1"/>
      <c r="JMB1627" s="1"/>
      <c r="JMC1627" s="1"/>
      <c r="JMD1627" s="1"/>
      <c r="JME1627" s="1"/>
      <c r="JMF1627" s="1"/>
      <c r="JMG1627" s="1"/>
      <c r="JMH1627" s="1"/>
      <c r="JMI1627" s="1"/>
      <c r="JMJ1627" s="1"/>
      <c r="JMK1627" s="1"/>
      <c r="JML1627" s="1"/>
      <c r="JMM1627" s="1"/>
      <c r="JMN1627" s="1"/>
      <c r="JMO1627" s="1"/>
      <c r="JMP1627" s="1"/>
      <c r="JMQ1627" s="1"/>
      <c r="JMR1627" s="1"/>
      <c r="JMS1627" s="1"/>
      <c r="JMT1627" s="1"/>
      <c r="JMU1627" s="1"/>
      <c r="JMV1627" s="1"/>
      <c r="JMW1627" s="1"/>
      <c r="JMX1627" s="1"/>
      <c r="JMY1627" s="1"/>
      <c r="JMZ1627" s="1"/>
      <c r="JNA1627" s="1"/>
      <c r="JNB1627" s="1"/>
      <c r="JNC1627" s="1"/>
      <c r="JND1627" s="1"/>
      <c r="JNE1627" s="1"/>
      <c r="JNF1627" s="1"/>
      <c r="JNG1627" s="1"/>
      <c r="JNH1627" s="1"/>
      <c r="JNI1627" s="1"/>
      <c r="JNJ1627" s="1"/>
      <c r="JNK1627" s="1"/>
      <c r="JNL1627" s="1"/>
      <c r="JNM1627" s="1"/>
      <c r="JNN1627" s="1"/>
      <c r="JNO1627" s="1"/>
      <c r="JNP1627" s="1"/>
      <c r="JNQ1627" s="1"/>
      <c r="JNR1627" s="1"/>
      <c r="JNS1627" s="1"/>
      <c r="JNT1627" s="1"/>
      <c r="JNU1627" s="1"/>
      <c r="JNV1627" s="1"/>
      <c r="JNW1627" s="1"/>
      <c r="JNX1627" s="1"/>
      <c r="JNY1627" s="1"/>
      <c r="JNZ1627" s="1"/>
      <c r="JOA1627" s="1"/>
      <c r="JOB1627" s="1"/>
      <c r="JOC1627" s="1"/>
      <c r="JOD1627" s="1"/>
      <c r="JOE1627" s="1"/>
      <c r="JOF1627" s="1"/>
      <c r="JOG1627" s="1"/>
      <c r="JOH1627" s="1"/>
      <c r="JOI1627" s="1"/>
      <c r="JOJ1627" s="1"/>
      <c r="JOK1627" s="1"/>
      <c r="JOL1627" s="1"/>
      <c r="JOM1627" s="1"/>
      <c r="JON1627" s="1"/>
      <c r="JOO1627" s="1"/>
      <c r="JOP1627" s="1"/>
      <c r="JOQ1627" s="1"/>
      <c r="JOR1627" s="1"/>
      <c r="JOS1627" s="1"/>
      <c r="JOT1627" s="1"/>
      <c r="JOU1627" s="1"/>
      <c r="JOV1627" s="1"/>
      <c r="JOW1627" s="1"/>
      <c r="JOX1627" s="1"/>
      <c r="JOY1627" s="1"/>
      <c r="JOZ1627" s="1"/>
      <c r="JPA1627" s="1"/>
      <c r="JPB1627" s="1"/>
      <c r="JPC1627" s="1"/>
      <c r="JPD1627" s="1"/>
      <c r="JPE1627" s="1"/>
      <c r="JPF1627" s="1"/>
      <c r="JPG1627" s="1"/>
      <c r="JPH1627" s="1"/>
      <c r="JPI1627" s="1"/>
      <c r="JPJ1627" s="1"/>
      <c r="JPK1627" s="1"/>
      <c r="JPL1627" s="1"/>
      <c r="JPM1627" s="1"/>
      <c r="JPN1627" s="1"/>
      <c r="JPO1627" s="1"/>
      <c r="JPP1627" s="1"/>
      <c r="JPQ1627" s="1"/>
      <c r="JPR1627" s="1"/>
      <c r="JPS1627" s="1"/>
      <c r="JPT1627" s="1"/>
      <c r="JPU1627" s="1"/>
      <c r="JPV1627" s="1"/>
      <c r="JPW1627" s="1"/>
      <c r="JPX1627" s="1"/>
      <c r="JPY1627" s="1"/>
      <c r="JPZ1627" s="1"/>
      <c r="JQA1627" s="1"/>
      <c r="JQB1627" s="1"/>
      <c r="JQC1627" s="1"/>
      <c r="JQD1627" s="1"/>
      <c r="JQE1627" s="1"/>
      <c r="JQF1627" s="1"/>
      <c r="JQG1627" s="1"/>
      <c r="JQH1627" s="1"/>
      <c r="JQI1627" s="1"/>
      <c r="JQJ1627" s="1"/>
      <c r="JQK1627" s="1"/>
      <c r="JQL1627" s="1"/>
      <c r="JQM1627" s="1"/>
      <c r="JQN1627" s="1"/>
      <c r="JQO1627" s="1"/>
      <c r="JQP1627" s="1"/>
      <c r="JQQ1627" s="1"/>
      <c r="JQR1627" s="1"/>
      <c r="JQS1627" s="1"/>
      <c r="JQT1627" s="1"/>
      <c r="JQU1627" s="1"/>
      <c r="JQV1627" s="1"/>
      <c r="JQW1627" s="1"/>
      <c r="JQX1627" s="1"/>
      <c r="JQY1627" s="1"/>
      <c r="JQZ1627" s="1"/>
      <c r="JRA1627" s="1"/>
      <c r="JRB1627" s="1"/>
      <c r="JRC1627" s="1"/>
      <c r="JRD1627" s="1"/>
      <c r="JRE1627" s="1"/>
      <c r="JRF1627" s="1"/>
      <c r="JRG1627" s="1"/>
      <c r="JRH1627" s="1"/>
      <c r="JRI1627" s="1"/>
      <c r="JRJ1627" s="1"/>
      <c r="JRK1627" s="1"/>
      <c r="JRL1627" s="1"/>
      <c r="JRM1627" s="1"/>
      <c r="JRN1627" s="1"/>
      <c r="JRO1627" s="1"/>
      <c r="JRP1627" s="1"/>
      <c r="JRQ1627" s="1"/>
      <c r="JRR1627" s="1"/>
      <c r="JRS1627" s="1"/>
      <c r="JRT1627" s="1"/>
      <c r="JRU1627" s="1"/>
      <c r="JRV1627" s="1"/>
      <c r="JRW1627" s="1"/>
      <c r="JRX1627" s="1"/>
      <c r="JRY1627" s="1"/>
      <c r="JRZ1627" s="1"/>
      <c r="JSA1627" s="1"/>
      <c r="JSB1627" s="1"/>
      <c r="JSC1627" s="1"/>
      <c r="JSD1627" s="1"/>
      <c r="JSE1627" s="1"/>
      <c r="JSF1627" s="1"/>
      <c r="JSG1627" s="1"/>
      <c r="JSH1627" s="1"/>
      <c r="JSI1627" s="1"/>
      <c r="JSJ1627" s="1"/>
      <c r="JSK1627" s="1"/>
      <c r="JSL1627" s="1"/>
      <c r="JSM1627" s="1"/>
      <c r="JSN1627" s="1"/>
      <c r="JSO1627" s="1"/>
      <c r="JSP1627" s="1"/>
      <c r="JSQ1627" s="1"/>
      <c r="JSR1627" s="1"/>
      <c r="JSS1627" s="1"/>
      <c r="JST1627" s="1"/>
      <c r="JSU1627" s="1"/>
      <c r="JSV1627" s="1"/>
      <c r="JSW1627" s="1"/>
      <c r="JSX1627" s="1"/>
      <c r="JSY1627" s="1"/>
      <c r="JSZ1627" s="1"/>
      <c r="JTA1627" s="1"/>
      <c r="JTB1627" s="1"/>
      <c r="JTC1627" s="1"/>
      <c r="JTD1627" s="1"/>
      <c r="JTE1627" s="1"/>
      <c r="JTF1627" s="1"/>
      <c r="JTG1627" s="1"/>
      <c r="JTH1627" s="1"/>
      <c r="JTI1627" s="1"/>
      <c r="JTJ1627" s="1"/>
      <c r="JTK1627" s="1"/>
      <c r="JTL1627" s="1"/>
      <c r="JTM1627" s="1"/>
      <c r="JTN1627" s="1"/>
      <c r="JTO1627" s="1"/>
      <c r="JTP1627" s="1"/>
      <c r="JTQ1627" s="1"/>
      <c r="JTR1627" s="1"/>
      <c r="JTS1627" s="1"/>
      <c r="JTT1627" s="1"/>
      <c r="JTU1627" s="1"/>
      <c r="JTV1627" s="1"/>
      <c r="JTW1627" s="1"/>
      <c r="JTX1627" s="1"/>
      <c r="JTY1627" s="1"/>
      <c r="JTZ1627" s="1"/>
      <c r="JUA1627" s="1"/>
      <c r="JUB1627" s="1"/>
      <c r="JUC1627" s="1"/>
      <c r="JUD1627" s="1"/>
      <c r="JUE1627" s="1"/>
      <c r="JUF1627" s="1"/>
      <c r="JUG1627" s="1"/>
      <c r="JUH1627" s="1"/>
      <c r="JUI1627" s="1"/>
      <c r="JUJ1627" s="1"/>
      <c r="JUK1627" s="1"/>
      <c r="JUL1627" s="1"/>
      <c r="JUM1627" s="1"/>
      <c r="JUN1627" s="1"/>
      <c r="JUO1627" s="1"/>
      <c r="JUP1627" s="1"/>
      <c r="JUQ1627" s="1"/>
      <c r="JUR1627" s="1"/>
      <c r="JUS1627" s="1"/>
      <c r="JUT1627" s="1"/>
      <c r="JUU1627" s="1"/>
      <c r="JUV1627" s="1"/>
      <c r="JUW1627" s="1"/>
      <c r="JUX1627" s="1"/>
      <c r="JUY1627" s="1"/>
      <c r="JUZ1627" s="1"/>
      <c r="JVA1627" s="1"/>
      <c r="JVB1627" s="1"/>
      <c r="JVC1627" s="1"/>
      <c r="JVD1627" s="1"/>
      <c r="JVE1627" s="1"/>
      <c r="JVF1627" s="1"/>
      <c r="JVG1627" s="1"/>
      <c r="JVH1627" s="1"/>
      <c r="JVI1627" s="1"/>
      <c r="JVJ1627" s="1"/>
      <c r="JVK1627" s="1"/>
      <c r="JVL1627" s="1"/>
      <c r="JVM1627" s="1"/>
      <c r="JVN1627" s="1"/>
      <c r="JVO1627" s="1"/>
      <c r="JVP1627" s="1"/>
      <c r="JVQ1627" s="1"/>
      <c r="JVR1627" s="1"/>
      <c r="JVS1627" s="1"/>
      <c r="JVT1627" s="1"/>
      <c r="JVU1627" s="1"/>
      <c r="JVV1627" s="1"/>
      <c r="JVW1627" s="1"/>
      <c r="JVX1627" s="1"/>
      <c r="JVY1627" s="1"/>
      <c r="JVZ1627" s="1"/>
      <c r="JWA1627" s="1"/>
      <c r="JWB1627" s="1"/>
      <c r="JWC1627" s="1"/>
      <c r="JWD1627" s="1"/>
      <c r="JWE1627" s="1"/>
      <c r="JWF1627" s="1"/>
      <c r="JWG1627" s="1"/>
      <c r="JWH1627" s="1"/>
      <c r="JWI1627" s="1"/>
      <c r="JWJ1627" s="1"/>
      <c r="JWK1627" s="1"/>
      <c r="JWL1627" s="1"/>
      <c r="JWM1627" s="1"/>
      <c r="JWN1627" s="1"/>
      <c r="JWO1627" s="1"/>
      <c r="JWP1627" s="1"/>
      <c r="JWQ1627" s="1"/>
      <c r="JWR1627" s="1"/>
      <c r="JWS1627" s="1"/>
      <c r="JWT1627" s="1"/>
      <c r="JWU1627" s="1"/>
      <c r="JWV1627" s="1"/>
      <c r="JWW1627" s="1"/>
      <c r="JWX1627" s="1"/>
      <c r="JWY1627" s="1"/>
      <c r="JWZ1627" s="1"/>
      <c r="JXA1627" s="1"/>
      <c r="JXB1627" s="1"/>
      <c r="JXC1627" s="1"/>
      <c r="JXD1627" s="1"/>
      <c r="JXE1627" s="1"/>
      <c r="JXF1627" s="1"/>
      <c r="JXG1627" s="1"/>
      <c r="JXH1627" s="1"/>
      <c r="JXI1627" s="1"/>
      <c r="JXJ1627" s="1"/>
      <c r="JXK1627" s="1"/>
      <c r="JXL1627" s="1"/>
      <c r="JXM1627" s="1"/>
      <c r="JXN1627" s="1"/>
      <c r="JXO1627" s="1"/>
      <c r="JXP1627" s="1"/>
      <c r="JXQ1627" s="1"/>
      <c r="JXR1627" s="1"/>
      <c r="JXS1627" s="1"/>
      <c r="JXT1627" s="1"/>
      <c r="JXU1627" s="1"/>
      <c r="JXV1627" s="1"/>
      <c r="JXW1627" s="1"/>
      <c r="JXX1627" s="1"/>
      <c r="JXY1627" s="1"/>
      <c r="JXZ1627" s="1"/>
      <c r="JYA1627" s="1"/>
      <c r="JYB1627" s="1"/>
      <c r="JYC1627" s="1"/>
      <c r="JYD1627" s="1"/>
      <c r="JYE1627" s="1"/>
      <c r="JYF1627" s="1"/>
      <c r="JYG1627" s="1"/>
      <c r="JYH1627" s="1"/>
      <c r="JYI1627" s="1"/>
      <c r="JYJ1627" s="1"/>
      <c r="JYK1627" s="1"/>
      <c r="JYL1627" s="1"/>
      <c r="JYM1627" s="1"/>
      <c r="JYN1627" s="1"/>
      <c r="JYO1627" s="1"/>
      <c r="JYP1627" s="1"/>
      <c r="JYQ1627" s="1"/>
      <c r="JYR1627" s="1"/>
      <c r="JYS1627" s="1"/>
      <c r="JYT1627" s="1"/>
      <c r="JYU1627" s="1"/>
      <c r="JYV1627" s="1"/>
      <c r="JYW1627" s="1"/>
      <c r="JYX1627" s="1"/>
      <c r="JYY1627" s="1"/>
      <c r="JYZ1627" s="1"/>
      <c r="JZA1627" s="1"/>
      <c r="JZB1627" s="1"/>
      <c r="JZC1627" s="1"/>
      <c r="JZD1627" s="1"/>
      <c r="JZE1627" s="1"/>
      <c r="JZF1627" s="1"/>
      <c r="JZG1627" s="1"/>
      <c r="JZH1627" s="1"/>
      <c r="JZI1627" s="1"/>
      <c r="JZJ1627" s="1"/>
      <c r="JZK1627" s="1"/>
      <c r="JZL1627" s="1"/>
      <c r="JZM1627" s="1"/>
      <c r="JZN1627" s="1"/>
      <c r="JZO1627" s="1"/>
      <c r="JZP1627" s="1"/>
      <c r="JZQ1627" s="1"/>
      <c r="JZR1627" s="1"/>
      <c r="JZS1627" s="1"/>
      <c r="JZT1627" s="1"/>
      <c r="JZU1627" s="1"/>
      <c r="JZV1627" s="1"/>
      <c r="JZW1627" s="1"/>
      <c r="JZX1627" s="1"/>
      <c r="JZY1627" s="1"/>
      <c r="JZZ1627" s="1"/>
      <c r="KAA1627" s="1"/>
      <c r="KAB1627" s="1"/>
      <c r="KAC1627" s="1"/>
      <c r="KAD1627" s="1"/>
      <c r="KAE1627" s="1"/>
      <c r="KAF1627" s="1"/>
      <c r="KAG1627" s="1"/>
      <c r="KAH1627" s="1"/>
      <c r="KAI1627" s="1"/>
      <c r="KAJ1627" s="1"/>
      <c r="KAK1627" s="1"/>
      <c r="KAL1627" s="1"/>
      <c r="KAM1627" s="1"/>
      <c r="KAN1627" s="1"/>
      <c r="KAO1627" s="1"/>
      <c r="KAP1627" s="1"/>
      <c r="KAQ1627" s="1"/>
      <c r="KAR1627" s="1"/>
      <c r="KAS1627" s="1"/>
      <c r="KAT1627" s="1"/>
      <c r="KAU1627" s="1"/>
      <c r="KAV1627" s="1"/>
      <c r="KAW1627" s="1"/>
      <c r="KAX1627" s="1"/>
      <c r="KAY1627" s="1"/>
      <c r="KAZ1627" s="1"/>
      <c r="KBA1627" s="1"/>
      <c r="KBB1627" s="1"/>
      <c r="KBC1627" s="1"/>
      <c r="KBD1627" s="1"/>
      <c r="KBE1627" s="1"/>
      <c r="KBF1627" s="1"/>
      <c r="KBG1627" s="1"/>
      <c r="KBH1627" s="1"/>
      <c r="KBI1627" s="1"/>
      <c r="KBJ1627" s="1"/>
      <c r="KBK1627" s="1"/>
      <c r="KBL1627" s="1"/>
      <c r="KBM1627" s="1"/>
      <c r="KBN1627" s="1"/>
      <c r="KBO1627" s="1"/>
      <c r="KBP1627" s="1"/>
      <c r="KBQ1627" s="1"/>
      <c r="KBR1627" s="1"/>
      <c r="KBS1627" s="1"/>
      <c r="KBT1627" s="1"/>
      <c r="KBU1627" s="1"/>
      <c r="KBV1627" s="1"/>
      <c r="KBW1627" s="1"/>
      <c r="KBX1627" s="1"/>
      <c r="KBY1627" s="1"/>
      <c r="KBZ1627" s="1"/>
      <c r="KCA1627" s="1"/>
      <c r="KCB1627" s="1"/>
      <c r="KCC1627" s="1"/>
      <c r="KCD1627" s="1"/>
      <c r="KCE1627" s="1"/>
      <c r="KCF1627" s="1"/>
      <c r="KCG1627" s="1"/>
      <c r="KCH1627" s="1"/>
      <c r="KCI1627" s="1"/>
      <c r="KCJ1627" s="1"/>
      <c r="KCK1627" s="1"/>
      <c r="KCL1627" s="1"/>
      <c r="KCM1627" s="1"/>
      <c r="KCN1627" s="1"/>
      <c r="KCO1627" s="1"/>
      <c r="KCP1627" s="1"/>
      <c r="KCQ1627" s="1"/>
      <c r="KCR1627" s="1"/>
      <c r="KCS1627" s="1"/>
      <c r="KCT1627" s="1"/>
      <c r="KCU1627" s="1"/>
      <c r="KCV1627" s="1"/>
      <c r="KCW1627" s="1"/>
      <c r="KCX1627" s="1"/>
      <c r="KCY1627" s="1"/>
      <c r="KCZ1627" s="1"/>
      <c r="KDA1627" s="1"/>
      <c r="KDB1627" s="1"/>
      <c r="KDC1627" s="1"/>
      <c r="KDD1627" s="1"/>
      <c r="KDE1627" s="1"/>
      <c r="KDF1627" s="1"/>
      <c r="KDG1627" s="1"/>
      <c r="KDH1627" s="1"/>
      <c r="KDI1627" s="1"/>
      <c r="KDJ1627" s="1"/>
      <c r="KDK1627" s="1"/>
      <c r="KDL1627" s="1"/>
      <c r="KDM1627" s="1"/>
      <c r="KDN1627" s="1"/>
      <c r="KDO1627" s="1"/>
      <c r="KDP1627" s="1"/>
      <c r="KDQ1627" s="1"/>
      <c r="KDR1627" s="1"/>
      <c r="KDS1627" s="1"/>
      <c r="KDT1627" s="1"/>
      <c r="KDU1627" s="1"/>
      <c r="KDV1627" s="1"/>
      <c r="KDW1627" s="1"/>
      <c r="KDX1627" s="1"/>
      <c r="KDY1627" s="1"/>
      <c r="KDZ1627" s="1"/>
      <c r="KEA1627" s="1"/>
      <c r="KEB1627" s="1"/>
      <c r="KEC1627" s="1"/>
      <c r="KED1627" s="1"/>
      <c r="KEE1627" s="1"/>
      <c r="KEF1627" s="1"/>
      <c r="KEG1627" s="1"/>
      <c r="KEH1627" s="1"/>
      <c r="KEI1627" s="1"/>
      <c r="KEJ1627" s="1"/>
      <c r="KEK1627" s="1"/>
      <c r="KEL1627" s="1"/>
      <c r="KEM1627" s="1"/>
      <c r="KEN1627" s="1"/>
      <c r="KEO1627" s="1"/>
      <c r="KEP1627" s="1"/>
      <c r="KEQ1627" s="1"/>
      <c r="KER1627" s="1"/>
      <c r="KES1627" s="1"/>
      <c r="KET1627" s="1"/>
      <c r="KEU1627" s="1"/>
      <c r="KEV1627" s="1"/>
      <c r="KEW1627" s="1"/>
      <c r="KEX1627" s="1"/>
      <c r="KEY1627" s="1"/>
      <c r="KEZ1627" s="1"/>
      <c r="KFA1627" s="1"/>
      <c r="KFB1627" s="1"/>
      <c r="KFC1627" s="1"/>
      <c r="KFD1627" s="1"/>
      <c r="KFE1627" s="1"/>
      <c r="KFF1627" s="1"/>
      <c r="KFG1627" s="1"/>
      <c r="KFH1627" s="1"/>
      <c r="KFI1627" s="1"/>
      <c r="KFJ1627" s="1"/>
      <c r="KFK1627" s="1"/>
      <c r="KFL1627" s="1"/>
      <c r="KFM1627" s="1"/>
      <c r="KFN1627" s="1"/>
      <c r="KFO1627" s="1"/>
      <c r="KFP1627" s="1"/>
      <c r="KFQ1627" s="1"/>
      <c r="KFR1627" s="1"/>
      <c r="KFS1627" s="1"/>
      <c r="KFT1627" s="1"/>
      <c r="KFU1627" s="1"/>
      <c r="KFV1627" s="1"/>
      <c r="KFW1627" s="1"/>
      <c r="KFX1627" s="1"/>
      <c r="KFY1627" s="1"/>
      <c r="KFZ1627" s="1"/>
      <c r="KGA1627" s="1"/>
      <c r="KGB1627" s="1"/>
      <c r="KGC1627" s="1"/>
      <c r="KGD1627" s="1"/>
      <c r="KGE1627" s="1"/>
      <c r="KGF1627" s="1"/>
      <c r="KGG1627" s="1"/>
      <c r="KGH1627" s="1"/>
      <c r="KGI1627" s="1"/>
      <c r="KGJ1627" s="1"/>
      <c r="KGK1627" s="1"/>
      <c r="KGL1627" s="1"/>
      <c r="KGM1627" s="1"/>
      <c r="KGN1627" s="1"/>
      <c r="KGO1627" s="1"/>
      <c r="KGP1627" s="1"/>
      <c r="KGQ1627" s="1"/>
      <c r="KGR1627" s="1"/>
      <c r="KGS1627" s="1"/>
      <c r="KGT1627" s="1"/>
      <c r="KGU1627" s="1"/>
      <c r="KGV1627" s="1"/>
      <c r="KGW1627" s="1"/>
      <c r="KGX1627" s="1"/>
      <c r="KGY1627" s="1"/>
      <c r="KGZ1627" s="1"/>
      <c r="KHA1627" s="1"/>
      <c r="KHB1627" s="1"/>
      <c r="KHC1627" s="1"/>
      <c r="KHD1627" s="1"/>
      <c r="KHE1627" s="1"/>
      <c r="KHF1627" s="1"/>
      <c r="KHG1627" s="1"/>
      <c r="KHH1627" s="1"/>
      <c r="KHI1627" s="1"/>
      <c r="KHJ1627" s="1"/>
      <c r="KHK1627" s="1"/>
      <c r="KHL1627" s="1"/>
      <c r="KHM1627" s="1"/>
      <c r="KHN1627" s="1"/>
      <c r="KHO1627" s="1"/>
      <c r="KHP1627" s="1"/>
      <c r="KHQ1627" s="1"/>
      <c r="KHR1627" s="1"/>
      <c r="KHS1627" s="1"/>
      <c r="KHT1627" s="1"/>
      <c r="KHU1627" s="1"/>
      <c r="KHV1627" s="1"/>
      <c r="KHW1627" s="1"/>
      <c r="KHX1627" s="1"/>
      <c r="KHY1627" s="1"/>
      <c r="KHZ1627" s="1"/>
      <c r="KIA1627" s="1"/>
      <c r="KIB1627" s="1"/>
      <c r="KIC1627" s="1"/>
      <c r="KID1627" s="1"/>
      <c r="KIE1627" s="1"/>
      <c r="KIF1627" s="1"/>
      <c r="KIG1627" s="1"/>
      <c r="KIH1627" s="1"/>
      <c r="KII1627" s="1"/>
      <c r="KIJ1627" s="1"/>
      <c r="KIK1627" s="1"/>
      <c r="KIL1627" s="1"/>
      <c r="KIM1627" s="1"/>
      <c r="KIN1627" s="1"/>
      <c r="KIO1627" s="1"/>
      <c r="KIP1627" s="1"/>
      <c r="KIQ1627" s="1"/>
      <c r="KIR1627" s="1"/>
      <c r="KIS1627" s="1"/>
      <c r="KIT1627" s="1"/>
      <c r="KIU1627" s="1"/>
      <c r="KIV1627" s="1"/>
      <c r="KIW1627" s="1"/>
      <c r="KIX1627" s="1"/>
      <c r="KIY1627" s="1"/>
      <c r="KIZ1627" s="1"/>
      <c r="KJA1627" s="1"/>
      <c r="KJB1627" s="1"/>
      <c r="KJC1627" s="1"/>
      <c r="KJD1627" s="1"/>
      <c r="KJE1627" s="1"/>
      <c r="KJF1627" s="1"/>
      <c r="KJG1627" s="1"/>
      <c r="KJH1627" s="1"/>
      <c r="KJI1627" s="1"/>
      <c r="KJJ1627" s="1"/>
      <c r="KJK1627" s="1"/>
      <c r="KJL1627" s="1"/>
      <c r="KJM1627" s="1"/>
      <c r="KJN1627" s="1"/>
      <c r="KJO1627" s="1"/>
      <c r="KJP1627" s="1"/>
      <c r="KJQ1627" s="1"/>
      <c r="KJR1627" s="1"/>
      <c r="KJS1627" s="1"/>
      <c r="KJT1627" s="1"/>
      <c r="KJU1627" s="1"/>
      <c r="KJV1627" s="1"/>
      <c r="KJW1627" s="1"/>
      <c r="KJX1627" s="1"/>
      <c r="KJY1627" s="1"/>
      <c r="KJZ1627" s="1"/>
      <c r="KKA1627" s="1"/>
      <c r="KKB1627" s="1"/>
      <c r="KKC1627" s="1"/>
      <c r="KKD1627" s="1"/>
      <c r="KKE1627" s="1"/>
      <c r="KKF1627" s="1"/>
      <c r="KKG1627" s="1"/>
      <c r="KKH1627" s="1"/>
      <c r="KKI1627" s="1"/>
      <c r="KKJ1627" s="1"/>
      <c r="KKK1627" s="1"/>
      <c r="KKL1627" s="1"/>
      <c r="KKM1627" s="1"/>
      <c r="KKN1627" s="1"/>
      <c r="KKO1627" s="1"/>
      <c r="KKP1627" s="1"/>
      <c r="KKQ1627" s="1"/>
      <c r="KKR1627" s="1"/>
      <c r="KKS1627" s="1"/>
      <c r="KKT1627" s="1"/>
      <c r="KKU1627" s="1"/>
      <c r="KKV1627" s="1"/>
      <c r="KKW1627" s="1"/>
      <c r="KKX1627" s="1"/>
      <c r="KKY1627" s="1"/>
      <c r="KKZ1627" s="1"/>
      <c r="KLA1627" s="1"/>
      <c r="KLB1627" s="1"/>
      <c r="KLC1627" s="1"/>
      <c r="KLD1627" s="1"/>
      <c r="KLE1627" s="1"/>
      <c r="KLF1627" s="1"/>
      <c r="KLG1627" s="1"/>
      <c r="KLH1627" s="1"/>
      <c r="KLI1627" s="1"/>
      <c r="KLJ1627" s="1"/>
      <c r="KLK1627" s="1"/>
      <c r="KLL1627" s="1"/>
      <c r="KLM1627" s="1"/>
      <c r="KLN1627" s="1"/>
      <c r="KLO1627" s="1"/>
      <c r="KLP1627" s="1"/>
      <c r="KLQ1627" s="1"/>
      <c r="KLR1627" s="1"/>
      <c r="KLS1627" s="1"/>
      <c r="KLT1627" s="1"/>
      <c r="KLU1627" s="1"/>
      <c r="KLV1627" s="1"/>
      <c r="KLW1627" s="1"/>
      <c r="KLX1627" s="1"/>
      <c r="KLY1627" s="1"/>
      <c r="KLZ1627" s="1"/>
      <c r="KMA1627" s="1"/>
      <c r="KMB1627" s="1"/>
      <c r="KMC1627" s="1"/>
      <c r="KMD1627" s="1"/>
      <c r="KME1627" s="1"/>
      <c r="KMF1627" s="1"/>
      <c r="KMG1627" s="1"/>
      <c r="KMH1627" s="1"/>
      <c r="KMI1627" s="1"/>
      <c r="KMJ1627" s="1"/>
      <c r="KMK1627" s="1"/>
      <c r="KML1627" s="1"/>
      <c r="KMM1627" s="1"/>
      <c r="KMN1627" s="1"/>
      <c r="KMO1627" s="1"/>
      <c r="KMP1627" s="1"/>
      <c r="KMQ1627" s="1"/>
      <c r="KMR1627" s="1"/>
      <c r="KMS1627" s="1"/>
      <c r="KMT1627" s="1"/>
      <c r="KMU1627" s="1"/>
      <c r="KMV1627" s="1"/>
      <c r="KMW1627" s="1"/>
      <c r="KMX1627" s="1"/>
      <c r="KMY1627" s="1"/>
      <c r="KMZ1627" s="1"/>
      <c r="KNA1627" s="1"/>
      <c r="KNB1627" s="1"/>
      <c r="KNC1627" s="1"/>
      <c r="KND1627" s="1"/>
      <c r="KNE1627" s="1"/>
      <c r="KNF1627" s="1"/>
      <c r="KNG1627" s="1"/>
      <c r="KNH1627" s="1"/>
      <c r="KNI1627" s="1"/>
      <c r="KNJ1627" s="1"/>
      <c r="KNK1627" s="1"/>
      <c r="KNL1627" s="1"/>
      <c r="KNM1627" s="1"/>
      <c r="KNN1627" s="1"/>
      <c r="KNO1627" s="1"/>
      <c r="KNP1627" s="1"/>
      <c r="KNQ1627" s="1"/>
      <c r="KNR1627" s="1"/>
      <c r="KNS1627" s="1"/>
      <c r="KNT1627" s="1"/>
      <c r="KNU1627" s="1"/>
      <c r="KNV1627" s="1"/>
      <c r="KNW1627" s="1"/>
      <c r="KNX1627" s="1"/>
      <c r="KNY1627" s="1"/>
      <c r="KNZ1627" s="1"/>
      <c r="KOA1627" s="1"/>
      <c r="KOB1627" s="1"/>
      <c r="KOC1627" s="1"/>
      <c r="KOD1627" s="1"/>
      <c r="KOE1627" s="1"/>
      <c r="KOF1627" s="1"/>
      <c r="KOG1627" s="1"/>
      <c r="KOH1627" s="1"/>
      <c r="KOI1627" s="1"/>
      <c r="KOJ1627" s="1"/>
      <c r="KOK1627" s="1"/>
      <c r="KOL1627" s="1"/>
      <c r="KOM1627" s="1"/>
      <c r="KON1627" s="1"/>
      <c r="KOO1627" s="1"/>
      <c r="KOP1627" s="1"/>
      <c r="KOQ1627" s="1"/>
      <c r="KOR1627" s="1"/>
      <c r="KOS1627" s="1"/>
      <c r="KOT1627" s="1"/>
      <c r="KOU1627" s="1"/>
      <c r="KOV1627" s="1"/>
      <c r="KOW1627" s="1"/>
      <c r="KOX1627" s="1"/>
      <c r="KOY1627" s="1"/>
      <c r="KOZ1627" s="1"/>
      <c r="KPA1627" s="1"/>
      <c r="KPB1627" s="1"/>
      <c r="KPC1627" s="1"/>
      <c r="KPD1627" s="1"/>
      <c r="KPE1627" s="1"/>
      <c r="KPF1627" s="1"/>
      <c r="KPG1627" s="1"/>
      <c r="KPH1627" s="1"/>
      <c r="KPI1627" s="1"/>
      <c r="KPJ1627" s="1"/>
      <c r="KPK1627" s="1"/>
      <c r="KPL1627" s="1"/>
      <c r="KPM1627" s="1"/>
      <c r="KPN1627" s="1"/>
      <c r="KPO1627" s="1"/>
      <c r="KPP1627" s="1"/>
      <c r="KPQ1627" s="1"/>
      <c r="KPR1627" s="1"/>
      <c r="KPS1627" s="1"/>
      <c r="KPT1627" s="1"/>
      <c r="KPU1627" s="1"/>
      <c r="KPV1627" s="1"/>
      <c r="KPW1627" s="1"/>
      <c r="KPX1627" s="1"/>
      <c r="KPY1627" s="1"/>
      <c r="KPZ1627" s="1"/>
      <c r="KQA1627" s="1"/>
      <c r="KQB1627" s="1"/>
      <c r="KQC1627" s="1"/>
      <c r="KQD1627" s="1"/>
      <c r="KQE1627" s="1"/>
      <c r="KQF1627" s="1"/>
      <c r="KQG1627" s="1"/>
      <c r="KQH1627" s="1"/>
      <c r="KQI1627" s="1"/>
      <c r="KQJ1627" s="1"/>
      <c r="KQK1627" s="1"/>
      <c r="KQL1627" s="1"/>
      <c r="KQM1627" s="1"/>
      <c r="KQN1627" s="1"/>
      <c r="KQO1627" s="1"/>
      <c r="KQP1627" s="1"/>
      <c r="KQQ1627" s="1"/>
      <c r="KQR1627" s="1"/>
      <c r="KQS1627" s="1"/>
      <c r="KQT1627" s="1"/>
      <c r="KQU1627" s="1"/>
      <c r="KQV1627" s="1"/>
      <c r="KQW1627" s="1"/>
      <c r="KQX1627" s="1"/>
      <c r="KQY1627" s="1"/>
      <c r="KQZ1627" s="1"/>
      <c r="KRA1627" s="1"/>
      <c r="KRB1627" s="1"/>
      <c r="KRC1627" s="1"/>
      <c r="KRD1627" s="1"/>
      <c r="KRE1627" s="1"/>
      <c r="KRF1627" s="1"/>
      <c r="KRG1627" s="1"/>
      <c r="KRH1627" s="1"/>
      <c r="KRI1627" s="1"/>
      <c r="KRJ1627" s="1"/>
      <c r="KRK1627" s="1"/>
      <c r="KRL1627" s="1"/>
      <c r="KRM1627" s="1"/>
      <c r="KRN1627" s="1"/>
      <c r="KRO1627" s="1"/>
      <c r="KRP1627" s="1"/>
      <c r="KRQ1627" s="1"/>
      <c r="KRR1627" s="1"/>
      <c r="KRS1627" s="1"/>
      <c r="KRT1627" s="1"/>
      <c r="KRU1627" s="1"/>
      <c r="KRV1627" s="1"/>
      <c r="KRW1627" s="1"/>
      <c r="KRX1627" s="1"/>
      <c r="KRY1627" s="1"/>
      <c r="KRZ1627" s="1"/>
      <c r="KSA1627" s="1"/>
      <c r="KSB1627" s="1"/>
      <c r="KSC1627" s="1"/>
      <c r="KSD1627" s="1"/>
      <c r="KSE1627" s="1"/>
      <c r="KSF1627" s="1"/>
      <c r="KSG1627" s="1"/>
      <c r="KSH1627" s="1"/>
      <c r="KSI1627" s="1"/>
      <c r="KSJ1627" s="1"/>
      <c r="KSK1627" s="1"/>
      <c r="KSL1627" s="1"/>
      <c r="KSM1627" s="1"/>
      <c r="KSN1627" s="1"/>
      <c r="KSO1627" s="1"/>
      <c r="KSP1627" s="1"/>
      <c r="KSQ1627" s="1"/>
      <c r="KSR1627" s="1"/>
      <c r="KSS1627" s="1"/>
      <c r="KST1627" s="1"/>
      <c r="KSU1627" s="1"/>
      <c r="KSV1627" s="1"/>
      <c r="KSW1627" s="1"/>
      <c r="KSX1627" s="1"/>
      <c r="KSY1627" s="1"/>
      <c r="KSZ1627" s="1"/>
      <c r="KTA1627" s="1"/>
      <c r="KTB1627" s="1"/>
      <c r="KTC1627" s="1"/>
      <c r="KTD1627" s="1"/>
      <c r="KTE1627" s="1"/>
      <c r="KTF1627" s="1"/>
      <c r="KTG1627" s="1"/>
      <c r="KTH1627" s="1"/>
      <c r="KTI1627" s="1"/>
      <c r="KTJ1627" s="1"/>
      <c r="KTK1627" s="1"/>
      <c r="KTL1627" s="1"/>
      <c r="KTM1627" s="1"/>
      <c r="KTN1627" s="1"/>
      <c r="KTO1627" s="1"/>
      <c r="KTP1627" s="1"/>
      <c r="KTQ1627" s="1"/>
      <c r="KTR1627" s="1"/>
      <c r="KTS1627" s="1"/>
      <c r="KTT1627" s="1"/>
      <c r="KTU1627" s="1"/>
      <c r="KTV1627" s="1"/>
      <c r="KTW1627" s="1"/>
      <c r="KTX1627" s="1"/>
      <c r="KTY1627" s="1"/>
      <c r="KTZ1627" s="1"/>
      <c r="KUA1627" s="1"/>
      <c r="KUB1627" s="1"/>
      <c r="KUC1627" s="1"/>
      <c r="KUD1627" s="1"/>
      <c r="KUE1627" s="1"/>
      <c r="KUF1627" s="1"/>
      <c r="KUG1627" s="1"/>
      <c r="KUH1627" s="1"/>
      <c r="KUI1627" s="1"/>
      <c r="KUJ1627" s="1"/>
      <c r="KUK1627" s="1"/>
      <c r="KUL1627" s="1"/>
      <c r="KUM1627" s="1"/>
      <c r="KUN1627" s="1"/>
      <c r="KUO1627" s="1"/>
      <c r="KUP1627" s="1"/>
      <c r="KUQ1627" s="1"/>
      <c r="KUR1627" s="1"/>
      <c r="KUS1627" s="1"/>
      <c r="KUT1627" s="1"/>
      <c r="KUU1627" s="1"/>
      <c r="KUV1627" s="1"/>
      <c r="KUW1627" s="1"/>
      <c r="KUX1627" s="1"/>
      <c r="KUY1627" s="1"/>
      <c r="KUZ1627" s="1"/>
      <c r="KVA1627" s="1"/>
      <c r="KVB1627" s="1"/>
      <c r="KVC1627" s="1"/>
      <c r="KVD1627" s="1"/>
      <c r="KVE1627" s="1"/>
      <c r="KVF1627" s="1"/>
      <c r="KVG1627" s="1"/>
      <c r="KVH1627" s="1"/>
      <c r="KVI1627" s="1"/>
      <c r="KVJ1627" s="1"/>
      <c r="KVK1627" s="1"/>
      <c r="KVL1627" s="1"/>
      <c r="KVM1627" s="1"/>
      <c r="KVN1627" s="1"/>
      <c r="KVO1627" s="1"/>
      <c r="KVP1627" s="1"/>
      <c r="KVQ1627" s="1"/>
      <c r="KVR1627" s="1"/>
      <c r="KVS1627" s="1"/>
      <c r="KVT1627" s="1"/>
      <c r="KVU1627" s="1"/>
      <c r="KVV1627" s="1"/>
      <c r="KVW1627" s="1"/>
      <c r="KVX1627" s="1"/>
      <c r="KVY1627" s="1"/>
      <c r="KVZ1627" s="1"/>
      <c r="KWA1627" s="1"/>
      <c r="KWB1627" s="1"/>
      <c r="KWC1627" s="1"/>
      <c r="KWD1627" s="1"/>
      <c r="KWE1627" s="1"/>
      <c r="KWF1627" s="1"/>
      <c r="KWG1627" s="1"/>
      <c r="KWH1627" s="1"/>
      <c r="KWI1627" s="1"/>
      <c r="KWJ1627" s="1"/>
      <c r="KWK1627" s="1"/>
      <c r="KWL1627" s="1"/>
      <c r="KWM1627" s="1"/>
      <c r="KWN1627" s="1"/>
      <c r="KWO1627" s="1"/>
      <c r="KWP1627" s="1"/>
      <c r="KWQ1627" s="1"/>
      <c r="KWR1627" s="1"/>
      <c r="KWS1627" s="1"/>
      <c r="KWT1627" s="1"/>
      <c r="KWU1627" s="1"/>
      <c r="KWV1627" s="1"/>
      <c r="KWW1627" s="1"/>
      <c r="KWX1627" s="1"/>
      <c r="KWY1627" s="1"/>
      <c r="KWZ1627" s="1"/>
      <c r="KXA1627" s="1"/>
      <c r="KXB1627" s="1"/>
      <c r="KXC1627" s="1"/>
      <c r="KXD1627" s="1"/>
      <c r="KXE1627" s="1"/>
      <c r="KXF1627" s="1"/>
      <c r="KXG1627" s="1"/>
      <c r="KXH1627" s="1"/>
      <c r="KXI1627" s="1"/>
      <c r="KXJ1627" s="1"/>
      <c r="KXK1627" s="1"/>
      <c r="KXL1627" s="1"/>
      <c r="KXM1627" s="1"/>
      <c r="KXN1627" s="1"/>
      <c r="KXO1627" s="1"/>
      <c r="KXP1627" s="1"/>
      <c r="KXQ1627" s="1"/>
      <c r="KXR1627" s="1"/>
      <c r="KXS1627" s="1"/>
      <c r="KXT1627" s="1"/>
      <c r="KXU1627" s="1"/>
      <c r="KXV1627" s="1"/>
      <c r="KXW1627" s="1"/>
      <c r="KXX1627" s="1"/>
      <c r="KXY1627" s="1"/>
      <c r="KXZ1627" s="1"/>
      <c r="KYA1627" s="1"/>
      <c r="KYB1627" s="1"/>
      <c r="KYC1627" s="1"/>
      <c r="KYD1627" s="1"/>
      <c r="KYE1627" s="1"/>
      <c r="KYF1627" s="1"/>
      <c r="KYG1627" s="1"/>
      <c r="KYH1627" s="1"/>
      <c r="KYI1627" s="1"/>
      <c r="KYJ1627" s="1"/>
      <c r="KYK1627" s="1"/>
      <c r="KYL1627" s="1"/>
      <c r="KYM1627" s="1"/>
      <c r="KYN1627" s="1"/>
      <c r="KYO1627" s="1"/>
      <c r="KYP1627" s="1"/>
      <c r="KYQ1627" s="1"/>
      <c r="KYR1627" s="1"/>
      <c r="KYS1627" s="1"/>
      <c r="KYT1627" s="1"/>
      <c r="KYU1627" s="1"/>
      <c r="KYV1627" s="1"/>
      <c r="KYW1627" s="1"/>
      <c r="KYX1627" s="1"/>
      <c r="KYY1627" s="1"/>
      <c r="KYZ1627" s="1"/>
      <c r="KZA1627" s="1"/>
      <c r="KZB1627" s="1"/>
      <c r="KZC1627" s="1"/>
      <c r="KZD1627" s="1"/>
      <c r="KZE1627" s="1"/>
      <c r="KZF1627" s="1"/>
      <c r="KZG1627" s="1"/>
      <c r="KZH1627" s="1"/>
      <c r="KZI1627" s="1"/>
      <c r="KZJ1627" s="1"/>
      <c r="KZK1627" s="1"/>
      <c r="KZL1627" s="1"/>
      <c r="KZM1627" s="1"/>
      <c r="KZN1627" s="1"/>
      <c r="KZO1627" s="1"/>
      <c r="KZP1627" s="1"/>
      <c r="KZQ1627" s="1"/>
      <c r="KZR1627" s="1"/>
      <c r="KZS1627" s="1"/>
      <c r="KZT1627" s="1"/>
      <c r="KZU1627" s="1"/>
      <c r="KZV1627" s="1"/>
      <c r="KZW1627" s="1"/>
      <c r="KZX1627" s="1"/>
      <c r="KZY1627" s="1"/>
      <c r="KZZ1627" s="1"/>
      <c r="LAA1627" s="1"/>
      <c r="LAB1627" s="1"/>
      <c r="LAC1627" s="1"/>
      <c r="LAD1627" s="1"/>
      <c r="LAE1627" s="1"/>
      <c r="LAF1627" s="1"/>
      <c r="LAG1627" s="1"/>
      <c r="LAH1627" s="1"/>
      <c r="LAI1627" s="1"/>
      <c r="LAJ1627" s="1"/>
      <c r="LAK1627" s="1"/>
      <c r="LAL1627" s="1"/>
      <c r="LAM1627" s="1"/>
      <c r="LAN1627" s="1"/>
      <c r="LAO1627" s="1"/>
      <c r="LAP1627" s="1"/>
      <c r="LAQ1627" s="1"/>
      <c r="LAR1627" s="1"/>
      <c r="LAS1627" s="1"/>
      <c r="LAT1627" s="1"/>
      <c r="LAU1627" s="1"/>
      <c r="LAV1627" s="1"/>
      <c r="LAW1627" s="1"/>
      <c r="LAX1627" s="1"/>
      <c r="LAY1627" s="1"/>
      <c r="LAZ1627" s="1"/>
      <c r="LBA1627" s="1"/>
      <c r="LBB1627" s="1"/>
      <c r="LBC1627" s="1"/>
      <c r="LBD1627" s="1"/>
      <c r="LBE1627" s="1"/>
      <c r="LBF1627" s="1"/>
      <c r="LBG1627" s="1"/>
      <c r="LBH1627" s="1"/>
      <c r="LBI1627" s="1"/>
      <c r="LBJ1627" s="1"/>
      <c r="LBK1627" s="1"/>
      <c r="LBL1627" s="1"/>
      <c r="LBM1627" s="1"/>
      <c r="LBN1627" s="1"/>
      <c r="LBO1627" s="1"/>
      <c r="LBP1627" s="1"/>
      <c r="LBQ1627" s="1"/>
      <c r="LBR1627" s="1"/>
      <c r="LBS1627" s="1"/>
      <c r="LBT1627" s="1"/>
      <c r="LBU1627" s="1"/>
      <c r="LBV1627" s="1"/>
      <c r="LBW1627" s="1"/>
      <c r="LBX1627" s="1"/>
      <c r="LBY1627" s="1"/>
      <c r="LBZ1627" s="1"/>
      <c r="LCA1627" s="1"/>
      <c r="LCB1627" s="1"/>
      <c r="LCC1627" s="1"/>
      <c r="LCD1627" s="1"/>
      <c r="LCE1627" s="1"/>
      <c r="LCF1627" s="1"/>
      <c r="LCG1627" s="1"/>
      <c r="LCH1627" s="1"/>
      <c r="LCI1627" s="1"/>
      <c r="LCJ1627" s="1"/>
      <c r="LCK1627" s="1"/>
      <c r="LCL1627" s="1"/>
      <c r="LCM1627" s="1"/>
      <c r="LCN1627" s="1"/>
      <c r="LCO1627" s="1"/>
      <c r="LCP1627" s="1"/>
      <c r="LCQ1627" s="1"/>
      <c r="LCR1627" s="1"/>
      <c r="LCS1627" s="1"/>
      <c r="LCT1627" s="1"/>
      <c r="LCU1627" s="1"/>
      <c r="LCV1627" s="1"/>
      <c r="LCW1627" s="1"/>
      <c r="LCX1627" s="1"/>
      <c r="LCY1627" s="1"/>
      <c r="LCZ1627" s="1"/>
      <c r="LDA1627" s="1"/>
      <c r="LDB1627" s="1"/>
      <c r="LDC1627" s="1"/>
      <c r="LDD1627" s="1"/>
      <c r="LDE1627" s="1"/>
      <c r="LDF1627" s="1"/>
      <c r="LDG1627" s="1"/>
      <c r="LDH1627" s="1"/>
      <c r="LDI1627" s="1"/>
      <c r="LDJ1627" s="1"/>
      <c r="LDK1627" s="1"/>
      <c r="LDL1627" s="1"/>
      <c r="LDM1627" s="1"/>
      <c r="LDN1627" s="1"/>
      <c r="LDO1627" s="1"/>
      <c r="LDP1627" s="1"/>
      <c r="LDQ1627" s="1"/>
      <c r="LDR1627" s="1"/>
      <c r="LDS1627" s="1"/>
      <c r="LDT1627" s="1"/>
      <c r="LDU1627" s="1"/>
      <c r="LDV1627" s="1"/>
      <c r="LDW1627" s="1"/>
      <c r="LDX1627" s="1"/>
      <c r="LDY1627" s="1"/>
      <c r="LDZ1627" s="1"/>
      <c r="LEA1627" s="1"/>
      <c r="LEB1627" s="1"/>
      <c r="LEC1627" s="1"/>
      <c r="LED1627" s="1"/>
      <c r="LEE1627" s="1"/>
      <c r="LEF1627" s="1"/>
      <c r="LEG1627" s="1"/>
      <c r="LEH1627" s="1"/>
      <c r="LEI1627" s="1"/>
      <c r="LEJ1627" s="1"/>
      <c r="LEK1627" s="1"/>
      <c r="LEL1627" s="1"/>
      <c r="LEM1627" s="1"/>
      <c r="LEN1627" s="1"/>
      <c r="LEO1627" s="1"/>
      <c r="LEP1627" s="1"/>
      <c r="LEQ1627" s="1"/>
      <c r="LER1627" s="1"/>
      <c r="LES1627" s="1"/>
      <c r="LET1627" s="1"/>
      <c r="LEU1627" s="1"/>
      <c r="LEV1627" s="1"/>
      <c r="LEW1627" s="1"/>
      <c r="LEX1627" s="1"/>
      <c r="LEY1627" s="1"/>
      <c r="LEZ1627" s="1"/>
      <c r="LFA1627" s="1"/>
      <c r="LFB1627" s="1"/>
      <c r="LFC1627" s="1"/>
      <c r="LFD1627" s="1"/>
      <c r="LFE1627" s="1"/>
      <c r="LFF1627" s="1"/>
      <c r="LFG1627" s="1"/>
      <c r="LFH1627" s="1"/>
      <c r="LFI1627" s="1"/>
      <c r="LFJ1627" s="1"/>
      <c r="LFK1627" s="1"/>
      <c r="LFL1627" s="1"/>
      <c r="LFM1627" s="1"/>
      <c r="LFN1627" s="1"/>
      <c r="LFO1627" s="1"/>
      <c r="LFP1627" s="1"/>
      <c r="LFQ1627" s="1"/>
      <c r="LFR1627" s="1"/>
      <c r="LFS1627" s="1"/>
      <c r="LFT1627" s="1"/>
      <c r="LFU1627" s="1"/>
      <c r="LFV1627" s="1"/>
      <c r="LFW1627" s="1"/>
      <c r="LFX1627" s="1"/>
      <c r="LFY1627" s="1"/>
      <c r="LFZ1627" s="1"/>
      <c r="LGA1627" s="1"/>
      <c r="LGB1627" s="1"/>
      <c r="LGC1627" s="1"/>
      <c r="LGD1627" s="1"/>
      <c r="LGE1627" s="1"/>
      <c r="LGF1627" s="1"/>
      <c r="LGG1627" s="1"/>
      <c r="LGH1627" s="1"/>
      <c r="LGI1627" s="1"/>
      <c r="LGJ1627" s="1"/>
      <c r="LGK1627" s="1"/>
      <c r="LGL1627" s="1"/>
      <c r="LGM1627" s="1"/>
      <c r="LGN1627" s="1"/>
      <c r="LGO1627" s="1"/>
      <c r="LGP1627" s="1"/>
      <c r="LGQ1627" s="1"/>
      <c r="LGR1627" s="1"/>
      <c r="LGS1627" s="1"/>
      <c r="LGT1627" s="1"/>
      <c r="LGU1627" s="1"/>
      <c r="LGV1627" s="1"/>
      <c r="LGW1627" s="1"/>
      <c r="LGX1627" s="1"/>
      <c r="LGY1627" s="1"/>
      <c r="LGZ1627" s="1"/>
      <c r="LHA1627" s="1"/>
      <c r="LHB1627" s="1"/>
      <c r="LHC1627" s="1"/>
      <c r="LHD1627" s="1"/>
      <c r="LHE1627" s="1"/>
      <c r="LHF1627" s="1"/>
      <c r="LHG1627" s="1"/>
      <c r="LHH1627" s="1"/>
      <c r="LHI1627" s="1"/>
      <c r="LHJ1627" s="1"/>
      <c r="LHK1627" s="1"/>
      <c r="LHL1627" s="1"/>
      <c r="LHM1627" s="1"/>
      <c r="LHN1627" s="1"/>
      <c r="LHO1627" s="1"/>
      <c r="LHP1627" s="1"/>
      <c r="LHQ1627" s="1"/>
      <c r="LHR1627" s="1"/>
      <c r="LHS1627" s="1"/>
      <c r="LHT1627" s="1"/>
      <c r="LHU1627" s="1"/>
      <c r="LHV1627" s="1"/>
      <c r="LHW1627" s="1"/>
      <c r="LHX1627" s="1"/>
      <c r="LHY1627" s="1"/>
      <c r="LHZ1627" s="1"/>
      <c r="LIA1627" s="1"/>
      <c r="LIB1627" s="1"/>
      <c r="LIC1627" s="1"/>
      <c r="LID1627" s="1"/>
      <c r="LIE1627" s="1"/>
      <c r="LIF1627" s="1"/>
      <c r="LIG1627" s="1"/>
      <c r="LIH1627" s="1"/>
      <c r="LII1627" s="1"/>
      <c r="LIJ1627" s="1"/>
      <c r="LIK1627" s="1"/>
      <c r="LIL1627" s="1"/>
      <c r="LIM1627" s="1"/>
      <c r="LIN1627" s="1"/>
      <c r="LIO1627" s="1"/>
      <c r="LIP1627" s="1"/>
      <c r="LIQ1627" s="1"/>
      <c r="LIR1627" s="1"/>
      <c r="LIS1627" s="1"/>
      <c r="LIT1627" s="1"/>
      <c r="LIU1627" s="1"/>
      <c r="LIV1627" s="1"/>
      <c r="LIW1627" s="1"/>
      <c r="LIX1627" s="1"/>
      <c r="LIY1627" s="1"/>
      <c r="LIZ1627" s="1"/>
      <c r="LJA1627" s="1"/>
      <c r="LJB1627" s="1"/>
      <c r="LJC1627" s="1"/>
      <c r="LJD1627" s="1"/>
      <c r="LJE1627" s="1"/>
      <c r="LJF1627" s="1"/>
      <c r="LJG1627" s="1"/>
      <c r="LJH1627" s="1"/>
      <c r="LJI1627" s="1"/>
      <c r="LJJ1627" s="1"/>
      <c r="LJK1627" s="1"/>
      <c r="LJL1627" s="1"/>
      <c r="LJM1627" s="1"/>
      <c r="LJN1627" s="1"/>
      <c r="LJO1627" s="1"/>
      <c r="LJP1627" s="1"/>
      <c r="LJQ1627" s="1"/>
      <c r="LJR1627" s="1"/>
      <c r="LJS1627" s="1"/>
      <c r="LJT1627" s="1"/>
      <c r="LJU1627" s="1"/>
      <c r="LJV1627" s="1"/>
      <c r="LJW1627" s="1"/>
      <c r="LJX1627" s="1"/>
      <c r="LJY1627" s="1"/>
      <c r="LJZ1627" s="1"/>
      <c r="LKA1627" s="1"/>
      <c r="LKB1627" s="1"/>
      <c r="LKC1627" s="1"/>
      <c r="LKD1627" s="1"/>
      <c r="LKE1627" s="1"/>
      <c r="LKF1627" s="1"/>
      <c r="LKG1627" s="1"/>
      <c r="LKH1627" s="1"/>
      <c r="LKI1627" s="1"/>
      <c r="LKJ1627" s="1"/>
      <c r="LKK1627" s="1"/>
      <c r="LKL1627" s="1"/>
      <c r="LKM1627" s="1"/>
      <c r="LKN1627" s="1"/>
      <c r="LKO1627" s="1"/>
      <c r="LKP1627" s="1"/>
      <c r="LKQ1627" s="1"/>
      <c r="LKR1627" s="1"/>
      <c r="LKS1627" s="1"/>
      <c r="LKT1627" s="1"/>
      <c r="LKU1627" s="1"/>
      <c r="LKV1627" s="1"/>
      <c r="LKW1627" s="1"/>
      <c r="LKX1627" s="1"/>
      <c r="LKY1627" s="1"/>
      <c r="LKZ1627" s="1"/>
      <c r="LLA1627" s="1"/>
      <c r="LLB1627" s="1"/>
      <c r="LLC1627" s="1"/>
      <c r="LLD1627" s="1"/>
      <c r="LLE1627" s="1"/>
      <c r="LLF1627" s="1"/>
      <c r="LLG1627" s="1"/>
      <c r="LLH1627" s="1"/>
      <c r="LLI1627" s="1"/>
      <c r="LLJ1627" s="1"/>
      <c r="LLK1627" s="1"/>
      <c r="LLL1627" s="1"/>
      <c r="LLM1627" s="1"/>
      <c r="LLN1627" s="1"/>
      <c r="LLO1627" s="1"/>
      <c r="LLP1627" s="1"/>
      <c r="LLQ1627" s="1"/>
      <c r="LLR1627" s="1"/>
      <c r="LLS1627" s="1"/>
      <c r="LLT1627" s="1"/>
      <c r="LLU1627" s="1"/>
      <c r="LLV1627" s="1"/>
      <c r="LLW1627" s="1"/>
      <c r="LLX1627" s="1"/>
      <c r="LLY1627" s="1"/>
      <c r="LLZ1627" s="1"/>
      <c r="LMA1627" s="1"/>
      <c r="LMB1627" s="1"/>
      <c r="LMC1627" s="1"/>
      <c r="LMD1627" s="1"/>
      <c r="LME1627" s="1"/>
      <c r="LMF1627" s="1"/>
      <c r="LMG1627" s="1"/>
      <c r="LMH1627" s="1"/>
      <c r="LMI1627" s="1"/>
      <c r="LMJ1627" s="1"/>
      <c r="LMK1627" s="1"/>
      <c r="LML1627" s="1"/>
      <c r="LMM1627" s="1"/>
      <c r="LMN1627" s="1"/>
      <c r="LMO1627" s="1"/>
      <c r="LMP1627" s="1"/>
      <c r="LMQ1627" s="1"/>
      <c r="LMR1627" s="1"/>
      <c r="LMS1627" s="1"/>
      <c r="LMT1627" s="1"/>
      <c r="LMU1627" s="1"/>
      <c r="LMV1627" s="1"/>
      <c r="LMW1627" s="1"/>
      <c r="LMX1627" s="1"/>
      <c r="LMY1627" s="1"/>
      <c r="LMZ1627" s="1"/>
      <c r="LNA1627" s="1"/>
      <c r="LNB1627" s="1"/>
      <c r="LNC1627" s="1"/>
      <c r="LND1627" s="1"/>
      <c r="LNE1627" s="1"/>
      <c r="LNF1627" s="1"/>
      <c r="LNG1627" s="1"/>
      <c r="LNH1627" s="1"/>
      <c r="LNI1627" s="1"/>
      <c r="LNJ1627" s="1"/>
      <c r="LNK1627" s="1"/>
      <c r="LNL1627" s="1"/>
      <c r="LNM1627" s="1"/>
      <c r="LNN1627" s="1"/>
      <c r="LNO1627" s="1"/>
      <c r="LNP1627" s="1"/>
      <c r="LNQ1627" s="1"/>
      <c r="LNR1627" s="1"/>
      <c r="LNS1627" s="1"/>
      <c r="LNT1627" s="1"/>
      <c r="LNU1627" s="1"/>
      <c r="LNV1627" s="1"/>
      <c r="LNW1627" s="1"/>
      <c r="LNX1627" s="1"/>
      <c r="LNY1627" s="1"/>
      <c r="LNZ1627" s="1"/>
      <c r="LOA1627" s="1"/>
      <c r="LOB1627" s="1"/>
      <c r="LOC1627" s="1"/>
      <c r="LOD1627" s="1"/>
      <c r="LOE1627" s="1"/>
      <c r="LOF1627" s="1"/>
      <c r="LOG1627" s="1"/>
      <c r="LOH1627" s="1"/>
      <c r="LOI1627" s="1"/>
      <c r="LOJ1627" s="1"/>
      <c r="LOK1627" s="1"/>
      <c r="LOL1627" s="1"/>
      <c r="LOM1627" s="1"/>
      <c r="LON1627" s="1"/>
      <c r="LOO1627" s="1"/>
      <c r="LOP1627" s="1"/>
      <c r="LOQ1627" s="1"/>
      <c r="LOR1627" s="1"/>
      <c r="LOS1627" s="1"/>
      <c r="LOT1627" s="1"/>
      <c r="LOU1627" s="1"/>
      <c r="LOV1627" s="1"/>
      <c r="LOW1627" s="1"/>
      <c r="LOX1627" s="1"/>
      <c r="LOY1627" s="1"/>
      <c r="LOZ1627" s="1"/>
      <c r="LPA1627" s="1"/>
      <c r="LPB1627" s="1"/>
      <c r="LPC1627" s="1"/>
      <c r="LPD1627" s="1"/>
      <c r="LPE1627" s="1"/>
      <c r="LPF1627" s="1"/>
      <c r="LPG1627" s="1"/>
      <c r="LPH1627" s="1"/>
      <c r="LPI1627" s="1"/>
      <c r="LPJ1627" s="1"/>
      <c r="LPK1627" s="1"/>
      <c r="LPL1627" s="1"/>
      <c r="LPM1627" s="1"/>
      <c r="LPN1627" s="1"/>
      <c r="LPO1627" s="1"/>
      <c r="LPP1627" s="1"/>
      <c r="LPQ1627" s="1"/>
      <c r="LPR1627" s="1"/>
      <c r="LPS1627" s="1"/>
      <c r="LPT1627" s="1"/>
      <c r="LPU1627" s="1"/>
      <c r="LPV1627" s="1"/>
      <c r="LPW1627" s="1"/>
      <c r="LPX1627" s="1"/>
      <c r="LPY1627" s="1"/>
      <c r="LPZ1627" s="1"/>
      <c r="LQA1627" s="1"/>
      <c r="LQB1627" s="1"/>
      <c r="LQC1627" s="1"/>
      <c r="LQD1627" s="1"/>
      <c r="LQE1627" s="1"/>
      <c r="LQF1627" s="1"/>
      <c r="LQG1627" s="1"/>
      <c r="LQH1627" s="1"/>
      <c r="LQI1627" s="1"/>
      <c r="LQJ1627" s="1"/>
      <c r="LQK1627" s="1"/>
      <c r="LQL1627" s="1"/>
      <c r="LQM1627" s="1"/>
      <c r="LQN1627" s="1"/>
      <c r="LQO1627" s="1"/>
      <c r="LQP1627" s="1"/>
      <c r="LQQ1627" s="1"/>
      <c r="LQR1627" s="1"/>
      <c r="LQS1627" s="1"/>
      <c r="LQT1627" s="1"/>
      <c r="LQU1627" s="1"/>
      <c r="LQV1627" s="1"/>
      <c r="LQW1627" s="1"/>
      <c r="LQX1627" s="1"/>
      <c r="LQY1627" s="1"/>
      <c r="LQZ1627" s="1"/>
      <c r="LRA1627" s="1"/>
      <c r="LRB1627" s="1"/>
      <c r="LRC1627" s="1"/>
      <c r="LRD1627" s="1"/>
      <c r="LRE1627" s="1"/>
      <c r="LRF1627" s="1"/>
      <c r="LRG1627" s="1"/>
      <c r="LRH1627" s="1"/>
      <c r="LRI1627" s="1"/>
      <c r="LRJ1627" s="1"/>
      <c r="LRK1627" s="1"/>
      <c r="LRL1627" s="1"/>
      <c r="LRM1627" s="1"/>
      <c r="LRN1627" s="1"/>
      <c r="LRO1627" s="1"/>
      <c r="LRP1627" s="1"/>
      <c r="LRQ1627" s="1"/>
      <c r="LRR1627" s="1"/>
      <c r="LRS1627" s="1"/>
      <c r="LRT1627" s="1"/>
      <c r="LRU1627" s="1"/>
      <c r="LRV1627" s="1"/>
      <c r="LRW1627" s="1"/>
      <c r="LRX1627" s="1"/>
      <c r="LRY1627" s="1"/>
      <c r="LRZ1627" s="1"/>
      <c r="LSA1627" s="1"/>
      <c r="LSB1627" s="1"/>
      <c r="LSC1627" s="1"/>
      <c r="LSD1627" s="1"/>
      <c r="LSE1627" s="1"/>
      <c r="LSF1627" s="1"/>
      <c r="LSG1627" s="1"/>
      <c r="LSH1627" s="1"/>
      <c r="LSI1627" s="1"/>
      <c r="LSJ1627" s="1"/>
      <c r="LSK1627" s="1"/>
      <c r="LSL1627" s="1"/>
      <c r="LSM1627" s="1"/>
      <c r="LSN1627" s="1"/>
      <c r="LSO1627" s="1"/>
      <c r="LSP1627" s="1"/>
      <c r="LSQ1627" s="1"/>
      <c r="LSR1627" s="1"/>
      <c r="LSS1627" s="1"/>
      <c r="LST1627" s="1"/>
      <c r="LSU1627" s="1"/>
      <c r="LSV1627" s="1"/>
      <c r="LSW1627" s="1"/>
      <c r="LSX1627" s="1"/>
      <c r="LSY1627" s="1"/>
      <c r="LSZ1627" s="1"/>
      <c r="LTA1627" s="1"/>
      <c r="LTB1627" s="1"/>
      <c r="LTC1627" s="1"/>
      <c r="LTD1627" s="1"/>
      <c r="LTE1627" s="1"/>
      <c r="LTF1627" s="1"/>
      <c r="LTG1627" s="1"/>
      <c r="LTH1627" s="1"/>
      <c r="LTI1627" s="1"/>
      <c r="LTJ1627" s="1"/>
      <c r="LTK1627" s="1"/>
      <c r="LTL1627" s="1"/>
      <c r="LTM1627" s="1"/>
      <c r="LTN1627" s="1"/>
      <c r="LTO1627" s="1"/>
      <c r="LTP1627" s="1"/>
      <c r="LTQ1627" s="1"/>
      <c r="LTR1627" s="1"/>
      <c r="LTS1627" s="1"/>
      <c r="LTT1627" s="1"/>
      <c r="LTU1627" s="1"/>
      <c r="LTV1627" s="1"/>
      <c r="LTW1627" s="1"/>
      <c r="LTX1627" s="1"/>
      <c r="LTY1627" s="1"/>
      <c r="LTZ1627" s="1"/>
      <c r="LUA1627" s="1"/>
      <c r="LUB1627" s="1"/>
      <c r="LUC1627" s="1"/>
      <c r="LUD1627" s="1"/>
      <c r="LUE1627" s="1"/>
      <c r="LUF1627" s="1"/>
      <c r="LUG1627" s="1"/>
      <c r="LUH1627" s="1"/>
      <c r="LUI1627" s="1"/>
      <c r="LUJ1627" s="1"/>
      <c r="LUK1627" s="1"/>
      <c r="LUL1627" s="1"/>
      <c r="LUM1627" s="1"/>
      <c r="LUN1627" s="1"/>
      <c r="LUO1627" s="1"/>
      <c r="LUP1627" s="1"/>
      <c r="LUQ1627" s="1"/>
      <c r="LUR1627" s="1"/>
      <c r="LUS1627" s="1"/>
      <c r="LUT1627" s="1"/>
      <c r="LUU1627" s="1"/>
      <c r="LUV1627" s="1"/>
      <c r="LUW1627" s="1"/>
      <c r="LUX1627" s="1"/>
      <c r="LUY1627" s="1"/>
      <c r="LUZ1627" s="1"/>
      <c r="LVA1627" s="1"/>
      <c r="LVB1627" s="1"/>
      <c r="LVC1627" s="1"/>
      <c r="LVD1627" s="1"/>
      <c r="LVE1627" s="1"/>
      <c r="LVF1627" s="1"/>
      <c r="LVG1627" s="1"/>
      <c r="LVH1627" s="1"/>
      <c r="LVI1627" s="1"/>
      <c r="LVJ1627" s="1"/>
      <c r="LVK1627" s="1"/>
      <c r="LVL1627" s="1"/>
      <c r="LVM1627" s="1"/>
      <c r="LVN1627" s="1"/>
      <c r="LVO1627" s="1"/>
      <c r="LVP1627" s="1"/>
      <c r="LVQ1627" s="1"/>
      <c r="LVR1627" s="1"/>
      <c r="LVS1627" s="1"/>
      <c r="LVT1627" s="1"/>
      <c r="LVU1627" s="1"/>
      <c r="LVV1627" s="1"/>
      <c r="LVW1627" s="1"/>
      <c r="LVX1627" s="1"/>
      <c r="LVY1627" s="1"/>
      <c r="LVZ1627" s="1"/>
      <c r="LWA1627" s="1"/>
      <c r="LWB1627" s="1"/>
      <c r="LWC1627" s="1"/>
      <c r="LWD1627" s="1"/>
      <c r="LWE1627" s="1"/>
      <c r="LWF1627" s="1"/>
      <c r="LWG1627" s="1"/>
      <c r="LWH1627" s="1"/>
      <c r="LWI1627" s="1"/>
      <c r="LWJ1627" s="1"/>
      <c r="LWK1627" s="1"/>
      <c r="LWL1627" s="1"/>
      <c r="LWM1627" s="1"/>
      <c r="LWN1627" s="1"/>
      <c r="LWO1627" s="1"/>
      <c r="LWP1627" s="1"/>
      <c r="LWQ1627" s="1"/>
      <c r="LWR1627" s="1"/>
      <c r="LWS1627" s="1"/>
      <c r="LWT1627" s="1"/>
      <c r="LWU1627" s="1"/>
      <c r="LWV1627" s="1"/>
      <c r="LWW1627" s="1"/>
      <c r="LWX1627" s="1"/>
      <c r="LWY1627" s="1"/>
      <c r="LWZ1627" s="1"/>
      <c r="LXA1627" s="1"/>
      <c r="LXB1627" s="1"/>
      <c r="LXC1627" s="1"/>
      <c r="LXD1627" s="1"/>
      <c r="LXE1627" s="1"/>
      <c r="LXF1627" s="1"/>
      <c r="LXG1627" s="1"/>
      <c r="LXH1627" s="1"/>
      <c r="LXI1627" s="1"/>
      <c r="LXJ1627" s="1"/>
      <c r="LXK1627" s="1"/>
      <c r="LXL1627" s="1"/>
      <c r="LXM1627" s="1"/>
      <c r="LXN1627" s="1"/>
      <c r="LXO1627" s="1"/>
      <c r="LXP1627" s="1"/>
      <c r="LXQ1627" s="1"/>
      <c r="LXR1627" s="1"/>
      <c r="LXS1627" s="1"/>
      <c r="LXT1627" s="1"/>
      <c r="LXU1627" s="1"/>
      <c r="LXV1627" s="1"/>
      <c r="LXW1627" s="1"/>
      <c r="LXX1627" s="1"/>
      <c r="LXY1627" s="1"/>
      <c r="LXZ1627" s="1"/>
      <c r="LYA1627" s="1"/>
      <c r="LYB1627" s="1"/>
      <c r="LYC1627" s="1"/>
      <c r="LYD1627" s="1"/>
      <c r="LYE1627" s="1"/>
      <c r="LYF1627" s="1"/>
      <c r="LYG1627" s="1"/>
      <c r="LYH1627" s="1"/>
      <c r="LYI1627" s="1"/>
      <c r="LYJ1627" s="1"/>
      <c r="LYK1627" s="1"/>
      <c r="LYL1627" s="1"/>
      <c r="LYM1627" s="1"/>
      <c r="LYN1627" s="1"/>
      <c r="LYO1627" s="1"/>
      <c r="LYP1627" s="1"/>
      <c r="LYQ1627" s="1"/>
      <c r="LYR1627" s="1"/>
      <c r="LYS1627" s="1"/>
      <c r="LYT1627" s="1"/>
      <c r="LYU1627" s="1"/>
      <c r="LYV1627" s="1"/>
      <c r="LYW1627" s="1"/>
      <c r="LYX1627" s="1"/>
      <c r="LYY1627" s="1"/>
      <c r="LYZ1627" s="1"/>
      <c r="LZA1627" s="1"/>
      <c r="LZB1627" s="1"/>
      <c r="LZC1627" s="1"/>
      <c r="LZD1627" s="1"/>
      <c r="LZE1627" s="1"/>
      <c r="LZF1627" s="1"/>
      <c r="LZG1627" s="1"/>
      <c r="LZH1627" s="1"/>
      <c r="LZI1627" s="1"/>
      <c r="LZJ1627" s="1"/>
      <c r="LZK1627" s="1"/>
      <c r="LZL1627" s="1"/>
      <c r="LZM1627" s="1"/>
      <c r="LZN1627" s="1"/>
      <c r="LZO1627" s="1"/>
      <c r="LZP1627" s="1"/>
      <c r="LZQ1627" s="1"/>
      <c r="LZR1627" s="1"/>
      <c r="LZS1627" s="1"/>
      <c r="LZT1627" s="1"/>
      <c r="LZU1627" s="1"/>
      <c r="LZV1627" s="1"/>
      <c r="LZW1627" s="1"/>
      <c r="LZX1627" s="1"/>
      <c r="LZY1627" s="1"/>
      <c r="LZZ1627" s="1"/>
      <c r="MAA1627" s="1"/>
      <c r="MAB1627" s="1"/>
      <c r="MAC1627" s="1"/>
      <c r="MAD1627" s="1"/>
      <c r="MAE1627" s="1"/>
      <c r="MAF1627" s="1"/>
      <c r="MAG1627" s="1"/>
      <c r="MAH1627" s="1"/>
      <c r="MAI1627" s="1"/>
      <c r="MAJ1627" s="1"/>
      <c r="MAK1627" s="1"/>
      <c r="MAL1627" s="1"/>
      <c r="MAM1627" s="1"/>
      <c r="MAN1627" s="1"/>
      <c r="MAO1627" s="1"/>
      <c r="MAP1627" s="1"/>
      <c r="MAQ1627" s="1"/>
      <c r="MAR1627" s="1"/>
      <c r="MAS1627" s="1"/>
      <c r="MAT1627" s="1"/>
      <c r="MAU1627" s="1"/>
      <c r="MAV1627" s="1"/>
      <c r="MAW1627" s="1"/>
      <c r="MAX1627" s="1"/>
      <c r="MAY1627" s="1"/>
      <c r="MAZ1627" s="1"/>
      <c r="MBA1627" s="1"/>
      <c r="MBB1627" s="1"/>
      <c r="MBC1627" s="1"/>
      <c r="MBD1627" s="1"/>
      <c r="MBE1627" s="1"/>
      <c r="MBF1627" s="1"/>
      <c r="MBG1627" s="1"/>
      <c r="MBH1627" s="1"/>
      <c r="MBI1627" s="1"/>
      <c r="MBJ1627" s="1"/>
      <c r="MBK1627" s="1"/>
      <c r="MBL1627" s="1"/>
      <c r="MBM1627" s="1"/>
      <c r="MBN1627" s="1"/>
      <c r="MBO1627" s="1"/>
      <c r="MBP1627" s="1"/>
      <c r="MBQ1627" s="1"/>
      <c r="MBR1627" s="1"/>
      <c r="MBS1627" s="1"/>
      <c r="MBT1627" s="1"/>
      <c r="MBU1627" s="1"/>
      <c r="MBV1627" s="1"/>
      <c r="MBW1627" s="1"/>
      <c r="MBX1627" s="1"/>
      <c r="MBY1627" s="1"/>
      <c r="MBZ1627" s="1"/>
      <c r="MCA1627" s="1"/>
      <c r="MCB1627" s="1"/>
      <c r="MCC1627" s="1"/>
      <c r="MCD1627" s="1"/>
      <c r="MCE1627" s="1"/>
      <c r="MCF1627" s="1"/>
      <c r="MCG1627" s="1"/>
      <c r="MCH1627" s="1"/>
      <c r="MCI1627" s="1"/>
      <c r="MCJ1627" s="1"/>
      <c r="MCK1627" s="1"/>
      <c r="MCL1627" s="1"/>
      <c r="MCM1627" s="1"/>
      <c r="MCN1627" s="1"/>
      <c r="MCO1627" s="1"/>
      <c r="MCP1627" s="1"/>
      <c r="MCQ1627" s="1"/>
      <c r="MCR1627" s="1"/>
      <c r="MCS1627" s="1"/>
      <c r="MCT1627" s="1"/>
      <c r="MCU1627" s="1"/>
      <c r="MCV1627" s="1"/>
      <c r="MCW1627" s="1"/>
      <c r="MCX1627" s="1"/>
      <c r="MCY1627" s="1"/>
      <c r="MCZ1627" s="1"/>
      <c r="MDA1627" s="1"/>
      <c r="MDB1627" s="1"/>
      <c r="MDC1627" s="1"/>
      <c r="MDD1627" s="1"/>
      <c r="MDE1627" s="1"/>
      <c r="MDF1627" s="1"/>
      <c r="MDG1627" s="1"/>
      <c r="MDH1627" s="1"/>
      <c r="MDI1627" s="1"/>
      <c r="MDJ1627" s="1"/>
      <c r="MDK1627" s="1"/>
      <c r="MDL1627" s="1"/>
      <c r="MDM1627" s="1"/>
      <c r="MDN1627" s="1"/>
      <c r="MDO1627" s="1"/>
      <c r="MDP1627" s="1"/>
      <c r="MDQ1627" s="1"/>
      <c r="MDR1627" s="1"/>
      <c r="MDS1627" s="1"/>
      <c r="MDT1627" s="1"/>
      <c r="MDU1627" s="1"/>
      <c r="MDV1627" s="1"/>
      <c r="MDW1627" s="1"/>
      <c r="MDX1627" s="1"/>
      <c r="MDY1627" s="1"/>
      <c r="MDZ1627" s="1"/>
      <c r="MEA1627" s="1"/>
      <c r="MEB1627" s="1"/>
      <c r="MEC1627" s="1"/>
      <c r="MED1627" s="1"/>
      <c r="MEE1627" s="1"/>
      <c r="MEF1627" s="1"/>
      <c r="MEG1627" s="1"/>
      <c r="MEH1627" s="1"/>
      <c r="MEI1627" s="1"/>
      <c r="MEJ1627" s="1"/>
      <c r="MEK1627" s="1"/>
      <c r="MEL1627" s="1"/>
      <c r="MEM1627" s="1"/>
      <c r="MEN1627" s="1"/>
      <c r="MEO1627" s="1"/>
      <c r="MEP1627" s="1"/>
      <c r="MEQ1627" s="1"/>
      <c r="MER1627" s="1"/>
      <c r="MES1627" s="1"/>
      <c r="MET1627" s="1"/>
      <c r="MEU1627" s="1"/>
      <c r="MEV1627" s="1"/>
      <c r="MEW1627" s="1"/>
      <c r="MEX1627" s="1"/>
      <c r="MEY1627" s="1"/>
      <c r="MEZ1627" s="1"/>
      <c r="MFA1627" s="1"/>
      <c r="MFB1627" s="1"/>
      <c r="MFC1627" s="1"/>
      <c r="MFD1627" s="1"/>
      <c r="MFE1627" s="1"/>
      <c r="MFF1627" s="1"/>
      <c r="MFG1627" s="1"/>
      <c r="MFH1627" s="1"/>
      <c r="MFI1627" s="1"/>
      <c r="MFJ1627" s="1"/>
      <c r="MFK1627" s="1"/>
      <c r="MFL1627" s="1"/>
      <c r="MFM1627" s="1"/>
      <c r="MFN1627" s="1"/>
      <c r="MFO1627" s="1"/>
      <c r="MFP1627" s="1"/>
      <c r="MFQ1627" s="1"/>
      <c r="MFR1627" s="1"/>
      <c r="MFS1627" s="1"/>
      <c r="MFT1627" s="1"/>
      <c r="MFU1627" s="1"/>
      <c r="MFV1627" s="1"/>
      <c r="MFW1627" s="1"/>
      <c r="MFX1627" s="1"/>
      <c r="MFY1627" s="1"/>
      <c r="MFZ1627" s="1"/>
      <c r="MGA1627" s="1"/>
      <c r="MGB1627" s="1"/>
      <c r="MGC1627" s="1"/>
      <c r="MGD1627" s="1"/>
      <c r="MGE1627" s="1"/>
      <c r="MGF1627" s="1"/>
      <c r="MGG1627" s="1"/>
      <c r="MGH1627" s="1"/>
      <c r="MGI1627" s="1"/>
      <c r="MGJ1627" s="1"/>
      <c r="MGK1627" s="1"/>
      <c r="MGL1627" s="1"/>
      <c r="MGM1627" s="1"/>
      <c r="MGN1627" s="1"/>
      <c r="MGO1627" s="1"/>
      <c r="MGP1627" s="1"/>
      <c r="MGQ1627" s="1"/>
      <c r="MGR1627" s="1"/>
      <c r="MGS1627" s="1"/>
      <c r="MGT1627" s="1"/>
      <c r="MGU1627" s="1"/>
      <c r="MGV1627" s="1"/>
      <c r="MGW1627" s="1"/>
      <c r="MGX1627" s="1"/>
      <c r="MGY1627" s="1"/>
      <c r="MGZ1627" s="1"/>
      <c r="MHA1627" s="1"/>
      <c r="MHB1627" s="1"/>
      <c r="MHC1627" s="1"/>
      <c r="MHD1627" s="1"/>
      <c r="MHE1627" s="1"/>
      <c r="MHF1627" s="1"/>
      <c r="MHG1627" s="1"/>
      <c r="MHH1627" s="1"/>
      <c r="MHI1627" s="1"/>
      <c r="MHJ1627" s="1"/>
      <c r="MHK1627" s="1"/>
      <c r="MHL1627" s="1"/>
      <c r="MHM1627" s="1"/>
      <c r="MHN1627" s="1"/>
      <c r="MHO1627" s="1"/>
      <c r="MHP1627" s="1"/>
      <c r="MHQ1627" s="1"/>
      <c r="MHR1627" s="1"/>
      <c r="MHS1627" s="1"/>
      <c r="MHT1627" s="1"/>
      <c r="MHU1627" s="1"/>
      <c r="MHV1627" s="1"/>
      <c r="MHW1627" s="1"/>
      <c r="MHX1627" s="1"/>
      <c r="MHY1627" s="1"/>
      <c r="MHZ1627" s="1"/>
      <c r="MIA1627" s="1"/>
      <c r="MIB1627" s="1"/>
      <c r="MIC1627" s="1"/>
      <c r="MID1627" s="1"/>
      <c r="MIE1627" s="1"/>
      <c r="MIF1627" s="1"/>
      <c r="MIG1627" s="1"/>
      <c r="MIH1627" s="1"/>
      <c r="MII1627" s="1"/>
      <c r="MIJ1627" s="1"/>
      <c r="MIK1627" s="1"/>
      <c r="MIL1627" s="1"/>
      <c r="MIM1627" s="1"/>
      <c r="MIN1627" s="1"/>
      <c r="MIO1627" s="1"/>
      <c r="MIP1627" s="1"/>
      <c r="MIQ1627" s="1"/>
      <c r="MIR1627" s="1"/>
      <c r="MIS1627" s="1"/>
      <c r="MIT1627" s="1"/>
      <c r="MIU1627" s="1"/>
      <c r="MIV1627" s="1"/>
      <c r="MIW1627" s="1"/>
      <c r="MIX1627" s="1"/>
      <c r="MIY1627" s="1"/>
      <c r="MIZ1627" s="1"/>
      <c r="MJA1627" s="1"/>
      <c r="MJB1627" s="1"/>
      <c r="MJC1627" s="1"/>
      <c r="MJD1627" s="1"/>
      <c r="MJE1627" s="1"/>
      <c r="MJF1627" s="1"/>
      <c r="MJG1627" s="1"/>
      <c r="MJH1627" s="1"/>
      <c r="MJI1627" s="1"/>
      <c r="MJJ1627" s="1"/>
      <c r="MJK1627" s="1"/>
      <c r="MJL1627" s="1"/>
      <c r="MJM1627" s="1"/>
      <c r="MJN1627" s="1"/>
      <c r="MJO1627" s="1"/>
      <c r="MJP1627" s="1"/>
      <c r="MJQ1627" s="1"/>
      <c r="MJR1627" s="1"/>
      <c r="MJS1627" s="1"/>
      <c r="MJT1627" s="1"/>
      <c r="MJU1627" s="1"/>
      <c r="MJV1627" s="1"/>
      <c r="MJW1627" s="1"/>
      <c r="MJX1627" s="1"/>
      <c r="MJY1627" s="1"/>
      <c r="MJZ1627" s="1"/>
      <c r="MKA1627" s="1"/>
      <c r="MKB1627" s="1"/>
      <c r="MKC1627" s="1"/>
      <c r="MKD1627" s="1"/>
      <c r="MKE1627" s="1"/>
      <c r="MKF1627" s="1"/>
      <c r="MKG1627" s="1"/>
      <c r="MKH1627" s="1"/>
      <c r="MKI1627" s="1"/>
      <c r="MKJ1627" s="1"/>
      <c r="MKK1627" s="1"/>
      <c r="MKL1627" s="1"/>
      <c r="MKM1627" s="1"/>
      <c r="MKN1627" s="1"/>
      <c r="MKO1627" s="1"/>
      <c r="MKP1627" s="1"/>
      <c r="MKQ1627" s="1"/>
      <c r="MKR1627" s="1"/>
      <c r="MKS1627" s="1"/>
      <c r="MKT1627" s="1"/>
      <c r="MKU1627" s="1"/>
      <c r="MKV1627" s="1"/>
      <c r="MKW1627" s="1"/>
      <c r="MKX1627" s="1"/>
      <c r="MKY1627" s="1"/>
      <c r="MKZ1627" s="1"/>
      <c r="MLA1627" s="1"/>
      <c r="MLB1627" s="1"/>
      <c r="MLC1627" s="1"/>
      <c r="MLD1627" s="1"/>
      <c r="MLE1627" s="1"/>
      <c r="MLF1627" s="1"/>
      <c r="MLG1627" s="1"/>
      <c r="MLH1627" s="1"/>
      <c r="MLI1627" s="1"/>
      <c r="MLJ1627" s="1"/>
      <c r="MLK1627" s="1"/>
      <c r="MLL1627" s="1"/>
      <c r="MLM1627" s="1"/>
      <c r="MLN1627" s="1"/>
      <c r="MLO1627" s="1"/>
      <c r="MLP1627" s="1"/>
      <c r="MLQ1627" s="1"/>
      <c r="MLR1627" s="1"/>
      <c r="MLS1627" s="1"/>
      <c r="MLT1627" s="1"/>
      <c r="MLU1627" s="1"/>
      <c r="MLV1627" s="1"/>
      <c r="MLW1627" s="1"/>
      <c r="MLX1627" s="1"/>
      <c r="MLY1627" s="1"/>
      <c r="MLZ1627" s="1"/>
      <c r="MMA1627" s="1"/>
      <c r="MMB1627" s="1"/>
      <c r="MMC1627" s="1"/>
      <c r="MMD1627" s="1"/>
      <c r="MME1627" s="1"/>
      <c r="MMF1627" s="1"/>
      <c r="MMG1627" s="1"/>
      <c r="MMH1627" s="1"/>
      <c r="MMI1627" s="1"/>
      <c r="MMJ1627" s="1"/>
      <c r="MMK1627" s="1"/>
      <c r="MML1627" s="1"/>
      <c r="MMM1627" s="1"/>
      <c r="MMN1627" s="1"/>
      <c r="MMO1627" s="1"/>
      <c r="MMP1627" s="1"/>
      <c r="MMQ1627" s="1"/>
      <c r="MMR1627" s="1"/>
      <c r="MMS1627" s="1"/>
      <c r="MMT1627" s="1"/>
      <c r="MMU1627" s="1"/>
      <c r="MMV1627" s="1"/>
      <c r="MMW1627" s="1"/>
      <c r="MMX1627" s="1"/>
      <c r="MMY1627" s="1"/>
      <c r="MMZ1627" s="1"/>
      <c r="MNA1627" s="1"/>
      <c r="MNB1627" s="1"/>
      <c r="MNC1627" s="1"/>
      <c r="MND1627" s="1"/>
      <c r="MNE1627" s="1"/>
      <c r="MNF1627" s="1"/>
      <c r="MNG1627" s="1"/>
      <c r="MNH1627" s="1"/>
      <c r="MNI1627" s="1"/>
      <c r="MNJ1627" s="1"/>
      <c r="MNK1627" s="1"/>
      <c r="MNL1627" s="1"/>
      <c r="MNM1627" s="1"/>
      <c r="MNN1627" s="1"/>
      <c r="MNO1627" s="1"/>
      <c r="MNP1627" s="1"/>
      <c r="MNQ1627" s="1"/>
      <c r="MNR1627" s="1"/>
      <c r="MNS1627" s="1"/>
      <c r="MNT1627" s="1"/>
      <c r="MNU1627" s="1"/>
      <c r="MNV1627" s="1"/>
      <c r="MNW1627" s="1"/>
      <c r="MNX1627" s="1"/>
      <c r="MNY1627" s="1"/>
      <c r="MNZ1627" s="1"/>
      <c r="MOA1627" s="1"/>
      <c r="MOB1627" s="1"/>
      <c r="MOC1627" s="1"/>
      <c r="MOD1627" s="1"/>
      <c r="MOE1627" s="1"/>
      <c r="MOF1627" s="1"/>
      <c r="MOG1627" s="1"/>
      <c r="MOH1627" s="1"/>
      <c r="MOI1627" s="1"/>
      <c r="MOJ1627" s="1"/>
      <c r="MOK1627" s="1"/>
      <c r="MOL1627" s="1"/>
      <c r="MOM1627" s="1"/>
      <c r="MON1627" s="1"/>
      <c r="MOO1627" s="1"/>
      <c r="MOP1627" s="1"/>
      <c r="MOQ1627" s="1"/>
      <c r="MOR1627" s="1"/>
      <c r="MOS1627" s="1"/>
      <c r="MOT1627" s="1"/>
      <c r="MOU1627" s="1"/>
      <c r="MOV1627" s="1"/>
      <c r="MOW1627" s="1"/>
      <c r="MOX1627" s="1"/>
      <c r="MOY1627" s="1"/>
      <c r="MOZ1627" s="1"/>
      <c r="MPA1627" s="1"/>
      <c r="MPB1627" s="1"/>
      <c r="MPC1627" s="1"/>
      <c r="MPD1627" s="1"/>
      <c r="MPE1627" s="1"/>
      <c r="MPF1627" s="1"/>
      <c r="MPG1627" s="1"/>
      <c r="MPH1627" s="1"/>
      <c r="MPI1627" s="1"/>
      <c r="MPJ1627" s="1"/>
      <c r="MPK1627" s="1"/>
      <c r="MPL1627" s="1"/>
      <c r="MPM1627" s="1"/>
      <c r="MPN1627" s="1"/>
      <c r="MPO1627" s="1"/>
      <c r="MPP1627" s="1"/>
      <c r="MPQ1627" s="1"/>
      <c r="MPR1627" s="1"/>
      <c r="MPS1627" s="1"/>
      <c r="MPT1627" s="1"/>
      <c r="MPU1627" s="1"/>
      <c r="MPV1627" s="1"/>
      <c r="MPW1627" s="1"/>
      <c r="MPX1627" s="1"/>
      <c r="MPY1627" s="1"/>
      <c r="MPZ1627" s="1"/>
      <c r="MQA1627" s="1"/>
      <c r="MQB1627" s="1"/>
      <c r="MQC1627" s="1"/>
      <c r="MQD1627" s="1"/>
      <c r="MQE1627" s="1"/>
      <c r="MQF1627" s="1"/>
      <c r="MQG1627" s="1"/>
      <c r="MQH1627" s="1"/>
      <c r="MQI1627" s="1"/>
      <c r="MQJ1627" s="1"/>
      <c r="MQK1627" s="1"/>
      <c r="MQL1627" s="1"/>
      <c r="MQM1627" s="1"/>
      <c r="MQN1627" s="1"/>
      <c r="MQO1627" s="1"/>
      <c r="MQP1627" s="1"/>
      <c r="MQQ1627" s="1"/>
      <c r="MQR1627" s="1"/>
      <c r="MQS1627" s="1"/>
      <c r="MQT1627" s="1"/>
      <c r="MQU1627" s="1"/>
      <c r="MQV1627" s="1"/>
      <c r="MQW1627" s="1"/>
      <c r="MQX1627" s="1"/>
      <c r="MQY1627" s="1"/>
      <c r="MQZ1627" s="1"/>
      <c r="MRA1627" s="1"/>
      <c r="MRB1627" s="1"/>
      <c r="MRC1627" s="1"/>
      <c r="MRD1627" s="1"/>
      <c r="MRE1627" s="1"/>
      <c r="MRF1627" s="1"/>
      <c r="MRG1627" s="1"/>
      <c r="MRH1627" s="1"/>
      <c r="MRI1627" s="1"/>
      <c r="MRJ1627" s="1"/>
      <c r="MRK1627" s="1"/>
      <c r="MRL1627" s="1"/>
      <c r="MRM1627" s="1"/>
      <c r="MRN1627" s="1"/>
      <c r="MRO1627" s="1"/>
      <c r="MRP1627" s="1"/>
      <c r="MRQ1627" s="1"/>
      <c r="MRR1627" s="1"/>
      <c r="MRS1627" s="1"/>
      <c r="MRT1627" s="1"/>
      <c r="MRU1627" s="1"/>
      <c r="MRV1627" s="1"/>
      <c r="MRW1627" s="1"/>
      <c r="MRX1627" s="1"/>
      <c r="MRY1627" s="1"/>
      <c r="MRZ1627" s="1"/>
      <c r="MSA1627" s="1"/>
      <c r="MSB1627" s="1"/>
      <c r="MSC1627" s="1"/>
      <c r="MSD1627" s="1"/>
      <c r="MSE1627" s="1"/>
      <c r="MSF1627" s="1"/>
      <c r="MSG1627" s="1"/>
      <c r="MSH1627" s="1"/>
      <c r="MSI1627" s="1"/>
      <c r="MSJ1627" s="1"/>
      <c r="MSK1627" s="1"/>
      <c r="MSL1627" s="1"/>
      <c r="MSM1627" s="1"/>
      <c r="MSN1627" s="1"/>
      <c r="MSO1627" s="1"/>
      <c r="MSP1627" s="1"/>
      <c r="MSQ1627" s="1"/>
      <c r="MSR1627" s="1"/>
      <c r="MSS1627" s="1"/>
      <c r="MST1627" s="1"/>
      <c r="MSU1627" s="1"/>
      <c r="MSV1627" s="1"/>
      <c r="MSW1627" s="1"/>
      <c r="MSX1627" s="1"/>
      <c r="MSY1627" s="1"/>
      <c r="MSZ1627" s="1"/>
      <c r="MTA1627" s="1"/>
      <c r="MTB1627" s="1"/>
      <c r="MTC1627" s="1"/>
      <c r="MTD1627" s="1"/>
      <c r="MTE1627" s="1"/>
      <c r="MTF1627" s="1"/>
      <c r="MTG1627" s="1"/>
      <c r="MTH1627" s="1"/>
      <c r="MTI1627" s="1"/>
      <c r="MTJ1627" s="1"/>
      <c r="MTK1627" s="1"/>
      <c r="MTL1627" s="1"/>
      <c r="MTM1627" s="1"/>
      <c r="MTN1627" s="1"/>
      <c r="MTO1627" s="1"/>
      <c r="MTP1627" s="1"/>
      <c r="MTQ1627" s="1"/>
      <c r="MTR1627" s="1"/>
      <c r="MTS1627" s="1"/>
      <c r="MTT1627" s="1"/>
      <c r="MTU1627" s="1"/>
      <c r="MTV1627" s="1"/>
      <c r="MTW1627" s="1"/>
      <c r="MTX1627" s="1"/>
      <c r="MTY1627" s="1"/>
      <c r="MTZ1627" s="1"/>
      <c r="MUA1627" s="1"/>
      <c r="MUB1627" s="1"/>
      <c r="MUC1627" s="1"/>
      <c r="MUD1627" s="1"/>
      <c r="MUE1627" s="1"/>
      <c r="MUF1627" s="1"/>
      <c r="MUG1627" s="1"/>
      <c r="MUH1627" s="1"/>
      <c r="MUI1627" s="1"/>
      <c r="MUJ1627" s="1"/>
      <c r="MUK1627" s="1"/>
      <c r="MUL1627" s="1"/>
      <c r="MUM1627" s="1"/>
      <c r="MUN1627" s="1"/>
      <c r="MUO1627" s="1"/>
      <c r="MUP1627" s="1"/>
      <c r="MUQ1627" s="1"/>
      <c r="MUR1627" s="1"/>
      <c r="MUS1627" s="1"/>
      <c r="MUT1627" s="1"/>
      <c r="MUU1627" s="1"/>
      <c r="MUV1627" s="1"/>
      <c r="MUW1627" s="1"/>
      <c r="MUX1627" s="1"/>
      <c r="MUY1627" s="1"/>
      <c r="MUZ1627" s="1"/>
      <c r="MVA1627" s="1"/>
      <c r="MVB1627" s="1"/>
      <c r="MVC1627" s="1"/>
      <c r="MVD1627" s="1"/>
      <c r="MVE1627" s="1"/>
      <c r="MVF1627" s="1"/>
      <c r="MVG1627" s="1"/>
      <c r="MVH1627" s="1"/>
      <c r="MVI1627" s="1"/>
      <c r="MVJ1627" s="1"/>
      <c r="MVK1627" s="1"/>
      <c r="MVL1627" s="1"/>
      <c r="MVM1627" s="1"/>
      <c r="MVN1627" s="1"/>
      <c r="MVO1627" s="1"/>
      <c r="MVP1627" s="1"/>
      <c r="MVQ1627" s="1"/>
      <c r="MVR1627" s="1"/>
      <c r="MVS1627" s="1"/>
      <c r="MVT1627" s="1"/>
      <c r="MVU1627" s="1"/>
      <c r="MVV1627" s="1"/>
      <c r="MVW1627" s="1"/>
      <c r="MVX1627" s="1"/>
      <c r="MVY1627" s="1"/>
      <c r="MVZ1627" s="1"/>
      <c r="MWA1627" s="1"/>
      <c r="MWB1627" s="1"/>
      <c r="MWC1627" s="1"/>
      <c r="MWD1627" s="1"/>
      <c r="MWE1627" s="1"/>
      <c r="MWF1627" s="1"/>
      <c r="MWG1627" s="1"/>
      <c r="MWH1627" s="1"/>
      <c r="MWI1627" s="1"/>
      <c r="MWJ1627" s="1"/>
      <c r="MWK1627" s="1"/>
      <c r="MWL1627" s="1"/>
      <c r="MWM1627" s="1"/>
      <c r="MWN1627" s="1"/>
      <c r="MWO1627" s="1"/>
      <c r="MWP1627" s="1"/>
      <c r="MWQ1627" s="1"/>
      <c r="MWR1627" s="1"/>
      <c r="MWS1627" s="1"/>
      <c r="MWT1627" s="1"/>
      <c r="MWU1627" s="1"/>
      <c r="MWV1627" s="1"/>
      <c r="MWW1627" s="1"/>
      <c r="MWX1627" s="1"/>
      <c r="MWY1627" s="1"/>
      <c r="MWZ1627" s="1"/>
      <c r="MXA1627" s="1"/>
      <c r="MXB1627" s="1"/>
      <c r="MXC1627" s="1"/>
      <c r="MXD1627" s="1"/>
      <c r="MXE1627" s="1"/>
      <c r="MXF1627" s="1"/>
      <c r="MXG1627" s="1"/>
      <c r="MXH1627" s="1"/>
      <c r="MXI1627" s="1"/>
      <c r="MXJ1627" s="1"/>
      <c r="MXK1627" s="1"/>
      <c r="MXL1627" s="1"/>
      <c r="MXM1627" s="1"/>
      <c r="MXN1627" s="1"/>
      <c r="MXO1627" s="1"/>
      <c r="MXP1627" s="1"/>
      <c r="MXQ1627" s="1"/>
      <c r="MXR1627" s="1"/>
      <c r="MXS1627" s="1"/>
      <c r="MXT1627" s="1"/>
      <c r="MXU1627" s="1"/>
      <c r="MXV1627" s="1"/>
      <c r="MXW1627" s="1"/>
      <c r="MXX1627" s="1"/>
      <c r="MXY1627" s="1"/>
      <c r="MXZ1627" s="1"/>
      <c r="MYA1627" s="1"/>
      <c r="MYB1627" s="1"/>
      <c r="MYC1627" s="1"/>
      <c r="MYD1627" s="1"/>
      <c r="MYE1627" s="1"/>
      <c r="MYF1627" s="1"/>
      <c r="MYG1627" s="1"/>
      <c r="MYH1627" s="1"/>
      <c r="MYI1627" s="1"/>
      <c r="MYJ1627" s="1"/>
      <c r="MYK1627" s="1"/>
      <c r="MYL1627" s="1"/>
      <c r="MYM1627" s="1"/>
      <c r="MYN1627" s="1"/>
      <c r="MYO1627" s="1"/>
      <c r="MYP1627" s="1"/>
      <c r="MYQ1627" s="1"/>
      <c r="MYR1627" s="1"/>
      <c r="MYS1627" s="1"/>
      <c r="MYT1627" s="1"/>
      <c r="MYU1627" s="1"/>
      <c r="MYV1627" s="1"/>
      <c r="MYW1627" s="1"/>
      <c r="MYX1627" s="1"/>
      <c r="MYY1627" s="1"/>
      <c r="MYZ1627" s="1"/>
      <c r="MZA1627" s="1"/>
      <c r="MZB1627" s="1"/>
      <c r="MZC1627" s="1"/>
      <c r="MZD1627" s="1"/>
      <c r="MZE1627" s="1"/>
      <c r="MZF1627" s="1"/>
      <c r="MZG1627" s="1"/>
      <c r="MZH1627" s="1"/>
      <c r="MZI1627" s="1"/>
      <c r="MZJ1627" s="1"/>
      <c r="MZK1627" s="1"/>
      <c r="MZL1627" s="1"/>
      <c r="MZM1627" s="1"/>
      <c r="MZN1627" s="1"/>
      <c r="MZO1627" s="1"/>
      <c r="MZP1627" s="1"/>
      <c r="MZQ1627" s="1"/>
      <c r="MZR1627" s="1"/>
      <c r="MZS1627" s="1"/>
      <c r="MZT1627" s="1"/>
      <c r="MZU1627" s="1"/>
      <c r="MZV1627" s="1"/>
      <c r="MZW1627" s="1"/>
      <c r="MZX1627" s="1"/>
      <c r="MZY1627" s="1"/>
      <c r="MZZ1627" s="1"/>
      <c r="NAA1627" s="1"/>
      <c r="NAB1627" s="1"/>
      <c r="NAC1627" s="1"/>
      <c r="NAD1627" s="1"/>
      <c r="NAE1627" s="1"/>
      <c r="NAF1627" s="1"/>
      <c r="NAG1627" s="1"/>
      <c r="NAH1627" s="1"/>
      <c r="NAI1627" s="1"/>
      <c r="NAJ1627" s="1"/>
      <c r="NAK1627" s="1"/>
      <c r="NAL1627" s="1"/>
      <c r="NAM1627" s="1"/>
      <c r="NAN1627" s="1"/>
      <c r="NAO1627" s="1"/>
      <c r="NAP1627" s="1"/>
      <c r="NAQ1627" s="1"/>
      <c r="NAR1627" s="1"/>
      <c r="NAS1627" s="1"/>
      <c r="NAT1627" s="1"/>
      <c r="NAU1627" s="1"/>
      <c r="NAV1627" s="1"/>
      <c r="NAW1627" s="1"/>
      <c r="NAX1627" s="1"/>
      <c r="NAY1627" s="1"/>
      <c r="NAZ1627" s="1"/>
      <c r="NBA1627" s="1"/>
      <c r="NBB1627" s="1"/>
      <c r="NBC1627" s="1"/>
      <c r="NBD1627" s="1"/>
      <c r="NBE1627" s="1"/>
      <c r="NBF1627" s="1"/>
      <c r="NBG1627" s="1"/>
      <c r="NBH1627" s="1"/>
      <c r="NBI1627" s="1"/>
      <c r="NBJ1627" s="1"/>
      <c r="NBK1627" s="1"/>
      <c r="NBL1627" s="1"/>
      <c r="NBM1627" s="1"/>
      <c r="NBN1627" s="1"/>
      <c r="NBO1627" s="1"/>
      <c r="NBP1627" s="1"/>
      <c r="NBQ1627" s="1"/>
      <c r="NBR1627" s="1"/>
      <c r="NBS1627" s="1"/>
      <c r="NBT1627" s="1"/>
      <c r="NBU1627" s="1"/>
      <c r="NBV1627" s="1"/>
      <c r="NBW1627" s="1"/>
      <c r="NBX1627" s="1"/>
      <c r="NBY1627" s="1"/>
      <c r="NBZ1627" s="1"/>
      <c r="NCA1627" s="1"/>
      <c r="NCB1627" s="1"/>
      <c r="NCC1627" s="1"/>
      <c r="NCD1627" s="1"/>
      <c r="NCE1627" s="1"/>
      <c r="NCF1627" s="1"/>
      <c r="NCG1627" s="1"/>
      <c r="NCH1627" s="1"/>
      <c r="NCI1627" s="1"/>
      <c r="NCJ1627" s="1"/>
      <c r="NCK1627" s="1"/>
      <c r="NCL1627" s="1"/>
      <c r="NCM1627" s="1"/>
      <c r="NCN1627" s="1"/>
      <c r="NCO1627" s="1"/>
      <c r="NCP1627" s="1"/>
      <c r="NCQ1627" s="1"/>
      <c r="NCR1627" s="1"/>
      <c r="NCS1627" s="1"/>
      <c r="NCT1627" s="1"/>
      <c r="NCU1627" s="1"/>
      <c r="NCV1627" s="1"/>
      <c r="NCW1627" s="1"/>
      <c r="NCX1627" s="1"/>
      <c r="NCY1627" s="1"/>
      <c r="NCZ1627" s="1"/>
      <c r="NDA1627" s="1"/>
      <c r="NDB1627" s="1"/>
      <c r="NDC1627" s="1"/>
      <c r="NDD1627" s="1"/>
      <c r="NDE1627" s="1"/>
      <c r="NDF1627" s="1"/>
      <c r="NDG1627" s="1"/>
      <c r="NDH1627" s="1"/>
      <c r="NDI1627" s="1"/>
      <c r="NDJ1627" s="1"/>
      <c r="NDK1627" s="1"/>
      <c r="NDL1627" s="1"/>
      <c r="NDM1627" s="1"/>
      <c r="NDN1627" s="1"/>
      <c r="NDO1627" s="1"/>
      <c r="NDP1627" s="1"/>
      <c r="NDQ1627" s="1"/>
      <c r="NDR1627" s="1"/>
      <c r="NDS1627" s="1"/>
      <c r="NDT1627" s="1"/>
      <c r="NDU1627" s="1"/>
      <c r="NDV1627" s="1"/>
      <c r="NDW1627" s="1"/>
      <c r="NDX1627" s="1"/>
      <c r="NDY1627" s="1"/>
      <c r="NDZ1627" s="1"/>
      <c r="NEA1627" s="1"/>
      <c r="NEB1627" s="1"/>
      <c r="NEC1627" s="1"/>
      <c r="NED1627" s="1"/>
      <c r="NEE1627" s="1"/>
      <c r="NEF1627" s="1"/>
      <c r="NEG1627" s="1"/>
      <c r="NEH1627" s="1"/>
      <c r="NEI1627" s="1"/>
      <c r="NEJ1627" s="1"/>
      <c r="NEK1627" s="1"/>
      <c r="NEL1627" s="1"/>
      <c r="NEM1627" s="1"/>
      <c r="NEN1627" s="1"/>
      <c r="NEO1627" s="1"/>
      <c r="NEP1627" s="1"/>
      <c r="NEQ1627" s="1"/>
      <c r="NER1627" s="1"/>
      <c r="NES1627" s="1"/>
      <c r="NET1627" s="1"/>
      <c r="NEU1627" s="1"/>
      <c r="NEV1627" s="1"/>
      <c r="NEW1627" s="1"/>
      <c r="NEX1627" s="1"/>
      <c r="NEY1627" s="1"/>
      <c r="NEZ1627" s="1"/>
      <c r="NFA1627" s="1"/>
      <c r="NFB1627" s="1"/>
      <c r="NFC1627" s="1"/>
      <c r="NFD1627" s="1"/>
      <c r="NFE1627" s="1"/>
      <c r="NFF1627" s="1"/>
      <c r="NFG1627" s="1"/>
      <c r="NFH1627" s="1"/>
      <c r="NFI1627" s="1"/>
      <c r="NFJ1627" s="1"/>
      <c r="NFK1627" s="1"/>
      <c r="NFL1627" s="1"/>
      <c r="NFM1627" s="1"/>
      <c r="NFN1627" s="1"/>
      <c r="NFO1627" s="1"/>
      <c r="NFP1627" s="1"/>
      <c r="NFQ1627" s="1"/>
      <c r="NFR1627" s="1"/>
      <c r="NFS1627" s="1"/>
      <c r="NFT1627" s="1"/>
      <c r="NFU1627" s="1"/>
      <c r="NFV1627" s="1"/>
      <c r="NFW1627" s="1"/>
      <c r="NFX1627" s="1"/>
      <c r="NFY1627" s="1"/>
      <c r="NFZ1627" s="1"/>
      <c r="NGA1627" s="1"/>
      <c r="NGB1627" s="1"/>
      <c r="NGC1627" s="1"/>
      <c r="NGD1627" s="1"/>
      <c r="NGE1627" s="1"/>
      <c r="NGF1627" s="1"/>
      <c r="NGG1627" s="1"/>
      <c r="NGH1627" s="1"/>
      <c r="NGI1627" s="1"/>
      <c r="NGJ1627" s="1"/>
      <c r="NGK1627" s="1"/>
      <c r="NGL1627" s="1"/>
      <c r="NGM1627" s="1"/>
      <c r="NGN1627" s="1"/>
      <c r="NGO1627" s="1"/>
      <c r="NGP1627" s="1"/>
      <c r="NGQ1627" s="1"/>
      <c r="NGR1627" s="1"/>
      <c r="NGS1627" s="1"/>
      <c r="NGT1627" s="1"/>
      <c r="NGU1627" s="1"/>
      <c r="NGV1627" s="1"/>
      <c r="NGW1627" s="1"/>
      <c r="NGX1627" s="1"/>
      <c r="NGY1627" s="1"/>
      <c r="NGZ1627" s="1"/>
      <c r="NHA1627" s="1"/>
      <c r="NHB1627" s="1"/>
      <c r="NHC1627" s="1"/>
      <c r="NHD1627" s="1"/>
      <c r="NHE1627" s="1"/>
      <c r="NHF1627" s="1"/>
      <c r="NHG1627" s="1"/>
      <c r="NHH1627" s="1"/>
      <c r="NHI1627" s="1"/>
      <c r="NHJ1627" s="1"/>
      <c r="NHK1627" s="1"/>
      <c r="NHL1627" s="1"/>
      <c r="NHM1627" s="1"/>
      <c r="NHN1627" s="1"/>
      <c r="NHO1627" s="1"/>
      <c r="NHP1627" s="1"/>
      <c r="NHQ1627" s="1"/>
      <c r="NHR1627" s="1"/>
      <c r="NHS1627" s="1"/>
      <c r="NHT1627" s="1"/>
      <c r="NHU1627" s="1"/>
      <c r="NHV1627" s="1"/>
      <c r="NHW1627" s="1"/>
      <c r="NHX1627" s="1"/>
      <c r="NHY1627" s="1"/>
      <c r="NHZ1627" s="1"/>
      <c r="NIA1627" s="1"/>
      <c r="NIB1627" s="1"/>
      <c r="NIC1627" s="1"/>
      <c r="NID1627" s="1"/>
      <c r="NIE1627" s="1"/>
      <c r="NIF1627" s="1"/>
      <c r="NIG1627" s="1"/>
      <c r="NIH1627" s="1"/>
      <c r="NII1627" s="1"/>
      <c r="NIJ1627" s="1"/>
      <c r="NIK1627" s="1"/>
      <c r="NIL1627" s="1"/>
      <c r="NIM1627" s="1"/>
      <c r="NIN1627" s="1"/>
      <c r="NIO1627" s="1"/>
      <c r="NIP1627" s="1"/>
      <c r="NIQ1627" s="1"/>
      <c r="NIR1627" s="1"/>
      <c r="NIS1627" s="1"/>
      <c r="NIT1627" s="1"/>
      <c r="NIU1627" s="1"/>
      <c r="NIV1627" s="1"/>
      <c r="NIW1627" s="1"/>
      <c r="NIX1627" s="1"/>
      <c r="NIY1627" s="1"/>
      <c r="NIZ1627" s="1"/>
      <c r="NJA1627" s="1"/>
      <c r="NJB1627" s="1"/>
      <c r="NJC1627" s="1"/>
      <c r="NJD1627" s="1"/>
      <c r="NJE1627" s="1"/>
      <c r="NJF1627" s="1"/>
      <c r="NJG1627" s="1"/>
      <c r="NJH1627" s="1"/>
      <c r="NJI1627" s="1"/>
      <c r="NJJ1627" s="1"/>
      <c r="NJK1627" s="1"/>
      <c r="NJL1627" s="1"/>
      <c r="NJM1627" s="1"/>
      <c r="NJN1627" s="1"/>
      <c r="NJO1627" s="1"/>
      <c r="NJP1627" s="1"/>
      <c r="NJQ1627" s="1"/>
      <c r="NJR1627" s="1"/>
      <c r="NJS1627" s="1"/>
      <c r="NJT1627" s="1"/>
      <c r="NJU1627" s="1"/>
      <c r="NJV1627" s="1"/>
      <c r="NJW1627" s="1"/>
      <c r="NJX1627" s="1"/>
      <c r="NJY1627" s="1"/>
      <c r="NJZ1627" s="1"/>
      <c r="NKA1627" s="1"/>
      <c r="NKB1627" s="1"/>
      <c r="NKC1627" s="1"/>
      <c r="NKD1627" s="1"/>
      <c r="NKE1627" s="1"/>
      <c r="NKF1627" s="1"/>
      <c r="NKG1627" s="1"/>
      <c r="NKH1627" s="1"/>
      <c r="NKI1627" s="1"/>
      <c r="NKJ1627" s="1"/>
      <c r="NKK1627" s="1"/>
      <c r="NKL1627" s="1"/>
      <c r="NKM1627" s="1"/>
      <c r="NKN1627" s="1"/>
      <c r="NKO1627" s="1"/>
      <c r="NKP1627" s="1"/>
      <c r="NKQ1627" s="1"/>
      <c r="NKR1627" s="1"/>
      <c r="NKS1627" s="1"/>
      <c r="NKT1627" s="1"/>
      <c r="NKU1627" s="1"/>
      <c r="NKV1627" s="1"/>
      <c r="NKW1627" s="1"/>
      <c r="NKX1627" s="1"/>
      <c r="NKY1627" s="1"/>
      <c r="NKZ1627" s="1"/>
      <c r="NLA1627" s="1"/>
      <c r="NLB1627" s="1"/>
      <c r="NLC1627" s="1"/>
      <c r="NLD1627" s="1"/>
      <c r="NLE1627" s="1"/>
      <c r="NLF1627" s="1"/>
      <c r="NLG1627" s="1"/>
      <c r="NLH1627" s="1"/>
      <c r="NLI1627" s="1"/>
      <c r="NLJ1627" s="1"/>
      <c r="NLK1627" s="1"/>
      <c r="NLL1627" s="1"/>
      <c r="NLM1627" s="1"/>
      <c r="NLN1627" s="1"/>
      <c r="NLO1627" s="1"/>
      <c r="NLP1627" s="1"/>
      <c r="NLQ1627" s="1"/>
      <c r="NLR1627" s="1"/>
      <c r="NLS1627" s="1"/>
      <c r="NLT1627" s="1"/>
      <c r="NLU1627" s="1"/>
      <c r="NLV1627" s="1"/>
      <c r="NLW1627" s="1"/>
      <c r="NLX1627" s="1"/>
      <c r="NLY1627" s="1"/>
      <c r="NLZ1627" s="1"/>
      <c r="NMA1627" s="1"/>
      <c r="NMB1627" s="1"/>
      <c r="NMC1627" s="1"/>
      <c r="NMD1627" s="1"/>
      <c r="NME1627" s="1"/>
      <c r="NMF1627" s="1"/>
      <c r="NMG1627" s="1"/>
      <c r="NMH1627" s="1"/>
      <c r="NMI1627" s="1"/>
      <c r="NMJ1627" s="1"/>
      <c r="NMK1627" s="1"/>
      <c r="NML1627" s="1"/>
      <c r="NMM1627" s="1"/>
      <c r="NMN1627" s="1"/>
      <c r="NMO1627" s="1"/>
      <c r="NMP1627" s="1"/>
      <c r="NMQ1627" s="1"/>
      <c r="NMR1627" s="1"/>
      <c r="NMS1627" s="1"/>
      <c r="NMT1627" s="1"/>
      <c r="NMU1627" s="1"/>
      <c r="NMV1627" s="1"/>
      <c r="NMW1627" s="1"/>
      <c r="NMX1627" s="1"/>
      <c r="NMY1627" s="1"/>
      <c r="NMZ1627" s="1"/>
      <c r="NNA1627" s="1"/>
      <c r="NNB1627" s="1"/>
      <c r="NNC1627" s="1"/>
      <c r="NND1627" s="1"/>
      <c r="NNE1627" s="1"/>
      <c r="NNF1627" s="1"/>
      <c r="NNG1627" s="1"/>
      <c r="NNH1627" s="1"/>
      <c r="NNI1627" s="1"/>
      <c r="NNJ1627" s="1"/>
      <c r="NNK1627" s="1"/>
      <c r="NNL1627" s="1"/>
      <c r="NNM1627" s="1"/>
      <c r="NNN1627" s="1"/>
      <c r="NNO1627" s="1"/>
      <c r="NNP1627" s="1"/>
      <c r="NNQ1627" s="1"/>
      <c r="NNR1627" s="1"/>
      <c r="NNS1627" s="1"/>
      <c r="NNT1627" s="1"/>
      <c r="NNU1627" s="1"/>
      <c r="NNV1627" s="1"/>
      <c r="NNW1627" s="1"/>
      <c r="NNX1627" s="1"/>
      <c r="NNY1627" s="1"/>
      <c r="NNZ1627" s="1"/>
      <c r="NOA1627" s="1"/>
      <c r="NOB1627" s="1"/>
      <c r="NOC1627" s="1"/>
      <c r="NOD1627" s="1"/>
      <c r="NOE1627" s="1"/>
      <c r="NOF1627" s="1"/>
      <c r="NOG1627" s="1"/>
      <c r="NOH1627" s="1"/>
      <c r="NOI1627" s="1"/>
      <c r="NOJ1627" s="1"/>
      <c r="NOK1627" s="1"/>
      <c r="NOL1627" s="1"/>
      <c r="NOM1627" s="1"/>
      <c r="NON1627" s="1"/>
      <c r="NOO1627" s="1"/>
      <c r="NOP1627" s="1"/>
      <c r="NOQ1627" s="1"/>
      <c r="NOR1627" s="1"/>
      <c r="NOS1627" s="1"/>
      <c r="NOT1627" s="1"/>
      <c r="NOU1627" s="1"/>
      <c r="NOV1627" s="1"/>
      <c r="NOW1627" s="1"/>
      <c r="NOX1627" s="1"/>
      <c r="NOY1627" s="1"/>
      <c r="NOZ1627" s="1"/>
      <c r="NPA1627" s="1"/>
      <c r="NPB1627" s="1"/>
      <c r="NPC1627" s="1"/>
      <c r="NPD1627" s="1"/>
      <c r="NPE1627" s="1"/>
      <c r="NPF1627" s="1"/>
      <c r="NPG1627" s="1"/>
      <c r="NPH1627" s="1"/>
      <c r="NPI1627" s="1"/>
      <c r="NPJ1627" s="1"/>
      <c r="NPK1627" s="1"/>
      <c r="NPL1627" s="1"/>
      <c r="NPM1627" s="1"/>
      <c r="NPN1627" s="1"/>
      <c r="NPO1627" s="1"/>
      <c r="NPP1627" s="1"/>
      <c r="NPQ1627" s="1"/>
      <c r="NPR1627" s="1"/>
      <c r="NPS1627" s="1"/>
      <c r="NPT1627" s="1"/>
      <c r="NPU1627" s="1"/>
      <c r="NPV1627" s="1"/>
      <c r="NPW1627" s="1"/>
      <c r="NPX1627" s="1"/>
      <c r="NPY1627" s="1"/>
      <c r="NPZ1627" s="1"/>
      <c r="NQA1627" s="1"/>
      <c r="NQB1627" s="1"/>
      <c r="NQC1627" s="1"/>
      <c r="NQD1627" s="1"/>
      <c r="NQE1627" s="1"/>
      <c r="NQF1627" s="1"/>
      <c r="NQG1627" s="1"/>
      <c r="NQH1627" s="1"/>
      <c r="NQI1627" s="1"/>
      <c r="NQJ1627" s="1"/>
      <c r="NQK1627" s="1"/>
      <c r="NQL1627" s="1"/>
      <c r="NQM1627" s="1"/>
      <c r="NQN1627" s="1"/>
      <c r="NQO1627" s="1"/>
      <c r="NQP1627" s="1"/>
      <c r="NQQ1627" s="1"/>
      <c r="NQR1627" s="1"/>
      <c r="NQS1627" s="1"/>
      <c r="NQT1627" s="1"/>
      <c r="NQU1627" s="1"/>
      <c r="NQV1627" s="1"/>
      <c r="NQW1627" s="1"/>
      <c r="NQX1627" s="1"/>
      <c r="NQY1627" s="1"/>
      <c r="NQZ1627" s="1"/>
      <c r="NRA1627" s="1"/>
      <c r="NRB1627" s="1"/>
      <c r="NRC1627" s="1"/>
      <c r="NRD1627" s="1"/>
      <c r="NRE1627" s="1"/>
      <c r="NRF1627" s="1"/>
      <c r="NRG1627" s="1"/>
      <c r="NRH1627" s="1"/>
      <c r="NRI1627" s="1"/>
      <c r="NRJ1627" s="1"/>
      <c r="NRK1627" s="1"/>
      <c r="NRL1627" s="1"/>
      <c r="NRM1627" s="1"/>
      <c r="NRN1627" s="1"/>
      <c r="NRO1627" s="1"/>
      <c r="NRP1627" s="1"/>
      <c r="NRQ1627" s="1"/>
      <c r="NRR1627" s="1"/>
      <c r="NRS1627" s="1"/>
      <c r="NRT1627" s="1"/>
      <c r="NRU1627" s="1"/>
      <c r="NRV1627" s="1"/>
      <c r="NRW1627" s="1"/>
      <c r="NRX1627" s="1"/>
      <c r="NRY1627" s="1"/>
      <c r="NRZ1627" s="1"/>
      <c r="NSA1627" s="1"/>
      <c r="NSB1627" s="1"/>
      <c r="NSC1627" s="1"/>
      <c r="NSD1627" s="1"/>
      <c r="NSE1627" s="1"/>
      <c r="NSF1627" s="1"/>
      <c r="NSG1627" s="1"/>
      <c r="NSH1627" s="1"/>
      <c r="NSI1627" s="1"/>
      <c r="NSJ1627" s="1"/>
      <c r="NSK1627" s="1"/>
      <c r="NSL1627" s="1"/>
      <c r="NSM1627" s="1"/>
      <c r="NSN1627" s="1"/>
      <c r="NSO1627" s="1"/>
      <c r="NSP1627" s="1"/>
      <c r="NSQ1627" s="1"/>
      <c r="NSR1627" s="1"/>
      <c r="NSS1627" s="1"/>
      <c r="NST1627" s="1"/>
      <c r="NSU1627" s="1"/>
      <c r="NSV1627" s="1"/>
      <c r="NSW1627" s="1"/>
      <c r="NSX1627" s="1"/>
      <c r="NSY1627" s="1"/>
      <c r="NSZ1627" s="1"/>
      <c r="NTA1627" s="1"/>
      <c r="NTB1627" s="1"/>
      <c r="NTC1627" s="1"/>
      <c r="NTD1627" s="1"/>
      <c r="NTE1627" s="1"/>
      <c r="NTF1627" s="1"/>
      <c r="NTG1627" s="1"/>
      <c r="NTH1627" s="1"/>
      <c r="NTI1627" s="1"/>
      <c r="NTJ1627" s="1"/>
      <c r="NTK1627" s="1"/>
      <c r="NTL1627" s="1"/>
      <c r="NTM1627" s="1"/>
      <c r="NTN1627" s="1"/>
      <c r="NTO1627" s="1"/>
      <c r="NTP1627" s="1"/>
      <c r="NTQ1627" s="1"/>
      <c r="NTR1627" s="1"/>
      <c r="NTS1627" s="1"/>
      <c r="NTT1627" s="1"/>
      <c r="NTU1627" s="1"/>
      <c r="NTV1627" s="1"/>
      <c r="NTW1627" s="1"/>
      <c r="NTX1627" s="1"/>
      <c r="NTY1627" s="1"/>
      <c r="NTZ1627" s="1"/>
      <c r="NUA1627" s="1"/>
      <c r="NUB1627" s="1"/>
      <c r="NUC1627" s="1"/>
      <c r="NUD1627" s="1"/>
      <c r="NUE1627" s="1"/>
      <c r="NUF1627" s="1"/>
      <c r="NUG1627" s="1"/>
      <c r="NUH1627" s="1"/>
      <c r="NUI1627" s="1"/>
      <c r="NUJ1627" s="1"/>
      <c r="NUK1627" s="1"/>
      <c r="NUL1627" s="1"/>
      <c r="NUM1627" s="1"/>
      <c r="NUN1627" s="1"/>
      <c r="NUO1627" s="1"/>
      <c r="NUP1627" s="1"/>
      <c r="NUQ1627" s="1"/>
      <c r="NUR1627" s="1"/>
      <c r="NUS1627" s="1"/>
      <c r="NUT1627" s="1"/>
      <c r="NUU1627" s="1"/>
      <c r="NUV1627" s="1"/>
      <c r="NUW1627" s="1"/>
      <c r="NUX1627" s="1"/>
      <c r="NUY1627" s="1"/>
      <c r="NUZ1627" s="1"/>
      <c r="NVA1627" s="1"/>
      <c r="NVB1627" s="1"/>
      <c r="NVC1627" s="1"/>
      <c r="NVD1627" s="1"/>
      <c r="NVE1627" s="1"/>
      <c r="NVF1627" s="1"/>
      <c r="NVG1627" s="1"/>
      <c r="NVH1627" s="1"/>
      <c r="NVI1627" s="1"/>
      <c r="NVJ1627" s="1"/>
      <c r="NVK1627" s="1"/>
      <c r="NVL1627" s="1"/>
      <c r="NVM1627" s="1"/>
      <c r="NVN1627" s="1"/>
      <c r="NVO1627" s="1"/>
      <c r="NVP1627" s="1"/>
      <c r="NVQ1627" s="1"/>
      <c r="NVR1627" s="1"/>
      <c r="NVS1627" s="1"/>
      <c r="NVT1627" s="1"/>
      <c r="NVU1627" s="1"/>
      <c r="NVV1627" s="1"/>
      <c r="NVW1627" s="1"/>
      <c r="NVX1627" s="1"/>
      <c r="NVY1627" s="1"/>
      <c r="NVZ1627" s="1"/>
      <c r="NWA1627" s="1"/>
      <c r="NWB1627" s="1"/>
      <c r="NWC1627" s="1"/>
      <c r="NWD1627" s="1"/>
      <c r="NWE1627" s="1"/>
      <c r="NWF1627" s="1"/>
      <c r="NWG1627" s="1"/>
      <c r="NWH1627" s="1"/>
      <c r="NWI1627" s="1"/>
      <c r="NWJ1627" s="1"/>
      <c r="NWK1627" s="1"/>
      <c r="NWL1627" s="1"/>
      <c r="NWM1627" s="1"/>
      <c r="NWN1627" s="1"/>
      <c r="NWO1627" s="1"/>
      <c r="NWP1627" s="1"/>
      <c r="NWQ1627" s="1"/>
      <c r="NWR1627" s="1"/>
      <c r="NWS1627" s="1"/>
      <c r="NWT1627" s="1"/>
      <c r="NWU1627" s="1"/>
      <c r="NWV1627" s="1"/>
      <c r="NWW1627" s="1"/>
      <c r="NWX1627" s="1"/>
      <c r="NWY1627" s="1"/>
      <c r="NWZ1627" s="1"/>
      <c r="NXA1627" s="1"/>
      <c r="NXB1627" s="1"/>
      <c r="NXC1627" s="1"/>
      <c r="NXD1627" s="1"/>
      <c r="NXE1627" s="1"/>
      <c r="NXF1627" s="1"/>
      <c r="NXG1627" s="1"/>
      <c r="NXH1627" s="1"/>
      <c r="NXI1627" s="1"/>
      <c r="NXJ1627" s="1"/>
      <c r="NXK1627" s="1"/>
      <c r="NXL1627" s="1"/>
      <c r="NXM1627" s="1"/>
      <c r="NXN1627" s="1"/>
      <c r="NXO1627" s="1"/>
      <c r="NXP1627" s="1"/>
      <c r="NXQ1627" s="1"/>
      <c r="NXR1627" s="1"/>
      <c r="NXS1627" s="1"/>
      <c r="NXT1627" s="1"/>
      <c r="NXU1627" s="1"/>
      <c r="NXV1627" s="1"/>
      <c r="NXW1627" s="1"/>
      <c r="NXX1627" s="1"/>
      <c r="NXY1627" s="1"/>
      <c r="NXZ1627" s="1"/>
      <c r="NYA1627" s="1"/>
      <c r="NYB1627" s="1"/>
      <c r="NYC1627" s="1"/>
      <c r="NYD1627" s="1"/>
      <c r="NYE1627" s="1"/>
      <c r="NYF1627" s="1"/>
      <c r="NYG1627" s="1"/>
      <c r="NYH1627" s="1"/>
      <c r="NYI1627" s="1"/>
      <c r="NYJ1627" s="1"/>
      <c r="NYK1627" s="1"/>
      <c r="NYL1627" s="1"/>
      <c r="NYM1627" s="1"/>
      <c r="NYN1627" s="1"/>
      <c r="NYO1627" s="1"/>
      <c r="NYP1627" s="1"/>
      <c r="NYQ1627" s="1"/>
      <c r="NYR1627" s="1"/>
      <c r="NYS1627" s="1"/>
      <c r="NYT1627" s="1"/>
      <c r="NYU1627" s="1"/>
      <c r="NYV1627" s="1"/>
      <c r="NYW1627" s="1"/>
      <c r="NYX1627" s="1"/>
      <c r="NYY1627" s="1"/>
      <c r="NYZ1627" s="1"/>
      <c r="NZA1627" s="1"/>
      <c r="NZB1627" s="1"/>
      <c r="NZC1627" s="1"/>
      <c r="NZD1627" s="1"/>
      <c r="NZE1627" s="1"/>
      <c r="NZF1627" s="1"/>
      <c r="NZG1627" s="1"/>
      <c r="NZH1627" s="1"/>
      <c r="NZI1627" s="1"/>
      <c r="NZJ1627" s="1"/>
      <c r="NZK1627" s="1"/>
      <c r="NZL1627" s="1"/>
      <c r="NZM1627" s="1"/>
      <c r="NZN1627" s="1"/>
      <c r="NZO1627" s="1"/>
      <c r="NZP1627" s="1"/>
      <c r="NZQ1627" s="1"/>
      <c r="NZR1627" s="1"/>
      <c r="NZS1627" s="1"/>
      <c r="NZT1627" s="1"/>
      <c r="NZU1627" s="1"/>
      <c r="NZV1627" s="1"/>
      <c r="NZW1627" s="1"/>
      <c r="NZX1627" s="1"/>
      <c r="NZY1627" s="1"/>
      <c r="NZZ1627" s="1"/>
      <c r="OAA1627" s="1"/>
      <c r="OAB1627" s="1"/>
      <c r="OAC1627" s="1"/>
      <c r="OAD1627" s="1"/>
      <c r="OAE1627" s="1"/>
      <c r="OAF1627" s="1"/>
      <c r="OAG1627" s="1"/>
      <c r="OAH1627" s="1"/>
      <c r="OAI1627" s="1"/>
      <c r="OAJ1627" s="1"/>
      <c r="OAK1627" s="1"/>
      <c r="OAL1627" s="1"/>
      <c r="OAM1627" s="1"/>
      <c r="OAN1627" s="1"/>
      <c r="OAO1627" s="1"/>
      <c r="OAP1627" s="1"/>
      <c r="OAQ1627" s="1"/>
      <c r="OAR1627" s="1"/>
      <c r="OAS1627" s="1"/>
      <c r="OAT1627" s="1"/>
      <c r="OAU1627" s="1"/>
      <c r="OAV1627" s="1"/>
      <c r="OAW1627" s="1"/>
      <c r="OAX1627" s="1"/>
      <c r="OAY1627" s="1"/>
      <c r="OAZ1627" s="1"/>
      <c r="OBA1627" s="1"/>
      <c r="OBB1627" s="1"/>
      <c r="OBC1627" s="1"/>
      <c r="OBD1627" s="1"/>
      <c r="OBE1627" s="1"/>
      <c r="OBF1627" s="1"/>
      <c r="OBG1627" s="1"/>
      <c r="OBH1627" s="1"/>
      <c r="OBI1627" s="1"/>
      <c r="OBJ1627" s="1"/>
      <c r="OBK1627" s="1"/>
      <c r="OBL1627" s="1"/>
      <c r="OBM1627" s="1"/>
      <c r="OBN1627" s="1"/>
      <c r="OBO1627" s="1"/>
      <c r="OBP1627" s="1"/>
      <c r="OBQ1627" s="1"/>
      <c r="OBR1627" s="1"/>
      <c r="OBS1627" s="1"/>
      <c r="OBT1627" s="1"/>
      <c r="OBU1627" s="1"/>
      <c r="OBV1627" s="1"/>
      <c r="OBW1627" s="1"/>
      <c r="OBX1627" s="1"/>
      <c r="OBY1627" s="1"/>
      <c r="OBZ1627" s="1"/>
      <c r="OCA1627" s="1"/>
      <c r="OCB1627" s="1"/>
      <c r="OCC1627" s="1"/>
      <c r="OCD1627" s="1"/>
      <c r="OCE1627" s="1"/>
      <c r="OCF1627" s="1"/>
      <c r="OCG1627" s="1"/>
      <c r="OCH1627" s="1"/>
      <c r="OCI1627" s="1"/>
      <c r="OCJ1627" s="1"/>
      <c r="OCK1627" s="1"/>
      <c r="OCL1627" s="1"/>
      <c r="OCM1627" s="1"/>
      <c r="OCN1627" s="1"/>
      <c r="OCO1627" s="1"/>
      <c r="OCP1627" s="1"/>
      <c r="OCQ1627" s="1"/>
      <c r="OCR1627" s="1"/>
      <c r="OCS1627" s="1"/>
      <c r="OCT1627" s="1"/>
      <c r="OCU1627" s="1"/>
      <c r="OCV1627" s="1"/>
      <c r="OCW1627" s="1"/>
      <c r="OCX1627" s="1"/>
      <c r="OCY1627" s="1"/>
      <c r="OCZ1627" s="1"/>
      <c r="ODA1627" s="1"/>
      <c r="ODB1627" s="1"/>
      <c r="ODC1627" s="1"/>
      <c r="ODD1627" s="1"/>
      <c r="ODE1627" s="1"/>
      <c r="ODF1627" s="1"/>
      <c r="ODG1627" s="1"/>
      <c r="ODH1627" s="1"/>
      <c r="ODI1627" s="1"/>
      <c r="ODJ1627" s="1"/>
      <c r="ODK1627" s="1"/>
      <c r="ODL1627" s="1"/>
      <c r="ODM1627" s="1"/>
      <c r="ODN1627" s="1"/>
      <c r="ODO1627" s="1"/>
      <c r="ODP1627" s="1"/>
      <c r="ODQ1627" s="1"/>
      <c r="ODR1627" s="1"/>
      <c r="ODS1627" s="1"/>
      <c r="ODT1627" s="1"/>
      <c r="ODU1627" s="1"/>
      <c r="ODV1627" s="1"/>
      <c r="ODW1627" s="1"/>
      <c r="ODX1627" s="1"/>
      <c r="ODY1627" s="1"/>
      <c r="ODZ1627" s="1"/>
      <c r="OEA1627" s="1"/>
      <c r="OEB1627" s="1"/>
      <c r="OEC1627" s="1"/>
      <c r="OED1627" s="1"/>
      <c r="OEE1627" s="1"/>
      <c r="OEF1627" s="1"/>
      <c r="OEG1627" s="1"/>
      <c r="OEH1627" s="1"/>
      <c r="OEI1627" s="1"/>
      <c r="OEJ1627" s="1"/>
      <c r="OEK1627" s="1"/>
      <c r="OEL1627" s="1"/>
      <c r="OEM1627" s="1"/>
      <c r="OEN1627" s="1"/>
      <c r="OEO1627" s="1"/>
      <c r="OEP1627" s="1"/>
      <c r="OEQ1627" s="1"/>
      <c r="OER1627" s="1"/>
      <c r="OES1627" s="1"/>
      <c r="OET1627" s="1"/>
      <c r="OEU1627" s="1"/>
      <c r="OEV1627" s="1"/>
      <c r="OEW1627" s="1"/>
      <c r="OEX1627" s="1"/>
      <c r="OEY1627" s="1"/>
      <c r="OEZ1627" s="1"/>
      <c r="OFA1627" s="1"/>
      <c r="OFB1627" s="1"/>
      <c r="OFC1627" s="1"/>
      <c r="OFD1627" s="1"/>
      <c r="OFE1627" s="1"/>
      <c r="OFF1627" s="1"/>
      <c r="OFG1627" s="1"/>
      <c r="OFH1627" s="1"/>
      <c r="OFI1627" s="1"/>
      <c r="OFJ1627" s="1"/>
      <c r="OFK1627" s="1"/>
      <c r="OFL1627" s="1"/>
      <c r="OFM1627" s="1"/>
      <c r="OFN1627" s="1"/>
      <c r="OFO1627" s="1"/>
      <c r="OFP1627" s="1"/>
      <c r="OFQ1627" s="1"/>
      <c r="OFR1627" s="1"/>
      <c r="OFS1627" s="1"/>
      <c r="OFT1627" s="1"/>
      <c r="OFU1627" s="1"/>
      <c r="OFV1627" s="1"/>
      <c r="OFW1627" s="1"/>
      <c r="OFX1627" s="1"/>
      <c r="OFY1627" s="1"/>
      <c r="OFZ1627" s="1"/>
      <c r="OGA1627" s="1"/>
      <c r="OGB1627" s="1"/>
      <c r="OGC1627" s="1"/>
      <c r="OGD1627" s="1"/>
      <c r="OGE1627" s="1"/>
      <c r="OGF1627" s="1"/>
      <c r="OGG1627" s="1"/>
      <c r="OGH1627" s="1"/>
      <c r="OGI1627" s="1"/>
      <c r="OGJ1627" s="1"/>
      <c r="OGK1627" s="1"/>
      <c r="OGL1627" s="1"/>
      <c r="OGM1627" s="1"/>
      <c r="OGN1627" s="1"/>
      <c r="OGO1627" s="1"/>
      <c r="OGP1627" s="1"/>
      <c r="OGQ1627" s="1"/>
      <c r="OGR1627" s="1"/>
      <c r="OGS1627" s="1"/>
      <c r="OGT1627" s="1"/>
      <c r="OGU1627" s="1"/>
      <c r="OGV1627" s="1"/>
      <c r="OGW1627" s="1"/>
      <c r="OGX1627" s="1"/>
      <c r="OGY1627" s="1"/>
      <c r="OGZ1627" s="1"/>
      <c r="OHA1627" s="1"/>
      <c r="OHB1627" s="1"/>
      <c r="OHC1627" s="1"/>
      <c r="OHD1627" s="1"/>
      <c r="OHE1627" s="1"/>
      <c r="OHF1627" s="1"/>
      <c r="OHG1627" s="1"/>
      <c r="OHH1627" s="1"/>
      <c r="OHI1627" s="1"/>
      <c r="OHJ1627" s="1"/>
      <c r="OHK1627" s="1"/>
      <c r="OHL1627" s="1"/>
      <c r="OHM1627" s="1"/>
      <c r="OHN1627" s="1"/>
      <c r="OHO1627" s="1"/>
      <c r="OHP1627" s="1"/>
      <c r="OHQ1627" s="1"/>
      <c r="OHR1627" s="1"/>
      <c r="OHS1627" s="1"/>
      <c r="OHT1627" s="1"/>
      <c r="OHU1627" s="1"/>
      <c r="OHV1627" s="1"/>
      <c r="OHW1627" s="1"/>
      <c r="OHX1627" s="1"/>
      <c r="OHY1627" s="1"/>
      <c r="OHZ1627" s="1"/>
      <c r="OIA1627" s="1"/>
      <c r="OIB1627" s="1"/>
      <c r="OIC1627" s="1"/>
      <c r="OID1627" s="1"/>
      <c r="OIE1627" s="1"/>
      <c r="OIF1627" s="1"/>
      <c r="OIG1627" s="1"/>
      <c r="OIH1627" s="1"/>
      <c r="OII1627" s="1"/>
      <c r="OIJ1627" s="1"/>
      <c r="OIK1627" s="1"/>
      <c r="OIL1627" s="1"/>
      <c r="OIM1627" s="1"/>
      <c r="OIN1627" s="1"/>
      <c r="OIO1627" s="1"/>
      <c r="OIP1627" s="1"/>
      <c r="OIQ1627" s="1"/>
      <c r="OIR1627" s="1"/>
      <c r="OIS1627" s="1"/>
      <c r="OIT1627" s="1"/>
      <c r="OIU1627" s="1"/>
      <c r="OIV1627" s="1"/>
      <c r="OIW1627" s="1"/>
      <c r="OIX1627" s="1"/>
      <c r="OIY1627" s="1"/>
      <c r="OIZ1627" s="1"/>
      <c r="OJA1627" s="1"/>
      <c r="OJB1627" s="1"/>
      <c r="OJC1627" s="1"/>
      <c r="OJD1627" s="1"/>
      <c r="OJE1627" s="1"/>
      <c r="OJF1627" s="1"/>
      <c r="OJG1627" s="1"/>
      <c r="OJH1627" s="1"/>
      <c r="OJI1627" s="1"/>
      <c r="OJJ1627" s="1"/>
      <c r="OJK1627" s="1"/>
      <c r="OJL1627" s="1"/>
      <c r="OJM1627" s="1"/>
      <c r="OJN1627" s="1"/>
      <c r="OJO1627" s="1"/>
      <c r="OJP1627" s="1"/>
      <c r="OJQ1627" s="1"/>
      <c r="OJR1627" s="1"/>
      <c r="OJS1627" s="1"/>
      <c r="OJT1627" s="1"/>
      <c r="OJU1627" s="1"/>
      <c r="OJV1627" s="1"/>
      <c r="OJW1627" s="1"/>
      <c r="OJX1627" s="1"/>
      <c r="OJY1627" s="1"/>
      <c r="OJZ1627" s="1"/>
      <c r="OKA1627" s="1"/>
      <c r="OKB1627" s="1"/>
      <c r="OKC1627" s="1"/>
      <c r="OKD1627" s="1"/>
      <c r="OKE1627" s="1"/>
      <c r="OKF1627" s="1"/>
      <c r="OKG1627" s="1"/>
      <c r="OKH1627" s="1"/>
      <c r="OKI1627" s="1"/>
      <c r="OKJ1627" s="1"/>
      <c r="OKK1627" s="1"/>
      <c r="OKL1627" s="1"/>
      <c r="OKM1627" s="1"/>
      <c r="OKN1627" s="1"/>
      <c r="OKO1627" s="1"/>
      <c r="OKP1627" s="1"/>
      <c r="OKQ1627" s="1"/>
      <c r="OKR1627" s="1"/>
      <c r="OKS1627" s="1"/>
      <c r="OKT1627" s="1"/>
      <c r="OKU1627" s="1"/>
      <c r="OKV1627" s="1"/>
      <c r="OKW1627" s="1"/>
      <c r="OKX1627" s="1"/>
      <c r="OKY1627" s="1"/>
      <c r="OKZ1627" s="1"/>
      <c r="OLA1627" s="1"/>
      <c r="OLB1627" s="1"/>
      <c r="OLC1627" s="1"/>
      <c r="OLD1627" s="1"/>
      <c r="OLE1627" s="1"/>
      <c r="OLF1627" s="1"/>
      <c r="OLG1627" s="1"/>
      <c r="OLH1627" s="1"/>
      <c r="OLI1627" s="1"/>
      <c r="OLJ1627" s="1"/>
      <c r="OLK1627" s="1"/>
      <c r="OLL1627" s="1"/>
      <c r="OLM1627" s="1"/>
      <c r="OLN1627" s="1"/>
      <c r="OLO1627" s="1"/>
      <c r="OLP1627" s="1"/>
      <c r="OLQ1627" s="1"/>
      <c r="OLR1627" s="1"/>
      <c r="OLS1627" s="1"/>
      <c r="OLT1627" s="1"/>
      <c r="OLU1627" s="1"/>
      <c r="OLV1627" s="1"/>
      <c r="OLW1627" s="1"/>
      <c r="OLX1627" s="1"/>
      <c r="OLY1627" s="1"/>
      <c r="OLZ1627" s="1"/>
      <c r="OMA1627" s="1"/>
      <c r="OMB1627" s="1"/>
      <c r="OMC1627" s="1"/>
      <c r="OMD1627" s="1"/>
      <c r="OME1627" s="1"/>
      <c r="OMF1627" s="1"/>
      <c r="OMG1627" s="1"/>
      <c r="OMH1627" s="1"/>
      <c r="OMI1627" s="1"/>
      <c r="OMJ1627" s="1"/>
      <c r="OMK1627" s="1"/>
      <c r="OML1627" s="1"/>
      <c r="OMM1627" s="1"/>
      <c r="OMN1627" s="1"/>
      <c r="OMO1627" s="1"/>
      <c r="OMP1627" s="1"/>
      <c r="OMQ1627" s="1"/>
      <c r="OMR1627" s="1"/>
      <c r="OMS1627" s="1"/>
      <c r="OMT1627" s="1"/>
      <c r="OMU1627" s="1"/>
      <c r="OMV1627" s="1"/>
      <c r="OMW1627" s="1"/>
      <c r="OMX1627" s="1"/>
      <c r="OMY1627" s="1"/>
      <c r="OMZ1627" s="1"/>
      <c r="ONA1627" s="1"/>
      <c r="ONB1627" s="1"/>
      <c r="ONC1627" s="1"/>
      <c r="OND1627" s="1"/>
      <c r="ONE1627" s="1"/>
      <c r="ONF1627" s="1"/>
      <c r="ONG1627" s="1"/>
      <c r="ONH1627" s="1"/>
      <c r="ONI1627" s="1"/>
      <c r="ONJ1627" s="1"/>
      <c r="ONK1627" s="1"/>
      <c r="ONL1627" s="1"/>
      <c r="ONM1627" s="1"/>
      <c r="ONN1627" s="1"/>
      <c r="ONO1627" s="1"/>
      <c r="ONP1627" s="1"/>
      <c r="ONQ1627" s="1"/>
      <c r="ONR1627" s="1"/>
      <c r="ONS1627" s="1"/>
      <c r="ONT1627" s="1"/>
      <c r="ONU1627" s="1"/>
      <c r="ONV1627" s="1"/>
      <c r="ONW1627" s="1"/>
      <c r="ONX1627" s="1"/>
      <c r="ONY1627" s="1"/>
      <c r="ONZ1627" s="1"/>
      <c r="OOA1627" s="1"/>
      <c r="OOB1627" s="1"/>
      <c r="OOC1627" s="1"/>
      <c r="OOD1627" s="1"/>
      <c r="OOE1627" s="1"/>
      <c r="OOF1627" s="1"/>
      <c r="OOG1627" s="1"/>
      <c r="OOH1627" s="1"/>
      <c r="OOI1627" s="1"/>
      <c r="OOJ1627" s="1"/>
      <c r="OOK1627" s="1"/>
      <c r="OOL1627" s="1"/>
      <c r="OOM1627" s="1"/>
      <c r="OON1627" s="1"/>
      <c r="OOO1627" s="1"/>
      <c r="OOP1627" s="1"/>
      <c r="OOQ1627" s="1"/>
      <c r="OOR1627" s="1"/>
      <c r="OOS1627" s="1"/>
      <c r="OOT1627" s="1"/>
      <c r="OOU1627" s="1"/>
      <c r="OOV1627" s="1"/>
      <c r="OOW1627" s="1"/>
      <c r="OOX1627" s="1"/>
      <c r="OOY1627" s="1"/>
      <c r="OOZ1627" s="1"/>
      <c r="OPA1627" s="1"/>
      <c r="OPB1627" s="1"/>
      <c r="OPC1627" s="1"/>
      <c r="OPD1627" s="1"/>
      <c r="OPE1627" s="1"/>
      <c r="OPF1627" s="1"/>
      <c r="OPG1627" s="1"/>
      <c r="OPH1627" s="1"/>
      <c r="OPI1627" s="1"/>
      <c r="OPJ1627" s="1"/>
      <c r="OPK1627" s="1"/>
      <c r="OPL1627" s="1"/>
      <c r="OPM1627" s="1"/>
      <c r="OPN1627" s="1"/>
      <c r="OPO1627" s="1"/>
      <c r="OPP1627" s="1"/>
      <c r="OPQ1627" s="1"/>
      <c r="OPR1627" s="1"/>
      <c r="OPS1627" s="1"/>
      <c r="OPT1627" s="1"/>
      <c r="OPU1627" s="1"/>
      <c r="OPV1627" s="1"/>
      <c r="OPW1627" s="1"/>
      <c r="OPX1627" s="1"/>
      <c r="OPY1627" s="1"/>
      <c r="OPZ1627" s="1"/>
      <c r="OQA1627" s="1"/>
      <c r="OQB1627" s="1"/>
      <c r="OQC1627" s="1"/>
      <c r="OQD1627" s="1"/>
      <c r="OQE1627" s="1"/>
      <c r="OQF1627" s="1"/>
      <c r="OQG1627" s="1"/>
      <c r="OQH1627" s="1"/>
      <c r="OQI1627" s="1"/>
      <c r="OQJ1627" s="1"/>
      <c r="OQK1627" s="1"/>
      <c r="OQL1627" s="1"/>
      <c r="OQM1627" s="1"/>
      <c r="OQN1627" s="1"/>
      <c r="OQO1627" s="1"/>
      <c r="OQP1627" s="1"/>
      <c r="OQQ1627" s="1"/>
      <c r="OQR1627" s="1"/>
      <c r="OQS1627" s="1"/>
      <c r="OQT1627" s="1"/>
      <c r="OQU1627" s="1"/>
      <c r="OQV1627" s="1"/>
      <c r="OQW1627" s="1"/>
      <c r="OQX1627" s="1"/>
      <c r="OQY1627" s="1"/>
      <c r="OQZ1627" s="1"/>
      <c r="ORA1627" s="1"/>
      <c r="ORB1627" s="1"/>
      <c r="ORC1627" s="1"/>
      <c r="ORD1627" s="1"/>
      <c r="ORE1627" s="1"/>
      <c r="ORF1627" s="1"/>
      <c r="ORG1627" s="1"/>
      <c r="ORH1627" s="1"/>
      <c r="ORI1627" s="1"/>
      <c r="ORJ1627" s="1"/>
      <c r="ORK1627" s="1"/>
      <c r="ORL1627" s="1"/>
      <c r="ORM1627" s="1"/>
      <c r="ORN1627" s="1"/>
      <c r="ORO1627" s="1"/>
      <c r="ORP1627" s="1"/>
      <c r="ORQ1627" s="1"/>
      <c r="ORR1627" s="1"/>
      <c r="ORS1627" s="1"/>
      <c r="ORT1627" s="1"/>
      <c r="ORU1627" s="1"/>
      <c r="ORV1627" s="1"/>
      <c r="ORW1627" s="1"/>
      <c r="ORX1627" s="1"/>
      <c r="ORY1627" s="1"/>
      <c r="ORZ1627" s="1"/>
      <c r="OSA1627" s="1"/>
      <c r="OSB1627" s="1"/>
      <c r="OSC1627" s="1"/>
      <c r="OSD1627" s="1"/>
      <c r="OSE1627" s="1"/>
      <c r="OSF1627" s="1"/>
      <c r="OSG1627" s="1"/>
      <c r="OSH1627" s="1"/>
      <c r="OSI1627" s="1"/>
      <c r="OSJ1627" s="1"/>
      <c r="OSK1627" s="1"/>
      <c r="OSL1627" s="1"/>
      <c r="OSM1627" s="1"/>
      <c r="OSN1627" s="1"/>
      <c r="OSO1627" s="1"/>
      <c r="OSP1627" s="1"/>
      <c r="OSQ1627" s="1"/>
      <c r="OSR1627" s="1"/>
      <c r="OSS1627" s="1"/>
      <c r="OST1627" s="1"/>
      <c r="OSU1627" s="1"/>
      <c r="OSV1627" s="1"/>
      <c r="OSW1627" s="1"/>
      <c r="OSX1627" s="1"/>
      <c r="OSY1627" s="1"/>
      <c r="OSZ1627" s="1"/>
      <c r="OTA1627" s="1"/>
      <c r="OTB1627" s="1"/>
      <c r="OTC1627" s="1"/>
      <c r="OTD1627" s="1"/>
      <c r="OTE1627" s="1"/>
      <c r="OTF1627" s="1"/>
      <c r="OTG1627" s="1"/>
      <c r="OTH1627" s="1"/>
      <c r="OTI1627" s="1"/>
      <c r="OTJ1627" s="1"/>
      <c r="OTK1627" s="1"/>
      <c r="OTL1627" s="1"/>
      <c r="OTM1627" s="1"/>
      <c r="OTN1627" s="1"/>
      <c r="OTO1627" s="1"/>
      <c r="OTP1627" s="1"/>
      <c r="OTQ1627" s="1"/>
      <c r="OTR1627" s="1"/>
      <c r="OTS1627" s="1"/>
      <c r="OTT1627" s="1"/>
      <c r="OTU1627" s="1"/>
      <c r="OTV1627" s="1"/>
      <c r="OTW1627" s="1"/>
      <c r="OTX1627" s="1"/>
      <c r="OTY1627" s="1"/>
      <c r="OTZ1627" s="1"/>
      <c r="OUA1627" s="1"/>
      <c r="OUB1627" s="1"/>
      <c r="OUC1627" s="1"/>
      <c r="OUD1627" s="1"/>
      <c r="OUE1627" s="1"/>
      <c r="OUF1627" s="1"/>
      <c r="OUG1627" s="1"/>
      <c r="OUH1627" s="1"/>
      <c r="OUI1627" s="1"/>
      <c r="OUJ1627" s="1"/>
      <c r="OUK1627" s="1"/>
      <c r="OUL1627" s="1"/>
      <c r="OUM1627" s="1"/>
      <c r="OUN1627" s="1"/>
      <c r="OUO1627" s="1"/>
      <c r="OUP1627" s="1"/>
      <c r="OUQ1627" s="1"/>
      <c r="OUR1627" s="1"/>
      <c r="OUS1627" s="1"/>
      <c r="OUT1627" s="1"/>
      <c r="OUU1627" s="1"/>
      <c r="OUV1627" s="1"/>
      <c r="OUW1627" s="1"/>
      <c r="OUX1627" s="1"/>
      <c r="OUY1627" s="1"/>
      <c r="OUZ1627" s="1"/>
      <c r="OVA1627" s="1"/>
      <c r="OVB1627" s="1"/>
      <c r="OVC1627" s="1"/>
      <c r="OVD1627" s="1"/>
      <c r="OVE1627" s="1"/>
      <c r="OVF1627" s="1"/>
      <c r="OVG1627" s="1"/>
      <c r="OVH1627" s="1"/>
      <c r="OVI1627" s="1"/>
      <c r="OVJ1627" s="1"/>
      <c r="OVK1627" s="1"/>
      <c r="OVL1627" s="1"/>
      <c r="OVM1627" s="1"/>
      <c r="OVN1627" s="1"/>
      <c r="OVO1627" s="1"/>
      <c r="OVP1627" s="1"/>
      <c r="OVQ1627" s="1"/>
      <c r="OVR1627" s="1"/>
      <c r="OVS1627" s="1"/>
      <c r="OVT1627" s="1"/>
      <c r="OVU1627" s="1"/>
      <c r="OVV1627" s="1"/>
      <c r="OVW1627" s="1"/>
      <c r="OVX1627" s="1"/>
      <c r="OVY1627" s="1"/>
      <c r="OVZ1627" s="1"/>
      <c r="OWA1627" s="1"/>
      <c r="OWB1627" s="1"/>
      <c r="OWC1627" s="1"/>
      <c r="OWD1627" s="1"/>
      <c r="OWE1627" s="1"/>
      <c r="OWF1627" s="1"/>
      <c r="OWG1627" s="1"/>
      <c r="OWH1627" s="1"/>
      <c r="OWI1627" s="1"/>
      <c r="OWJ1627" s="1"/>
      <c r="OWK1627" s="1"/>
      <c r="OWL1627" s="1"/>
      <c r="OWM1627" s="1"/>
      <c r="OWN1627" s="1"/>
      <c r="OWO1627" s="1"/>
      <c r="OWP1627" s="1"/>
      <c r="OWQ1627" s="1"/>
      <c r="OWR1627" s="1"/>
      <c r="OWS1627" s="1"/>
      <c r="OWT1627" s="1"/>
      <c r="OWU1627" s="1"/>
      <c r="OWV1627" s="1"/>
      <c r="OWW1627" s="1"/>
      <c r="OWX1627" s="1"/>
      <c r="OWY1627" s="1"/>
      <c r="OWZ1627" s="1"/>
      <c r="OXA1627" s="1"/>
      <c r="OXB1627" s="1"/>
      <c r="OXC1627" s="1"/>
      <c r="OXD1627" s="1"/>
      <c r="OXE1627" s="1"/>
      <c r="OXF1627" s="1"/>
      <c r="OXG1627" s="1"/>
      <c r="OXH1627" s="1"/>
      <c r="OXI1627" s="1"/>
      <c r="OXJ1627" s="1"/>
      <c r="OXK1627" s="1"/>
      <c r="OXL1627" s="1"/>
      <c r="OXM1627" s="1"/>
      <c r="OXN1627" s="1"/>
      <c r="OXO1627" s="1"/>
      <c r="OXP1627" s="1"/>
      <c r="OXQ1627" s="1"/>
      <c r="OXR1627" s="1"/>
      <c r="OXS1627" s="1"/>
      <c r="OXT1627" s="1"/>
      <c r="OXU1627" s="1"/>
      <c r="OXV1627" s="1"/>
      <c r="OXW1627" s="1"/>
      <c r="OXX1627" s="1"/>
      <c r="OXY1627" s="1"/>
      <c r="OXZ1627" s="1"/>
      <c r="OYA1627" s="1"/>
      <c r="OYB1627" s="1"/>
      <c r="OYC1627" s="1"/>
      <c r="OYD1627" s="1"/>
      <c r="OYE1627" s="1"/>
      <c r="OYF1627" s="1"/>
      <c r="OYG1627" s="1"/>
      <c r="OYH1627" s="1"/>
      <c r="OYI1627" s="1"/>
      <c r="OYJ1627" s="1"/>
      <c r="OYK1627" s="1"/>
      <c r="OYL1627" s="1"/>
      <c r="OYM1627" s="1"/>
      <c r="OYN1627" s="1"/>
      <c r="OYO1627" s="1"/>
      <c r="OYP1627" s="1"/>
      <c r="OYQ1627" s="1"/>
      <c r="OYR1627" s="1"/>
      <c r="OYS1627" s="1"/>
      <c r="OYT1627" s="1"/>
      <c r="OYU1627" s="1"/>
      <c r="OYV1627" s="1"/>
      <c r="OYW1627" s="1"/>
      <c r="OYX1627" s="1"/>
      <c r="OYY1627" s="1"/>
      <c r="OYZ1627" s="1"/>
      <c r="OZA1627" s="1"/>
      <c r="OZB1627" s="1"/>
      <c r="OZC1627" s="1"/>
      <c r="OZD1627" s="1"/>
      <c r="OZE1627" s="1"/>
      <c r="OZF1627" s="1"/>
      <c r="OZG1627" s="1"/>
      <c r="OZH1627" s="1"/>
      <c r="OZI1627" s="1"/>
      <c r="OZJ1627" s="1"/>
      <c r="OZK1627" s="1"/>
      <c r="OZL1627" s="1"/>
      <c r="OZM1627" s="1"/>
      <c r="OZN1627" s="1"/>
      <c r="OZO1627" s="1"/>
      <c r="OZP1627" s="1"/>
      <c r="OZQ1627" s="1"/>
      <c r="OZR1627" s="1"/>
      <c r="OZS1627" s="1"/>
      <c r="OZT1627" s="1"/>
      <c r="OZU1627" s="1"/>
      <c r="OZV1627" s="1"/>
      <c r="OZW1627" s="1"/>
      <c r="OZX1627" s="1"/>
      <c r="OZY1627" s="1"/>
      <c r="OZZ1627" s="1"/>
      <c r="PAA1627" s="1"/>
      <c r="PAB1627" s="1"/>
      <c r="PAC1627" s="1"/>
      <c r="PAD1627" s="1"/>
      <c r="PAE1627" s="1"/>
      <c r="PAF1627" s="1"/>
      <c r="PAG1627" s="1"/>
      <c r="PAH1627" s="1"/>
      <c r="PAI1627" s="1"/>
      <c r="PAJ1627" s="1"/>
      <c r="PAK1627" s="1"/>
      <c r="PAL1627" s="1"/>
      <c r="PAM1627" s="1"/>
      <c r="PAN1627" s="1"/>
      <c r="PAO1627" s="1"/>
      <c r="PAP1627" s="1"/>
      <c r="PAQ1627" s="1"/>
      <c r="PAR1627" s="1"/>
      <c r="PAS1627" s="1"/>
      <c r="PAT1627" s="1"/>
      <c r="PAU1627" s="1"/>
      <c r="PAV1627" s="1"/>
      <c r="PAW1627" s="1"/>
      <c r="PAX1627" s="1"/>
      <c r="PAY1627" s="1"/>
      <c r="PAZ1627" s="1"/>
      <c r="PBA1627" s="1"/>
      <c r="PBB1627" s="1"/>
      <c r="PBC1627" s="1"/>
      <c r="PBD1627" s="1"/>
      <c r="PBE1627" s="1"/>
      <c r="PBF1627" s="1"/>
      <c r="PBG1627" s="1"/>
      <c r="PBH1627" s="1"/>
      <c r="PBI1627" s="1"/>
      <c r="PBJ1627" s="1"/>
      <c r="PBK1627" s="1"/>
      <c r="PBL1627" s="1"/>
      <c r="PBM1627" s="1"/>
      <c r="PBN1627" s="1"/>
      <c r="PBO1627" s="1"/>
      <c r="PBP1627" s="1"/>
      <c r="PBQ1627" s="1"/>
      <c r="PBR1627" s="1"/>
      <c r="PBS1627" s="1"/>
      <c r="PBT1627" s="1"/>
      <c r="PBU1627" s="1"/>
      <c r="PBV1627" s="1"/>
      <c r="PBW1627" s="1"/>
      <c r="PBX1627" s="1"/>
      <c r="PBY1627" s="1"/>
      <c r="PBZ1627" s="1"/>
      <c r="PCA1627" s="1"/>
      <c r="PCB1627" s="1"/>
      <c r="PCC1627" s="1"/>
      <c r="PCD1627" s="1"/>
      <c r="PCE1627" s="1"/>
      <c r="PCF1627" s="1"/>
      <c r="PCG1627" s="1"/>
      <c r="PCH1627" s="1"/>
      <c r="PCI1627" s="1"/>
      <c r="PCJ1627" s="1"/>
      <c r="PCK1627" s="1"/>
      <c r="PCL1627" s="1"/>
      <c r="PCM1627" s="1"/>
      <c r="PCN1627" s="1"/>
      <c r="PCO1627" s="1"/>
      <c r="PCP1627" s="1"/>
      <c r="PCQ1627" s="1"/>
      <c r="PCR1627" s="1"/>
      <c r="PCS1627" s="1"/>
      <c r="PCT1627" s="1"/>
      <c r="PCU1627" s="1"/>
      <c r="PCV1627" s="1"/>
      <c r="PCW1627" s="1"/>
      <c r="PCX1627" s="1"/>
      <c r="PCY1627" s="1"/>
      <c r="PCZ1627" s="1"/>
      <c r="PDA1627" s="1"/>
      <c r="PDB1627" s="1"/>
      <c r="PDC1627" s="1"/>
      <c r="PDD1627" s="1"/>
      <c r="PDE1627" s="1"/>
      <c r="PDF1627" s="1"/>
      <c r="PDG1627" s="1"/>
      <c r="PDH1627" s="1"/>
      <c r="PDI1627" s="1"/>
      <c r="PDJ1627" s="1"/>
      <c r="PDK1627" s="1"/>
      <c r="PDL1627" s="1"/>
      <c r="PDM1627" s="1"/>
      <c r="PDN1627" s="1"/>
      <c r="PDO1627" s="1"/>
      <c r="PDP1627" s="1"/>
      <c r="PDQ1627" s="1"/>
      <c r="PDR1627" s="1"/>
      <c r="PDS1627" s="1"/>
      <c r="PDT1627" s="1"/>
      <c r="PDU1627" s="1"/>
      <c r="PDV1627" s="1"/>
      <c r="PDW1627" s="1"/>
      <c r="PDX1627" s="1"/>
      <c r="PDY1627" s="1"/>
      <c r="PDZ1627" s="1"/>
      <c r="PEA1627" s="1"/>
      <c r="PEB1627" s="1"/>
      <c r="PEC1627" s="1"/>
      <c r="PED1627" s="1"/>
      <c r="PEE1627" s="1"/>
      <c r="PEF1627" s="1"/>
      <c r="PEG1627" s="1"/>
      <c r="PEH1627" s="1"/>
      <c r="PEI1627" s="1"/>
      <c r="PEJ1627" s="1"/>
      <c r="PEK1627" s="1"/>
      <c r="PEL1627" s="1"/>
      <c r="PEM1627" s="1"/>
      <c r="PEN1627" s="1"/>
      <c r="PEO1627" s="1"/>
      <c r="PEP1627" s="1"/>
      <c r="PEQ1627" s="1"/>
      <c r="PER1627" s="1"/>
      <c r="PES1627" s="1"/>
      <c r="PET1627" s="1"/>
      <c r="PEU1627" s="1"/>
      <c r="PEV1627" s="1"/>
      <c r="PEW1627" s="1"/>
      <c r="PEX1627" s="1"/>
      <c r="PEY1627" s="1"/>
      <c r="PEZ1627" s="1"/>
      <c r="PFA1627" s="1"/>
      <c r="PFB1627" s="1"/>
      <c r="PFC1627" s="1"/>
      <c r="PFD1627" s="1"/>
      <c r="PFE1627" s="1"/>
      <c r="PFF1627" s="1"/>
      <c r="PFG1627" s="1"/>
      <c r="PFH1627" s="1"/>
      <c r="PFI1627" s="1"/>
      <c r="PFJ1627" s="1"/>
      <c r="PFK1627" s="1"/>
      <c r="PFL1627" s="1"/>
      <c r="PFM1627" s="1"/>
      <c r="PFN1627" s="1"/>
      <c r="PFO1627" s="1"/>
      <c r="PFP1627" s="1"/>
      <c r="PFQ1627" s="1"/>
      <c r="PFR1627" s="1"/>
      <c r="PFS1627" s="1"/>
      <c r="PFT1627" s="1"/>
      <c r="PFU1627" s="1"/>
      <c r="PFV1627" s="1"/>
      <c r="PFW1627" s="1"/>
      <c r="PFX1627" s="1"/>
      <c r="PFY1627" s="1"/>
      <c r="PFZ1627" s="1"/>
      <c r="PGA1627" s="1"/>
      <c r="PGB1627" s="1"/>
      <c r="PGC1627" s="1"/>
      <c r="PGD1627" s="1"/>
      <c r="PGE1627" s="1"/>
      <c r="PGF1627" s="1"/>
      <c r="PGG1627" s="1"/>
      <c r="PGH1627" s="1"/>
      <c r="PGI1627" s="1"/>
      <c r="PGJ1627" s="1"/>
      <c r="PGK1627" s="1"/>
      <c r="PGL1627" s="1"/>
      <c r="PGM1627" s="1"/>
      <c r="PGN1627" s="1"/>
      <c r="PGO1627" s="1"/>
      <c r="PGP1627" s="1"/>
      <c r="PGQ1627" s="1"/>
      <c r="PGR1627" s="1"/>
      <c r="PGS1627" s="1"/>
      <c r="PGT1627" s="1"/>
      <c r="PGU1627" s="1"/>
      <c r="PGV1627" s="1"/>
      <c r="PGW1627" s="1"/>
      <c r="PGX1627" s="1"/>
      <c r="PGY1627" s="1"/>
      <c r="PGZ1627" s="1"/>
      <c r="PHA1627" s="1"/>
      <c r="PHB1627" s="1"/>
      <c r="PHC1627" s="1"/>
      <c r="PHD1627" s="1"/>
      <c r="PHE1627" s="1"/>
      <c r="PHF1627" s="1"/>
      <c r="PHG1627" s="1"/>
      <c r="PHH1627" s="1"/>
      <c r="PHI1627" s="1"/>
      <c r="PHJ1627" s="1"/>
      <c r="PHK1627" s="1"/>
      <c r="PHL1627" s="1"/>
      <c r="PHM1627" s="1"/>
      <c r="PHN1627" s="1"/>
      <c r="PHO1627" s="1"/>
      <c r="PHP1627" s="1"/>
      <c r="PHQ1627" s="1"/>
      <c r="PHR1627" s="1"/>
      <c r="PHS1627" s="1"/>
      <c r="PHT1627" s="1"/>
      <c r="PHU1627" s="1"/>
      <c r="PHV1627" s="1"/>
      <c r="PHW1627" s="1"/>
      <c r="PHX1627" s="1"/>
      <c r="PHY1627" s="1"/>
      <c r="PHZ1627" s="1"/>
      <c r="PIA1627" s="1"/>
      <c r="PIB1627" s="1"/>
      <c r="PIC1627" s="1"/>
      <c r="PID1627" s="1"/>
      <c r="PIE1627" s="1"/>
      <c r="PIF1627" s="1"/>
      <c r="PIG1627" s="1"/>
      <c r="PIH1627" s="1"/>
      <c r="PII1627" s="1"/>
      <c r="PIJ1627" s="1"/>
      <c r="PIK1627" s="1"/>
      <c r="PIL1627" s="1"/>
      <c r="PIM1627" s="1"/>
      <c r="PIN1627" s="1"/>
      <c r="PIO1627" s="1"/>
      <c r="PIP1627" s="1"/>
      <c r="PIQ1627" s="1"/>
      <c r="PIR1627" s="1"/>
      <c r="PIS1627" s="1"/>
      <c r="PIT1627" s="1"/>
      <c r="PIU1627" s="1"/>
      <c r="PIV1627" s="1"/>
      <c r="PIW1627" s="1"/>
      <c r="PIX1627" s="1"/>
      <c r="PIY1627" s="1"/>
      <c r="PIZ1627" s="1"/>
      <c r="PJA1627" s="1"/>
      <c r="PJB1627" s="1"/>
      <c r="PJC1627" s="1"/>
      <c r="PJD1627" s="1"/>
      <c r="PJE1627" s="1"/>
      <c r="PJF1627" s="1"/>
      <c r="PJG1627" s="1"/>
      <c r="PJH1627" s="1"/>
      <c r="PJI1627" s="1"/>
      <c r="PJJ1627" s="1"/>
      <c r="PJK1627" s="1"/>
      <c r="PJL1627" s="1"/>
      <c r="PJM1627" s="1"/>
      <c r="PJN1627" s="1"/>
      <c r="PJO1627" s="1"/>
      <c r="PJP1627" s="1"/>
      <c r="PJQ1627" s="1"/>
      <c r="PJR1627" s="1"/>
      <c r="PJS1627" s="1"/>
      <c r="PJT1627" s="1"/>
      <c r="PJU1627" s="1"/>
      <c r="PJV1627" s="1"/>
      <c r="PJW1627" s="1"/>
      <c r="PJX1627" s="1"/>
      <c r="PJY1627" s="1"/>
      <c r="PJZ1627" s="1"/>
      <c r="PKA1627" s="1"/>
      <c r="PKB1627" s="1"/>
      <c r="PKC1627" s="1"/>
      <c r="PKD1627" s="1"/>
      <c r="PKE1627" s="1"/>
      <c r="PKF1627" s="1"/>
      <c r="PKG1627" s="1"/>
      <c r="PKH1627" s="1"/>
      <c r="PKI1627" s="1"/>
      <c r="PKJ1627" s="1"/>
      <c r="PKK1627" s="1"/>
      <c r="PKL1627" s="1"/>
      <c r="PKM1627" s="1"/>
      <c r="PKN1627" s="1"/>
      <c r="PKO1627" s="1"/>
      <c r="PKP1627" s="1"/>
      <c r="PKQ1627" s="1"/>
      <c r="PKR1627" s="1"/>
      <c r="PKS1627" s="1"/>
      <c r="PKT1627" s="1"/>
      <c r="PKU1627" s="1"/>
      <c r="PKV1627" s="1"/>
      <c r="PKW1627" s="1"/>
      <c r="PKX1627" s="1"/>
      <c r="PKY1627" s="1"/>
      <c r="PKZ1627" s="1"/>
      <c r="PLA1627" s="1"/>
      <c r="PLB1627" s="1"/>
      <c r="PLC1627" s="1"/>
      <c r="PLD1627" s="1"/>
      <c r="PLE1627" s="1"/>
      <c r="PLF1627" s="1"/>
      <c r="PLG1627" s="1"/>
      <c r="PLH1627" s="1"/>
      <c r="PLI1627" s="1"/>
      <c r="PLJ1627" s="1"/>
      <c r="PLK1627" s="1"/>
      <c r="PLL1627" s="1"/>
      <c r="PLM1627" s="1"/>
      <c r="PLN1627" s="1"/>
      <c r="PLO1627" s="1"/>
      <c r="PLP1627" s="1"/>
      <c r="PLQ1627" s="1"/>
      <c r="PLR1627" s="1"/>
      <c r="PLS1627" s="1"/>
      <c r="PLT1627" s="1"/>
      <c r="PLU1627" s="1"/>
      <c r="PLV1627" s="1"/>
      <c r="PLW1627" s="1"/>
      <c r="PLX1627" s="1"/>
      <c r="PLY1627" s="1"/>
      <c r="PLZ1627" s="1"/>
      <c r="PMA1627" s="1"/>
      <c r="PMB1627" s="1"/>
      <c r="PMC1627" s="1"/>
      <c r="PMD1627" s="1"/>
      <c r="PME1627" s="1"/>
      <c r="PMF1627" s="1"/>
      <c r="PMG1627" s="1"/>
      <c r="PMH1627" s="1"/>
      <c r="PMI1627" s="1"/>
      <c r="PMJ1627" s="1"/>
      <c r="PMK1627" s="1"/>
      <c r="PML1627" s="1"/>
      <c r="PMM1627" s="1"/>
      <c r="PMN1627" s="1"/>
      <c r="PMO1627" s="1"/>
      <c r="PMP1627" s="1"/>
      <c r="PMQ1627" s="1"/>
      <c r="PMR1627" s="1"/>
      <c r="PMS1627" s="1"/>
      <c r="PMT1627" s="1"/>
      <c r="PMU1627" s="1"/>
      <c r="PMV1627" s="1"/>
      <c r="PMW1627" s="1"/>
      <c r="PMX1627" s="1"/>
      <c r="PMY1627" s="1"/>
      <c r="PMZ1627" s="1"/>
      <c r="PNA1627" s="1"/>
      <c r="PNB1627" s="1"/>
      <c r="PNC1627" s="1"/>
      <c r="PND1627" s="1"/>
      <c r="PNE1627" s="1"/>
      <c r="PNF1627" s="1"/>
      <c r="PNG1627" s="1"/>
      <c r="PNH1627" s="1"/>
      <c r="PNI1627" s="1"/>
      <c r="PNJ1627" s="1"/>
      <c r="PNK1627" s="1"/>
      <c r="PNL1627" s="1"/>
      <c r="PNM1627" s="1"/>
      <c r="PNN1627" s="1"/>
      <c r="PNO1627" s="1"/>
      <c r="PNP1627" s="1"/>
      <c r="PNQ1627" s="1"/>
      <c r="PNR1627" s="1"/>
      <c r="PNS1627" s="1"/>
      <c r="PNT1627" s="1"/>
      <c r="PNU1627" s="1"/>
      <c r="PNV1627" s="1"/>
      <c r="PNW1627" s="1"/>
      <c r="PNX1627" s="1"/>
      <c r="PNY1627" s="1"/>
      <c r="PNZ1627" s="1"/>
      <c r="POA1627" s="1"/>
      <c r="POB1627" s="1"/>
      <c r="POC1627" s="1"/>
      <c r="POD1627" s="1"/>
      <c r="POE1627" s="1"/>
      <c r="POF1627" s="1"/>
      <c r="POG1627" s="1"/>
      <c r="POH1627" s="1"/>
      <c r="POI1627" s="1"/>
      <c r="POJ1627" s="1"/>
      <c r="POK1627" s="1"/>
      <c r="POL1627" s="1"/>
      <c r="POM1627" s="1"/>
      <c r="PON1627" s="1"/>
      <c r="POO1627" s="1"/>
      <c r="POP1627" s="1"/>
      <c r="POQ1627" s="1"/>
      <c r="POR1627" s="1"/>
      <c r="POS1627" s="1"/>
      <c r="POT1627" s="1"/>
      <c r="POU1627" s="1"/>
      <c r="POV1627" s="1"/>
      <c r="POW1627" s="1"/>
      <c r="POX1627" s="1"/>
      <c r="POY1627" s="1"/>
      <c r="POZ1627" s="1"/>
      <c r="PPA1627" s="1"/>
      <c r="PPB1627" s="1"/>
      <c r="PPC1627" s="1"/>
      <c r="PPD1627" s="1"/>
      <c r="PPE1627" s="1"/>
      <c r="PPF1627" s="1"/>
      <c r="PPG1627" s="1"/>
      <c r="PPH1627" s="1"/>
      <c r="PPI1627" s="1"/>
      <c r="PPJ1627" s="1"/>
      <c r="PPK1627" s="1"/>
      <c r="PPL1627" s="1"/>
      <c r="PPM1627" s="1"/>
      <c r="PPN1627" s="1"/>
      <c r="PPO1627" s="1"/>
      <c r="PPP1627" s="1"/>
      <c r="PPQ1627" s="1"/>
      <c r="PPR1627" s="1"/>
      <c r="PPS1627" s="1"/>
      <c r="PPT1627" s="1"/>
      <c r="PPU1627" s="1"/>
      <c r="PPV1627" s="1"/>
      <c r="PPW1627" s="1"/>
      <c r="PPX1627" s="1"/>
      <c r="PPY1627" s="1"/>
      <c r="PPZ1627" s="1"/>
      <c r="PQA1627" s="1"/>
      <c r="PQB1627" s="1"/>
      <c r="PQC1627" s="1"/>
      <c r="PQD1627" s="1"/>
      <c r="PQE1627" s="1"/>
      <c r="PQF1627" s="1"/>
      <c r="PQG1627" s="1"/>
      <c r="PQH1627" s="1"/>
      <c r="PQI1627" s="1"/>
      <c r="PQJ1627" s="1"/>
      <c r="PQK1627" s="1"/>
      <c r="PQL1627" s="1"/>
      <c r="PQM1627" s="1"/>
      <c r="PQN1627" s="1"/>
      <c r="PQO1627" s="1"/>
      <c r="PQP1627" s="1"/>
      <c r="PQQ1627" s="1"/>
      <c r="PQR1627" s="1"/>
      <c r="PQS1627" s="1"/>
      <c r="PQT1627" s="1"/>
      <c r="PQU1627" s="1"/>
      <c r="PQV1627" s="1"/>
      <c r="PQW1627" s="1"/>
      <c r="PQX1627" s="1"/>
      <c r="PQY1627" s="1"/>
      <c r="PQZ1627" s="1"/>
      <c r="PRA1627" s="1"/>
      <c r="PRB1627" s="1"/>
      <c r="PRC1627" s="1"/>
      <c r="PRD1627" s="1"/>
      <c r="PRE1627" s="1"/>
      <c r="PRF1627" s="1"/>
      <c r="PRG1627" s="1"/>
      <c r="PRH1627" s="1"/>
      <c r="PRI1627" s="1"/>
      <c r="PRJ1627" s="1"/>
      <c r="PRK1627" s="1"/>
      <c r="PRL1627" s="1"/>
      <c r="PRM1627" s="1"/>
      <c r="PRN1627" s="1"/>
      <c r="PRO1627" s="1"/>
      <c r="PRP1627" s="1"/>
      <c r="PRQ1627" s="1"/>
      <c r="PRR1627" s="1"/>
      <c r="PRS1627" s="1"/>
      <c r="PRT1627" s="1"/>
      <c r="PRU1627" s="1"/>
      <c r="PRV1627" s="1"/>
      <c r="PRW1627" s="1"/>
      <c r="PRX1627" s="1"/>
      <c r="PRY1627" s="1"/>
      <c r="PRZ1627" s="1"/>
      <c r="PSA1627" s="1"/>
      <c r="PSB1627" s="1"/>
      <c r="PSC1627" s="1"/>
      <c r="PSD1627" s="1"/>
      <c r="PSE1627" s="1"/>
      <c r="PSF1627" s="1"/>
      <c r="PSG1627" s="1"/>
      <c r="PSH1627" s="1"/>
      <c r="PSI1627" s="1"/>
      <c r="PSJ1627" s="1"/>
      <c r="PSK1627" s="1"/>
      <c r="PSL1627" s="1"/>
      <c r="PSM1627" s="1"/>
      <c r="PSN1627" s="1"/>
      <c r="PSO1627" s="1"/>
      <c r="PSP1627" s="1"/>
      <c r="PSQ1627" s="1"/>
      <c r="PSR1627" s="1"/>
      <c r="PSS1627" s="1"/>
      <c r="PST1627" s="1"/>
      <c r="PSU1627" s="1"/>
      <c r="PSV1627" s="1"/>
      <c r="PSW1627" s="1"/>
      <c r="PSX1627" s="1"/>
      <c r="PSY1627" s="1"/>
      <c r="PSZ1627" s="1"/>
      <c r="PTA1627" s="1"/>
      <c r="PTB1627" s="1"/>
      <c r="PTC1627" s="1"/>
      <c r="PTD1627" s="1"/>
      <c r="PTE1627" s="1"/>
      <c r="PTF1627" s="1"/>
      <c r="PTG1627" s="1"/>
      <c r="PTH1627" s="1"/>
      <c r="PTI1627" s="1"/>
      <c r="PTJ1627" s="1"/>
      <c r="PTK1627" s="1"/>
      <c r="PTL1627" s="1"/>
      <c r="PTM1627" s="1"/>
      <c r="PTN1627" s="1"/>
      <c r="PTO1627" s="1"/>
      <c r="PTP1627" s="1"/>
      <c r="PTQ1627" s="1"/>
      <c r="PTR1627" s="1"/>
      <c r="PTS1627" s="1"/>
      <c r="PTT1627" s="1"/>
      <c r="PTU1627" s="1"/>
      <c r="PTV1627" s="1"/>
      <c r="PTW1627" s="1"/>
      <c r="PTX1627" s="1"/>
      <c r="PTY1627" s="1"/>
      <c r="PTZ1627" s="1"/>
      <c r="PUA1627" s="1"/>
      <c r="PUB1627" s="1"/>
      <c r="PUC1627" s="1"/>
      <c r="PUD1627" s="1"/>
      <c r="PUE1627" s="1"/>
      <c r="PUF1627" s="1"/>
      <c r="PUG1627" s="1"/>
      <c r="PUH1627" s="1"/>
      <c r="PUI1627" s="1"/>
      <c r="PUJ1627" s="1"/>
      <c r="PUK1627" s="1"/>
      <c r="PUL1627" s="1"/>
      <c r="PUM1627" s="1"/>
      <c r="PUN1627" s="1"/>
      <c r="PUO1627" s="1"/>
      <c r="PUP1627" s="1"/>
      <c r="PUQ1627" s="1"/>
      <c r="PUR1627" s="1"/>
      <c r="PUS1627" s="1"/>
      <c r="PUT1627" s="1"/>
      <c r="PUU1627" s="1"/>
      <c r="PUV1627" s="1"/>
      <c r="PUW1627" s="1"/>
      <c r="PUX1627" s="1"/>
      <c r="PUY1627" s="1"/>
      <c r="PUZ1627" s="1"/>
      <c r="PVA1627" s="1"/>
      <c r="PVB1627" s="1"/>
      <c r="PVC1627" s="1"/>
      <c r="PVD1627" s="1"/>
      <c r="PVE1627" s="1"/>
      <c r="PVF1627" s="1"/>
      <c r="PVG1627" s="1"/>
      <c r="PVH1627" s="1"/>
      <c r="PVI1627" s="1"/>
      <c r="PVJ1627" s="1"/>
      <c r="PVK1627" s="1"/>
      <c r="PVL1627" s="1"/>
      <c r="PVM1627" s="1"/>
      <c r="PVN1627" s="1"/>
      <c r="PVO1627" s="1"/>
      <c r="PVP1627" s="1"/>
      <c r="PVQ1627" s="1"/>
      <c r="PVR1627" s="1"/>
      <c r="PVS1627" s="1"/>
      <c r="PVT1627" s="1"/>
      <c r="PVU1627" s="1"/>
      <c r="PVV1627" s="1"/>
      <c r="PVW1627" s="1"/>
      <c r="PVX1627" s="1"/>
      <c r="PVY1627" s="1"/>
      <c r="PVZ1627" s="1"/>
      <c r="PWA1627" s="1"/>
      <c r="PWB1627" s="1"/>
      <c r="PWC1627" s="1"/>
      <c r="PWD1627" s="1"/>
      <c r="PWE1627" s="1"/>
      <c r="PWF1627" s="1"/>
      <c r="PWG1627" s="1"/>
      <c r="PWH1627" s="1"/>
      <c r="PWI1627" s="1"/>
      <c r="PWJ1627" s="1"/>
      <c r="PWK1627" s="1"/>
      <c r="PWL1627" s="1"/>
      <c r="PWM1627" s="1"/>
      <c r="PWN1627" s="1"/>
      <c r="PWO1627" s="1"/>
      <c r="PWP1627" s="1"/>
      <c r="PWQ1627" s="1"/>
      <c r="PWR1627" s="1"/>
      <c r="PWS1627" s="1"/>
      <c r="PWT1627" s="1"/>
      <c r="PWU1627" s="1"/>
      <c r="PWV1627" s="1"/>
      <c r="PWW1627" s="1"/>
      <c r="PWX1627" s="1"/>
      <c r="PWY1627" s="1"/>
      <c r="PWZ1627" s="1"/>
      <c r="PXA1627" s="1"/>
      <c r="PXB1627" s="1"/>
      <c r="PXC1627" s="1"/>
      <c r="PXD1627" s="1"/>
      <c r="PXE1627" s="1"/>
      <c r="PXF1627" s="1"/>
      <c r="PXG1627" s="1"/>
      <c r="PXH1627" s="1"/>
      <c r="PXI1627" s="1"/>
      <c r="PXJ1627" s="1"/>
      <c r="PXK1627" s="1"/>
      <c r="PXL1627" s="1"/>
      <c r="PXM1627" s="1"/>
      <c r="PXN1627" s="1"/>
      <c r="PXO1627" s="1"/>
      <c r="PXP1627" s="1"/>
      <c r="PXQ1627" s="1"/>
      <c r="PXR1627" s="1"/>
      <c r="PXS1627" s="1"/>
      <c r="PXT1627" s="1"/>
      <c r="PXU1627" s="1"/>
      <c r="PXV1627" s="1"/>
      <c r="PXW1627" s="1"/>
      <c r="PXX1627" s="1"/>
      <c r="PXY1627" s="1"/>
      <c r="PXZ1627" s="1"/>
      <c r="PYA1627" s="1"/>
      <c r="PYB1627" s="1"/>
      <c r="PYC1627" s="1"/>
      <c r="PYD1627" s="1"/>
      <c r="PYE1627" s="1"/>
      <c r="PYF1627" s="1"/>
      <c r="PYG1627" s="1"/>
      <c r="PYH1627" s="1"/>
      <c r="PYI1627" s="1"/>
      <c r="PYJ1627" s="1"/>
      <c r="PYK1627" s="1"/>
      <c r="PYL1627" s="1"/>
      <c r="PYM1627" s="1"/>
      <c r="PYN1627" s="1"/>
      <c r="PYO1627" s="1"/>
      <c r="PYP1627" s="1"/>
      <c r="PYQ1627" s="1"/>
      <c r="PYR1627" s="1"/>
      <c r="PYS1627" s="1"/>
      <c r="PYT1627" s="1"/>
      <c r="PYU1627" s="1"/>
      <c r="PYV1627" s="1"/>
      <c r="PYW1627" s="1"/>
      <c r="PYX1627" s="1"/>
      <c r="PYY1627" s="1"/>
      <c r="PYZ1627" s="1"/>
      <c r="PZA1627" s="1"/>
      <c r="PZB1627" s="1"/>
      <c r="PZC1627" s="1"/>
      <c r="PZD1627" s="1"/>
      <c r="PZE1627" s="1"/>
      <c r="PZF1627" s="1"/>
      <c r="PZG1627" s="1"/>
      <c r="PZH1627" s="1"/>
      <c r="PZI1627" s="1"/>
      <c r="PZJ1627" s="1"/>
      <c r="PZK1627" s="1"/>
      <c r="PZL1627" s="1"/>
      <c r="PZM1627" s="1"/>
      <c r="PZN1627" s="1"/>
      <c r="PZO1627" s="1"/>
      <c r="PZP1627" s="1"/>
      <c r="PZQ1627" s="1"/>
      <c r="PZR1627" s="1"/>
      <c r="PZS1627" s="1"/>
      <c r="PZT1627" s="1"/>
      <c r="PZU1627" s="1"/>
      <c r="PZV1627" s="1"/>
      <c r="PZW1627" s="1"/>
      <c r="PZX1627" s="1"/>
      <c r="PZY1627" s="1"/>
      <c r="PZZ1627" s="1"/>
      <c r="QAA1627" s="1"/>
      <c r="QAB1627" s="1"/>
      <c r="QAC1627" s="1"/>
      <c r="QAD1627" s="1"/>
      <c r="QAE1627" s="1"/>
      <c r="QAF1627" s="1"/>
      <c r="QAG1627" s="1"/>
      <c r="QAH1627" s="1"/>
      <c r="QAI1627" s="1"/>
      <c r="QAJ1627" s="1"/>
      <c r="QAK1627" s="1"/>
      <c r="QAL1627" s="1"/>
      <c r="QAM1627" s="1"/>
      <c r="QAN1627" s="1"/>
      <c r="QAO1627" s="1"/>
      <c r="QAP1627" s="1"/>
      <c r="QAQ1627" s="1"/>
      <c r="QAR1627" s="1"/>
      <c r="QAS1627" s="1"/>
      <c r="QAT1627" s="1"/>
      <c r="QAU1627" s="1"/>
      <c r="QAV1627" s="1"/>
      <c r="QAW1627" s="1"/>
      <c r="QAX1627" s="1"/>
      <c r="QAY1627" s="1"/>
      <c r="QAZ1627" s="1"/>
      <c r="QBA1627" s="1"/>
      <c r="QBB1627" s="1"/>
      <c r="QBC1627" s="1"/>
      <c r="QBD1627" s="1"/>
      <c r="QBE1627" s="1"/>
      <c r="QBF1627" s="1"/>
      <c r="QBG1627" s="1"/>
      <c r="QBH1627" s="1"/>
      <c r="QBI1627" s="1"/>
      <c r="QBJ1627" s="1"/>
      <c r="QBK1627" s="1"/>
      <c r="QBL1627" s="1"/>
      <c r="QBM1627" s="1"/>
      <c r="QBN1627" s="1"/>
      <c r="QBO1627" s="1"/>
      <c r="QBP1627" s="1"/>
      <c r="QBQ1627" s="1"/>
      <c r="QBR1627" s="1"/>
      <c r="QBS1627" s="1"/>
      <c r="QBT1627" s="1"/>
      <c r="QBU1627" s="1"/>
      <c r="QBV1627" s="1"/>
      <c r="QBW1627" s="1"/>
      <c r="QBX1627" s="1"/>
      <c r="QBY1627" s="1"/>
      <c r="QBZ1627" s="1"/>
      <c r="QCA1627" s="1"/>
      <c r="QCB1627" s="1"/>
      <c r="QCC1627" s="1"/>
      <c r="QCD1627" s="1"/>
      <c r="QCE1627" s="1"/>
      <c r="QCF1627" s="1"/>
      <c r="QCG1627" s="1"/>
      <c r="QCH1627" s="1"/>
      <c r="QCI1627" s="1"/>
      <c r="QCJ1627" s="1"/>
      <c r="QCK1627" s="1"/>
      <c r="QCL1627" s="1"/>
      <c r="QCM1627" s="1"/>
      <c r="QCN1627" s="1"/>
      <c r="QCO1627" s="1"/>
      <c r="QCP1627" s="1"/>
      <c r="QCQ1627" s="1"/>
      <c r="QCR1627" s="1"/>
      <c r="QCS1627" s="1"/>
      <c r="QCT1627" s="1"/>
      <c r="QCU1627" s="1"/>
      <c r="QCV1627" s="1"/>
      <c r="QCW1627" s="1"/>
      <c r="QCX1627" s="1"/>
      <c r="QCY1627" s="1"/>
      <c r="QCZ1627" s="1"/>
      <c r="QDA1627" s="1"/>
      <c r="QDB1627" s="1"/>
      <c r="QDC1627" s="1"/>
      <c r="QDD1627" s="1"/>
      <c r="QDE1627" s="1"/>
      <c r="QDF1627" s="1"/>
      <c r="QDG1627" s="1"/>
      <c r="QDH1627" s="1"/>
      <c r="QDI1627" s="1"/>
      <c r="QDJ1627" s="1"/>
      <c r="QDK1627" s="1"/>
      <c r="QDL1627" s="1"/>
      <c r="QDM1627" s="1"/>
      <c r="QDN1627" s="1"/>
      <c r="QDO1627" s="1"/>
      <c r="QDP1627" s="1"/>
      <c r="QDQ1627" s="1"/>
      <c r="QDR1627" s="1"/>
      <c r="QDS1627" s="1"/>
      <c r="QDT1627" s="1"/>
      <c r="QDU1627" s="1"/>
      <c r="QDV1627" s="1"/>
      <c r="QDW1627" s="1"/>
      <c r="QDX1627" s="1"/>
      <c r="QDY1627" s="1"/>
      <c r="QDZ1627" s="1"/>
      <c r="QEA1627" s="1"/>
      <c r="QEB1627" s="1"/>
      <c r="QEC1627" s="1"/>
      <c r="QED1627" s="1"/>
      <c r="QEE1627" s="1"/>
      <c r="QEF1627" s="1"/>
      <c r="QEG1627" s="1"/>
      <c r="QEH1627" s="1"/>
      <c r="QEI1627" s="1"/>
      <c r="QEJ1627" s="1"/>
      <c r="QEK1627" s="1"/>
      <c r="QEL1627" s="1"/>
      <c r="QEM1627" s="1"/>
      <c r="QEN1627" s="1"/>
      <c r="QEO1627" s="1"/>
      <c r="QEP1627" s="1"/>
      <c r="QEQ1627" s="1"/>
      <c r="QER1627" s="1"/>
      <c r="QES1627" s="1"/>
      <c r="QET1627" s="1"/>
      <c r="QEU1627" s="1"/>
      <c r="QEV1627" s="1"/>
      <c r="QEW1627" s="1"/>
      <c r="QEX1627" s="1"/>
      <c r="QEY1627" s="1"/>
      <c r="QEZ1627" s="1"/>
      <c r="QFA1627" s="1"/>
      <c r="QFB1627" s="1"/>
      <c r="QFC1627" s="1"/>
      <c r="QFD1627" s="1"/>
      <c r="QFE1627" s="1"/>
      <c r="QFF1627" s="1"/>
      <c r="QFG1627" s="1"/>
      <c r="QFH1627" s="1"/>
      <c r="QFI1627" s="1"/>
      <c r="QFJ1627" s="1"/>
      <c r="QFK1627" s="1"/>
      <c r="QFL1627" s="1"/>
      <c r="QFM1627" s="1"/>
      <c r="QFN1627" s="1"/>
      <c r="QFO1627" s="1"/>
      <c r="QFP1627" s="1"/>
      <c r="QFQ1627" s="1"/>
      <c r="QFR1627" s="1"/>
      <c r="QFS1627" s="1"/>
      <c r="QFT1627" s="1"/>
      <c r="QFU1627" s="1"/>
      <c r="QFV1627" s="1"/>
      <c r="QFW1627" s="1"/>
      <c r="QFX1627" s="1"/>
      <c r="QFY1627" s="1"/>
      <c r="QFZ1627" s="1"/>
      <c r="QGA1627" s="1"/>
      <c r="QGB1627" s="1"/>
      <c r="QGC1627" s="1"/>
      <c r="QGD1627" s="1"/>
      <c r="QGE1627" s="1"/>
      <c r="QGF1627" s="1"/>
      <c r="QGG1627" s="1"/>
      <c r="QGH1627" s="1"/>
      <c r="QGI1627" s="1"/>
      <c r="QGJ1627" s="1"/>
      <c r="QGK1627" s="1"/>
      <c r="QGL1627" s="1"/>
      <c r="QGM1627" s="1"/>
      <c r="QGN1627" s="1"/>
      <c r="QGO1627" s="1"/>
      <c r="QGP1627" s="1"/>
      <c r="QGQ1627" s="1"/>
      <c r="QGR1627" s="1"/>
      <c r="QGS1627" s="1"/>
      <c r="QGT1627" s="1"/>
      <c r="QGU1627" s="1"/>
      <c r="QGV1627" s="1"/>
      <c r="QGW1627" s="1"/>
      <c r="QGX1627" s="1"/>
      <c r="QGY1627" s="1"/>
      <c r="QGZ1627" s="1"/>
      <c r="QHA1627" s="1"/>
      <c r="QHB1627" s="1"/>
      <c r="QHC1627" s="1"/>
      <c r="QHD1627" s="1"/>
      <c r="QHE1627" s="1"/>
      <c r="QHF1627" s="1"/>
      <c r="QHG1627" s="1"/>
      <c r="QHH1627" s="1"/>
      <c r="QHI1627" s="1"/>
      <c r="QHJ1627" s="1"/>
      <c r="QHK1627" s="1"/>
      <c r="QHL1627" s="1"/>
      <c r="QHM1627" s="1"/>
      <c r="QHN1627" s="1"/>
      <c r="QHO1627" s="1"/>
      <c r="QHP1627" s="1"/>
      <c r="QHQ1627" s="1"/>
      <c r="QHR1627" s="1"/>
      <c r="QHS1627" s="1"/>
      <c r="QHT1627" s="1"/>
      <c r="QHU1627" s="1"/>
      <c r="QHV1627" s="1"/>
      <c r="QHW1627" s="1"/>
      <c r="QHX1627" s="1"/>
      <c r="QHY1627" s="1"/>
      <c r="QHZ1627" s="1"/>
      <c r="QIA1627" s="1"/>
      <c r="QIB1627" s="1"/>
      <c r="QIC1627" s="1"/>
      <c r="QID1627" s="1"/>
      <c r="QIE1627" s="1"/>
      <c r="QIF1627" s="1"/>
      <c r="QIG1627" s="1"/>
      <c r="QIH1627" s="1"/>
      <c r="QII1627" s="1"/>
      <c r="QIJ1627" s="1"/>
      <c r="QIK1627" s="1"/>
      <c r="QIL1627" s="1"/>
      <c r="QIM1627" s="1"/>
      <c r="QIN1627" s="1"/>
      <c r="QIO1627" s="1"/>
      <c r="QIP1627" s="1"/>
      <c r="QIQ1627" s="1"/>
      <c r="QIR1627" s="1"/>
      <c r="QIS1627" s="1"/>
      <c r="QIT1627" s="1"/>
      <c r="QIU1627" s="1"/>
      <c r="QIV1627" s="1"/>
      <c r="QIW1627" s="1"/>
      <c r="QIX1627" s="1"/>
      <c r="QIY1627" s="1"/>
      <c r="QIZ1627" s="1"/>
      <c r="QJA1627" s="1"/>
      <c r="QJB1627" s="1"/>
      <c r="QJC1627" s="1"/>
      <c r="QJD1627" s="1"/>
      <c r="QJE1627" s="1"/>
      <c r="QJF1627" s="1"/>
      <c r="QJG1627" s="1"/>
      <c r="QJH1627" s="1"/>
      <c r="QJI1627" s="1"/>
      <c r="QJJ1627" s="1"/>
      <c r="QJK1627" s="1"/>
      <c r="QJL1627" s="1"/>
      <c r="QJM1627" s="1"/>
      <c r="QJN1627" s="1"/>
      <c r="QJO1627" s="1"/>
      <c r="QJP1627" s="1"/>
      <c r="QJQ1627" s="1"/>
      <c r="QJR1627" s="1"/>
      <c r="QJS1627" s="1"/>
      <c r="QJT1627" s="1"/>
      <c r="QJU1627" s="1"/>
      <c r="QJV1627" s="1"/>
      <c r="QJW1627" s="1"/>
      <c r="QJX1627" s="1"/>
      <c r="QJY1627" s="1"/>
      <c r="QJZ1627" s="1"/>
      <c r="QKA1627" s="1"/>
      <c r="QKB1627" s="1"/>
      <c r="QKC1627" s="1"/>
      <c r="QKD1627" s="1"/>
      <c r="QKE1627" s="1"/>
      <c r="QKF1627" s="1"/>
      <c r="QKG1627" s="1"/>
      <c r="QKH1627" s="1"/>
      <c r="QKI1627" s="1"/>
      <c r="QKJ1627" s="1"/>
      <c r="QKK1627" s="1"/>
      <c r="QKL1627" s="1"/>
      <c r="QKM1627" s="1"/>
      <c r="QKN1627" s="1"/>
      <c r="QKO1627" s="1"/>
      <c r="QKP1627" s="1"/>
      <c r="QKQ1627" s="1"/>
      <c r="QKR1627" s="1"/>
      <c r="QKS1627" s="1"/>
      <c r="QKT1627" s="1"/>
      <c r="QKU1627" s="1"/>
      <c r="QKV1627" s="1"/>
      <c r="QKW1627" s="1"/>
      <c r="QKX1627" s="1"/>
      <c r="QKY1627" s="1"/>
      <c r="QKZ1627" s="1"/>
      <c r="QLA1627" s="1"/>
      <c r="QLB1627" s="1"/>
      <c r="QLC1627" s="1"/>
      <c r="QLD1627" s="1"/>
      <c r="QLE1627" s="1"/>
      <c r="QLF1627" s="1"/>
      <c r="QLG1627" s="1"/>
      <c r="QLH1627" s="1"/>
      <c r="QLI1627" s="1"/>
      <c r="QLJ1627" s="1"/>
      <c r="QLK1627" s="1"/>
      <c r="QLL1627" s="1"/>
      <c r="QLM1627" s="1"/>
      <c r="QLN1627" s="1"/>
      <c r="QLO1627" s="1"/>
      <c r="QLP1627" s="1"/>
      <c r="QLQ1627" s="1"/>
      <c r="QLR1627" s="1"/>
      <c r="QLS1627" s="1"/>
      <c r="QLT1627" s="1"/>
      <c r="QLU1627" s="1"/>
      <c r="QLV1627" s="1"/>
      <c r="QLW1627" s="1"/>
      <c r="QLX1627" s="1"/>
      <c r="QLY1627" s="1"/>
      <c r="QLZ1627" s="1"/>
      <c r="QMA1627" s="1"/>
      <c r="QMB1627" s="1"/>
      <c r="QMC1627" s="1"/>
      <c r="QMD1627" s="1"/>
      <c r="QME1627" s="1"/>
      <c r="QMF1627" s="1"/>
      <c r="QMG1627" s="1"/>
      <c r="QMH1627" s="1"/>
      <c r="QMI1627" s="1"/>
      <c r="QMJ1627" s="1"/>
      <c r="QMK1627" s="1"/>
      <c r="QML1627" s="1"/>
      <c r="QMM1627" s="1"/>
      <c r="QMN1627" s="1"/>
      <c r="QMO1627" s="1"/>
      <c r="QMP1627" s="1"/>
      <c r="QMQ1627" s="1"/>
      <c r="QMR1627" s="1"/>
      <c r="QMS1627" s="1"/>
      <c r="QMT1627" s="1"/>
      <c r="QMU1627" s="1"/>
      <c r="QMV1627" s="1"/>
      <c r="QMW1627" s="1"/>
      <c r="QMX1627" s="1"/>
      <c r="QMY1627" s="1"/>
      <c r="QMZ1627" s="1"/>
      <c r="QNA1627" s="1"/>
      <c r="QNB1627" s="1"/>
      <c r="QNC1627" s="1"/>
      <c r="QND1627" s="1"/>
      <c r="QNE1627" s="1"/>
      <c r="QNF1627" s="1"/>
      <c r="QNG1627" s="1"/>
      <c r="QNH1627" s="1"/>
      <c r="QNI1627" s="1"/>
      <c r="QNJ1627" s="1"/>
      <c r="QNK1627" s="1"/>
      <c r="QNL1627" s="1"/>
      <c r="QNM1627" s="1"/>
      <c r="QNN1627" s="1"/>
      <c r="QNO1627" s="1"/>
      <c r="QNP1627" s="1"/>
      <c r="QNQ1627" s="1"/>
      <c r="QNR1627" s="1"/>
      <c r="QNS1627" s="1"/>
      <c r="QNT1627" s="1"/>
      <c r="QNU1627" s="1"/>
      <c r="QNV1627" s="1"/>
      <c r="QNW1627" s="1"/>
      <c r="QNX1627" s="1"/>
      <c r="QNY1627" s="1"/>
      <c r="QNZ1627" s="1"/>
      <c r="QOA1627" s="1"/>
      <c r="QOB1627" s="1"/>
      <c r="QOC1627" s="1"/>
      <c r="QOD1627" s="1"/>
      <c r="QOE1627" s="1"/>
      <c r="QOF1627" s="1"/>
      <c r="QOG1627" s="1"/>
      <c r="QOH1627" s="1"/>
      <c r="QOI1627" s="1"/>
      <c r="QOJ1627" s="1"/>
      <c r="QOK1627" s="1"/>
      <c r="QOL1627" s="1"/>
      <c r="QOM1627" s="1"/>
      <c r="QON1627" s="1"/>
      <c r="QOO1627" s="1"/>
      <c r="QOP1627" s="1"/>
      <c r="QOQ1627" s="1"/>
      <c r="QOR1627" s="1"/>
      <c r="QOS1627" s="1"/>
      <c r="QOT1627" s="1"/>
      <c r="QOU1627" s="1"/>
      <c r="QOV1627" s="1"/>
      <c r="QOW1627" s="1"/>
      <c r="QOX1627" s="1"/>
      <c r="QOY1627" s="1"/>
      <c r="QOZ1627" s="1"/>
      <c r="QPA1627" s="1"/>
      <c r="QPB1627" s="1"/>
      <c r="QPC1627" s="1"/>
      <c r="QPD1627" s="1"/>
      <c r="QPE1627" s="1"/>
      <c r="QPF1627" s="1"/>
      <c r="QPG1627" s="1"/>
      <c r="QPH1627" s="1"/>
      <c r="QPI1627" s="1"/>
      <c r="QPJ1627" s="1"/>
      <c r="QPK1627" s="1"/>
      <c r="QPL1627" s="1"/>
      <c r="QPM1627" s="1"/>
      <c r="QPN1627" s="1"/>
      <c r="QPO1627" s="1"/>
      <c r="QPP1627" s="1"/>
      <c r="QPQ1627" s="1"/>
      <c r="QPR1627" s="1"/>
      <c r="QPS1627" s="1"/>
      <c r="QPT1627" s="1"/>
      <c r="QPU1627" s="1"/>
      <c r="QPV1627" s="1"/>
      <c r="QPW1627" s="1"/>
      <c r="QPX1627" s="1"/>
      <c r="QPY1627" s="1"/>
      <c r="QPZ1627" s="1"/>
      <c r="QQA1627" s="1"/>
      <c r="QQB1627" s="1"/>
      <c r="QQC1627" s="1"/>
      <c r="QQD1627" s="1"/>
      <c r="QQE1627" s="1"/>
      <c r="QQF1627" s="1"/>
      <c r="QQG1627" s="1"/>
      <c r="QQH1627" s="1"/>
      <c r="QQI1627" s="1"/>
      <c r="QQJ1627" s="1"/>
      <c r="QQK1627" s="1"/>
      <c r="QQL1627" s="1"/>
      <c r="QQM1627" s="1"/>
      <c r="QQN1627" s="1"/>
      <c r="QQO1627" s="1"/>
      <c r="QQP1627" s="1"/>
      <c r="QQQ1627" s="1"/>
      <c r="QQR1627" s="1"/>
      <c r="QQS1627" s="1"/>
      <c r="QQT1627" s="1"/>
      <c r="QQU1627" s="1"/>
      <c r="QQV1627" s="1"/>
      <c r="QQW1627" s="1"/>
      <c r="QQX1627" s="1"/>
      <c r="QQY1627" s="1"/>
      <c r="QQZ1627" s="1"/>
      <c r="QRA1627" s="1"/>
      <c r="QRB1627" s="1"/>
      <c r="QRC1627" s="1"/>
      <c r="QRD1627" s="1"/>
      <c r="QRE1627" s="1"/>
      <c r="QRF1627" s="1"/>
      <c r="QRG1627" s="1"/>
      <c r="QRH1627" s="1"/>
      <c r="QRI1627" s="1"/>
      <c r="QRJ1627" s="1"/>
      <c r="QRK1627" s="1"/>
      <c r="QRL1627" s="1"/>
      <c r="QRM1627" s="1"/>
      <c r="QRN1627" s="1"/>
      <c r="QRO1627" s="1"/>
      <c r="QRP1627" s="1"/>
      <c r="QRQ1627" s="1"/>
      <c r="QRR1627" s="1"/>
      <c r="QRS1627" s="1"/>
      <c r="QRT1627" s="1"/>
      <c r="QRU1627" s="1"/>
      <c r="QRV1627" s="1"/>
      <c r="QRW1627" s="1"/>
      <c r="QRX1627" s="1"/>
      <c r="QRY1627" s="1"/>
      <c r="QRZ1627" s="1"/>
      <c r="QSA1627" s="1"/>
      <c r="QSB1627" s="1"/>
      <c r="QSC1627" s="1"/>
      <c r="QSD1627" s="1"/>
      <c r="QSE1627" s="1"/>
      <c r="QSF1627" s="1"/>
      <c r="QSG1627" s="1"/>
      <c r="QSH1627" s="1"/>
      <c r="QSI1627" s="1"/>
      <c r="QSJ1627" s="1"/>
      <c r="QSK1627" s="1"/>
      <c r="QSL1627" s="1"/>
      <c r="QSM1627" s="1"/>
      <c r="QSN1627" s="1"/>
      <c r="QSO1627" s="1"/>
      <c r="QSP1627" s="1"/>
      <c r="QSQ1627" s="1"/>
      <c r="QSR1627" s="1"/>
      <c r="QSS1627" s="1"/>
      <c r="QST1627" s="1"/>
      <c r="QSU1627" s="1"/>
      <c r="QSV1627" s="1"/>
      <c r="QSW1627" s="1"/>
      <c r="QSX1627" s="1"/>
      <c r="QSY1627" s="1"/>
      <c r="QSZ1627" s="1"/>
      <c r="QTA1627" s="1"/>
      <c r="QTB1627" s="1"/>
      <c r="QTC1627" s="1"/>
      <c r="QTD1627" s="1"/>
      <c r="QTE1627" s="1"/>
      <c r="QTF1627" s="1"/>
      <c r="QTG1627" s="1"/>
      <c r="QTH1627" s="1"/>
      <c r="QTI1627" s="1"/>
      <c r="QTJ1627" s="1"/>
      <c r="QTK1627" s="1"/>
      <c r="QTL1627" s="1"/>
      <c r="QTM1627" s="1"/>
      <c r="QTN1627" s="1"/>
      <c r="QTO1627" s="1"/>
      <c r="QTP1627" s="1"/>
      <c r="QTQ1627" s="1"/>
      <c r="QTR1627" s="1"/>
      <c r="QTS1627" s="1"/>
      <c r="QTT1627" s="1"/>
      <c r="QTU1627" s="1"/>
      <c r="QTV1627" s="1"/>
      <c r="QTW1627" s="1"/>
      <c r="QTX1627" s="1"/>
      <c r="QTY1627" s="1"/>
      <c r="QTZ1627" s="1"/>
      <c r="QUA1627" s="1"/>
      <c r="QUB1627" s="1"/>
      <c r="QUC1627" s="1"/>
      <c r="QUD1627" s="1"/>
      <c r="QUE1627" s="1"/>
      <c r="QUF1627" s="1"/>
      <c r="QUG1627" s="1"/>
      <c r="QUH1627" s="1"/>
      <c r="QUI1627" s="1"/>
      <c r="QUJ1627" s="1"/>
      <c r="QUK1627" s="1"/>
      <c r="QUL1627" s="1"/>
      <c r="QUM1627" s="1"/>
      <c r="QUN1627" s="1"/>
      <c r="QUO1627" s="1"/>
      <c r="QUP1627" s="1"/>
      <c r="QUQ1627" s="1"/>
      <c r="QUR1627" s="1"/>
      <c r="QUS1627" s="1"/>
      <c r="QUT1627" s="1"/>
      <c r="QUU1627" s="1"/>
      <c r="QUV1627" s="1"/>
      <c r="QUW1627" s="1"/>
      <c r="QUX1627" s="1"/>
      <c r="QUY1627" s="1"/>
      <c r="QUZ1627" s="1"/>
      <c r="QVA1627" s="1"/>
      <c r="QVB1627" s="1"/>
      <c r="QVC1627" s="1"/>
      <c r="QVD1627" s="1"/>
      <c r="QVE1627" s="1"/>
      <c r="QVF1627" s="1"/>
      <c r="QVG1627" s="1"/>
      <c r="QVH1627" s="1"/>
      <c r="QVI1627" s="1"/>
      <c r="QVJ1627" s="1"/>
      <c r="QVK1627" s="1"/>
      <c r="QVL1627" s="1"/>
      <c r="QVM1627" s="1"/>
      <c r="QVN1627" s="1"/>
      <c r="QVO1627" s="1"/>
      <c r="QVP1627" s="1"/>
      <c r="QVQ1627" s="1"/>
      <c r="QVR1627" s="1"/>
      <c r="QVS1627" s="1"/>
      <c r="QVT1627" s="1"/>
      <c r="QVU1627" s="1"/>
      <c r="QVV1627" s="1"/>
      <c r="QVW1627" s="1"/>
      <c r="QVX1627" s="1"/>
      <c r="QVY1627" s="1"/>
      <c r="QVZ1627" s="1"/>
      <c r="QWA1627" s="1"/>
      <c r="QWB1627" s="1"/>
      <c r="QWC1627" s="1"/>
      <c r="QWD1627" s="1"/>
      <c r="QWE1627" s="1"/>
      <c r="QWF1627" s="1"/>
      <c r="QWG1627" s="1"/>
      <c r="QWH1627" s="1"/>
      <c r="QWI1627" s="1"/>
      <c r="QWJ1627" s="1"/>
      <c r="QWK1627" s="1"/>
      <c r="QWL1627" s="1"/>
      <c r="QWM1627" s="1"/>
      <c r="QWN1627" s="1"/>
      <c r="QWO1627" s="1"/>
      <c r="QWP1627" s="1"/>
      <c r="QWQ1627" s="1"/>
      <c r="QWR1627" s="1"/>
      <c r="QWS1627" s="1"/>
      <c r="QWT1627" s="1"/>
      <c r="QWU1627" s="1"/>
      <c r="QWV1627" s="1"/>
      <c r="QWW1627" s="1"/>
      <c r="QWX1627" s="1"/>
      <c r="QWY1627" s="1"/>
      <c r="QWZ1627" s="1"/>
      <c r="QXA1627" s="1"/>
      <c r="QXB1627" s="1"/>
      <c r="QXC1627" s="1"/>
      <c r="QXD1627" s="1"/>
      <c r="QXE1627" s="1"/>
      <c r="QXF1627" s="1"/>
      <c r="QXG1627" s="1"/>
      <c r="QXH1627" s="1"/>
      <c r="QXI1627" s="1"/>
      <c r="QXJ1627" s="1"/>
      <c r="QXK1627" s="1"/>
      <c r="QXL1627" s="1"/>
      <c r="QXM1627" s="1"/>
      <c r="QXN1627" s="1"/>
      <c r="QXO1627" s="1"/>
      <c r="QXP1627" s="1"/>
      <c r="QXQ1627" s="1"/>
      <c r="QXR1627" s="1"/>
      <c r="QXS1627" s="1"/>
      <c r="QXT1627" s="1"/>
      <c r="QXU1627" s="1"/>
      <c r="QXV1627" s="1"/>
      <c r="QXW1627" s="1"/>
      <c r="QXX1627" s="1"/>
      <c r="QXY1627" s="1"/>
      <c r="QXZ1627" s="1"/>
      <c r="QYA1627" s="1"/>
      <c r="QYB1627" s="1"/>
      <c r="QYC1627" s="1"/>
      <c r="QYD1627" s="1"/>
      <c r="QYE1627" s="1"/>
      <c r="QYF1627" s="1"/>
      <c r="QYG1627" s="1"/>
      <c r="QYH1627" s="1"/>
      <c r="QYI1627" s="1"/>
      <c r="QYJ1627" s="1"/>
      <c r="QYK1627" s="1"/>
      <c r="QYL1627" s="1"/>
      <c r="QYM1627" s="1"/>
      <c r="QYN1627" s="1"/>
      <c r="QYO1627" s="1"/>
      <c r="QYP1627" s="1"/>
      <c r="QYQ1627" s="1"/>
      <c r="QYR1627" s="1"/>
      <c r="QYS1627" s="1"/>
      <c r="QYT1627" s="1"/>
      <c r="QYU1627" s="1"/>
      <c r="QYV1627" s="1"/>
      <c r="QYW1627" s="1"/>
      <c r="QYX1627" s="1"/>
      <c r="QYY1627" s="1"/>
      <c r="QYZ1627" s="1"/>
      <c r="QZA1627" s="1"/>
      <c r="QZB1627" s="1"/>
      <c r="QZC1627" s="1"/>
      <c r="QZD1627" s="1"/>
      <c r="QZE1627" s="1"/>
      <c r="QZF1627" s="1"/>
      <c r="QZG1627" s="1"/>
      <c r="QZH1627" s="1"/>
      <c r="QZI1627" s="1"/>
      <c r="QZJ1627" s="1"/>
      <c r="QZK1627" s="1"/>
      <c r="QZL1627" s="1"/>
      <c r="QZM1627" s="1"/>
      <c r="QZN1627" s="1"/>
      <c r="QZO1627" s="1"/>
      <c r="QZP1627" s="1"/>
      <c r="QZQ1627" s="1"/>
      <c r="QZR1627" s="1"/>
      <c r="QZS1627" s="1"/>
      <c r="QZT1627" s="1"/>
      <c r="QZU1627" s="1"/>
      <c r="QZV1627" s="1"/>
      <c r="QZW1627" s="1"/>
      <c r="QZX1627" s="1"/>
      <c r="QZY1627" s="1"/>
      <c r="QZZ1627" s="1"/>
      <c r="RAA1627" s="1"/>
      <c r="RAB1627" s="1"/>
      <c r="RAC1627" s="1"/>
      <c r="RAD1627" s="1"/>
      <c r="RAE1627" s="1"/>
      <c r="RAF1627" s="1"/>
      <c r="RAG1627" s="1"/>
      <c r="RAH1627" s="1"/>
      <c r="RAI1627" s="1"/>
      <c r="RAJ1627" s="1"/>
      <c r="RAK1627" s="1"/>
      <c r="RAL1627" s="1"/>
      <c r="RAM1627" s="1"/>
      <c r="RAN1627" s="1"/>
      <c r="RAO1627" s="1"/>
      <c r="RAP1627" s="1"/>
      <c r="RAQ1627" s="1"/>
      <c r="RAR1627" s="1"/>
      <c r="RAS1627" s="1"/>
      <c r="RAT1627" s="1"/>
      <c r="RAU1627" s="1"/>
      <c r="RAV1627" s="1"/>
      <c r="RAW1627" s="1"/>
      <c r="RAX1627" s="1"/>
      <c r="RAY1627" s="1"/>
      <c r="RAZ1627" s="1"/>
      <c r="RBA1627" s="1"/>
      <c r="RBB1627" s="1"/>
      <c r="RBC1627" s="1"/>
      <c r="RBD1627" s="1"/>
      <c r="RBE1627" s="1"/>
      <c r="RBF1627" s="1"/>
      <c r="RBG1627" s="1"/>
      <c r="RBH1627" s="1"/>
      <c r="RBI1627" s="1"/>
      <c r="RBJ1627" s="1"/>
      <c r="RBK1627" s="1"/>
      <c r="RBL1627" s="1"/>
      <c r="RBM1627" s="1"/>
      <c r="RBN1627" s="1"/>
      <c r="RBO1627" s="1"/>
      <c r="RBP1627" s="1"/>
      <c r="RBQ1627" s="1"/>
      <c r="RBR1627" s="1"/>
      <c r="RBS1627" s="1"/>
      <c r="RBT1627" s="1"/>
      <c r="RBU1627" s="1"/>
      <c r="RBV1627" s="1"/>
      <c r="RBW1627" s="1"/>
      <c r="RBX1627" s="1"/>
      <c r="RBY1627" s="1"/>
      <c r="RBZ1627" s="1"/>
      <c r="RCA1627" s="1"/>
      <c r="RCB1627" s="1"/>
      <c r="RCC1627" s="1"/>
      <c r="RCD1627" s="1"/>
      <c r="RCE1627" s="1"/>
      <c r="RCF1627" s="1"/>
      <c r="RCG1627" s="1"/>
      <c r="RCH1627" s="1"/>
      <c r="RCI1627" s="1"/>
      <c r="RCJ1627" s="1"/>
      <c r="RCK1627" s="1"/>
      <c r="RCL1627" s="1"/>
      <c r="RCM1627" s="1"/>
      <c r="RCN1627" s="1"/>
      <c r="RCO1627" s="1"/>
      <c r="RCP1627" s="1"/>
      <c r="RCQ1627" s="1"/>
      <c r="RCR1627" s="1"/>
      <c r="RCS1627" s="1"/>
      <c r="RCT1627" s="1"/>
      <c r="RCU1627" s="1"/>
      <c r="RCV1627" s="1"/>
      <c r="RCW1627" s="1"/>
      <c r="RCX1627" s="1"/>
      <c r="RCY1627" s="1"/>
      <c r="RCZ1627" s="1"/>
      <c r="RDA1627" s="1"/>
      <c r="RDB1627" s="1"/>
      <c r="RDC1627" s="1"/>
      <c r="RDD1627" s="1"/>
      <c r="RDE1627" s="1"/>
      <c r="RDF1627" s="1"/>
      <c r="RDG1627" s="1"/>
      <c r="RDH1627" s="1"/>
      <c r="RDI1627" s="1"/>
      <c r="RDJ1627" s="1"/>
      <c r="RDK1627" s="1"/>
      <c r="RDL1627" s="1"/>
      <c r="RDM1627" s="1"/>
      <c r="RDN1627" s="1"/>
      <c r="RDO1627" s="1"/>
      <c r="RDP1627" s="1"/>
      <c r="RDQ1627" s="1"/>
      <c r="RDR1627" s="1"/>
      <c r="RDS1627" s="1"/>
      <c r="RDT1627" s="1"/>
      <c r="RDU1627" s="1"/>
      <c r="RDV1627" s="1"/>
      <c r="RDW1627" s="1"/>
      <c r="RDX1627" s="1"/>
      <c r="RDY1627" s="1"/>
      <c r="RDZ1627" s="1"/>
      <c r="REA1627" s="1"/>
      <c r="REB1627" s="1"/>
      <c r="REC1627" s="1"/>
      <c r="RED1627" s="1"/>
      <c r="REE1627" s="1"/>
      <c r="REF1627" s="1"/>
      <c r="REG1627" s="1"/>
      <c r="REH1627" s="1"/>
      <c r="REI1627" s="1"/>
      <c r="REJ1627" s="1"/>
      <c r="REK1627" s="1"/>
      <c r="REL1627" s="1"/>
      <c r="REM1627" s="1"/>
      <c r="REN1627" s="1"/>
      <c r="REO1627" s="1"/>
      <c r="REP1627" s="1"/>
      <c r="REQ1627" s="1"/>
      <c r="RER1627" s="1"/>
      <c r="RES1627" s="1"/>
      <c r="RET1627" s="1"/>
      <c r="REU1627" s="1"/>
      <c r="REV1627" s="1"/>
      <c r="REW1627" s="1"/>
      <c r="REX1627" s="1"/>
      <c r="REY1627" s="1"/>
      <c r="REZ1627" s="1"/>
      <c r="RFA1627" s="1"/>
      <c r="RFB1627" s="1"/>
      <c r="RFC1627" s="1"/>
      <c r="RFD1627" s="1"/>
      <c r="RFE1627" s="1"/>
      <c r="RFF1627" s="1"/>
      <c r="RFG1627" s="1"/>
      <c r="RFH1627" s="1"/>
      <c r="RFI1627" s="1"/>
      <c r="RFJ1627" s="1"/>
      <c r="RFK1627" s="1"/>
      <c r="RFL1627" s="1"/>
      <c r="RFM1627" s="1"/>
      <c r="RFN1627" s="1"/>
      <c r="RFO1627" s="1"/>
      <c r="RFP1627" s="1"/>
      <c r="RFQ1627" s="1"/>
      <c r="RFR1627" s="1"/>
      <c r="RFS1627" s="1"/>
      <c r="RFT1627" s="1"/>
      <c r="RFU1627" s="1"/>
      <c r="RFV1627" s="1"/>
      <c r="RFW1627" s="1"/>
      <c r="RFX1627" s="1"/>
      <c r="RFY1627" s="1"/>
      <c r="RFZ1627" s="1"/>
      <c r="RGA1627" s="1"/>
      <c r="RGB1627" s="1"/>
      <c r="RGC1627" s="1"/>
      <c r="RGD1627" s="1"/>
      <c r="RGE1627" s="1"/>
      <c r="RGF1627" s="1"/>
      <c r="RGG1627" s="1"/>
      <c r="RGH1627" s="1"/>
      <c r="RGI1627" s="1"/>
      <c r="RGJ1627" s="1"/>
      <c r="RGK1627" s="1"/>
      <c r="RGL1627" s="1"/>
      <c r="RGM1627" s="1"/>
      <c r="RGN1627" s="1"/>
      <c r="RGO1627" s="1"/>
      <c r="RGP1627" s="1"/>
      <c r="RGQ1627" s="1"/>
      <c r="RGR1627" s="1"/>
      <c r="RGS1627" s="1"/>
      <c r="RGT1627" s="1"/>
      <c r="RGU1627" s="1"/>
      <c r="RGV1627" s="1"/>
      <c r="RGW1627" s="1"/>
      <c r="RGX1627" s="1"/>
      <c r="RGY1627" s="1"/>
      <c r="RGZ1627" s="1"/>
      <c r="RHA1627" s="1"/>
      <c r="RHB1627" s="1"/>
      <c r="RHC1627" s="1"/>
      <c r="RHD1627" s="1"/>
      <c r="RHE1627" s="1"/>
      <c r="RHF1627" s="1"/>
      <c r="RHG1627" s="1"/>
      <c r="RHH1627" s="1"/>
      <c r="RHI1627" s="1"/>
      <c r="RHJ1627" s="1"/>
      <c r="RHK1627" s="1"/>
      <c r="RHL1627" s="1"/>
      <c r="RHM1627" s="1"/>
      <c r="RHN1627" s="1"/>
      <c r="RHO1627" s="1"/>
      <c r="RHP1627" s="1"/>
      <c r="RHQ1627" s="1"/>
      <c r="RHR1627" s="1"/>
      <c r="RHS1627" s="1"/>
      <c r="RHT1627" s="1"/>
      <c r="RHU1627" s="1"/>
      <c r="RHV1627" s="1"/>
      <c r="RHW1627" s="1"/>
      <c r="RHX1627" s="1"/>
      <c r="RHY1627" s="1"/>
      <c r="RHZ1627" s="1"/>
      <c r="RIA1627" s="1"/>
      <c r="RIB1627" s="1"/>
      <c r="RIC1627" s="1"/>
      <c r="RID1627" s="1"/>
      <c r="RIE1627" s="1"/>
      <c r="RIF1627" s="1"/>
      <c r="RIG1627" s="1"/>
      <c r="RIH1627" s="1"/>
      <c r="RII1627" s="1"/>
      <c r="RIJ1627" s="1"/>
      <c r="RIK1627" s="1"/>
      <c r="RIL1627" s="1"/>
      <c r="RIM1627" s="1"/>
      <c r="RIN1627" s="1"/>
      <c r="RIO1627" s="1"/>
      <c r="RIP1627" s="1"/>
      <c r="RIQ1627" s="1"/>
      <c r="RIR1627" s="1"/>
      <c r="RIS1627" s="1"/>
      <c r="RIT1627" s="1"/>
      <c r="RIU1627" s="1"/>
      <c r="RIV1627" s="1"/>
      <c r="RIW1627" s="1"/>
      <c r="RIX1627" s="1"/>
      <c r="RIY1627" s="1"/>
      <c r="RIZ1627" s="1"/>
      <c r="RJA1627" s="1"/>
      <c r="RJB1627" s="1"/>
      <c r="RJC1627" s="1"/>
      <c r="RJD1627" s="1"/>
      <c r="RJE1627" s="1"/>
      <c r="RJF1627" s="1"/>
      <c r="RJG1627" s="1"/>
      <c r="RJH1627" s="1"/>
      <c r="RJI1627" s="1"/>
      <c r="RJJ1627" s="1"/>
      <c r="RJK1627" s="1"/>
      <c r="RJL1627" s="1"/>
      <c r="RJM1627" s="1"/>
      <c r="RJN1627" s="1"/>
      <c r="RJO1627" s="1"/>
      <c r="RJP1627" s="1"/>
      <c r="RJQ1627" s="1"/>
      <c r="RJR1627" s="1"/>
      <c r="RJS1627" s="1"/>
      <c r="RJT1627" s="1"/>
      <c r="RJU1627" s="1"/>
      <c r="RJV1627" s="1"/>
      <c r="RJW1627" s="1"/>
      <c r="RJX1627" s="1"/>
      <c r="RJY1627" s="1"/>
      <c r="RJZ1627" s="1"/>
      <c r="RKA1627" s="1"/>
      <c r="RKB1627" s="1"/>
      <c r="RKC1627" s="1"/>
      <c r="RKD1627" s="1"/>
      <c r="RKE1627" s="1"/>
      <c r="RKF1627" s="1"/>
      <c r="RKG1627" s="1"/>
      <c r="RKH1627" s="1"/>
      <c r="RKI1627" s="1"/>
      <c r="RKJ1627" s="1"/>
      <c r="RKK1627" s="1"/>
      <c r="RKL1627" s="1"/>
      <c r="RKM1627" s="1"/>
      <c r="RKN1627" s="1"/>
      <c r="RKO1627" s="1"/>
      <c r="RKP1627" s="1"/>
      <c r="RKQ1627" s="1"/>
      <c r="RKR1627" s="1"/>
      <c r="RKS1627" s="1"/>
      <c r="RKT1627" s="1"/>
      <c r="RKU1627" s="1"/>
      <c r="RKV1627" s="1"/>
      <c r="RKW1627" s="1"/>
      <c r="RKX1627" s="1"/>
      <c r="RKY1627" s="1"/>
      <c r="RKZ1627" s="1"/>
      <c r="RLA1627" s="1"/>
      <c r="RLB1627" s="1"/>
      <c r="RLC1627" s="1"/>
      <c r="RLD1627" s="1"/>
      <c r="RLE1627" s="1"/>
      <c r="RLF1627" s="1"/>
      <c r="RLG1627" s="1"/>
      <c r="RLH1627" s="1"/>
      <c r="RLI1627" s="1"/>
      <c r="RLJ1627" s="1"/>
      <c r="RLK1627" s="1"/>
      <c r="RLL1627" s="1"/>
      <c r="RLM1627" s="1"/>
      <c r="RLN1627" s="1"/>
      <c r="RLO1627" s="1"/>
      <c r="RLP1627" s="1"/>
      <c r="RLQ1627" s="1"/>
      <c r="RLR1627" s="1"/>
      <c r="RLS1627" s="1"/>
      <c r="RLT1627" s="1"/>
      <c r="RLU1627" s="1"/>
      <c r="RLV1627" s="1"/>
      <c r="RLW1627" s="1"/>
      <c r="RLX1627" s="1"/>
      <c r="RLY1627" s="1"/>
      <c r="RLZ1627" s="1"/>
      <c r="RMA1627" s="1"/>
      <c r="RMB1627" s="1"/>
      <c r="RMC1627" s="1"/>
      <c r="RMD1627" s="1"/>
      <c r="RME1627" s="1"/>
      <c r="RMF1627" s="1"/>
      <c r="RMG1627" s="1"/>
      <c r="RMH1627" s="1"/>
      <c r="RMI1627" s="1"/>
      <c r="RMJ1627" s="1"/>
      <c r="RMK1627" s="1"/>
      <c r="RML1627" s="1"/>
      <c r="RMM1627" s="1"/>
      <c r="RMN1627" s="1"/>
      <c r="RMO1627" s="1"/>
      <c r="RMP1627" s="1"/>
      <c r="RMQ1627" s="1"/>
      <c r="RMR1627" s="1"/>
      <c r="RMS1627" s="1"/>
      <c r="RMT1627" s="1"/>
      <c r="RMU1627" s="1"/>
      <c r="RMV1627" s="1"/>
      <c r="RMW1627" s="1"/>
      <c r="RMX1627" s="1"/>
      <c r="RMY1627" s="1"/>
      <c r="RMZ1627" s="1"/>
      <c r="RNA1627" s="1"/>
      <c r="RNB1627" s="1"/>
      <c r="RNC1627" s="1"/>
      <c r="RND1627" s="1"/>
      <c r="RNE1627" s="1"/>
      <c r="RNF1627" s="1"/>
      <c r="RNG1627" s="1"/>
      <c r="RNH1627" s="1"/>
      <c r="RNI1627" s="1"/>
      <c r="RNJ1627" s="1"/>
      <c r="RNK1627" s="1"/>
      <c r="RNL1627" s="1"/>
      <c r="RNM1627" s="1"/>
      <c r="RNN1627" s="1"/>
      <c r="RNO1627" s="1"/>
      <c r="RNP1627" s="1"/>
      <c r="RNQ1627" s="1"/>
      <c r="RNR1627" s="1"/>
      <c r="RNS1627" s="1"/>
      <c r="RNT1627" s="1"/>
      <c r="RNU1627" s="1"/>
      <c r="RNV1627" s="1"/>
      <c r="RNW1627" s="1"/>
      <c r="RNX1627" s="1"/>
      <c r="RNY1627" s="1"/>
      <c r="RNZ1627" s="1"/>
      <c r="ROA1627" s="1"/>
      <c r="ROB1627" s="1"/>
      <c r="ROC1627" s="1"/>
      <c r="ROD1627" s="1"/>
      <c r="ROE1627" s="1"/>
      <c r="ROF1627" s="1"/>
      <c r="ROG1627" s="1"/>
      <c r="ROH1627" s="1"/>
      <c r="ROI1627" s="1"/>
      <c r="ROJ1627" s="1"/>
      <c r="ROK1627" s="1"/>
      <c r="ROL1627" s="1"/>
      <c r="ROM1627" s="1"/>
      <c r="RON1627" s="1"/>
      <c r="ROO1627" s="1"/>
      <c r="ROP1627" s="1"/>
      <c r="ROQ1627" s="1"/>
      <c r="ROR1627" s="1"/>
      <c r="ROS1627" s="1"/>
      <c r="ROT1627" s="1"/>
      <c r="ROU1627" s="1"/>
      <c r="ROV1627" s="1"/>
      <c r="ROW1627" s="1"/>
      <c r="ROX1627" s="1"/>
      <c r="ROY1627" s="1"/>
      <c r="ROZ1627" s="1"/>
      <c r="RPA1627" s="1"/>
      <c r="RPB1627" s="1"/>
      <c r="RPC1627" s="1"/>
      <c r="RPD1627" s="1"/>
      <c r="RPE1627" s="1"/>
      <c r="RPF1627" s="1"/>
      <c r="RPG1627" s="1"/>
      <c r="RPH1627" s="1"/>
      <c r="RPI1627" s="1"/>
      <c r="RPJ1627" s="1"/>
      <c r="RPK1627" s="1"/>
      <c r="RPL1627" s="1"/>
      <c r="RPM1627" s="1"/>
      <c r="RPN1627" s="1"/>
      <c r="RPO1627" s="1"/>
      <c r="RPP1627" s="1"/>
      <c r="RPQ1627" s="1"/>
      <c r="RPR1627" s="1"/>
      <c r="RPS1627" s="1"/>
      <c r="RPT1627" s="1"/>
      <c r="RPU1627" s="1"/>
      <c r="RPV1627" s="1"/>
      <c r="RPW1627" s="1"/>
      <c r="RPX1627" s="1"/>
      <c r="RPY1627" s="1"/>
      <c r="RPZ1627" s="1"/>
      <c r="RQA1627" s="1"/>
      <c r="RQB1627" s="1"/>
      <c r="RQC1627" s="1"/>
      <c r="RQD1627" s="1"/>
      <c r="RQE1627" s="1"/>
      <c r="RQF1627" s="1"/>
      <c r="RQG1627" s="1"/>
      <c r="RQH1627" s="1"/>
      <c r="RQI1627" s="1"/>
      <c r="RQJ1627" s="1"/>
      <c r="RQK1627" s="1"/>
      <c r="RQL1627" s="1"/>
      <c r="RQM1627" s="1"/>
      <c r="RQN1627" s="1"/>
      <c r="RQO1627" s="1"/>
      <c r="RQP1627" s="1"/>
      <c r="RQQ1627" s="1"/>
      <c r="RQR1627" s="1"/>
      <c r="RQS1627" s="1"/>
      <c r="RQT1627" s="1"/>
      <c r="RQU1627" s="1"/>
      <c r="RQV1627" s="1"/>
      <c r="RQW1627" s="1"/>
      <c r="RQX1627" s="1"/>
      <c r="RQY1627" s="1"/>
      <c r="RQZ1627" s="1"/>
      <c r="RRA1627" s="1"/>
      <c r="RRB1627" s="1"/>
      <c r="RRC1627" s="1"/>
      <c r="RRD1627" s="1"/>
      <c r="RRE1627" s="1"/>
      <c r="RRF1627" s="1"/>
      <c r="RRG1627" s="1"/>
      <c r="RRH1627" s="1"/>
      <c r="RRI1627" s="1"/>
      <c r="RRJ1627" s="1"/>
      <c r="RRK1627" s="1"/>
      <c r="RRL1627" s="1"/>
      <c r="RRM1627" s="1"/>
      <c r="RRN1627" s="1"/>
      <c r="RRO1627" s="1"/>
      <c r="RRP1627" s="1"/>
      <c r="RRQ1627" s="1"/>
      <c r="RRR1627" s="1"/>
      <c r="RRS1627" s="1"/>
      <c r="RRT1627" s="1"/>
      <c r="RRU1627" s="1"/>
      <c r="RRV1627" s="1"/>
      <c r="RRW1627" s="1"/>
      <c r="RRX1627" s="1"/>
      <c r="RRY1627" s="1"/>
      <c r="RRZ1627" s="1"/>
      <c r="RSA1627" s="1"/>
      <c r="RSB1627" s="1"/>
      <c r="RSC1627" s="1"/>
      <c r="RSD1627" s="1"/>
      <c r="RSE1627" s="1"/>
      <c r="RSF1627" s="1"/>
      <c r="RSG1627" s="1"/>
      <c r="RSH1627" s="1"/>
      <c r="RSI1627" s="1"/>
      <c r="RSJ1627" s="1"/>
      <c r="RSK1627" s="1"/>
      <c r="RSL1627" s="1"/>
      <c r="RSM1627" s="1"/>
      <c r="RSN1627" s="1"/>
      <c r="RSO1627" s="1"/>
      <c r="RSP1627" s="1"/>
      <c r="RSQ1627" s="1"/>
      <c r="RSR1627" s="1"/>
      <c r="RSS1627" s="1"/>
      <c r="RST1627" s="1"/>
      <c r="RSU1627" s="1"/>
      <c r="RSV1627" s="1"/>
      <c r="RSW1627" s="1"/>
      <c r="RSX1627" s="1"/>
      <c r="RSY1627" s="1"/>
      <c r="RSZ1627" s="1"/>
      <c r="RTA1627" s="1"/>
      <c r="RTB1627" s="1"/>
      <c r="RTC1627" s="1"/>
      <c r="RTD1627" s="1"/>
      <c r="RTE1627" s="1"/>
      <c r="RTF1627" s="1"/>
      <c r="RTG1627" s="1"/>
      <c r="RTH1627" s="1"/>
      <c r="RTI1627" s="1"/>
      <c r="RTJ1627" s="1"/>
      <c r="RTK1627" s="1"/>
      <c r="RTL1627" s="1"/>
      <c r="RTM1627" s="1"/>
      <c r="RTN1627" s="1"/>
      <c r="RTO1627" s="1"/>
      <c r="RTP1627" s="1"/>
      <c r="RTQ1627" s="1"/>
      <c r="RTR1627" s="1"/>
      <c r="RTS1627" s="1"/>
      <c r="RTT1627" s="1"/>
      <c r="RTU1627" s="1"/>
      <c r="RTV1627" s="1"/>
      <c r="RTW1627" s="1"/>
      <c r="RTX1627" s="1"/>
      <c r="RTY1627" s="1"/>
      <c r="RTZ1627" s="1"/>
      <c r="RUA1627" s="1"/>
      <c r="RUB1627" s="1"/>
      <c r="RUC1627" s="1"/>
      <c r="RUD1627" s="1"/>
      <c r="RUE1627" s="1"/>
      <c r="RUF1627" s="1"/>
      <c r="RUG1627" s="1"/>
      <c r="RUH1627" s="1"/>
      <c r="RUI1627" s="1"/>
      <c r="RUJ1627" s="1"/>
      <c r="RUK1627" s="1"/>
      <c r="RUL1627" s="1"/>
      <c r="RUM1627" s="1"/>
      <c r="RUN1627" s="1"/>
      <c r="RUO1627" s="1"/>
      <c r="RUP1627" s="1"/>
      <c r="RUQ1627" s="1"/>
      <c r="RUR1627" s="1"/>
      <c r="RUS1627" s="1"/>
      <c r="RUT1627" s="1"/>
      <c r="RUU1627" s="1"/>
      <c r="RUV1627" s="1"/>
      <c r="RUW1627" s="1"/>
      <c r="RUX1627" s="1"/>
      <c r="RUY1627" s="1"/>
      <c r="RUZ1627" s="1"/>
      <c r="RVA1627" s="1"/>
      <c r="RVB1627" s="1"/>
      <c r="RVC1627" s="1"/>
      <c r="RVD1627" s="1"/>
      <c r="RVE1627" s="1"/>
      <c r="RVF1627" s="1"/>
      <c r="RVG1627" s="1"/>
      <c r="RVH1627" s="1"/>
      <c r="RVI1627" s="1"/>
      <c r="RVJ1627" s="1"/>
      <c r="RVK1627" s="1"/>
      <c r="RVL1627" s="1"/>
      <c r="RVM1627" s="1"/>
      <c r="RVN1627" s="1"/>
      <c r="RVO1627" s="1"/>
      <c r="RVP1627" s="1"/>
      <c r="RVQ1627" s="1"/>
      <c r="RVR1627" s="1"/>
      <c r="RVS1627" s="1"/>
      <c r="RVT1627" s="1"/>
      <c r="RVU1627" s="1"/>
      <c r="RVV1627" s="1"/>
      <c r="RVW1627" s="1"/>
      <c r="RVX1627" s="1"/>
      <c r="RVY1627" s="1"/>
      <c r="RVZ1627" s="1"/>
      <c r="RWA1627" s="1"/>
      <c r="RWB1627" s="1"/>
      <c r="RWC1627" s="1"/>
      <c r="RWD1627" s="1"/>
      <c r="RWE1627" s="1"/>
      <c r="RWF1627" s="1"/>
      <c r="RWG1627" s="1"/>
      <c r="RWH1627" s="1"/>
      <c r="RWI1627" s="1"/>
      <c r="RWJ1627" s="1"/>
      <c r="RWK1627" s="1"/>
      <c r="RWL1627" s="1"/>
      <c r="RWM1627" s="1"/>
      <c r="RWN1627" s="1"/>
      <c r="RWO1627" s="1"/>
      <c r="RWP1627" s="1"/>
      <c r="RWQ1627" s="1"/>
      <c r="RWR1627" s="1"/>
      <c r="RWS1627" s="1"/>
      <c r="RWT1627" s="1"/>
      <c r="RWU1627" s="1"/>
      <c r="RWV1627" s="1"/>
      <c r="RWW1627" s="1"/>
      <c r="RWX1627" s="1"/>
      <c r="RWY1627" s="1"/>
      <c r="RWZ1627" s="1"/>
      <c r="RXA1627" s="1"/>
      <c r="RXB1627" s="1"/>
      <c r="RXC1627" s="1"/>
      <c r="RXD1627" s="1"/>
      <c r="RXE1627" s="1"/>
      <c r="RXF1627" s="1"/>
      <c r="RXG1627" s="1"/>
      <c r="RXH1627" s="1"/>
      <c r="RXI1627" s="1"/>
      <c r="RXJ1627" s="1"/>
      <c r="RXK1627" s="1"/>
      <c r="RXL1627" s="1"/>
      <c r="RXM1627" s="1"/>
      <c r="RXN1627" s="1"/>
      <c r="RXO1627" s="1"/>
      <c r="RXP1627" s="1"/>
      <c r="RXQ1627" s="1"/>
      <c r="RXR1627" s="1"/>
      <c r="RXS1627" s="1"/>
      <c r="RXT1627" s="1"/>
      <c r="RXU1627" s="1"/>
      <c r="RXV1627" s="1"/>
      <c r="RXW1627" s="1"/>
      <c r="RXX1627" s="1"/>
      <c r="RXY1627" s="1"/>
      <c r="RXZ1627" s="1"/>
      <c r="RYA1627" s="1"/>
      <c r="RYB1627" s="1"/>
      <c r="RYC1627" s="1"/>
      <c r="RYD1627" s="1"/>
      <c r="RYE1627" s="1"/>
      <c r="RYF1627" s="1"/>
      <c r="RYG1627" s="1"/>
      <c r="RYH1627" s="1"/>
      <c r="RYI1627" s="1"/>
      <c r="RYJ1627" s="1"/>
      <c r="RYK1627" s="1"/>
      <c r="RYL1627" s="1"/>
      <c r="RYM1627" s="1"/>
      <c r="RYN1627" s="1"/>
      <c r="RYO1627" s="1"/>
      <c r="RYP1627" s="1"/>
      <c r="RYQ1627" s="1"/>
      <c r="RYR1627" s="1"/>
      <c r="RYS1627" s="1"/>
      <c r="RYT1627" s="1"/>
      <c r="RYU1627" s="1"/>
      <c r="RYV1627" s="1"/>
      <c r="RYW1627" s="1"/>
      <c r="RYX1627" s="1"/>
      <c r="RYY1627" s="1"/>
      <c r="RYZ1627" s="1"/>
      <c r="RZA1627" s="1"/>
      <c r="RZB1627" s="1"/>
      <c r="RZC1627" s="1"/>
      <c r="RZD1627" s="1"/>
      <c r="RZE1627" s="1"/>
      <c r="RZF1627" s="1"/>
      <c r="RZG1627" s="1"/>
      <c r="RZH1627" s="1"/>
      <c r="RZI1627" s="1"/>
      <c r="RZJ1627" s="1"/>
      <c r="RZK1627" s="1"/>
      <c r="RZL1627" s="1"/>
      <c r="RZM1627" s="1"/>
      <c r="RZN1627" s="1"/>
      <c r="RZO1627" s="1"/>
      <c r="RZP1627" s="1"/>
      <c r="RZQ1627" s="1"/>
      <c r="RZR1627" s="1"/>
      <c r="RZS1627" s="1"/>
      <c r="RZT1627" s="1"/>
      <c r="RZU1627" s="1"/>
      <c r="RZV1627" s="1"/>
      <c r="RZW1627" s="1"/>
      <c r="RZX1627" s="1"/>
      <c r="RZY1627" s="1"/>
      <c r="RZZ1627" s="1"/>
      <c r="SAA1627" s="1"/>
      <c r="SAB1627" s="1"/>
      <c r="SAC1627" s="1"/>
      <c r="SAD1627" s="1"/>
      <c r="SAE1627" s="1"/>
      <c r="SAF1627" s="1"/>
      <c r="SAG1627" s="1"/>
      <c r="SAH1627" s="1"/>
      <c r="SAI1627" s="1"/>
      <c r="SAJ1627" s="1"/>
      <c r="SAK1627" s="1"/>
      <c r="SAL1627" s="1"/>
      <c r="SAM1627" s="1"/>
      <c r="SAN1627" s="1"/>
      <c r="SAO1627" s="1"/>
      <c r="SAP1627" s="1"/>
      <c r="SAQ1627" s="1"/>
      <c r="SAR1627" s="1"/>
      <c r="SAS1627" s="1"/>
      <c r="SAT1627" s="1"/>
      <c r="SAU1627" s="1"/>
      <c r="SAV1627" s="1"/>
      <c r="SAW1627" s="1"/>
      <c r="SAX1627" s="1"/>
      <c r="SAY1627" s="1"/>
      <c r="SAZ1627" s="1"/>
      <c r="SBA1627" s="1"/>
      <c r="SBB1627" s="1"/>
      <c r="SBC1627" s="1"/>
      <c r="SBD1627" s="1"/>
      <c r="SBE1627" s="1"/>
      <c r="SBF1627" s="1"/>
      <c r="SBG1627" s="1"/>
      <c r="SBH1627" s="1"/>
      <c r="SBI1627" s="1"/>
      <c r="SBJ1627" s="1"/>
      <c r="SBK1627" s="1"/>
      <c r="SBL1627" s="1"/>
      <c r="SBM1627" s="1"/>
      <c r="SBN1627" s="1"/>
      <c r="SBO1627" s="1"/>
      <c r="SBP1627" s="1"/>
      <c r="SBQ1627" s="1"/>
      <c r="SBR1627" s="1"/>
      <c r="SBS1627" s="1"/>
      <c r="SBT1627" s="1"/>
      <c r="SBU1627" s="1"/>
      <c r="SBV1627" s="1"/>
      <c r="SBW1627" s="1"/>
      <c r="SBX1627" s="1"/>
      <c r="SBY1627" s="1"/>
      <c r="SBZ1627" s="1"/>
      <c r="SCA1627" s="1"/>
      <c r="SCB1627" s="1"/>
      <c r="SCC1627" s="1"/>
      <c r="SCD1627" s="1"/>
      <c r="SCE1627" s="1"/>
      <c r="SCF1627" s="1"/>
      <c r="SCG1627" s="1"/>
      <c r="SCH1627" s="1"/>
      <c r="SCI1627" s="1"/>
      <c r="SCJ1627" s="1"/>
      <c r="SCK1627" s="1"/>
      <c r="SCL1627" s="1"/>
      <c r="SCM1627" s="1"/>
      <c r="SCN1627" s="1"/>
      <c r="SCO1627" s="1"/>
      <c r="SCP1627" s="1"/>
      <c r="SCQ1627" s="1"/>
      <c r="SCR1627" s="1"/>
      <c r="SCS1627" s="1"/>
      <c r="SCT1627" s="1"/>
      <c r="SCU1627" s="1"/>
      <c r="SCV1627" s="1"/>
      <c r="SCW1627" s="1"/>
      <c r="SCX1627" s="1"/>
      <c r="SCY1627" s="1"/>
      <c r="SCZ1627" s="1"/>
      <c r="SDA1627" s="1"/>
      <c r="SDB1627" s="1"/>
      <c r="SDC1627" s="1"/>
      <c r="SDD1627" s="1"/>
      <c r="SDE1627" s="1"/>
      <c r="SDF1627" s="1"/>
      <c r="SDG1627" s="1"/>
      <c r="SDH1627" s="1"/>
      <c r="SDI1627" s="1"/>
      <c r="SDJ1627" s="1"/>
      <c r="SDK1627" s="1"/>
      <c r="SDL1627" s="1"/>
      <c r="SDM1627" s="1"/>
      <c r="SDN1627" s="1"/>
      <c r="SDO1627" s="1"/>
      <c r="SDP1627" s="1"/>
      <c r="SDQ1627" s="1"/>
      <c r="SDR1627" s="1"/>
      <c r="SDS1627" s="1"/>
      <c r="SDT1627" s="1"/>
      <c r="SDU1627" s="1"/>
      <c r="SDV1627" s="1"/>
      <c r="SDW1627" s="1"/>
      <c r="SDX1627" s="1"/>
      <c r="SDY1627" s="1"/>
      <c r="SDZ1627" s="1"/>
      <c r="SEA1627" s="1"/>
      <c r="SEB1627" s="1"/>
      <c r="SEC1627" s="1"/>
      <c r="SED1627" s="1"/>
      <c r="SEE1627" s="1"/>
      <c r="SEF1627" s="1"/>
      <c r="SEG1627" s="1"/>
      <c r="SEH1627" s="1"/>
      <c r="SEI1627" s="1"/>
      <c r="SEJ1627" s="1"/>
      <c r="SEK1627" s="1"/>
      <c r="SEL1627" s="1"/>
      <c r="SEM1627" s="1"/>
      <c r="SEN1627" s="1"/>
      <c r="SEO1627" s="1"/>
      <c r="SEP1627" s="1"/>
      <c r="SEQ1627" s="1"/>
      <c r="SER1627" s="1"/>
      <c r="SES1627" s="1"/>
      <c r="SET1627" s="1"/>
      <c r="SEU1627" s="1"/>
      <c r="SEV1627" s="1"/>
      <c r="SEW1627" s="1"/>
      <c r="SEX1627" s="1"/>
      <c r="SEY1627" s="1"/>
      <c r="SEZ1627" s="1"/>
      <c r="SFA1627" s="1"/>
      <c r="SFB1627" s="1"/>
      <c r="SFC1627" s="1"/>
      <c r="SFD1627" s="1"/>
      <c r="SFE1627" s="1"/>
      <c r="SFF1627" s="1"/>
      <c r="SFG1627" s="1"/>
      <c r="SFH1627" s="1"/>
      <c r="SFI1627" s="1"/>
      <c r="SFJ1627" s="1"/>
      <c r="SFK1627" s="1"/>
      <c r="SFL1627" s="1"/>
      <c r="SFM1627" s="1"/>
      <c r="SFN1627" s="1"/>
      <c r="SFO1627" s="1"/>
      <c r="SFP1627" s="1"/>
      <c r="SFQ1627" s="1"/>
      <c r="SFR1627" s="1"/>
      <c r="SFS1627" s="1"/>
      <c r="SFT1627" s="1"/>
      <c r="SFU1627" s="1"/>
      <c r="SFV1627" s="1"/>
      <c r="SFW1627" s="1"/>
      <c r="SFX1627" s="1"/>
      <c r="SFY1627" s="1"/>
      <c r="SFZ1627" s="1"/>
      <c r="SGA1627" s="1"/>
      <c r="SGB1627" s="1"/>
      <c r="SGC1627" s="1"/>
      <c r="SGD1627" s="1"/>
      <c r="SGE1627" s="1"/>
      <c r="SGF1627" s="1"/>
      <c r="SGG1627" s="1"/>
      <c r="SGH1627" s="1"/>
      <c r="SGI1627" s="1"/>
      <c r="SGJ1627" s="1"/>
      <c r="SGK1627" s="1"/>
      <c r="SGL1627" s="1"/>
      <c r="SGM1627" s="1"/>
      <c r="SGN1627" s="1"/>
      <c r="SGO1627" s="1"/>
      <c r="SGP1627" s="1"/>
      <c r="SGQ1627" s="1"/>
      <c r="SGR1627" s="1"/>
      <c r="SGS1627" s="1"/>
      <c r="SGT1627" s="1"/>
      <c r="SGU1627" s="1"/>
      <c r="SGV1627" s="1"/>
      <c r="SGW1627" s="1"/>
      <c r="SGX1627" s="1"/>
      <c r="SGY1627" s="1"/>
      <c r="SGZ1627" s="1"/>
      <c r="SHA1627" s="1"/>
      <c r="SHB1627" s="1"/>
      <c r="SHC1627" s="1"/>
      <c r="SHD1627" s="1"/>
      <c r="SHE1627" s="1"/>
      <c r="SHF1627" s="1"/>
      <c r="SHG1627" s="1"/>
      <c r="SHH1627" s="1"/>
      <c r="SHI1627" s="1"/>
      <c r="SHJ1627" s="1"/>
      <c r="SHK1627" s="1"/>
      <c r="SHL1627" s="1"/>
      <c r="SHM1627" s="1"/>
      <c r="SHN1627" s="1"/>
      <c r="SHO1627" s="1"/>
      <c r="SHP1627" s="1"/>
      <c r="SHQ1627" s="1"/>
      <c r="SHR1627" s="1"/>
      <c r="SHS1627" s="1"/>
      <c r="SHT1627" s="1"/>
      <c r="SHU1627" s="1"/>
      <c r="SHV1627" s="1"/>
      <c r="SHW1627" s="1"/>
      <c r="SHX1627" s="1"/>
      <c r="SHY1627" s="1"/>
      <c r="SHZ1627" s="1"/>
      <c r="SIA1627" s="1"/>
      <c r="SIB1627" s="1"/>
      <c r="SIC1627" s="1"/>
      <c r="SID1627" s="1"/>
      <c r="SIE1627" s="1"/>
      <c r="SIF1627" s="1"/>
      <c r="SIG1627" s="1"/>
      <c r="SIH1627" s="1"/>
      <c r="SII1627" s="1"/>
      <c r="SIJ1627" s="1"/>
      <c r="SIK1627" s="1"/>
      <c r="SIL1627" s="1"/>
      <c r="SIM1627" s="1"/>
      <c r="SIN1627" s="1"/>
      <c r="SIO1627" s="1"/>
      <c r="SIP1627" s="1"/>
      <c r="SIQ1627" s="1"/>
      <c r="SIR1627" s="1"/>
      <c r="SIS1627" s="1"/>
      <c r="SIT1627" s="1"/>
      <c r="SIU1627" s="1"/>
      <c r="SIV1627" s="1"/>
      <c r="SIW1627" s="1"/>
      <c r="SIX1627" s="1"/>
      <c r="SIY1627" s="1"/>
      <c r="SIZ1627" s="1"/>
      <c r="SJA1627" s="1"/>
      <c r="SJB1627" s="1"/>
      <c r="SJC1627" s="1"/>
      <c r="SJD1627" s="1"/>
      <c r="SJE1627" s="1"/>
      <c r="SJF1627" s="1"/>
      <c r="SJG1627" s="1"/>
      <c r="SJH1627" s="1"/>
      <c r="SJI1627" s="1"/>
      <c r="SJJ1627" s="1"/>
      <c r="SJK1627" s="1"/>
      <c r="SJL1627" s="1"/>
      <c r="SJM1627" s="1"/>
      <c r="SJN1627" s="1"/>
      <c r="SJO1627" s="1"/>
      <c r="SJP1627" s="1"/>
      <c r="SJQ1627" s="1"/>
      <c r="SJR1627" s="1"/>
      <c r="SJS1627" s="1"/>
      <c r="SJT1627" s="1"/>
      <c r="SJU1627" s="1"/>
      <c r="SJV1627" s="1"/>
      <c r="SJW1627" s="1"/>
      <c r="SJX1627" s="1"/>
      <c r="SJY1627" s="1"/>
      <c r="SJZ1627" s="1"/>
      <c r="SKA1627" s="1"/>
      <c r="SKB1627" s="1"/>
      <c r="SKC1627" s="1"/>
      <c r="SKD1627" s="1"/>
      <c r="SKE1627" s="1"/>
      <c r="SKF1627" s="1"/>
      <c r="SKG1627" s="1"/>
      <c r="SKH1627" s="1"/>
      <c r="SKI1627" s="1"/>
      <c r="SKJ1627" s="1"/>
      <c r="SKK1627" s="1"/>
      <c r="SKL1627" s="1"/>
      <c r="SKM1627" s="1"/>
      <c r="SKN1627" s="1"/>
      <c r="SKO1627" s="1"/>
      <c r="SKP1627" s="1"/>
      <c r="SKQ1627" s="1"/>
      <c r="SKR1627" s="1"/>
      <c r="SKS1627" s="1"/>
      <c r="SKT1627" s="1"/>
      <c r="SKU1627" s="1"/>
      <c r="SKV1627" s="1"/>
      <c r="SKW1627" s="1"/>
      <c r="SKX1627" s="1"/>
      <c r="SKY1627" s="1"/>
      <c r="SKZ1627" s="1"/>
      <c r="SLA1627" s="1"/>
      <c r="SLB1627" s="1"/>
      <c r="SLC1627" s="1"/>
      <c r="SLD1627" s="1"/>
      <c r="SLE1627" s="1"/>
      <c r="SLF1627" s="1"/>
      <c r="SLG1627" s="1"/>
      <c r="SLH1627" s="1"/>
      <c r="SLI1627" s="1"/>
      <c r="SLJ1627" s="1"/>
      <c r="SLK1627" s="1"/>
      <c r="SLL1627" s="1"/>
      <c r="SLM1627" s="1"/>
      <c r="SLN1627" s="1"/>
      <c r="SLO1627" s="1"/>
      <c r="SLP1627" s="1"/>
      <c r="SLQ1627" s="1"/>
      <c r="SLR1627" s="1"/>
      <c r="SLS1627" s="1"/>
      <c r="SLT1627" s="1"/>
      <c r="SLU1627" s="1"/>
      <c r="SLV1627" s="1"/>
      <c r="SLW1627" s="1"/>
      <c r="SLX1627" s="1"/>
      <c r="SLY1627" s="1"/>
      <c r="SLZ1627" s="1"/>
      <c r="SMA1627" s="1"/>
      <c r="SMB1627" s="1"/>
      <c r="SMC1627" s="1"/>
      <c r="SMD1627" s="1"/>
      <c r="SME1627" s="1"/>
      <c r="SMF1627" s="1"/>
      <c r="SMG1627" s="1"/>
      <c r="SMH1627" s="1"/>
      <c r="SMI1627" s="1"/>
      <c r="SMJ1627" s="1"/>
      <c r="SMK1627" s="1"/>
      <c r="SML1627" s="1"/>
      <c r="SMM1627" s="1"/>
      <c r="SMN1627" s="1"/>
      <c r="SMO1627" s="1"/>
      <c r="SMP1627" s="1"/>
      <c r="SMQ1627" s="1"/>
      <c r="SMR1627" s="1"/>
      <c r="SMS1627" s="1"/>
      <c r="SMT1627" s="1"/>
      <c r="SMU1627" s="1"/>
      <c r="SMV1627" s="1"/>
      <c r="SMW1627" s="1"/>
      <c r="SMX1627" s="1"/>
      <c r="SMY1627" s="1"/>
      <c r="SMZ1627" s="1"/>
      <c r="SNA1627" s="1"/>
      <c r="SNB1627" s="1"/>
      <c r="SNC1627" s="1"/>
      <c r="SND1627" s="1"/>
      <c r="SNE1627" s="1"/>
      <c r="SNF1627" s="1"/>
      <c r="SNG1627" s="1"/>
      <c r="SNH1627" s="1"/>
      <c r="SNI1627" s="1"/>
      <c r="SNJ1627" s="1"/>
      <c r="SNK1627" s="1"/>
      <c r="SNL1627" s="1"/>
      <c r="SNM1627" s="1"/>
      <c r="SNN1627" s="1"/>
      <c r="SNO1627" s="1"/>
      <c r="SNP1627" s="1"/>
      <c r="SNQ1627" s="1"/>
      <c r="SNR1627" s="1"/>
      <c r="SNS1627" s="1"/>
      <c r="SNT1627" s="1"/>
      <c r="SNU1627" s="1"/>
      <c r="SNV1627" s="1"/>
      <c r="SNW1627" s="1"/>
      <c r="SNX1627" s="1"/>
      <c r="SNY1627" s="1"/>
      <c r="SNZ1627" s="1"/>
      <c r="SOA1627" s="1"/>
      <c r="SOB1627" s="1"/>
      <c r="SOC1627" s="1"/>
      <c r="SOD1627" s="1"/>
      <c r="SOE1627" s="1"/>
      <c r="SOF1627" s="1"/>
      <c r="SOG1627" s="1"/>
      <c r="SOH1627" s="1"/>
      <c r="SOI1627" s="1"/>
      <c r="SOJ1627" s="1"/>
      <c r="SOK1627" s="1"/>
      <c r="SOL1627" s="1"/>
      <c r="SOM1627" s="1"/>
      <c r="SON1627" s="1"/>
      <c r="SOO1627" s="1"/>
      <c r="SOP1627" s="1"/>
      <c r="SOQ1627" s="1"/>
      <c r="SOR1627" s="1"/>
      <c r="SOS1627" s="1"/>
      <c r="SOT1627" s="1"/>
      <c r="SOU1627" s="1"/>
      <c r="SOV1627" s="1"/>
      <c r="SOW1627" s="1"/>
      <c r="SOX1627" s="1"/>
      <c r="SOY1627" s="1"/>
      <c r="SOZ1627" s="1"/>
      <c r="SPA1627" s="1"/>
      <c r="SPB1627" s="1"/>
      <c r="SPC1627" s="1"/>
      <c r="SPD1627" s="1"/>
      <c r="SPE1627" s="1"/>
      <c r="SPF1627" s="1"/>
      <c r="SPG1627" s="1"/>
      <c r="SPH1627" s="1"/>
      <c r="SPI1627" s="1"/>
      <c r="SPJ1627" s="1"/>
      <c r="SPK1627" s="1"/>
      <c r="SPL1627" s="1"/>
      <c r="SPM1627" s="1"/>
      <c r="SPN1627" s="1"/>
      <c r="SPO1627" s="1"/>
      <c r="SPP1627" s="1"/>
      <c r="SPQ1627" s="1"/>
      <c r="SPR1627" s="1"/>
      <c r="SPS1627" s="1"/>
      <c r="SPT1627" s="1"/>
      <c r="SPU1627" s="1"/>
      <c r="SPV1627" s="1"/>
      <c r="SPW1627" s="1"/>
      <c r="SPX1627" s="1"/>
      <c r="SPY1627" s="1"/>
      <c r="SPZ1627" s="1"/>
      <c r="SQA1627" s="1"/>
      <c r="SQB1627" s="1"/>
      <c r="SQC1627" s="1"/>
      <c r="SQD1627" s="1"/>
      <c r="SQE1627" s="1"/>
      <c r="SQF1627" s="1"/>
      <c r="SQG1627" s="1"/>
      <c r="SQH1627" s="1"/>
      <c r="SQI1627" s="1"/>
      <c r="SQJ1627" s="1"/>
      <c r="SQK1627" s="1"/>
      <c r="SQL1627" s="1"/>
      <c r="SQM1627" s="1"/>
      <c r="SQN1627" s="1"/>
      <c r="SQO1627" s="1"/>
      <c r="SQP1627" s="1"/>
      <c r="SQQ1627" s="1"/>
      <c r="SQR1627" s="1"/>
      <c r="SQS1627" s="1"/>
      <c r="SQT1627" s="1"/>
      <c r="SQU1627" s="1"/>
      <c r="SQV1627" s="1"/>
      <c r="SQW1627" s="1"/>
      <c r="SQX1627" s="1"/>
      <c r="SQY1627" s="1"/>
      <c r="SQZ1627" s="1"/>
      <c r="SRA1627" s="1"/>
      <c r="SRB1627" s="1"/>
      <c r="SRC1627" s="1"/>
      <c r="SRD1627" s="1"/>
      <c r="SRE1627" s="1"/>
      <c r="SRF1627" s="1"/>
      <c r="SRG1627" s="1"/>
      <c r="SRH1627" s="1"/>
      <c r="SRI1627" s="1"/>
      <c r="SRJ1627" s="1"/>
      <c r="SRK1627" s="1"/>
      <c r="SRL1627" s="1"/>
      <c r="SRM1627" s="1"/>
      <c r="SRN1627" s="1"/>
      <c r="SRO1627" s="1"/>
      <c r="SRP1627" s="1"/>
      <c r="SRQ1627" s="1"/>
      <c r="SRR1627" s="1"/>
      <c r="SRS1627" s="1"/>
      <c r="SRT1627" s="1"/>
      <c r="SRU1627" s="1"/>
      <c r="SRV1627" s="1"/>
      <c r="SRW1627" s="1"/>
      <c r="SRX1627" s="1"/>
      <c r="SRY1627" s="1"/>
      <c r="SRZ1627" s="1"/>
      <c r="SSA1627" s="1"/>
      <c r="SSB1627" s="1"/>
      <c r="SSC1627" s="1"/>
      <c r="SSD1627" s="1"/>
      <c r="SSE1627" s="1"/>
      <c r="SSF1627" s="1"/>
      <c r="SSG1627" s="1"/>
      <c r="SSH1627" s="1"/>
      <c r="SSI1627" s="1"/>
      <c r="SSJ1627" s="1"/>
      <c r="SSK1627" s="1"/>
      <c r="SSL1627" s="1"/>
      <c r="SSM1627" s="1"/>
      <c r="SSN1627" s="1"/>
      <c r="SSO1627" s="1"/>
      <c r="SSP1627" s="1"/>
      <c r="SSQ1627" s="1"/>
      <c r="SSR1627" s="1"/>
      <c r="SSS1627" s="1"/>
      <c r="SST1627" s="1"/>
      <c r="SSU1627" s="1"/>
      <c r="SSV1627" s="1"/>
      <c r="SSW1627" s="1"/>
      <c r="SSX1627" s="1"/>
      <c r="SSY1627" s="1"/>
      <c r="SSZ1627" s="1"/>
      <c r="STA1627" s="1"/>
      <c r="STB1627" s="1"/>
      <c r="STC1627" s="1"/>
      <c r="STD1627" s="1"/>
      <c r="STE1627" s="1"/>
      <c r="STF1627" s="1"/>
      <c r="STG1627" s="1"/>
      <c r="STH1627" s="1"/>
      <c r="STI1627" s="1"/>
      <c r="STJ1627" s="1"/>
      <c r="STK1627" s="1"/>
      <c r="STL1627" s="1"/>
      <c r="STM1627" s="1"/>
      <c r="STN1627" s="1"/>
      <c r="STO1627" s="1"/>
      <c r="STP1627" s="1"/>
      <c r="STQ1627" s="1"/>
      <c r="STR1627" s="1"/>
      <c r="STS1627" s="1"/>
      <c r="STT1627" s="1"/>
      <c r="STU1627" s="1"/>
      <c r="STV1627" s="1"/>
      <c r="STW1627" s="1"/>
      <c r="STX1627" s="1"/>
      <c r="STY1627" s="1"/>
      <c r="STZ1627" s="1"/>
      <c r="SUA1627" s="1"/>
      <c r="SUB1627" s="1"/>
      <c r="SUC1627" s="1"/>
      <c r="SUD1627" s="1"/>
      <c r="SUE1627" s="1"/>
      <c r="SUF1627" s="1"/>
      <c r="SUG1627" s="1"/>
      <c r="SUH1627" s="1"/>
      <c r="SUI1627" s="1"/>
      <c r="SUJ1627" s="1"/>
      <c r="SUK1627" s="1"/>
      <c r="SUL1627" s="1"/>
      <c r="SUM1627" s="1"/>
      <c r="SUN1627" s="1"/>
      <c r="SUO1627" s="1"/>
      <c r="SUP1627" s="1"/>
      <c r="SUQ1627" s="1"/>
      <c r="SUR1627" s="1"/>
      <c r="SUS1627" s="1"/>
      <c r="SUT1627" s="1"/>
      <c r="SUU1627" s="1"/>
      <c r="SUV1627" s="1"/>
      <c r="SUW1627" s="1"/>
      <c r="SUX1627" s="1"/>
      <c r="SUY1627" s="1"/>
      <c r="SUZ1627" s="1"/>
      <c r="SVA1627" s="1"/>
      <c r="SVB1627" s="1"/>
      <c r="SVC1627" s="1"/>
      <c r="SVD1627" s="1"/>
      <c r="SVE1627" s="1"/>
      <c r="SVF1627" s="1"/>
      <c r="SVG1627" s="1"/>
      <c r="SVH1627" s="1"/>
      <c r="SVI1627" s="1"/>
      <c r="SVJ1627" s="1"/>
      <c r="SVK1627" s="1"/>
      <c r="SVL1627" s="1"/>
      <c r="SVM1627" s="1"/>
      <c r="SVN1627" s="1"/>
      <c r="SVO1627" s="1"/>
      <c r="SVP1627" s="1"/>
      <c r="SVQ1627" s="1"/>
      <c r="SVR1627" s="1"/>
      <c r="SVS1627" s="1"/>
      <c r="SVT1627" s="1"/>
      <c r="SVU1627" s="1"/>
      <c r="SVV1627" s="1"/>
      <c r="SVW1627" s="1"/>
      <c r="SVX1627" s="1"/>
      <c r="SVY1627" s="1"/>
      <c r="SVZ1627" s="1"/>
      <c r="SWA1627" s="1"/>
      <c r="SWB1627" s="1"/>
      <c r="SWC1627" s="1"/>
      <c r="SWD1627" s="1"/>
      <c r="SWE1627" s="1"/>
      <c r="SWF1627" s="1"/>
      <c r="SWG1627" s="1"/>
      <c r="SWH1627" s="1"/>
      <c r="SWI1627" s="1"/>
      <c r="SWJ1627" s="1"/>
      <c r="SWK1627" s="1"/>
      <c r="SWL1627" s="1"/>
      <c r="SWM1627" s="1"/>
      <c r="SWN1627" s="1"/>
      <c r="SWO1627" s="1"/>
      <c r="SWP1627" s="1"/>
      <c r="SWQ1627" s="1"/>
      <c r="SWR1627" s="1"/>
      <c r="SWS1627" s="1"/>
      <c r="SWT1627" s="1"/>
      <c r="SWU1627" s="1"/>
      <c r="SWV1627" s="1"/>
      <c r="SWW1627" s="1"/>
      <c r="SWX1627" s="1"/>
      <c r="SWY1627" s="1"/>
      <c r="SWZ1627" s="1"/>
      <c r="SXA1627" s="1"/>
      <c r="SXB1627" s="1"/>
      <c r="SXC1627" s="1"/>
      <c r="SXD1627" s="1"/>
      <c r="SXE1627" s="1"/>
      <c r="SXF1627" s="1"/>
      <c r="SXG1627" s="1"/>
      <c r="SXH1627" s="1"/>
      <c r="SXI1627" s="1"/>
      <c r="SXJ1627" s="1"/>
      <c r="SXK1627" s="1"/>
      <c r="SXL1627" s="1"/>
      <c r="SXM1627" s="1"/>
      <c r="SXN1627" s="1"/>
      <c r="SXO1627" s="1"/>
      <c r="SXP1627" s="1"/>
      <c r="SXQ1627" s="1"/>
      <c r="SXR1627" s="1"/>
      <c r="SXS1627" s="1"/>
      <c r="SXT1627" s="1"/>
      <c r="SXU1627" s="1"/>
      <c r="SXV1627" s="1"/>
      <c r="SXW1627" s="1"/>
      <c r="SXX1627" s="1"/>
      <c r="SXY1627" s="1"/>
      <c r="SXZ1627" s="1"/>
      <c r="SYA1627" s="1"/>
      <c r="SYB1627" s="1"/>
      <c r="SYC1627" s="1"/>
      <c r="SYD1627" s="1"/>
      <c r="SYE1627" s="1"/>
      <c r="SYF1627" s="1"/>
      <c r="SYG1627" s="1"/>
      <c r="SYH1627" s="1"/>
      <c r="SYI1627" s="1"/>
      <c r="SYJ1627" s="1"/>
      <c r="SYK1627" s="1"/>
      <c r="SYL1627" s="1"/>
      <c r="SYM1627" s="1"/>
      <c r="SYN1627" s="1"/>
      <c r="SYO1627" s="1"/>
      <c r="SYP1627" s="1"/>
      <c r="SYQ1627" s="1"/>
      <c r="SYR1627" s="1"/>
      <c r="SYS1627" s="1"/>
      <c r="SYT1627" s="1"/>
      <c r="SYU1627" s="1"/>
      <c r="SYV1627" s="1"/>
      <c r="SYW1627" s="1"/>
      <c r="SYX1627" s="1"/>
      <c r="SYY1627" s="1"/>
      <c r="SYZ1627" s="1"/>
      <c r="SZA1627" s="1"/>
      <c r="SZB1627" s="1"/>
      <c r="SZC1627" s="1"/>
      <c r="SZD1627" s="1"/>
      <c r="SZE1627" s="1"/>
      <c r="SZF1627" s="1"/>
      <c r="SZG1627" s="1"/>
      <c r="SZH1627" s="1"/>
      <c r="SZI1627" s="1"/>
      <c r="SZJ1627" s="1"/>
      <c r="SZK1627" s="1"/>
      <c r="SZL1627" s="1"/>
      <c r="SZM1627" s="1"/>
      <c r="SZN1627" s="1"/>
      <c r="SZO1627" s="1"/>
      <c r="SZP1627" s="1"/>
      <c r="SZQ1627" s="1"/>
      <c r="SZR1627" s="1"/>
      <c r="SZS1627" s="1"/>
      <c r="SZT1627" s="1"/>
      <c r="SZU1627" s="1"/>
      <c r="SZV1627" s="1"/>
      <c r="SZW1627" s="1"/>
      <c r="SZX1627" s="1"/>
      <c r="SZY1627" s="1"/>
      <c r="SZZ1627" s="1"/>
      <c r="TAA1627" s="1"/>
      <c r="TAB1627" s="1"/>
      <c r="TAC1627" s="1"/>
      <c r="TAD1627" s="1"/>
      <c r="TAE1627" s="1"/>
      <c r="TAF1627" s="1"/>
      <c r="TAG1627" s="1"/>
      <c r="TAH1627" s="1"/>
      <c r="TAI1627" s="1"/>
      <c r="TAJ1627" s="1"/>
      <c r="TAK1627" s="1"/>
      <c r="TAL1627" s="1"/>
      <c r="TAM1627" s="1"/>
      <c r="TAN1627" s="1"/>
      <c r="TAO1627" s="1"/>
      <c r="TAP1627" s="1"/>
      <c r="TAQ1627" s="1"/>
      <c r="TAR1627" s="1"/>
      <c r="TAS1627" s="1"/>
      <c r="TAT1627" s="1"/>
      <c r="TAU1627" s="1"/>
      <c r="TAV1627" s="1"/>
      <c r="TAW1627" s="1"/>
      <c r="TAX1627" s="1"/>
      <c r="TAY1627" s="1"/>
      <c r="TAZ1627" s="1"/>
      <c r="TBA1627" s="1"/>
      <c r="TBB1627" s="1"/>
      <c r="TBC1627" s="1"/>
      <c r="TBD1627" s="1"/>
      <c r="TBE1627" s="1"/>
      <c r="TBF1627" s="1"/>
      <c r="TBG1627" s="1"/>
      <c r="TBH1627" s="1"/>
      <c r="TBI1627" s="1"/>
      <c r="TBJ1627" s="1"/>
      <c r="TBK1627" s="1"/>
      <c r="TBL1627" s="1"/>
      <c r="TBM1627" s="1"/>
      <c r="TBN1627" s="1"/>
      <c r="TBO1627" s="1"/>
      <c r="TBP1627" s="1"/>
      <c r="TBQ1627" s="1"/>
      <c r="TBR1627" s="1"/>
      <c r="TBS1627" s="1"/>
      <c r="TBT1627" s="1"/>
      <c r="TBU1627" s="1"/>
      <c r="TBV1627" s="1"/>
      <c r="TBW1627" s="1"/>
      <c r="TBX1627" s="1"/>
      <c r="TBY1627" s="1"/>
      <c r="TBZ1627" s="1"/>
      <c r="TCA1627" s="1"/>
      <c r="TCB1627" s="1"/>
      <c r="TCC1627" s="1"/>
      <c r="TCD1627" s="1"/>
      <c r="TCE1627" s="1"/>
      <c r="TCF1627" s="1"/>
      <c r="TCG1627" s="1"/>
      <c r="TCH1627" s="1"/>
      <c r="TCI1627" s="1"/>
      <c r="TCJ1627" s="1"/>
      <c r="TCK1627" s="1"/>
      <c r="TCL1627" s="1"/>
      <c r="TCM1627" s="1"/>
      <c r="TCN1627" s="1"/>
      <c r="TCO1627" s="1"/>
      <c r="TCP1627" s="1"/>
      <c r="TCQ1627" s="1"/>
      <c r="TCR1627" s="1"/>
      <c r="TCS1627" s="1"/>
      <c r="TCT1627" s="1"/>
      <c r="TCU1627" s="1"/>
      <c r="TCV1627" s="1"/>
      <c r="TCW1627" s="1"/>
      <c r="TCX1627" s="1"/>
      <c r="TCY1627" s="1"/>
      <c r="TCZ1627" s="1"/>
      <c r="TDA1627" s="1"/>
      <c r="TDB1627" s="1"/>
      <c r="TDC1627" s="1"/>
      <c r="TDD1627" s="1"/>
      <c r="TDE1627" s="1"/>
      <c r="TDF1627" s="1"/>
      <c r="TDG1627" s="1"/>
      <c r="TDH1627" s="1"/>
      <c r="TDI1627" s="1"/>
      <c r="TDJ1627" s="1"/>
      <c r="TDK1627" s="1"/>
      <c r="TDL1627" s="1"/>
      <c r="TDM1627" s="1"/>
      <c r="TDN1627" s="1"/>
      <c r="TDO1627" s="1"/>
      <c r="TDP1627" s="1"/>
      <c r="TDQ1627" s="1"/>
      <c r="TDR1627" s="1"/>
      <c r="TDS1627" s="1"/>
      <c r="TDT1627" s="1"/>
      <c r="TDU1627" s="1"/>
      <c r="TDV1627" s="1"/>
      <c r="TDW1627" s="1"/>
      <c r="TDX1627" s="1"/>
      <c r="TDY1627" s="1"/>
      <c r="TDZ1627" s="1"/>
      <c r="TEA1627" s="1"/>
      <c r="TEB1627" s="1"/>
      <c r="TEC1627" s="1"/>
      <c r="TED1627" s="1"/>
      <c r="TEE1627" s="1"/>
      <c r="TEF1627" s="1"/>
      <c r="TEG1627" s="1"/>
      <c r="TEH1627" s="1"/>
      <c r="TEI1627" s="1"/>
      <c r="TEJ1627" s="1"/>
      <c r="TEK1627" s="1"/>
      <c r="TEL1627" s="1"/>
      <c r="TEM1627" s="1"/>
      <c r="TEN1627" s="1"/>
      <c r="TEO1627" s="1"/>
      <c r="TEP1627" s="1"/>
      <c r="TEQ1627" s="1"/>
      <c r="TER1627" s="1"/>
      <c r="TES1627" s="1"/>
      <c r="TET1627" s="1"/>
      <c r="TEU1627" s="1"/>
      <c r="TEV1627" s="1"/>
      <c r="TEW1627" s="1"/>
      <c r="TEX1627" s="1"/>
      <c r="TEY1627" s="1"/>
      <c r="TEZ1627" s="1"/>
      <c r="TFA1627" s="1"/>
      <c r="TFB1627" s="1"/>
      <c r="TFC1627" s="1"/>
      <c r="TFD1627" s="1"/>
      <c r="TFE1627" s="1"/>
      <c r="TFF1627" s="1"/>
      <c r="TFG1627" s="1"/>
      <c r="TFH1627" s="1"/>
      <c r="TFI1627" s="1"/>
      <c r="TFJ1627" s="1"/>
      <c r="TFK1627" s="1"/>
      <c r="TFL1627" s="1"/>
      <c r="TFM1627" s="1"/>
      <c r="TFN1627" s="1"/>
      <c r="TFO1627" s="1"/>
      <c r="TFP1627" s="1"/>
      <c r="TFQ1627" s="1"/>
      <c r="TFR1627" s="1"/>
      <c r="TFS1627" s="1"/>
      <c r="TFT1627" s="1"/>
      <c r="TFU1627" s="1"/>
      <c r="TFV1627" s="1"/>
      <c r="TFW1627" s="1"/>
      <c r="TFX1627" s="1"/>
      <c r="TFY1627" s="1"/>
      <c r="TFZ1627" s="1"/>
      <c r="TGA1627" s="1"/>
      <c r="TGB1627" s="1"/>
      <c r="TGC1627" s="1"/>
      <c r="TGD1627" s="1"/>
      <c r="TGE1627" s="1"/>
      <c r="TGF1627" s="1"/>
      <c r="TGG1627" s="1"/>
      <c r="TGH1627" s="1"/>
      <c r="TGI1627" s="1"/>
      <c r="TGJ1627" s="1"/>
      <c r="TGK1627" s="1"/>
      <c r="TGL1627" s="1"/>
      <c r="TGM1627" s="1"/>
      <c r="TGN1627" s="1"/>
      <c r="TGO1627" s="1"/>
      <c r="TGP1627" s="1"/>
      <c r="TGQ1627" s="1"/>
      <c r="TGR1627" s="1"/>
      <c r="TGS1627" s="1"/>
      <c r="TGT1627" s="1"/>
      <c r="TGU1627" s="1"/>
      <c r="TGV1627" s="1"/>
      <c r="TGW1627" s="1"/>
      <c r="TGX1627" s="1"/>
      <c r="TGY1627" s="1"/>
      <c r="TGZ1627" s="1"/>
      <c r="THA1627" s="1"/>
      <c r="THB1627" s="1"/>
      <c r="THC1627" s="1"/>
      <c r="THD1627" s="1"/>
      <c r="THE1627" s="1"/>
      <c r="THF1627" s="1"/>
      <c r="THG1627" s="1"/>
      <c r="THH1627" s="1"/>
      <c r="THI1627" s="1"/>
      <c r="THJ1627" s="1"/>
      <c r="THK1627" s="1"/>
      <c r="THL1627" s="1"/>
      <c r="THM1627" s="1"/>
      <c r="THN1627" s="1"/>
      <c r="THO1627" s="1"/>
      <c r="THP1627" s="1"/>
      <c r="THQ1627" s="1"/>
      <c r="THR1627" s="1"/>
      <c r="THS1627" s="1"/>
      <c r="THT1627" s="1"/>
      <c r="THU1627" s="1"/>
      <c r="THV1627" s="1"/>
      <c r="THW1627" s="1"/>
      <c r="THX1627" s="1"/>
      <c r="THY1627" s="1"/>
      <c r="THZ1627" s="1"/>
      <c r="TIA1627" s="1"/>
      <c r="TIB1627" s="1"/>
      <c r="TIC1627" s="1"/>
      <c r="TID1627" s="1"/>
      <c r="TIE1627" s="1"/>
      <c r="TIF1627" s="1"/>
      <c r="TIG1627" s="1"/>
      <c r="TIH1627" s="1"/>
      <c r="TII1627" s="1"/>
      <c r="TIJ1627" s="1"/>
      <c r="TIK1627" s="1"/>
      <c r="TIL1627" s="1"/>
      <c r="TIM1627" s="1"/>
      <c r="TIN1627" s="1"/>
      <c r="TIO1627" s="1"/>
      <c r="TIP1627" s="1"/>
      <c r="TIQ1627" s="1"/>
      <c r="TIR1627" s="1"/>
      <c r="TIS1627" s="1"/>
      <c r="TIT1627" s="1"/>
      <c r="TIU1627" s="1"/>
      <c r="TIV1627" s="1"/>
      <c r="TIW1627" s="1"/>
      <c r="TIX1627" s="1"/>
      <c r="TIY1627" s="1"/>
      <c r="TIZ1627" s="1"/>
      <c r="TJA1627" s="1"/>
      <c r="TJB1627" s="1"/>
      <c r="TJC1627" s="1"/>
      <c r="TJD1627" s="1"/>
      <c r="TJE1627" s="1"/>
      <c r="TJF1627" s="1"/>
      <c r="TJG1627" s="1"/>
      <c r="TJH1627" s="1"/>
      <c r="TJI1627" s="1"/>
      <c r="TJJ1627" s="1"/>
      <c r="TJK1627" s="1"/>
      <c r="TJL1627" s="1"/>
      <c r="TJM1627" s="1"/>
      <c r="TJN1627" s="1"/>
      <c r="TJO1627" s="1"/>
      <c r="TJP1627" s="1"/>
      <c r="TJQ1627" s="1"/>
      <c r="TJR1627" s="1"/>
      <c r="TJS1627" s="1"/>
      <c r="TJT1627" s="1"/>
      <c r="TJU1627" s="1"/>
      <c r="TJV1627" s="1"/>
      <c r="TJW1627" s="1"/>
      <c r="TJX1627" s="1"/>
      <c r="TJY1627" s="1"/>
      <c r="TJZ1627" s="1"/>
      <c r="TKA1627" s="1"/>
      <c r="TKB1627" s="1"/>
      <c r="TKC1627" s="1"/>
      <c r="TKD1627" s="1"/>
      <c r="TKE1627" s="1"/>
      <c r="TKF1627" s="1"/>
      <c r="TKG1627" s="1"/>
      <c r="TKH1627" s="1"/>
      <c r="TKI1627" s="1"/>
      <c r="TKJ1627" s="1"/>
      <c r="TKK1627" s="1"/>
      <c r="TKL1627" s="1"/>
      <c r="TKM1627" s="1"/>
      <c r="TKN1627" s="1"/>
      <c r="TKO1627" s="1"/>
      <c r="TKP1627" s="1"/>
      <c r="TKQ1627" s="1"/>
      <c r="TKR1627" s="1"/>
      <c r="TKS1627" s="1"/>
      <c r="TKT1627" s="1"/>
      <c r="TKU1627" s="1"/>
      <c r="TKV1627" s="1"/>
      <c r="TKW1627" s="1"/>
      <c r="TKX1627" s="1"/>
      <c r="TKY1627" s="1"/>
      <c r="TKZ1627" s="1"/>
      <c r="TLA1627" s="1"/>
      <c r="TLB1627" s="1"/>
      <c r="TLC1627" s="1"/>
      <c r="TLD1627" s="1"/>
      <c r="TLE1627" s="1"/>
      <c r="TLF1627" s="1"/>
      <c r="TLG1627" s="1"/>
      <c r="TLH1627" s="1"/>
      <c r="TLI1627" s="1"/>
      <c r="TLJ1627" s="1"/>
      <c r="TLK1627" s="1"/>
      <c r="TLL1627" s="1"/>
      <c r="TLM1627" s="1"/>
      <c r="TLN1627" s="1"/>
      <c r="TLO1627" s="1"/>
      <c r="TLP1627" s="1"/>
      <c r="TLQ1627" s="1"/>
      <c r="TLR1627" s="1"/>
      <c r="TLS1627" s="1"/>
      <c r="TLT1627" s="1"/>
      <c r="TLU1627" s="1"/>
      <c r="TLV1627" s="1"/>
      <c r="TLW1627" s="1"/>
      <c r="TLX1627" s="1"/>
      <c r="TLY1627" s="1"/>
      <c r="TLZ1627" s="1"/>
      <c r="TMA1627" s="1"/>
      <c r="TMB1627" s="1"/>
      <c r="TMC1627" s="1"/>
      <c r="TMD1627" s="1"/>
      <c r="TME1627" s="1"/>
      <c r="TMF1627" s="1"/>
      <c r="TMG1627" s="1"/>
      <c r="TMH1627" s="1"/>
      <c r="TMI1627" s="1"/>
      <c r="TMJ1627" s="1"/>
      <c r="TMK1627" s="1"/>
      <c r="TML1627" s="1"/>
      <c r="TMM1627" s="1"/>
      <c r="TMN1627" s="1"/>
      <c r="TMO1627" s="1"/>
      <c r="TMP1627" s="1"/>
      <c r="TMQ1627" s="1"/>
      <c r="TMR1627" s="1"/>
      <c r="TMS1627" s="1"/>
      <c r="TMT1627" s="1"/>
      <c r="TMU1627" s="1"/>
      <c r="TMV1627" s="1"/>
      <c r="TMW1627" s="1"/>
      <c r="TMX1627" s="1"/>
      <c r="TMY1627" s="1"/>
      <c r="TMZ1627" s="1"/>
      <c r="TNA1627" s="1"/>
      <c r="TNB1627" s="1"/>
      <c r="TNC1627" s="1"/>
      <c r="TND1627" s="1"/>
      <c r="TNE1627" s="1"/>
      <c r="TNF1627" s="1"/>
      <c r="TNG1627" s="1"/>
      <c r="TNH1627" s="1"/>
      <c r="TNI1627" s="1"/>
      <c r="TNJ1627" s="1"/>
      <c r="TNK1627" s="1"/>
      <c r="TNL1627" s="1"/>
      <c r="TNM1627" s="1"/>
      <c r="TNN1627" s="1"/>
      <c r="TNO1627" s="1"/>
      <c r="TNP1627" s="1"/>
      <c r="TNQ1627" s="1"/>
      <c r="TNR1627" s="1"/>
      <c r="TNS1627" s="1"/>
      <c r="TNT1627" s="1"/>
      <c r="TNU1627" s="1"/>
      <c r="TNV1627" s="1"/>
      <c r="TNW1627" s="1"/>
      <c r="TNX1627" s="1"/>
      <c r="TNY1627" s="1"/>
      <c r="TNZ1627" s="1"/>
      <c r="TOA1627" s="1"/>
      <c r="TOB1627" s="1"/>
      <c r="TOC1627" s="1"/>
      <c r="TOD1627" s="1"/>
      <c r="TOE1627" s="1"/>
      <c r="TOF1627" s="1"/>
      <c r="TOG1627" s="1"/>
      <c r="TOH1627" s="1"/>
      <c r="TOI1627" s="1"/>
      <c r="TOJ1627" s="1"/>
      <c r="TOK1627" s="1"/>
      <c r="TOL1627" s="1"/>
      <c r="TOM1627" s="1"/>
      <c r="TON1627" s="1"/>
      <c r="TOO1627" s="1"/>
      <c r="TOP1627" s="1"/>
      <c r="TOQ1627" s="1"/>
      <c r="TOR1627" s="1"/>
      <c r="TOS1627" s="1"/>
      <c r="TOT1627" s="1"/>
      <c r="TOU1627" s="1"/>
      <c r="TOV1627" s="1"/>
      <c r="TOW1627" s="1"/>
      <c r="TOX1627" s="1"/>
      <c r="TOY1627" s="1"/>
      <c r="TOZ1627" s="1"/>
      <c r="TPA1627" s="1"/>
      <c r="TPB1627" s="1"/>
      <c r="TPC1627" s="1"/>
      <c r="TPD1627" s="1"/>
      <c r="TPE1627" s="1"/>
      <c r="TPF1627" s="1"/>
      <c r="TPG1627" s="1"/>
      <c r="TPH1627" s="1"/>
      <c r="TPI1627" s="1"/>
      <c r="TPJ1627" s="1"/>
      <c r="TPK1627" s="1"/>
      <c r="TPL1627" s="1"/>
      <c r="TPM1627" s="1"/>
      <c r="TPN1627" s="1"/>
      <c r="TPO1627" s="1"/>
      <c r="TPP1627" s="1"/>
      <c r="TPQ1627" s="1"/>
      <c r="TPR1627" s="1"/>
      <c r="TPS1627" s="1"/>
      <c r="TPT1627" s="1"/>
      <c r="TPU1627" s="1"/>
      <c r="TPV1627" s="1"/>
      <c r="TPW1627" s="1"/>
      <c r="TPX1627" s="1"/>
      <c r="TPY1627" s="1"/>
      <c r="TPZ1627" s="1"/>
      <c r="TQA1627" s="1"/>
      <c r="TQB1627" s="1"/>
      <c r="TQC1627" s="1"/>
      <c r="TQD1627" s="1"/>
      <c r="TQE1627" s="1"/>
      <c r="TQF1627" s="1"/>
      <c r="TQG1627" s="1"/>
      <c r="TQH1627" s="1"/>
      <c r="TQI1627" s="1"/>
      <c r="TQJ1627" s="1"/>
      <c r="TQK1627" s="1"/>
      <c r="TQL1627" s="1"/>
      <c r="TQM1627" s="1"/>
      <c r="TQN1627" s="1"/>
      <c r="TQO1627" s="1"/>
      <c r="TQP1627" s="1"/>
      <c r="TQQ1627" s="1"/>
      <c r="TQR1627" s="1"/>
      <c r="TQS1627" s="1"/>
      <c r="TQT1627" s="1"/>
      <c r="TQU1627" s="1"/>
      <c r="TQV1627" s="1"/>
      <c r="TQW1627" s="1"/>
      <c r="TQX1627" s="1"/>
      <c r="TQY1627" s="1"/>
      <c r="TQZ1627" s="1"/>
      <c r="TRA1627" s="1"/>
      <c r="TRB1627" s="1"/>
      <c r="TRC1627" s="1"/>
      <c r="TRD1627" s="1"/>
      <c r="TRE1627" s="1"/>
      <c r="TRF1627" s="1"/>
      <c r="TRG1627" s="1"/>
      <c r="TRH1627" s="1"/>
      <c r="TRI1627" s="1"/>
      <c r="TRJ1627" s="1"/>
      <c r="TRK1627" s="1"/>
      <c r="TRL1627" s="1"/>
      <c r="TRM1627" s="1"/>
      <c r="TRN1627" s="1"/>
      <c r="TRO1627" s="1"/>
      <c r="TRP1627" s="1"/>
      <c r="TRQ1627" s="1"/>
      <c r="TRR1627" s="1"/>
      <c r="TRS1627" s="1"/>
      <c r="TRT1627" s="1"/>
      <c r="TRU1627" s="1"/>
      <c r="TRV1627" s="1"/>
      <c r="TRW1627" s="1"/>
      <c r="TRX1627" s="1"/>
      <c r="TRY1627" s="1"/>
      <c r="TRZ1627" s="1"/>
      <c r="TSA1627" s="1"/>
      <c r="TSB1627" s="1"/>
      <c r="TSC1627" s="1"/>
      <c r="TSD1627" s="1"/>
      <c r="TSE1627" s="1"/>
      <c r="TSF1627" s="1"/>
      <c r="TSG1627" s="1"/>
      <c r="TSH1627" s="1"/>
      <c r="TSI1627" s="1"/>
      <c r="TSJ1627" s="1"/>
      <c r="TSK1627" s="1"/>
      <c r="TSL1627" s="1"/>
      <c r="TSM1627" s="1"/>
      <c r="TSN1627" s="1"/>
      <c r="TSO1627" s="1"/>
      <c r="TSP1627" s="1"/>
      <c r="TSQ1627" s="1"/>
      <c r="TSR1627" s="1"/>
      <c r="TSS1627" s="1"/>
      <c r="TST1627" s="1"/>
      <c r="TSU1627" s="1"/>
      <c r="TSV1627" s="1"/>
      <c r="TSW1627" s="1"/>
      <c r="TSX1627" s="1"/>
      <c r="TSY1627" s="1"/>
      <c r="TSZ1627" s="1"/>
      <c r="TTA1627" s="1"/>
      <c r="TTB1627" s="1"/>
      <c r="TTC1627" s="1"/>
      <c r="TTD1627" s="1"/>
      <c r="TTE1627" s="1"/>
      <c r="TTF1627" s="1"/>
      <c r="TTG1627" s="1"/>
      <c r="TTH1627" s="1"/>
      <c r="TTI1627" s="1"/>
      <c r="TTJ1627" s="1"/>
      <c r="TTK1627" s="1"/>
      <c r="TTL1627" s="1"/>
      <c r="TTM1627" s="1"/>
      <c r="TTN1627" s="1"/>
      <c r="TTO1627" s="1"/>
      <c r="TTP1627" s="1"/>
      <c r="TTQ1627" s="1"/>
      <c r="TTR1627" s="1"/>
      <c r="TTS1627" s="1"/>
      <c r="TTT1627" s="1"/>
      <c r="TTU1627" s="1"/>
      <c r="TTV1627" s="1"/>
      <c r="TTW1627" s="1"/>
      <c r="TTX1627" s="1"/>
      <c r="TTY1627" s="1"/>
      <c r="TTZ1627" s="1"/>
      <c r="TUA1627" s="1"/>
      <c r="TUB1627" s="1"/>
      <c r="TUC1627" s="1"/>
      <c r="TUD1627" s="1"/>
      <c r="TUE1627" s="1"/>
      <c r="TUF1627" s="1"/>
      <c r="TUG1627" s="1"/>
      <c r="TUH1627" s="1"/>
      <c r="TUI1627" s="1"/>
      <c r="TUJ1627" s="1"/>
      <c r="TUK1627" s="1"/>
      <c r="TUL1627" s="1"/>
      <c r="TUM1627" s="1"/>
      <c r="TUN1627" s="1"/>
      <c r="TUO1627" s="1"/>
      <c r="TUP1627" s="1"/>
      <c r="TUQ1627" s="1"/>
      <c r="TUR1627" s="1"/>
      <c r="TUS1627" s="1"/>
      <c r="TUT1627" s="1"/>
      <c r="TUU1627" s="1"/>
      <c r="TUV1627" s="1"/>
      <c r="TUW1627" s="1"/>
      <c r="TUX1627" s="1"/>
      <c r="TUY1627" s="1"/>
      <c r="TUZ1627" s="1"/>
      <c r="TVA1627" s="1"/>
      <c r="TVB1627" s="1"/>
      <c r="TVC1627" s="1"/>
      <c r="TVD1627" s="1"/>
      <c r="TVE1627" s="1"/>
      <c r="TVF1627" s="1"/>
      <c r="TVG1627" s="1"/>
      <c r="TVH1627" s="1"/>
      <c r="TVI1627" s="1"/>
      <c r="TVJ1627" s="1"/>
      <c r="TVK1627" s="1"/>
      <c r="TVL1627" s="1"/>
      <c r="TVM1627" s="1"/>
      <c r="TVN1627" s="1"/>
      <c r="TVO1627" s="1"/>
      <c r="TVP1627" s="1"/>
      <c r="TVQ1627" s="1"/>
      <c r="TVR1627" s="1"/>
      <c r="TVS1627" s="1"/>
      <c r="TVT1627" s="1"/>
      <c r="TVU1627" s="1"/>
      <c r="TVV1627" s="1"/>
      <c r="TVW1627" s="1"/>
      <c r="TVX1627" s="1"/>
      <c r="TVY1627" s="1"/>
      <c r="TVZ1627" s="1"/>
      <c r="TWA1627" s="1"/>
      <c r="TWB1627" s="1"/>
      <c r="TWC1627" s="1"/>
      <c r="TWD1627" s="1"/>
      <c r="TWE1627" s="1"/>
      <c r="TWF1627" s="1"/>
      <c r="TWG1627" s="1"/>
      <c r="TWH1627" s="1"/>
      <c r="TWI1627" s="1"/>
      <c r="TWJ1627" s="1"/>
      <c r="TWK1627" s="1"/>
      <c r="TWL1627" s="1"/>
      <c r="TWM1627" s="1"/>
      <c r="TWN1627" s="1"/>
      <c r="TWO1627" s="1"/>
      <c r="TWP1627" s="1"/>
      <c r="TWQ1627" s="1"/>
      <c r="TWR1627" s="1"/>
      <c r="TWS1627" s="1"/>
      <c r="TWT1627" s="1"/>
      <c r="TWU1627" s="1"/>
      <c r="TWV1627" s="1"/>
      <c r="TWW1627" s="1"/>
      <c r="TWX1627" s="1"/>
      <c r="TWY1627" s="1"/>
      <c r="TWZ1627" s="1"/>
      <c r="TXA1627" s="1"/>
      <c r="TXB1627" s="1"/>
      <c r="TXC1627" s="1"/>
      <c r="TXD1627" s="1"/>
      <c r="TXE1627" s="1"/>
      <c r="TXF1627" s="1"/>
      <c r="TXG1627" s="1"/>
      <c r="TXH1627" s="1"/>
      <c r="TXI1627" s="1"/>
      <c r="TXJ1627" s="1"/>
      <c r="TXK1627" s="1"/>
      <c r="TXL1627" s="1"/>
      <c r="TXM1627" s="1"/>
      <c r="TXN1627" s="1"/>
      <c r="TXO1627" s="1"/>
      <c r="TXP1627" s="1"/>
      <c r="TXQ1627" s="1"/>
      <c r="TXR1627" s="1"/>
      <c r="TXS1627" s="1"/>
      <c r="TXT1627" s="1"/>
      <c r="TXU1627" s="1"/>
      <c r="TXV1627" s="1"/>
      <c r="TXW1627" s="1"/>
      <c r="TXX1627" s="1"/>
      <c r="TXY1627" s="1"/>
      <c r="TXZ1627" s="1"/>
      <c r="TYA1627" s="1"/>
      <c r="TYB1627" s="1"/>
      <c r="TYC1627" s="1"/>
      <c r="TYD1627" s="1"/>
      <c r="TYE1627" s="1"/>
      <c r="TYF1627" s="1"/>
      <c r="TYG1627" s="1"/>
      <c r="TYH1627" s="1"/>
      <c r="TYI1627" s="1"/>
      <c r="TYJ1627" s="1"/>
      <c r="TYK1627" s="1"/>
      <c r="TYL1627" s="1"/>
      <c r="TYM1627" s="1"/>
      <c r="TYN1627" s="1"/>
      <c r="TYO1627" s="1"/>
      <c r="TYP1627" s="1"/>
      <c r="TYQ1627" s="1"/>
      <c r="TYR1627" s="1"/>
      <c r="TYS1627" s="1"/>
      <c r="TYT1627" s="1"/>
      <c r="TYU1627" s="1"/>
      <c r="TYV1627" s="1"/>
      <c r="TYW1627" s="1"/>
      <c r="TYX1627" s="1"/>
      <c r="TYY1627" s="1"/>
      <c r="TYZ1627" s="1"/>
      <c r="TZA1627" s="1"/>
      <c r="TZB1627" s="1"/>
      <c r="TZC1627" s="1"/>
      <c r="TZD1627" s="1"/>
      <c r="TZE1627" s="1"/>
      <c r="TZF1627" s="1"/>
      <c r="TZG1627" s="1"/>
      <c r="TZH1627" s="1"/>
      <c r="TZI1627" s="1"/>
      <c r="TZJ1627" s="1"/>
      <c r="TZK1627" s="1"/>
      <c r="TZL1627" s="1"/>
      <c r="TZM1627" s="1"/>
      <c r="TZN1627" s="1"/>
      <c r="TZO1627" s="1"/>
      <c r="TZP1627" s="1"/>
      <c r="TZQ1627" s="1"/>
      <c r="TZR1627" s="1"/>
      <c r="TZS1627" s="1"/>
      <c r="TZT1627" s="1"/>
      <c r="TZU1627" s="1"/>
      <c r="TZV1627" s="1"/>
      <c r="TZW1627" s="1"/>
      <c r="TZX1627" s="1"/>
      <c r="TZY1627" s="1"/>
      <c r="TZZ1627" s="1"/>
      <c r="UAA1627" s="1"/>
      <c r="UAB1627" s="1"/>
      <c r="UAC1627" s="1"/>
      <c r="UAD1627" s="1"/>
      <c r="UAE1627" s="1"/>
      <c r="UAF1627" s="1"/>
      <c r="UAG1627" s="1"/>
      <c r="UAH1627" s="1"/>
      <c r="UAI1627" s="1"/>
      <c r="UAJ1627" s="1"/>
      <c r="UAK1627" s="1"/>
      <c r="UAL1627" s="1"/>
      <c r="UAM1627" s="1"/>
      <c r="UAN1627" s="1"/>
      <c r="UAO1627" s="1"/>
      <c r="UAP1627" s="1"/>
      <c r="UAQ1627" s="1"/>
      <c r="UAR1627" s="1"/>
      <c r="UAS1627" s="1"/>
      <c r="UAT1627" s="1"/>
      <c r="UAU1627" s="1"/>
      <c r="UAV1627" s="1"/>
      <c r="UAW1627" s="1"/>
      <c r="UAX1627" s="1"/>
      <c r="UAY1627" s="1"/>
      <c r="UAZ1627" s="1"/>
      <c r="UBA1627" s="1"/>
      <c r="UBB1627" s="1"/>
      <c r="UBC1627" s="1"/>
      <c r="UBD1627" s="1"/>
      <c r="UBE1627" s="1"/>
      <c r="UBF1627" s="1"/>
      <c r="UBG1627" s="1"/>
      <c r="UBH1627" s="1"/>
      <c r="UBI1627" s="1"/>
      <c r="UBJ1627" s="1"/>
      <c r="UBK1627" s="1"/>
      <c r="UBL1627" s="1"/>
      <c r="UBM1627" s="1"/>
      <c r="UBN1627" s="1"/>
      <c r="UBO1627" s="1"/>
      <c r="UBP1627" s="1"/>
      <c r="UBQ1627" s="1"/>
      <c r="UBR1627" s="1"/>
      <c r="UBS1627" s="1"/>
      <c r="UBT1627" s="1"/>
      <c r="UBU1627" s="1"/>
      <c r="UBV1627" s="1"/>
      <c r="UBW1627" s="1"/>
      <c r="UBX1627" s="1"/>
      <c r="UBY1627" s="1"/>
      <c r="UBZ1627" s="1"/>
      <c r="UCA1627" s="1"/>
      <c r="UCB1627" s="1"/>
      <c r="UCC1627" s="1"/>
      <c r="UCD1627" s="1"/>
      <c r="UCE1627" s="1"/>
      <c r="UCF1627" s="1"/>
      <c r="UCG1627" s="1"/>
      <c r="UCH1627" s="1"/>
      <c r="UCI1627" s="1"/>
      <c r="UCJ1627" s="1"/>
      <c r="UCK1627" s="1"/>
      <c r="UCL1627" s="1"/>
      <c r="UCM1627" s="1"/>
      <c r="UCN1627" s="1"/>
      <c r="UCO1627" s="1"/>
      <c r="UCP1627" s="1"/>
      <c r="UCQ1627" s="1"/>
      <c r="UCR1627" s="1"/>
      <c r="UCS1627" s="1"/>
      <c r="UCT1627" s="1"/>
      <c r="UCU1627" s="1"/>
      <c r="UCV1627" s="1"/>
      <c r="UCW1627" s="1"/>
      <c r="UCX1627" s="1"/>
      <c r="UCY1627" s="1"/>
      <c r="UCZ1627" s="1"/>
      <c r="UDA1627" s="1"/>
      <c r="UDB1627" s="1"/>
      <c r="UDC1627" s="1"/>
      <c r="UDD1627" s="1"/>
      <c r="UDE1627" s="1"/>
      <c r="UDF1627" s="1"/>
      <c r="UDG1627" s="1"/>
      <c r="UDH1627" s="1"/>
      <c r="UDI1627" s="1"/>
      <c r="UDJ1627" s="1"/>
      <c r="UDK1627" s="1"/>
      <c r="UDL1627" s="1"/>
      <c r="UDM1627" s="1"/>
      <c r="UDN1627" s="1"/>
      <c r="UDO1627" s="1"/>
      <c r="UDP1627" s="1"/>
      <c r="UDQ1627" s="1"/>
      <c r="UDR1627" s="1"/>
      <c r="UDS1627" s="1"/>
      <c r="UDT1627" s="1"/>
      <c r="UDU1627" s="1"/>
      <c r="UDV1627" s="1"/>
      <c r="UDW1627" s="1"/>
      <c r="UDX1627" s="1"/>
      <c r="UDY1627" s="1"/>
      <c r="UDZ1627" s="1"/>
      <c r="UEA1627" s="1"/>
      <c r="UEB1627" s="1"/>
      <c r="UEC1627" s="1"/>
      <c r="UED1627" s="1"/>
      <c r="UEE1627" s="1"/>
      <c r="UEF1627" s="1"/>
      <c r="UEG1627" s="1"/>
      <c r="UEH1627" s="1"/>
      <c r="UEI1627" s="1"/>
      <c r="UEJ1627" s="1"/>
      <c r="UEK1627" s="1"/>
      <c r="UEL1627" s="1"/>
      <c r="UEM1627" s="1"/>
      <c r="UEN1627" s="1"/>
      <c r="UEO1627" s="1"/>
      <c r="UEP1627" s="1"/>
      <c r="UEQ1627" s="1"/>
      <c r="UER1627" s="1"/>
      <c r="UES1627" s="1"/>
      <c r="UET1627" s="1"/>
      <c r="UEU1627" s="1"/>
      <c r="UEV1627" s="1"/>
      <c r="UEW1627" s="1"/>
      <c r="UEX1627" s="1"/>
      <c r="UEY1627" s="1"/>
      <c r="UEZ1627" s="1"/>
      <c r="UFA1627" s="1"/>
      <c r="UFB1627" s="1"/>
      <c r="UFC1627" s="1"/>
      <c r="UFD1627" s="1"/>
      <c r="UFE1627" s="1"/>
      <c r="UFF1627" s="1"/>
      <c r="UFG1627" s="1"/>
      <c r="UFH1627" s="1"/>
      <c r="UFI1627" s="1"/>
      <c r="UFJ1627" s="1"/>
      <c r="UFK1627" s="1"/>
      <c r="UFL1627" s="1"/>
      <c r="UFM1627" s="1"/>
      <c r="UFN1627" s="1"/>
      <c r="UFO1627" s="1"/>
      <c r="UFP1627" s="1"/>
      <c r="UFQ1627" s="1"/>
      <c r="UFR1627" s="1"/>
      <c r="UFS1627" s="1"/>
      <c r="UFT1627" s="1"/>
      <c r="UFU1627" s="1"/>
      <c r="UFV1627" s="1"/>
      <c r="UFW1627" s="1"/>
      <c r="UFX1627" s="1"/>
      <c r="UFY1627" s="1"/>
      <c r="UFZ1627" s="1"/>
      <c r="UGA1627" s="1"/>
      <c r="UGB1627" s="1"/>
      <c r="UGC1627" s="1"/>
      <c r="UGD1627" s="1"/>
      <c r="UGE1627" s="1"/>
      <c r="UGF1627" s="1"/>
      <c r="UGG1627" s="1"/>
      <c r="UGH1627" s="1"/>
      <c r="UGI1627" s="1"/>
      <c r="UGJ1627" s="1"/>
      <c r="UGK1627" s="1"/>
      <c r="UGL1627" s="1"/>
      <c r="UGM1627" s="1"/>
      <c r="UGN1627" s="1"/>
      <c r="UGO1627" s="1"/>
      <c r="UGP1627" s="1"/>
      <c r="UGQ1627" s="1"/>
      <c r="UGR1627" s="1"/>
      <c r="UGS1627" s="1"/>
      <c r="UGT1627" s="1"/>
      <c r="UGU1627" s="1"/>
      <c r="UGV1627" s="1"/>
      <c r="UGW1627" s="1"/>
      <c r="UGX1627" s="1"/>
      <c r="UGY1627" s="1"/>
      <c r="UGZ1627" s="1"/>
      <c r="UHA1627" s="1"/>
      <c r="UHB1627" s="1"/>
      <c r="UHC1627" s="1"/>
      <c r="UHD1627" s="1"/>
      <c r="UHE1627" s="1"/>
      <c r="UHF1627" s="1"/>
      <c r="UHG1627" s="1"/>
      <c r="UHH1627" s="1"/>
      <c r="UHI1627" s="1"/>
      <c r="UHJ1627" s="1"/>
      <c r="UHK1627" s="1"/>
      <c r="UHL1627" s="1"/>
      <c r="UHM1627" s="1"/>
      <c r="UHN1627" s="1"/>
      <c r="UHO1627" s="1"/>
      <c r="UHP1627" s="1"/>
      <c r="UHQ1627" s="1"/>
      <c r="UHR1627" s="1"/>
      <c r="UHS1627" s="1"/>
      <c r="UHT1627" s="1"/>
      <c r="UHU1627" s="1"/>
      <c r="UHV1627" s="1"/>
      <c r="UHW1627" s="1"/>
      <c r="UHX1627" s="1"/>
      <c r="UHY1627" s="1"/>
      <c r="UHZ1627" s="1"/>
      <c r="UIA1627" s="1"/>
      <c r="UIB1627" s="1"/>
      <c r="UIC1627" s="1"/>
      <c r="UID1627" s="1"/>
      <c r="UIE1627" s="1"/>
      <c r="UIF1627" s="1"/>
      <c r="UIG1627" s="1"/>
      <c r="UIH1627" s="1"/>
      <c r="UII1627" s="1"/>
      <c r="UIJ1627" s="1"/>
      <c r="UIK1627" s="1"/>
      <c r="UIL1627" s="1"/>
      <c r="UIM1627" s="1"/>
      <c r="UIN1627" s="1"/>
      <c r="UIO1627" s="1"/>
      <c r="UIP1627" s="1"/>
      <c r="UIQ1627" s="1"/>
      <c r="UIR1627" s="1"/>
      <c r="UIS1627" s="1"/>
      <c r="UIT1627" s="1"/>
      <c r="UIU1627" s="1"/>
      <c r="UIV1627" s="1"/>
      <c r="UIW1627" s="1"/>
      <c r="UIX1627" s="1"/>
      <c r="UIY1627" s="1"/>
      <c r="UIZ1627" s="1"/>
      <c r="UJA1627" s="1"/>
      <c r="UJB1627" s="1"/>
      <c r="UJC1627" s="1"/>
      <c r="UJD1627" s="1"/>
      <c r="UJE1627" s="1"/>
      <c r="UJF1627" s="1"/>
      <c r="UJG1627" s="1"/>
      <c r="UJH1627" s="1"/>
      <c r="UJI1627" s="1"/>
      <c r="UJJ1627" s="1"/>
      <c r="UJK1627" s="1"/>
      <c r="UJL1627" s="1"/>
      <c r="UJM1627" s="1"/>
      <c r="UJN1627" s="1"/>
      <c r="UJO1627" s="1"/>
      <c r="UJP1627" s="1"/>
      <c r="UJQ1627" s="1"/>
      <c r="UJR1627" s="1"/>
      <c r="UJS1627" s="1"/>
      <c r="UJT1627" s="1"/>
      <c r="UJU1627" s="1"/>
      <c r="UJV1627" s="1"/>
      <c r="UJW1627" s="1"/>
      <c r="UJX1627" s="1"/>
      <c r="UJY1627" s="1"/>
      <c r="UJZ1627" s="1"/>
      <c r="UKA1627" s="1"/>
      <c r="UKB1627" s="1"/>
      <c r="UKC1627" s="1"/>
      <c r="UKD1627" s="1"/>
      <c r="UKE1627" s="1"/>
      <c r="UKF1627" s="1"/>
      <c r="UKG1627" s="1"/>
      <c r="UKH1627" s="1"/>
      <c r="UKI1627" s="1"/>
      <c r="UKJ1627" s="1"/>
      <c r="UKK1627" s="1"/>
      <c r="UKL1627" s="1"/>
      <c r="UKM1627" s="1"/>
      <c r="UKN1627" s="1"/>
      <c r="UKO1627" s="1"/>
      <c r="UKP1627" s="1"/>
      <c r="UKQ1627" s="1"/>
      <c r="UKR1627" s="1"/>
      <c r="UKS1627" s="1"/>
      <c r="UKT1627" s="1"/>
      <c r="UKU1627" s="1"/>
      <c r="UKV1627" s="1"/>
      <c r="UKW1627" s="1"/>
      <c r="UKX1627" s="1"/>
      <c r="UKY1627" s="1"/>
      <c r="UKZ1627" s="1"/>
      <c r="ULA1627" s="1"/>
      <c r="ULB1627" s="1"/>
      <c r="ULC1627" s="1"/>
      <c r="ULD1627" s="1"/>
      <c r="ULE1627" s="1"/>
      <c r="ULF1627" s="1"/>
      <c r="ULG1627" s="1"/>
      <c r="ULH1627" s="1"/>
      <c r="ULI1627" s="1"/>
      <c r="ULJ1627" s="1"/>
      <c r="ULK1627" s="1"/>
      <c r="ULL1627" s="1"/>
      <c r="ULM1627" s="1"/>
      <c r="ULN1627" s="1"/>
      <c r="ULO1627" s="1"/>
      <c r="ULP1627" s="1"/>
      <c r="ULQ1627" s="1"/>
      <c r="ULR1627" s="1"/>
      <c r="ULS1627" s="1"/>
      <c r="ULT1627" s="1"/>
      <c r="ULU1627" s="1"/>
      <c r="ULV1627" s="1"/>
      <c r="ULW1627" s="1"/>
      <c r="ULX1627" s="1"/>
      <c r="ULY1627" s="1"/>
      <c r="ULZ1627" s="1"/>
      <c r="UMA1627" s="1"/>
      <c r="UMB1627" s="1"/>
      <c r="UMC1627" s="1"/>
      <c r="UMD1627" s="1"/>
      <c r="UME1627" s="1"/>
      <c r="UMF1627" s="1"/>
      <c r="UMG1627" s="1"/>
      <c r="UMH1627" s="1"/>
      <c r="UMI1627" s="1"/>
      <c r="UMJ1627" s="1"/>
      <c r="UMK1627" s="1"/>
      <c r="UML1627" s="1"/>
      <c r="UMM1627" s="1"/>
      <c r="UMN1627" s="1"/>
      <c r="UMO1627" s="1"/>
      <c r="UMP1627" s="1"/>
      <c r="UMQ1627" s="1"/>
      <c r="UMR1627" s="1"/>
      <c r="UMS1627" s="1"/>
      <c r="UMT1627" s="1"/>
      <c r="UMU1627" s="1"/>
      <c r="UMV1627" s="1"/>
      <c r="UMW1627" s="1"/>
      <c r="UMX1627" s="1"/>
      <c r="UMY1627" s="1"/>
      <c r="UMZ1627" s="1"/>
      <c r="UNA1627" s="1"/>
      <c r="UNB1627" s="1"/>
      <c r="UNC1627" s="1"/>
      <c r="UND1627" s="1"/>
      <c r="UNE1627" s="1"/>
      <c r="UNF1627" s="1"/>
      <c r="UNG1627" s="1"/>
      <c r="UNH1627" s="1"/>
      <c r="UNI1627" s="1"/>
      <c r="UNJ1627" s="1"/>
      <c r="UNK1627" s="1"/>
      <c r="UNL1627" s="1"/>
      <c r="UNM1627" s="1"/>
      <c r="UNN1627" s="1"/>
      <c r="UNO1627" s="1"/>
      <c r="UNP1627" s="1"/>
      <c r="UNQ1627" s="1"/>
      <c r="UNR1627" s="1"/>
      <c r="UNS1627" s="1"/>
      <c r="UNT1627" s="1"/>
      <c r="UNU1627" s="1"/>
      <c r="UNV1627" s="1"/>
      <c r="UNW1627" s="1"/>
      <c r="UNX1627" s="1"/>
      <c r="UNY1627" s="1"/>
      <c r="UNZ1627" s="1"/>
      <c r="UOA1627" s="1"/>
      <c r="UOB1627" s="1"/>
      <c r="UOC1627" s="1"/>
      <c r="UOD1627" s="1"/>
      <c r="UOE1627" s="1"/>
      <c r="UOF1627" s="1"/>
      <c r="UOG1627" s="1"/>
      <c r="UOH1627" s="1"/>
      <c r="UOI1627" s="1"/>
      <c r="UOJ1627" s="1"/>
      <c r="UOK1627" s="1"/>
      <c r="UOL1627" s="1"/>
      <c r="UOM1627" s="1"/>
      <c r="UON1627" s="1"/>
      <c r="UOO1627" s="1"/>
      <c r="UOP1627" s="1"/>
      <c r="UOQ1627" s="1"/>
      <c r="UOR1627" s="1"/>
      <c r="UOS1627" s="1"/>
      <c r="UOT1627" s="1"/>
      <c r="UOU1627" s="1"/>
      <c r="UOV1627" s="1"/>
      <c r="UOW1627" s="1"/>
      <c r="UOX1627" s="1"/>
      <c r="UOY1627" s="1"/>
      <c r="UOZ1627" s="1"/>
      <c r="UPA1627" s="1"/>
      <c r="UPB1627" s="1"/>
      <c r="UPC1627" s="1"/>
      <c r="UPD1627" s="1"/>
      <c r="UPE1627" s="1"/>
      <c r="UPF1627" s="1"/>
      <c r="UPG1627" s="1"/>
      <c r="UPH1627" s="1"/>
      <c r="UPI1627" s="1"/>
      <c r="UPJ1627" s="1"/>
      <c r="UPK1627" s="1"/>
      <c r="UPL1627" s="1"/>
      <c r="UPM1627" s="1"/>
      <c r="UPN1627" s="1"/>
      <c r="UPO1627" s="1"/>
      <c r="UPP1627" s="1"/>
      <c r="UPQ1627" s="1"/>
      <c r="UPR1627" s="1"/>
      <c r="UPS1627" s="1"/>
      <c r="UPT1627" s="1"/>
      <c r="UPU1627" s="1"/>
      <c r="UPV1627" s="1"/>
      <c r="UPW1627" s="1"/>
      <c r="UPX1627" s="1"/>
      <c r="UPY1627" s="1"/>
      <c r="UPZ1627" s="1"/>
      <c r="UQA1627" s="1"/>
      <c r="UQB1627" s="1"/>
      <c r="UQC1627" s="1"/>
      <c r="UQD1627" s="1"/>
      <c r="UQE1627" s="1"/>
      <c r="UQF1627" s="1"/>
      <c r="UQG1627" s="1"/>
      <c r="UQH1627" s="1"/>
      <c r="UQI1627" s="1"/>
      <c r="UQJ1627" s="1"/>
      <c r="UQK1627" s="1"/>
      <c r="UQL1627" s="1"/>
      <c r="UQM1627" s="1"/>
      <c r="UQN1627" s="1"/>
      <c r="UQO1627" s="1"/>
      <c r="UQP1627" s="1"/>
      <c r="UQQ1627" s="1"/>
      <c r="UQR1627" s="1"/>
      <c r="UQS1627" s="1"/>
      <c r="UQT1627" s="1"/>
      <c r="UQU1627" s="1"/>
      <c r="UQV1627" s="1"/>
      <c r="UQW1627" s="1"/>
      <c r="UQX1627" s="1"/>
      <c r="UQY1627" s="1"/>
      <c r="UQZ1627" s="1"/>
      <c r="URA1627" s="1"/>
      <c r="URB1627" s="1"/>
      <c r="URC1627" s="1"/>
      <c r="URD1627" s="1"/>
      <c r="URE1627" s="1"/>
      <c r="URF1627" s="1"/>
      <c r="URG1627" s="1"/>
      <c r="URH1627" s="1"/>
      <c r="URI1627" s="1"/>
      <c r="URJ1627" s="1"/>
      <c r="URK1627" s="1"/>
      <c r="URL1627" s="1"/>
      <c r="URM1627" s="1"/>
      <c r="URN1627" s="1"/>
      <c r="URO1627" s="1"/>
      <c r="URP1627" s="1"/>
      <c r="URQ1627" s="1"/>
      <c r="URR1627" s="1"/>
      <c r="URS1627" s="1"/>
      <c r="URT1627" s="1"/>
      <c r="URU1627" s="1"/>
      <c r="URV1627" s="1"/>
      <c r="URW1627" s="1"/>
      <c r="URX1627" s="1"/>
      <c r="URY1627" s="1"/>
      <c r="URZ1627" s="1"/>
      <c r="USA1627" s="1"/>
      <c r="USB1627" s="1"/>
      <c r="USC1627" s="1"/>
      <c r="USD1627" s="1"/>
      <c r="USE1627" s="1"/>
      <c r="USF1627" s="1"/>
      <c r="USG1627" s="1"/>
      <c r="USH1627" s="1"/>
      <c r="USI1627" s="1"/>
      <c r="USJ1627" s="1"/>
      <c r="USK1627" s="1"/>
      <c r="USL1627" s="1"/>
      <c r="USM1627" s="1"/>
      <c r="USN1627" s="1"/>
      <c r="USO1627" s="1"/>
      <c r="USP1627" s="1"/>
      <c r="USQ1627" s="1"/>
      <c r="USR1627" s="1"/>
      <c r="USS1627" s="1"/>
      <c r="UST1627" s="1"/>
      <c r="USU1627" s="1"/>
      <c r="USV1627" s="1"/>
      <c r="USW1627" s="1"/>
      <c r="USX1627" s="1"/>
      <c r="USY1627" s="1"/>
      <c r="USZ1627" s="1"/>
      <c r="UTA1627" s="1"/>
      <c r="UTB1627" s="1"/>
      <c r="UTC1627" s="1"/>
      <c r="UTD1627" s="1"/>
      <c r="UTE1627" s="1"/>
      <c r="UTF1627" s="1"/>
      <c r="UTG1627" s="1"/>
      <c r="UTH1627" s="1"/>
      <c r="UTI1627" s="1"/>
      <c r="UTJ1627" s="1"/>
      <c r="UTK1627" s="1"/>
      <c r="UTL1627" s="1"/>
      <c r="UTM1627" s="1"/>
      <c r="UTN1627" s="1"/>
      <c r="UTO1627" s="1"/>
      <c r="UTP1627" s="1"/>
      <c r="UTQ1627" s="1"/>
      <c r="UTR1627" s="1"/>
      <c r="UTS1627" s="1"/>
      <c r="UTT1627" s="1"/>
      <c r="UTU1627" s="1"/>
      <c r="UTV1627" s="1"/>
      <c r="UTW1627" s="1"/>
      <c r="UTX1627" s="1"/>
      <c r="UTY1627" s="1"/>
      <c r="UTZ1627" s="1"/>
      <c r="UUA1627" s="1"/>
      <c r="UUB1627" s="1"/>
      <c r="UUC1627" s="1"/>
      <c r="UUD1627" s="1"/>
      <c r="UUE1627" s="1"/>
      <c r="UUF1627" s="1"/>
      <c r="UUG1627" s="1"/>
      <c r="UUH1627" s="1"/>
      <c r="UUI1627" s="1"/>
      <c r="UUJ1627" s="1"/>
      <c r="UUK1627" s="1"/>
      <c r="UUL1627" s="1"/>
      <c r="UUM1627" s="1"/>
      <c r="UUN1627" s="1"/>
      <c r="UUO1627" s="1"/>
      <c r="UUP1627" s="1"/>
      <c r="UUQ1627" s="1"/>
      <c r="UUR1627" s="1"/>
      <c r="UUS1627" s="1"/>
      <c r="UUT1627" s="1"/>
      <c r="UUU1627" s="1"/>
      <c r="UUV1627" s="1"/>
      <c r="UUW1627" s="1"/>
      <c r="UUX1627" s="1"/>
      <c r="UUY1627" s="1"/>
      <c r="UUZ1627" s="1"/>
      <c r="UVA1627" s="1"/>
      <c r="UVB1627" s="1"/>
      <c r="UVC1627" s="1"/>
      <c r="UVD1627" s="1"/>
      <c r="UVE1627" s="1"/>
      <c r="UVF1627" s="1"/>
      <c r="UVG1627" s="1"/>
      <c r="UVH1627" s="1"/>
      <c r="UVI1627" s="1"/>
      <c r="UVJ1627" s="1"/>
      <c r="UVK1627" s="1"/>
      <c r="UVL1627" s="1"/>
      <c r="UVM1627" s="1"/>
      <c r="UVN1627" s="1"/>
      <c r="UVO1627" s="1"/>
      <c r="UVP1627" s="1"/>
      <c r="UVQ1627" s="1"/>
      <c r="UVR1627" s="1"/>
      <c r="UVS1627" s="1"/>
      <c r="UVT1627" s="1"/>
      <c r="UVU1627" s="1"/>
      <c r="UVV1627" s="1"/>
      <c r="UVW1627" s="1"/>
      <c r="UVX1627" s="1"/>
      <c r="UVY1627" s="1"/>
      <c r="UVZ1627" s="1"/>
      <c r="UWA1627" s="1"/>
      <c r="UWB1627" s="1"/>
      <c r="UWC1627" s="1"/>
      <c r="UWD1627" s="1"/>
      <c r="UWE1627" s="1"/>
      <c r="UWF1627" s="1"/>
      <c r="UWG1627" s="1"/>
      <c r="UWH1627" s="1"/>
      <c r="UWI1627" s="1"/>
      <c r="UWJ1627" s="1"/>
      <c r="UWK1627" s="1"/>
      <c r="UWL1627" s="1"/>
      <c r="UWM1627" s="1"/>
      <c r="UWN1627" s="1"/>
      <c r="UWO1627" s="1"/>
      <c r="UWP1627" s="1"/>
      <c r="UWQ1627" s="1"/>
      <c r="UWR1627" s="1"/>
      <c r="UWS1627" s="1"/>
      <c r="UWT1627" s="1"/>
      <c r="UWU1627" s="1"/>
      <c r="UWV1627" s="1"/>
      <c r="UWW1627" s="1"/>
      <c r="UWX1627" s="1"/>
      <c r="UWY1627" s="1"/>
      <c r="UWZ1627" s="1"/>
      <c r="UXA1627" s="1"/>
      <c r="UXB1627" s="1"/>
      <c r="UXC1627" s="1"/>
      <c r="UXD1627" s="1"/>
      <c r="UXE1627" s="1"/>
      <c r="UXF1627" s="1"/>
      <c r="UXG1627" s="1"/>
      <c r="UXH1627" s="1"/>
      <c r="UXI1627" s="1"/>
      <c r="UXJ1627" s="1"/>
      <c r="UXK1627" s="1"/>
      <c r="UXL1627" s="1"/>
      <c r="UXM1627" s="1"/>
      <c r="UXN1627" s="1"/>
      <c r="UXO1627" s="1"/>
      <c r="UXP1627" s="1"/>
      <c r="UXQ1627" s="1"/>
      <c r="UXR1627" s="1"/>
      <c r="UXS1627" s="1"/>
      <c r="UXT1627" s="1"/>
      <c r="UXU1627" s="1"/>
      <c r="UXV1627" s="1"/>
      <c r="UXW1627" s="1"/>
      <c r="UXX1627" s="1"/>
      <c r="UXY1627" s="1"/>
      <c r="UXZ1627" s="1"/>
      <c r="UYA1627" s="1"/>
      <c r="UYB1627" s="1"/>
      <c r="UYC1627" s="1"/>
      <c r="UYD1627" s="1"/>
      <c r="UYE1627" s="1"/>
      <c r="UYF1627" s="1"/>
      <c r="UYG1627" s="1"/>
      <c r="UYH1627" s="1"/>
      <c r="UYI1627" s="1"/>
      <c r="UYJ1627" s="1"/>
      <c r="UYK1627" s="1"/>
      <c r="UYL1627" s="1"/>
      <c r="UYM1627" s="1"/>
      <c r="UYN1627" s="1"/>
      <c r="UYO1627" s="1"/>
      <c r="UYP1627" s="1"/>
      <c r="UYQ1627" s="1"/>
      <c r="UYR1627" s="1"/>
      <c r="UYS1627" s="1"/>
      <c r="UYT1627" s="1"/>
      <c r="UYU1627" s="1"/>
      <c r="UYV1627" s="1"/>
      <c r="UYW1627" s="1"/>
      <c r="UYX1627" s="1"/>
      <c r="UYY1627" s="1"/>
      <c r="UYZ1627" s="1"/>
      <c r="UZA1627" s="1"/>
      <c r="UZB1627" s="1"/>
      <c r="UZC1627" s="1"/>
      <c r="UZD1627" s="1"/>
      <c r="UZE1627" s="1"/>
      <c r="UZF1627" s="1"/>
      <c r="UZG1627" s="1"/>
      <c r="UZH1627" s="1"/>
      <c r="UZI1627" s="1"/>
      <c r="UZJ1627" s="1"/>
      <c r="UZK1627" s="1"/>
      <c r="UZL1627" s="1"/>
      <c r="UZM1627" s="1"/>
      <c r="UZN1627" s="1"/>
      <c r="UZO1627" s="1"/>
      <c r="UZP1627" s="1"/>
      <c r="UZQ1627" s="1"/>
      <c r="UZR1627" s="1"/>
      <c r="UZS1627" s="1"/>
      <c r="UZT1627" s="1"/>
      <c r="UZU1627" s="1"/>
      <c r="UZV1627" s="1"/>
      <c r="UZW1627" s="1"/>
      <c r="UZX1627" s="1"/>
      <c r="UZY1627" s="1"/>
      <c r="UZZ1627" s="1"/>
      <c r="VAA1627" s="1"/>
      <c r="VAB1627" s="1"/>
      <c r="VAC1627" s="1"/>
      <c r="VAD1627" s="1"/>
      <c r="VAE1627" s="1"/>
      <c r="VAF1627" s="1"/>
      <c r="VAG1627" s="1"/>
      <c r="VAH1627" s="1"/>
      <c r="VAI1627" s="1"/>
      <c r="VAJ1627" s="1"/>
      <c r="VAK1627" s="1"/>
      <c r="VAL1627" s="1"/>
      <c r="VAM1627" s="1"/>
      <c r="VAN1627" s="1"/>
      <c r="VAO1627" s="1"/>
      <c r="VAP1627" s="1"/>
      <c r="VAQ1627" s="1"/>
      <c r="VAR1627" s="1"/>
      <c r="VAS1627" s="1"/>
      <c r="VAT1627" s="1"/>
      <c r="VAU1627" s="1"/>
      <c r="VAV1627" s="1"/>
      <c r="VAW1627" s="1"/>
      <c r="VAX1627" s="1"/>
      <c r="VAY1627" s="1"/>
      <c r="VAZ1627" s="1"/>
      <c r="VBA1627" s="1"/>
      <c r="VBB1627" s="1"/>
      <c r="VBC1627" s="1"/>
      <c r="VBD1627" s="1"/>
      <c r="VBE1627" s="1"/>
      <c r="VBF1627" s="1"/>
      <c r="VBG1627" s="1"/>
      <c r="VBH1627" s="1"/>
      <c r="VBI1627" s="1"/>
      <c r="VBJ1627" s="1"/>
      <c r="VBK1627" s="1"/>
      <c r="VBL1627" s="1"/>
      <c r="VBM1627" s="1"/>
      <c r="VBN1627" s="1"/>
      <c r="VBO1627" s="1"/>
      <c r="VBP1627" s="1"/>
      <c r="VBQ1627" s="1"/>
      <c r="VBR1627" s="1"/>
      <c r="VBS1627" s="1"/>
      <c r="VBT1627" s="1"/>
      <c r="VBU1627" s="1"/>
      <c r="VBV1627" s="1"/>
      <c r="VBW1627" s="1"/>
      <c r="VBX1627" s="1"/>
      <c r="VBY1627" s="1"/>
      <c r="VBZ1627" s="1"/>
      <c r="VCA1627" s="1"/>
      <c r="VCB1627" s="1"/>
      <c r="VCC1627" s="1"/>
      <c r="VCD1627" s="1"/>
      <c r="VCE1627" s="1"/>
      <c r="VCF1627" s="1"/>
      <c r="VCG1627" s="1"/>
      <c r="VCH1627" s="1"/>
      <c r="VCI1627" s="1"/>
      <c r="VCJ1627" s="1"/>
      <c r="VCK1627" s="1"/>
      <c r="VCL1627" s="1"/>
      <c r="VCM1627" s="1"/>
      <c r="VCN1627" s="1"/>
      <c r="VCO1627" s="1"/>
      <c r="VCP1627" s="1"/>
      <c r="VCQ1627" s="1"/>
      <c r="VCR1627" s="1"/>
      <c r="VCS1627" s="1"/>
      <c r="VCT1627" s="1"/>
      <c r="VCU1627" s="1"/>
      <c r="VCV1627" s="1"/>
      <c r="VCW1627" s="1"/>
      <c r="VCX1627" s="1"/>
      <c r="VCY1627" s="1"/>
      <c r="VCZ1627" s="1"/>
      <c r="VDA1627" s="1"/>
      <c r="VDB1627" s="1"/>
      <c r="VDC1627" s="1"/>
      <c r="VDD1627" s="1"/>
      <c r="VDE1627" s="1"/>
      <c r="VDF1627" s="1"/>
      <c r="VDG1627" s="1"/>
      <c r="VDH1627" s="1"/>
      <c r="VDI1627" s="1"/>
      <c r="VDJ1627" s="1"/>
      <c r="VDK1627" s="1"/>
      <c r="VDL1627" s="1"/>
      <c r="VDM1627" s="1"/>
      <c r="VDN1627" s="1"/>
      <c r="VDO1627" s="1"/>
      <c r="VDP1627" s="1"/>
      <c r="VDQ1627" s="1"/>
      <c r="VDR1627" s="1"/>
      <c r="VDS1627" s="1"/>
      <c r="VDT1627" s="1"/>
      <c r="VDU1627" s="1"/>
      <c r="VDV1627" s="1"/>
      <c r="VDW1627" s="1"/>
      <c r="VDX1627" s="1"/>
      <c r="VDY1627" s="1"/>
      <c r="VDZ1627" s="1"/>
      <c r="VEA1627" s="1"/>
      <c r="VEB1627" s="1"/>
      <c r="VEC1627" s="1"/>
      <c r="VED1627" s="1"/>
      <c r="VEE1627" s="1"/>
      <c r="VEF1627" s="1"/>
      <c r="VEG1627" s="1"/>
      <c r="VEH1627" s="1"/>
      <c r="VEI1627" s="1"/>
      <c r="VEJ1627" s="1"/>
      <c r="VEK1627" s="1"/>
      <c r="VEL1627" s="1"/>
      <c r="VEM1627" s="1"/>
      <c r="VEN1627" s="1"/>
      <c r="VEO1627" s="1"/>
      <c r="VEP1627" s="1"/>
      <c r="VEQ1627" s="1"/>
      <c r="VER1627" s="1"/>
      <c r="VES1627" s="1"/>
      <c r="VET1627" s="1"/>
      <c r="VEU1627" s="1"/>
      <c r="VEV1627" s="1"/>
      <c r="VEW1627" s="1"/>
      <c r="VEX1627" s="1"/>
      <c r="VEY1627" s="1"/>
      <c r="VEZ1627" s="1"/>
      <c r="VFA1627" s="1"/>
      <c r="VFB1627" s="1"/>
      <c r="VFC1627" s="1"/>
      <c r="VFD1627" s="1"/>
      <c r="VFE1627" s="1"/>
      <c r="VFF1627" s="1"/>
      <c r="VFG1627" s="1"/>
      <c r="VFH1627" s="1"/>
      <c r="VFI1627" s="1"/>
      <c r="VFJ1627" s="1"/>
      <c r="VFK1627" s="1"/>
      <c r="VFL1627" s="1"/>
      <c r="VFM1627" s="1"/>
      <c r="VFN1627" s="1"/>
      <c r="VFO1627" s="1"/>
      <c r="VFP1627" s="1"/>
      <c r="VFQ1627" s="1"/>
      <c r="VFR1627" s="1"/>
      <c r="VFS1627" s="1"/>
      <c r="VFT1627" s="1"/>
      <c r="VFU1627" s="1"/>
      <c r="VFV1627" s="1"/>
      <c r="VFW1627" s="1"/>
      <c r="VFX1627" s="1"/>
      <c r="VFY1627" s="1"/>
      <c r="VFZ1627" s="1"/>
      <c r="VGA1627" s="1"/>
      <c r="VGB1627" s="1"/>
      <c r="VGC1627" s="1"/>
      <c r="VGD1627" s="1"/>
      <c r="VGE1627" s="1"/>
      <c r="VGF1627" s="1"/>
      <c r="VGG1627" s="1"/>
      <c r="VGH1627" s="1"/>
      <c r="VGI1627" s="1"/>
      <c r="VGJ1627" s="1"/>
      <c r="VGK1627" s="1"/>
      <c r="VGL1627" s="1"/>
      <c r="VGM1627" s="1"/>
      <c r="VGN1627" s="1"/>
      <c r="VGO1627" s="1"/>
      <c r="VGP1627" s="1"/>
      <c r="VGQ1627" s="1"/>
      <c r="VGR1627" s="1"/>
      <c r="VGS1627" s="1"/>
      <c r="VGT1627" s="1"/>
      <c r="VGU1627" s="1"/>
      <c r="VGV1627" s="1"/>
      <c r="VGW1627" s="1"/>
      <c r="VGX1627" s="1"/>
      <c r="VGY1627" s="1"/>
      <c r="VGZ1627" s="1"/>
      <c r="VHA1627" s="1"/>
      <c r="VHB1627" s="1"/>
      <c r="VHC1627" s="1"/>
      <c r="VHD1627" s="1"/>
      <c r="VHE1627" s="1"/>
      <c r="VHF1627" s="1"/>
      <c r="VHG1627" s="1"/>
      <c r="VHH1627" s="1"/>
      <c r="VHI1627" s="1"/>
      <c r="VHJ1627" s="1"/>
      <c r="VHK1627" s="1"/>
      <c r="VHL1627" s="1"/>
      <c r="VHM1627" s="1"/>
      <c r="VHN1627" s="1"/>
      <c r="VHO1627" s="1"/>
      <c r="VHP1627" s="1"/>
      <c r="VHQ1627" s="1"/>
      <c r="VHR1627" s="1"/>
      <c r="VHS1627" s="1"/>
      <c r="VHT1627" s="1"/>
      <c r="VHU1627" s="1"/>
      <c r="VHV1627" s="1"/>
      <c r="VHW1627" s="1"/>
      <c r="VHX1627" s="1"/>
      <c r="VHY1627" s="1"/>
      <c r="VHZ1627" s="1"/>
      <c r="VIA1627" s="1"/>
      <c r="VIB1627" s="1"/>
      <c r="VIC1627" s="1"/>
      <c r="VID1627" s="1"/>
      <c r="VIE1627" s="1"/>
      <c r="VIF1627" s="1"/>
      <c r="VIG1627" s="1"/>
      <c r="VIH1627" s="1"/>
      <c r="VII1627" s="1"/>
      <c r="VIJ1627" s="1"/>
      <c r="VIK1627" s="1"/>
      <c r="VIL1627" s="1"/>
      <c r="VIM1627" s="1"/>
      <c r="VIN1627" s="1"/>
      <c r="VIO1627" s="1"/>
      <c r="VIP1627" s="1"/>
      <c r="VIQ1627" s="1"/>
      <c r="VIR1627" s="1"/>
      <c r="VIS1627" s="1"/>
      <c r="VIT1627" s="1"/>
      <c r="VIU1627" s="1"/>
      <c r="VIV1627" s="1"/>
      <c r="VIW1627" s="1"/>
      <c r="VIX1627" s="1"/>
      <c r="VIY1627" s="1"/>
      <c r="VIZ1627" s="1"/>
      <c r="VJA1627" s="1"/>
      <c r="VJB1627" s="1"/>
      <c r="VJC1627" s="1"/>
      <c r="VJD1627" s="1"/>
      <c r="VJE1627" s="1"/>
      <c r="VJF1627" s="1"/>
      <c r="VJG1627" s="1"/>
      <c r="VJH1627" s="1"/>
      <c r="VJI1627" s="1"/>
      <c r="VJJ1627" s="1"/>
      <c r="VJK1627" s="1"/>
      <c r="VJL1627" s="1"/>
      <c r="VJM1627" s="1"/>
      <c r="VJN1627" s="1"/>
      <c r="VJO1627" s="1"/>
      <c r="VJP1627" s="1"/>
      <c r="VJQ1627" s="1"/>
      <c r="VJR1627" s="1"/>
      <c r="VJS1627" s="1"/>
      <c r="VJT1627" s="1"/>
      <c r="VJU1627" s="1"/>
      <c r="VJV1627" s="1"/>
      <c r="VJW1627" s="1"/>
      <c r="VJX1627" s="1"/>
      <c r="VJY1627" s="1"/>
      <c r="VJZ1627" s="1"/>
      <c r="VKA1627" s="1"/>
      <c r="VKB1627" s="1"/>
      <c r="VKC1627" s="1"/>
      <c r="VKD1627" s="1"/>
      <c r="VKE1627" s="1"/>
      <c r="VKF1627" s="1"/>
      <c r="VKG1627" s="1"/>
      <c r="VKH1627" s="1"/>
      <c r="VKI1627" s="1"/>
      <c r="VKJ1627" s="1"/>
      <c r="VKK1627" s="1"/>
      <c r="VKL1627" s="1"/>
      <c r="VKM1627" s="1"/>
      <c r="VKN1627" s="1"/>
      <c r="VKO1627" s="1"/>
      <c r="VKP1627" s="1"/>
      <c r="VKQ1627" s="1"/>
      <c r="VKR1627" s="1"/>
      <c r="VKS1627" s="1"/>
      <c r="VKT1627" s="1"/>
      <c r="VKU1627" s="1"/>
      <c r="VKV1627" s="1"/>
      <c r="VKW1627" s="1"/>
      <c r="VKX1627" s="1"/>
      <c r="VKY1627" s="1"/>
      <c r="VKZ1627" s="1"/>
      <c r="VLA1627" s="1"/>
      <c r="VLB1627" s="1"/>
      <c r="VLC1627" s="1"/>
      <c r="VLD1627" s="1"/>
      <c r="VLE1627" s="1"/>
      <c r="VLF1627" s="1"/>
      <c r="VLG1627" s="1"/>
      <c r="VLH1627" s="1"/>
      <c r="VLI1627" s="1"/>
      <c r="VLJ1627" s="1"/>
      <c r="VLK1627" s="1"/>
      <c r="VLL1627" s="1"/>
      <c r="VLM1627" s="1"/>
      <c r="VLN1627" s="1"/>
      <c r="VLO1627" s="1"/>
      <c r="VLP1627" s="1"/>
      <c r="VLQ1627" s="1"/>
      <c r="VLR1627" s="1"/>
      <c r="VLS1627" s="1"/>
      <c r="VLT1627" s="1"/>
      <c r="VLU1627" s="1"/>
      <c r="VLV1627" s="1"/>
      <c r="VLW1627" s="1"/>
      <c r="VLX1627" s="1"/>
      <c r="VLY1627" s="1"/>
      <c r="VLZ1627" s="1"/>
      <c r="VMA1627" s="1"/>
      <c r="VMB1627" s="1"/>
      <c r="VMC1627" s="1"/>
      <c r="VMD1627" s="1"/>
      <c r="VME1627" s="1"/>
      <c r="VMF1627" s="1"/>
      <c r="VMG1627" s="1"/>
      <c r="VMH1627" s="1"/>
      <c r="VMI1627" s="1"/>
      <c r="VMJ1627" s="1"/>
      <c r="VMK1627" s="1"/>
      <c r="VML1627" s="1"/>
      <c r="VMM1627" s="1"/>
      <c r="VMN1627" s="1"/>
      <c r="VMO1627" s="1"/>
      <c r="VMP1627" s="1"/>
      <c r="VMQ1627" s="1"/>
      <c r="VMR1627" s="1"/>
      <c r="VMS1627" s="1"/>
      <c r="VMT1627" s="1"/>
      <c r="VMU1627" s="1"/>
      <c r="VMV1627" s="1"/>
      <c r="VMW1627" s="1"/>
      <c r="VMX1627" s="1"/>
      <c r="VMY1627" s="1"/>
      <c r="VMZ1627" s="1"/>
      <c r="VNA1627" s="1"/>
      <c r="VNB1627" s="1"/>
      <c r="VNC1627" s="1"/>
      <c r="VND1627" s="1"/>
      <c r="VNE1627" s="1"/>
      <c r="VNF1627" s="1"/>
      <c r="VNG1627" s="1"/>
      <c r="VNH1627" s="1"/>
      <c r="VNI1627" s="1"/>
      <c r="VNJ1627" s="1"/>
      <c r="VNK1627" s="1"/>
      <c r="VNL1627" s="1"/>
      <c r="VNM1627" s="1"/>
      <c r="VNN1627" s="1"/>
      <c r="VNO1627" s="1"/>
      <c r="VNP1627" s="1"/>
      <c r="VNQ1627" s="1"/>
      <c r="VNR1627" s="1"/>
      <c r="VNS1627" s="1"/>
      <c r="VNT1627" s="1"/>
      <c r="VNU1627" s="1"/>
      <c r="VNV1627" s="1"/>
      <c r="VNW1627" s="1"/>
      <c r="VNX1627" s="1"/>
      <c r="VNY1627" s="1"/>
      <c r="VNZ1627" s="1"/>
      <c r="VOA1627" s="1"/>
      <c r="VOB1627" s="1"/>
      <c r="VOC1627" s="1"/>
      <c r="VOD1627" s="1"/>
      <c r="VOE1627" s="1"/>
      <c r="VOF1627" s="1"/>
      <c r="VOG1627" s="1"/>
      <c r="VOH1627" s="1"/>
      <c r="VOI1627" s="1"/>
      <c r="VOJ1627" s="1"/>
      <c r="VOK1627" s="1"/>
      <c r="VOL1627" s="1"/>
      <c r="VOM1627" s="1"/>
      <c r="VON1627" s="1"/>
      <c r="VOO1627" s="1"/>
      <c r="VOP1627" s="1"/>
      <c r="VOQ1627" s="1"/>
      <c r="VOR1627" s="1"/>
      <c r="VOS1627" s="1"/>
      <c r="VOT1627" s="1"/>
      <c r="VOU1627" s="1"/>
      <c r="VOV1627" s="1"/>
      <c r="VOW1627" s="1"/>
      <c r="VOX1627" s="1"/>
      <c r="VOY1627" s="1"/>
      <c r="VOZ1627" s="1"/>
      <c r="VPA1627" s="1"/>
      <c r="VPB1627" s="1"/>
      <c r="VPC1627" s="1"/>
      <c r="VPD1627" s="1"/>
      <c r="VPE1627" s="1"/>
      <c r="VPF1627" s="1"/>
      <c r="VPG1627" s="1"/>
      <c r="VPH1627" s="1"/>
      <c r="VPI1627" s="1"/>
      <c r="VPJ1627" s="1"/>
      <c r="VPK1627" s="1"/>
      <c r="VPL1627" s="1"/>
      <c r="VPM1627" s="1"/>
      <c r="VPN1627" s="1"/>
      <c r="VPO1627" s="1"/>
      <c r="VPP1627" s="1"/>
      <c r="VPQ1627" s="1"/>
      <c r="VPR1627" s="1"/>
      <c r="VPS1627" s="1"/>
      <c r="VPT1627" s="1"/>
      <c r="VPU1627" s="1"/>
      <c r="VPV1627" s="1"/>
      <c r="VPW1627" s="1"/>
      <c r="VPX1627" s="1"/>
      <c r="VPY1627" s="1"/>
      <c r="VPZ1627" s="1"/>
      <c r="VQA1627" s="1"/>
      <c r="VQB1627" s="1"/>
      <c r="VQC1627" s="1"/>
      <c r="VQD1627" s="1"/>
      <c r="VQE1627" s="1"/>
      <c r="VQF1627" s="1"/>
      <c r="VQG1627" s="1"/>
      <c r="VQH1627" s="1"/>
      <c r="VQI1627" s="1"/>
      <c r="VQJ1627" s="1"/>
      <c r="VQK1627" s="1"/>
      <c r="VQL1627" s="1"/>
      <c r="VQM1627" s="1"/>
      <c r="VQN1627" s="1"/>
      <c r="VQO1627" s="1"/>
      <c r="VQP1627" s="1"/>
      <c r="VQQ1627" s="1"/>
      <c r="VQR1627" s="1"/>
      <c r="VQS1627" s="1"/>
      <c r="VQT1627" s="1"/>
      <c r="VQU1627" s="1"/>
      <c r="VQV1627" s="1"/>
      <c r="VQW1627" s="1"/>
      <c r="VQX1627" s="1"/>
      <c r="VQY1627" s="1"/>
      <c r="VQZ1627" s="1"/>
      <c r="VRA1627" s="1"/>
      <c r="VRB1627" s="1"/>
      <c r="VRC1627" s="1"/>
      <c r="VRD1627" s="1"/>
      <c r="VRE1627" s="1"/>
      <c r="VRF1627" s="1"/>
      <c r="VRG1627" s="1"/>
      <c r="VRH1627" s="1"/>
      <c r="VRI1627" s="1"/>
      <c r="VRJ1627" s="1"/>
      <c r="VRK1627" s="1"/>
      <c r="VRL1627" s="1"/>
      <c r="VRM1627" s="1"/>
      <c r="VRN1627" s="1"/>
      <c r="VRO1627" s="1"/>
      <c r="VRP1627" s="1"/>
      <c r="VRQ1627" s="1"/>
      <c r="VRR1627" s="1"/>
      <c r="VRS1627" s="1"/>
      <c r="VRT1627" s="1"/>
      <c r="VRU1627" s="1"/>
      <c r="VRV1627" s="1"/>
      <c r="VRW1627" s="1"/>
      <c r="VRX1627" s="1"/>
      <c r="VRY1627" s="1"/>
      <c r="VRZ1627" s="1"/>
      <c r="VSA1627" s="1"/>
      <c r="VSB1627" s="1"/>
      <c r="VSC1627" s="1"/>
      <c r="VSD1627" s="1"/>
      <c r="VSE1627" s="1"/>
      <c r="VSF1627" s="1"/>
      <c r="VSG1627" s="1"/>
      <c r="VSH1627" s="1"/>
      <c r="VSI1627" s="1"/>
      <c r="VSJ1627" s="1"/>
      <c r="VSK1627" s="1"/>
      <c r="VSL1627" s="1"/>
      <c r="VSM1627" s="1"/>
      <c r="VSN1627" s="1"/>
      <c r="VSO1627" s="1"/>
      <c r="VSP1627" s="1"/>
      <c r="VSQ1627" s="1"/>
      <c r="VSR1627" s="1"/>
      <c r="VSS1627" s="1"/>
      <c r="VST1627" s="1"/>
      <c r="VSU1627" s="1"/>
      <c r="VSV1627" s="1"/>
      <c r="VSW1627" s="1"/>
      <c r="VSX1627" s="1"/>
      <c r="VSY1627" s="1"/>
      <c r="VSZ1627" s="1"/>
      <c r="VTA1627" s="1"/>
      <c r="VTB1627" s="1"/>
      <c r="VTC1627" s="1"/>
      <c r="VTD1627" s="1"/>
      <c r="VTE1627" s="1"/>
      <c r="VTF1627" s="1"/>
      <c r="VTG1627" s="1"/>
      <c r="VTH1627" s="1"/>
      <c r="VTI1627" s="1"/>
      <c r="VTJ1627" s="1"/>
      <c r="VTK1627" s="1"/>
      <c r="VTL1627" s="1"/>
      <c r="VTM1627" s="1"/>
      <c r="VTN1627" s="1"/>
      <c r="VTO1627" s="1"/>
      <c r="VTP1627" s="1"/>
      <c r="VTQ1627" s="1"/>
      <c r="VTR1627" s="1"/>
      <c r="VTS1627" s="1"/>
      <c r="VTT1627" s="1"/>
      <c r="VTU1627" s="1"/>
      <c r="VTV1627" s="1"/>
      <c r="VTW1627" s="1"/>
      <c r="VTX1627" s="1"/>
      <c r="VTY1627" s="1"/>
      <c r="VTZ1627" s="1"/>
      <c r="VUA1627" s="1"/>
      <c r="VUB1627" s="1"/>
      <c r="VUC1627" s="1"/>
      <c r="VUD1627" s="1"/>
      <c r="VUE1627" s="1"/>
      <c r="VUF1627" s="1"/>
      <c r="VUG1627" s="1"/>
      <c r="VUH1627" s="1"/>
      <c r="VUI1627" s="1"/>
      <c r="VUJ1627" s="1"/>
      <c r="VUK1627" s="1"/>
      <c r="VUL1627" s="1"/>
      <c r="VUM1627" s="1"/>
      <c r="VUN1627" s="1"/>
      <c r="VUO1627" s="1"/>
      <c r="VUP1627" s="1"/>
      <c r="VUQ1627" s="1"/>
      <c r="VUR1627" s="1"/>
      <c r="VUS1627" s="1"/>
      <c r="VUT1627" s="1"/>
      <c r="VUU1627" s="1"/>
      <c r="VUV1627" s="1"/>
      <c r="VUW1627" s="1"/>
      <c r="VUX1627" s="1"/>
      <c r="VUY1627" s="1"/>
      <c r="VUZ1627" s="1"/>
      <c r="VVA1627" s="1"/>
      <c r="VVB1627" s="1"/>
      <c r="VVC1627" s="1"/>
      <c r="VVD1627" s="1"/>
      <c r="VVE1627" s="1"/>
      <c r="VVF1627" s="1"/>
      <c r="VVG1627" s="1"/>
      <c r="VVH1627" s="1"/>
      <c r="VVI1627" s="1"/>
      <c r="VVJ1627" s="1"/>
      <c r="VVK1627" s="1"/>
      <c r="VVL1627" s="1"/>
      <c r="VVM1627" s="1"/>
      <c r="VVN1627" s="1"/>
      <c r="VVO1627" s="1"/>
      <c r="VVP1627" s="1"/>
      <c r="VVQ1627" s="1"/>
      <c r="VVR1627" s="1"/>
      <c r="VVS1627" s="1"/>
      <c r="VVT1627" s="1"/>
      <c r="VVU1627" s="1"/>
      <c r="VVV1627" s="1"/>
      <c r="VVW1627" s="1"/>
      <c r="VVX1627" s="1"/>
      <c r="VVY1627" s="1"/>
      <c r="VVZ1627" s="1"/>
      <c r="VWA1627" s="1"/>
      <c r="VWB1627" s="1"/>
      <c r="VWC1627" s="1"/>
      <c r="VWD1627" s="1"/>
      <c r="VWE1627" s="1"/>
      <c r="VWF1627" s="1"/>
      <c r="VWG1627" s="1"/>
      <c r="VWH1627" s="1"/>
      <c r="VWI1627" s="1"/>
      <c r="VWJ1627" s="1"/>
      <c r="VWK1627" s="1"/>
      <c r="VWL1627" s="1"/>
      <c r="VWM1627" s="1"/>
      <c r="VWN1627" s="1"/>
      <c r="VWO1627" s="1"/>
      <c r="VWP1627" s="1"/>
      <c r="VWQ1627" s="1"/>
      <c r="VWR1627" s="1"/>
      <c r="VWS1627" s="1"/>
      <c r="VWT1627" s="1"/>
      <c r="VWU1627" s="1"/>
      <c r="VWV1627" s="1"/>
      <c r="VWW1627" s="1"/>
      <c r="VWX1627" s="1"/>
      <c r="VWY1627" s="1"/>
      <c r="VWZ1627" s="1"/>
      <c r="VXA1627" s="1"/>
      <c r="VXB1627" s="1"/>
      <c r="VXC1627" s="1"/>
      <c r="VXD1627" s="1"/>
      <c r="VXE1627" s="1"/>
      <c r="VXF1627" s="1"/>
      <c r="VXG1627" s="1"/>
      <c r="VXH1627" s="1"/>
      <c r="VXI1627" s="1"/>
      <c r="VXJ1627" s="1"/>
      <c r="VXK1627" s="1"/>
      <c r="VXL1627" s="1"/>
      <c r="VXM1627" s="1"/>
      <c r="VXN1627" s="1"/>
      <c r="VXO1627" s="1"/>
      <c r="VXP1627" s="1"/>
      <c r="VXQ1627" s="1"/>
      <c r="VXR1627" s="1"/>
      <c r="VXS1627" s="1"/>
      <c r="VXT1627" s="1"/>
      <c r="VXU1627" s="1"/>
      <c r="VXV1627" s="1"/>
      <c r="VXW1627" s="1"/>
      <c r="VXX1627" s="1"/>
      <c r="VXY1627" s="1"/>
      <c r="VXZ1627" s="1"/>
      <c r="VYA1627" s="1"/>
      <c r="VYB1627" s="1"/>
      <c r="VYC1627" s="1"/>
      <c r="VYD1627" s="1"/>
      <c r="VYE1627" s="1"/>
      <c r="VYF1627" s="1"/>
      <c r="VYG1627" s="1"/>
      <c r="VYH1627" s="1"/>
      <c r="VYI1627" s="1"/>
      <c r="VYJ1627" s="1"/>
      <c r="VYK1627" s="1"/>
      <c r="VYL1627" s="1"/>
      <c r="VYM1627" s="1"/>
      <c r="VYN1627" s="1"/>
      <c r="VYO1627" s="1"/>
      <c r="VYP1627" s="1"/>
      <c r="VYQ1627" s="1"/>
      <c r="VYR1627" s="1"/>
      <c r="VYS1627" s="1"/>
      <c r="VYT1627" s="1"/>
      <c r="VYU1627" s="1"/>
      <c r="VYV1627" s="1"/>
      <c r="VYW1627" s="1"/>
      <c r="VYX1627" s="1"/>
      <c r="VYY1627" s="1"/>
      <c r="VYZ1627" s="1"/>
      <c r="VZA1627" s="1"/>
      <c r="VZB1627" s="1"/>
      <c r="VZC1627" s="1"/>
      <c r="VZD1627" s="1"/>
      <c r="VZE1627" s="1"/>
      <c r="VZF1627" s="1"/>
      <c r="VZG1627" s="1"/>
      <c r="VZH1627" s="1"/>
      <c r="VZI1627" s="1"/>
      <c r="VZJ1627" s="1"/>
      <c r="VZK1627" s="1"/>
      <c r="VZL1627" s="1"/>
      <c r="VZM1627" s="1"/>
      <c r="VZN1627" s="1"/>
      <c r="VZO1627" s="1"/>
      <c r="VZP1627" s="1"/>
      <c r="VZQ1627" s="1"/>
      <c r="VZR1627" s="1"/>
      <c r="VZS1627" s="1"/>
      <c r="VZT1627" s="1"/>
      <c r="VZU1627" s="1"/>
      <c r="VZV1627" s="1"/>
      <c r="VZW1627" s="1"/>
      <c r="VZX1627" s="1"/>
      <c r="VZY1627" s="1"/>
      <c r="VZZ1627" s="1"/>
      <c r="WAA1627" s="1"/>
      <c r="WAB1627" s="1"/>
      <c r="WAC1627" s="1"/>
      <c r="WAD1627" s="1"/>
      <c r="WAE1627" s="1"/>
      <c r="WAF1627" s="1"/>
      <c r="WAG1627" s="1"/>
      <c r="WAH1627" s="1"/>
      <c r="WAI1627" s="1"/>
      <c r="WAJ1627" s="1"/>
      <c r="WAK1627" s="1"/>
      <c r="WAL1627" s="1"/>
      <c r="WAM1627" s="1"/>
      <c r="WAN1627" s="1"/>
      <c r="WAO1627" s="1"/>
      <c r="WAP1627" s="1"/>
      <c r="WAQ1627" s="1"/>
      <c r="WAR1627" s="1"/>
      <c r="WAS1627" s="1"/>
      <c r="WAT1627" s="1"/>
      <c r="WAU1627" s="1"/>
      <c r="WAV1627" s="1"/>
      <c r="WAW1627" s="1"/>
      <c r="WAX1627" s="1"/>
      <c r="WAY1627" s="1"/>
      <c r="WAZ1627" s="1"/>
      <c r="WBA1627" s="1"/>
      <c r="WBB1627" s="1"/>
      <c r="WBC1627" s="1"/>
      <c r="WBD1627" s="1"/>
      <c r="WBE1627" s="1"/>
      <c r="WBF1627" s="1"/>
      <c r="WBG1627" s="1"/>
      <c r="WBH1627" s="1"/>
      <c r="WBI1627" s="1"/>
      <c r="WBJ1627" s="1"/>
      <c r="WBK1627" s="1"/>
      <c r="WBL1627" s="1"/>
      <c r="WBM1627" s="1"/>
      <c r="WBN1627" s="1"/>
      <c r="WBO1627" s="1"/>
      <c r="WBP1627" s="1"/>
      <c r="WBQ1627" s="1"/>
      <c r="WBR1627" s="1"/>
      <c r="WBS1627" s="1"/>
      <c r="WBT1627" s="1"/>
      <c r="WBU1627" s="1"/>
      <c r="WBV1627" s="1"/>
      <c r="WBW1627" s="1"/>
      <c r="WBX1627" s="1"/>
      <c r="WBY1627" s="1"/>
      <c r="WBZ1627" s="1"/>
      <c r="WCA1627" s="1"/>
      <c r="WCB1627" s="1"/>
      <c r="WCC1627" s="1"/>
      <c r="WCD1627" s="1"/>
      <c r="WCE1627" s="1"/>
      <c r="WCF1627" s="1"/>
      <c r="WCG1627" s="1"/>
      <c r="WCH1627" s="1"/>
      <c r="WCI1627" s="1"/>
      <c r="WCJ1627" s="1"/>
      <c r="WCK1627" s="1"/>
      <c r="WCL1627" s="1"/>
      <c r="WCM1627" s="1"/>
      <c r="WCN1627" s="1"/>
      <c r="WCO1627" s="1"/>
      <c r="WCP1627" s="1"/>
      <c r="WCQ1627" s="1"/>
      <c r="WCR1627" s="1"/>
      <c r="WCS1627" s="1"/>
      <c r="WCT1627" s="1"/>
      <c r="WCU1627" s="1"/>
      <c r="WCV1627" s="1"/>
      <c r="WCW1627" s="1"/>
      <c r="WCX1627" s="1"/>
      <c r="WCY1627" s="1"/>
      <c r="WCZ1627" s="1"/>
      <c r="WDA1627" s="1"/>
      <c r="WDB1627" s="1"/>
      <c r="WDC1627" s="1"/>
      <c r="WDD1627" s="1"/>
      <c r="WDE1627" s="1"/>
      <c r="WDF1627" s="1"/>
      <c r="WDG1627" s="1"/>
      <c r="WDH1627" s="1"/>
      <c r="WDI1627" s="1"/>
      <c r="WDJ1627" s="1"/>
      <c r="WDK1627" s="1"/>
      <c r="WDL1627" s="1"/>
      <c r="WDM1627" s="1"/>
      <c r="WDN1627" s="1"/>
      <c r="WDO1627" s="1"/>
      <c r="WDP1627" s="1"/>
      <c r="WDQ1627" s="1"/>
      <c r="WDR1627" s="1"/>
      <c r="WDS1627" s="1"/>
      <c r="WDT1627" s="1"/>
      <c r="WDU1627" s="1"/>
      <c r="WDV1627" s="1"/>
      <c r="WDW1627" s="1"/>
      <c r="WDX1627" s="1"/>
      <c r="WDY1627" s="1"/>
      <c r="WDZ1627" s="1"/>
      <c r="WEA1627" s="1"/>
      <c r="WEB1627" s="1"/>
      <c r="WEC1627" s="1"/>
      <c r="WED1627" s="1"/>
      <c r="WEE1627" s="1"/>
      <c r="WEF1627" s="1"/>
      <c r="WEG1627" s="1"/>
      <c r="WEH1627" s="1"/>
      <c r="WEI1627" s="1"/>
      <c r="WEJ1627" s="1"/>
      <c r="WEK1627" s="1"/>
      <c r="WEL1627" s="1"/>
      <c r="WEM1627" s="1"/>
      <c r="WEN1627" s="1"/>
      <c r="WEO1627" s="1"/>
      <c r="WEP1627" s="1"/>
      <c r="WEQ1627" s="1"/>
      <c r="WER1627" s="1"/>
      <c r="WES1627" s="1"/>
      <c r="WET1627" s="1"/>
      <c r="WEU1627" s="1"/>
      <c r="WEV1627" s="1"/>
      <c r="WEW1627" s="1"/>
      <c r="WEX1627" s="1"/>
      <c r="WEY1627" s="1"/>
      <c r="WEZ1627" s="1"/>
      <c r="WFA1627" s="1"/>
      <c r="WFB1627" s="1"/>
      <c r="WFC1627" s="1"/>
      <c r="WFD1627" s="1"/>
      <c r="WFE1627" s="1"/>
      <c r="WFF1627" s="1"/>
      <c r="WFG1627" s="1"/>
      <c r="WFH1627" s="1"/>
      <c r="WFI1627" s="1"/>
      <c r="WFJ1627" s="1"/>
      <c r="WFK1627" s="1"/>
      <c r="WFL1627" s="1"/>
      <c r="WFM1627" s="1"/>
      <c r="WFN1627" s="1"/>
      <c r="WFO1627" s="1"/>
      <c r="WFP1627" s="1"/>
      <c r="WFQ1627" s="1"/>
      <c r="WFR1627" s="1"/>
      <c r="WFS1627" s="1"/>
      <c r="WFT1627" s="1"/>
      <c r="WFU1627" s="1"/>
      <c r="WFV1627" s="1"/>
      <c r="WFW1627" s="1"/>
      <c r="WFX1627" s="1"/>
      <c r="WFY1627" s="1"/>
      <c r="WFZ1627" s="1"/>
      <c r="WGA1627" s="1"/>
      <c r="WGB1627" s="1"/>
      <c r="WGC1627" s="1"/>
      <c r="WGD1627" s="1"/>
      <c r="WGE1627" s="1"/>
      <c r="WGF1627" s="1"/>
      <c r="WGG1627" s="1"/>
      <c r="WGH1627" s="1"/>
      <c r="WGI1627" s="1"/>
      <c r="WGJ1627" s="1"/>
      <c r="WGK1627" s="1"/>
      <c r="WGL1627" s="1"/>
      <c r="WGM1627" s="1"/>
      <c r="WGN1627" s="1"/>
      <c r="WGO1627" s="1"/>
      <c r="WGP1627" s="1"/>
      <c r="WGQ1627" s="1"/>
      <c r="WGR1627" s="1"/>
      <c r="WGS1627" s="1"/>
      <c r="WGT1627" s="1"/>
      <c r="WGU1627" s="1"/>
      <c r="WGV1627" s="1"/>
      <c r="WGW1627" s="1"/>
      <c r="WGX1627" s="1"/>
      <c r="WGY1627" s="1"/>
      <c r="WGZ1627" s="1"/>
      <c r="WHA1627" s="1"/>
      <c r="WHB1627" s="1"/>
      <c r="WHC1627" s="1"/>
      <c r="WHD1627" s="1"/>
      <c r="WHE1627" s="1"/>
      <c r="WHF1627" s="1"/>
      <c r="WHG1627" s="1"/>
      <c r="WHH1627" s="1"/>
      <c r="WHI1627" s="1"/>
      <c r="WHJ1627" s="1"/>
      <c r="WHK1627" s="1"/>
      <c r="WHL1627" s="1"/>
      <c r="WHM1627" s="1"/>
      <c r="WHN1627" s="1"/>
      <c r="WHO1627" s="1"/>
      <c r="WHP1627" s="1"/>
      <c r="WHQ1627" s="1"/>
      <c r="WHR1627" s="1"/>
      <c r="WHS1627" s="1"/>
      <c r="WHT1627" s="1"/>
      <c r="WHU1627" s="1"/>
      <c r="WHV1627" s="1"/>
      <c r="WHW1627" s="1"/>
      <c r="WHX1627" s="1"/>
      <c r="WHY1627" s="1"/>
      <c r="WHZ1627" s="1"/>
      <c r="WIA1627" s="1"/>
      <c r="WIB1627" s="1"/>
      <c r="WIC1627" s="1"/>
      <c r="WID1627" s="1"/>
      <c r="WIE1627" s="1"/>
      <c r="WIF1627" s="1"/>
      <c r="WIG1627" s="1"/>
      <c r="WIH1627" s="1"/>
      <c r="WII1627" s="1"/>
      <c r="WIJ1627" s="1"/>
      <c r="WIK1627" s="1"/>
      <c r="WIL1627" s="1"/>
      <c r="WIM1627" s="1"/>
      <c r="WIN1627" s="1"/>
      <c r="WIO1627" s="1"/>
      <c r="WIP1627" s="1"/>
      <c r="WIQ1627" s="1"/>
      <c r="WIR1627" s="1"/>
      <c r="WIS1627" s="1"/>
      <c r="WIT1627" s="1"/>
      <c r="WIU1627" s="1"/>
      <c r="WIV1627" s="1"/>
      <c r="WIW1627" s="1"/>
      <c r="WIX1627" s="1"/>
      <c r="WIY1627" s="1"/>
      <c r="WIZ1627" s="1"/>
      <c r="WJA1627" s="1"/>
      <c r="WJB1627" s="1"/>
      <c r="WJC1627" s="1"/>
      <c r="WJD1627" s="1"/>
      <c r="WJE1627" s="1"/>
      <c r="WJF1627" s="1"/>
      <c r="WJG1627" s="1"/>
      <c r="WJH1627" s="1"/>
      <c r="WJI1627" s="1"/>
      <c r="WJJ1627" s="1"/>
      <c r="WJK1627" s="1"/>
      <c r="WJL1627" s="1"/>
      <c r="WJM1627" s="1"/>
      <c r="WJN1627" s="1"/>
      <c r="WJO1627" s="1"/>
      <c r="WJP1627" s="1"/>
      <c r="WJQ1627" s="1"/>
      <c r="WJR1627" s="1"/>
      <c r="WJS1627" s="1"/>
      <c r="WJT1627" s="1"/>
      <c r="WJU1627" s="1"/>
      <c r="WJV1627" s="1"/>
      <c r="WJW1627" s="1"/>
      <c r="WJX1627" s="1"/>
      <c r="WJY1627" s="1"/>
      <c r="WJZ1627" s="1"/>
      <c r="WKA1627" s="1"/>
      <c r="WKB1627" s="1"/>
      <c r="WKC1627" s="1"/>
      <c r="WKD1627" s="1"/>
      <c r="WKE1627" s="1"/>
      <c r="WKF1627" s="1"/>
      <c r="WKG1627" s="1"/>
      <c r="WKH1627" s="1"/>
      <c r="WKI1627" s="1"/>
      <c r="WKJ1627" s="1"/>
      <c r="WKK1627" s="1"/>
      <c r="WKL1627" s="1"/>
      <c r="WKM1627" s="1"/>
      <c r="WKN1627" s="1"/>
      <c r="WKO1627" s="1"/>
      <c r="WKP1627" s="1"/>
      <c r="WKQ1627" s="1"/>
      <c r="WKR1627" s="1"/>
      <c r="WKS1627" s="1"/>
      <c r="WKT1627" s="1"/>
      <c r="WKU1627" s="1"/>
      <c r="WKV1627" s="1"/>
      <c r="WKW1627" s="1"/>
      <c r="WKX1627" s="1"/>
      <c r="WKY1627" s="1"/>
      <c r="WKZ1627" s="1"/>
      <c r="WLA1627" s="1"/>
      <c r="WLB1627" s="1"/>
      <c r="WLC1627" s="1"/>
      <c r="WLD1627" s="1"/>
      <c r="WLE1627" s="1"/>
      <c r="WLF1627" s="1"/>
      <c r="WLG1627" s="1"/>
      <c r="WLH1627" s="1"/>
      <c r="WLI1627" s="1"/>
      <c r="WLJ1627" s="1"/>
      <c r="WLK1627" s="1"/>
      <c r="WLL1627" s="1"/>
      <c r="WLM1627" s="1"/>
      <c r="WLN1627" s="1"/>
      <c r="WLO1627" s="1"/>
      <c r="WLP1627" s="1"/>
      <c r="WLQ1627" s="1"/>
      <c r="WLR1627" s="1"/>
      <c r="WLS1627" s="1"/>
      <c r="WLT1627" s="1"/>
      <c r="WLU1627" s="1"/>
      <c r="WLV1627" s="1"/>
      <c r="WLW1627" s="1"/>
      <c r="WLX1627" s="1"/>
      <c r="WLY1627" s="1"/>
      <c r="WLZ1627" s="1"/>
      <c r="WMA1627" s="1"/>
      <c r="WMB1627" s="1"/>
      <c r="WMC1627" s="1"/>
      <c r="WMD1627" s="1"/>
      <c r="WME1627" s="1"/>
      <c r="WMF1627" s="1"/>
      <c r="WMG1627" s="1"/>
      <c r="WMH1627" s="1"/>
      <c r="WMI1627" s="1"/>
      <c r="WMJ1627" s="1"/>
      <c r="WMK1627" s="1"/>
      <c r="WML1627" s="1"/>
      <c r="WMM1627" s="1"/>
      <c r="WMN1627" s="1"/>
      <c r="WMO1627" s="1"/>
      <c r="WMP1627" s="1"/>
      <c r="WMQ1627" s="1"/>
      <c r="WMR1627" s="1"/>
      <c r="WMS1627" s="1"/>
      <c r="WMT1627" s="1"/>
      <c r="WMU1627" s="1"/>
      <c r="WMV1627" s="1"/>
      <c r="WMW1627" s="1"/>
      <c r="WMX1627" s="1"/>
      <c r="WMY1627" s="1"/>
      <c r="WMZ1627" s="1"/>
      <c r="WNA1627" s="1"/>
      <c r="WNB1627" s="1"/>
      <c r="WNC1627" s="1"/>
      <c r="WND1627" s="1"/>
      <c r="WNE1627" s="1"/>
      <c r="WNF1627" s="1"/>
      <c r="WNG1627" s="1"/>
      <c r="WNH1627" s="1"/>
      <c r="WNI1627" s="1"/>
      <c r="WNJ1627" s="1"/>
      <c r="WNK1627" s="1"/>
      <c r="WNL1627" s="1"/>
      <c r="WNM1627" s="1"/>
      <c r="WNN1627" s="1"/>
      <c r="WNO1627" s="1"/>
      <c r="WNP1627" s="1"/>
      <c r="WNQ1627" s="1"/>
      <c r="WNR1627" s="1"/>
      <c r="WNS1627" s="1"/>
      <c r="WNT1627" s="1"/>
      <c r="WNU1627" s="1"/>
      <c r="WNV1627" s="1"/>
      <c r="WNW1627" s="1"/>
      <c r="WNX1627" s="1"/>
      <c r="WNY1627" s="1"/>
      <c r="WNZ1627" s="1"/>
      <c r="WOA1627" s="1"/>
      <c r="WOB1627" s="1"/>
      <c r="WOC1627" s="1"/>
      <c r="WOD1627" s="1"/>
      <c r="WOE1627" s="1"/>
      <c r="WOF1627" s="1"/>
      <c r="WOG1627" s="1"/>
      <c r="WOH1627" s="1"/>
      <c r="WOI1627" s="1"/>
      <c r="WOJ1627" s="1"/>
      <c r="WOK1627" s="1"/>
      <c r="WOL1627" s="1"/>
      <c r="WOM1627" s="1"/>
      <c r="WON1627" s="1"/>
      <c r="WOO1627" s="1"/>
      <c r="WOP1627" s="1"/>
      <c r="WOQ1627" s="1"/>
      <c r="WOR1627" s="1"/>
      <c r="WOS1627" s="1"/>
      <c r="WOT1627" s="1"/>
      <c r="WOU1627" s="1"/>
      <c r="WOV1627" s="1"/>
      <c r="WOW1627" s="1"/>
      <c r="WOX1627" s="1"/>
      <c r="WOY1627" s="1"/>
      <c r="WOZ1627" s="1"/>
      <c r="WPA1627" s="1"/>
      <c r="WPB1627" s="1"/>
      <c r="WPC1627" s="1"/>
      <c r="WPD1627" s="1"/>
      <c r="WPE1627" s="1"/>
      <c r="WPF1627" s="1"/>
      <c r="WPG1627" s="1"/>
      <c r="WPH1627" s="1"/>
      <c r="WPI1627" s="1"/>
      <c r="WPJ1627" s="1"/>
      <c r="WPK1627" s="1"/>
      <c r="WPL1627" s="1"/>
      <c r="WPM1627" s="1"/>
      <c r="WPN1627" s="1"/>
      <c r="WPO1627" s="1"/>
      <c r="WPP1627" s="1"/>
      <c r="WPQ1627" s="1"/>
      <c r="WPR1627" s="1"/>
      <c r="WPS1627" s="1"/>
      <c r="WPT1627" s="1"/>
      <c r="WPU1627" s="1"/>
      <c r="WPV1627" s="1"/>
      <c r="WPW1627" s="1"/>
      <c r="WPX1627" s="1"/>
      <c r="WPY1627" s="1"/>
      <c r="WPZ1627" s="1"/>
      <c r="WQA1627" s="1"/>
      <c r="WQB1627" s="1"/>
      <c r="WQC1627" s="1"/>
      <c r="WQD1627" s="1"/>
      <c r="WQE1627" s="1"/>
      <c r="WQF1627" s="1"/>
      <c r="WQG1627" s="1"/>
      <c r="WQH1627" s="1"/>
      <c r="WQI1627" s="1"/>
      <c r="WQJ1627" s="1"/>
      <c r="WQK1627" s="1"/>
      <c r="WQL1627" s="1"/>
      <c r="WQM1627" s="1"/>
      <c r="WQN1627" s="1"/>
      <c r="WQO1627" s="1"/>
      <c r="WQP1627" s="1"/>
      <c r="WQQ1627" s="1"/>
      <c r="WQR1627" s="1"/>
      <c r="WQS1627" s="1"/>
      <c r="WQT1627" s="1"/>
      <c r="WQU1627" s="1"/>
      <c r="WQV1627" s="1"/>
      <c r="WQW1627" s="1"/>
      <c r="WQX1627" s="1"/>
      <c r="WQY1627" s="1"/>
      <c r="WQZ1627" s="1"/>
      <c r="WRA1627" s="1"/>
      <c r="WRB1627" s="1"/>
      <c r="WRC1627" s="1"/>
      <c r="WRD1627" s="1"/>
      <c r="WRE1627" s="1"/>
      <c r="WRF1627" s="1"/>
      <c r="WRG1627" s="1"/>
      <c r="WRH1627" s="1"/>
      <c r="WRI1627" s="1"/>
      <c r="WRJ1627" s="1"/>
      <c r="WRK1627" s="1"/>
      <c r="WRL1627" s="1"/>
      <c r="WRM1627" s="1"/>
      <c r="WRN1627" s="1"/>
      <c r="WRO1627" s="1"/>
      <c r="WRP1627" s="1"/>
      <c r="WRQ1627" s="1"/>
      <c r="WRR1627" s="1"/>
      <c r="WRS1627" s="1"/>
      <c r="WRT1627" s="1"/>
      <c r="WRU1627" s="1"/>
      <c r="WRV1627" s="1"/>
      <c r="WRW1627" s="1"/>
      <c r="WRX1627" s="1"/>
      <c r="WRY1627" s="1"/>
      <c r="WRZ1627" s="1"/>
      <c r="WSA1627" s="1"/>
      <c r="WSB1627" s="1"/>
      <c r="WSC1627" s="1"/>
      <c r="WSD1627" s="1"/>
      <c r="WSE1627" s="1"/>
      <c r="WSF1627" s="1"/>
      <c r="WSG1627" s="1"/>
      <c r="WSH1627" s="1"/>
      <c r="WSI1627" s="1"/>
      <c r="WSJ1627" s="1"/>
      <c r="WSK1627" s="1"/>
      <c r="WSL1627" s="1"/>
      <c r="WSM1627" s="1"/>
      <c r="WSN1627" s="1"/>
      <c r="WSO1627" s="1"/>
      <c r="WSP1627" s="1"/>
      <c r="WSQ1627" s="1"/>
      <c r="WSR1627" s="1"/>
      <c r="WSS1627" s="1"/>
      <c r="WST1627" s="1"/>
      <c r="WSU1627" s="1"/>
      <c r="WSV1627" s="1"/>
      <c r="WSW1627" s="1"/>
      <c r="WSX1627" s="1"/>
      <c r="WSY1627" s="1"/>
      <c r="WSZ1627" s="1"/>
      <c r="WTA1627" s="1"/>
      <c r="WTB1627" s="1"/>
      <c r="WTC1627" s="1"/>
      <c r="WTD1627" s="1"/>
      <c r="WTE1627" s="1"/>
      <c r="WTF1627" s="1"/>
      <c r="WTG1627" s="1"/>
      <c r="WTH1627" s="1"/>
      <c r="WTI1627" s="1"/>
      <c r="WTJ1627" s="1"/>
      <c r="WTK1627" s="1"/>
      <c r="WTL1627" s="1"/>
      <c r="WTM1627" s="1"/>
      <c r="WTN1627" s="1"/>
      <c r="WTO1627" s="1"/>
      <c r="WTP1627" s="1"/>
      <c r="WTQ1627" s="1"/>
      <c r="WTR1627" s="1"/>
      <c r="WTS1627" s="1"/>
      <c r="WTT1627" s="1"/>
      <c r="WTU1627" s="1"/>
      <c r="WTV1627" s="1"/>
      <c r="WTW1627" s="1"/>
      <c r="WTX1627" s="1"/>
      <c r="WTY1627" s="1"/>
      <c r="WTZ1627" s="1"/>
      <c r="WUA1627" s="1"/>
      <c r="WUB1627" s="1"/>
      <c r="WUC1627" s="1"/>
      <c r="WUD1627" s="1"/>
      <c r="WUE1627" s="1"/>
      <c r="WUF1627" s="1"/>
      <c r="WUG1627" s="1"/>
      <c r="WUH1627" s="1"/>
      <c r="WUI1627" s="1"/>
      <c r="WUJ1627" s="1"/>
      <c r="WUK1627" s="1"/>
      <c r="WUL1627" s="1"/>
      <c r="WUM1627" s="1"/>
      <c r="WUN1627" s="1"/>
      <c r="WUO1627" s="1"/>
      <c r="WUP1627" s="1"/>
      <c r="WUQ1627" s="1"/>
      <c r="WUR1627" s="1"/>
      <c r="WUS1627" s="1"/>
      <c r="WUT1627" s="1"/>
      <c r="WUU1627" s="1"/>
      <c r="WUV1627" s="1"/>
      <c r="WUW1627" s="1"/>
      <c r="WUX1627" s="1"/>
      <c r="WUY1627" s="1"/>
      <c r="WUZ1627" s="1"/>
      <c r="WVA1627" s="1"/>
      <c r="WVB1627" s="1"/>
      <c r="WVC1627" s="1"/>
      <c r="WVD1627" s="1"/>
      <c r="WVE1627" s="1"/>
      <c r="WVF1627" s="1"/>
      <c r="WVG1627" s="1"/>
      <c r="WVH1627" s="1"/>
      <c r="WVI1627" s="1"/>
      <c r="WVJ1627" s="1"/>
      <c r="WVK1627" s="1"/>
      <c r="WVL1627" s="1"/>
      <c r="WVM1627" s="1"/>
      <c r="WVN1627" s="1"/>
      <c r="WVO1627" s="1"/>
      <c r="WVP1627" s="1"/>
      <c r="WVQ1627" s="1"/>
      <c r="WVR1627" s="1"/>
      <c r="WVS1627" s="1"/>
      <c r="WVT1627" s="1"/>
      <c r="WVU1627" s="1"/>
      <c r="WVV1627" s="1"/>
      <c r="WVW1627" s="1"/>
      <c r="WVX1627" s="1"/>
      <c r="WVY1627" s="1"/>
      <c r="WVZ1627" s="1"/>
      <c r="WWA1627" s="1"/>
      <c r="WWB1627" s="1"/>
      <c r="WWC1627" s="1"/>
      <c r="WWD1627" s="1"/>
      <c r="WWE1627" s="1"/>
      <c r="WWF1627" s="1"/>
      <c r="WWG1627" s="1"/>
      <c r="WWH1627" s="1"/>
      <c r="WWI1627" s="1"/>
      <c r="WWJ1627" s="1"/>
      <c r="WWK1627" s="1"/>
      <c r="WWL1627" s="1"/>
      <c r="WWM1627" s="1"/>
      <c r="WWN1627" s="1"/>
      <c r="WWO1627" s="1"/>
      <c r="WWP1627" s="1"/>
      <c r="WWQ1627" s="1"/>
      <c r="WWR1627" s="1"/>
      <c r="WWS1627" s="1"/>
      <c r="WWT1627" s="1"/>
      <c r="WWU1627" s="1"/>
      <c r="WWV1627" s="1"/>
      <c r="WWW1627" s="1"/>
      <c r="WWX1627" s="1"/>
      <c r="WWY1627" s="1"/>
      <c r="WWZ1627" s="1"/>
      <c r="WXA1627" s="1"/>
      <c r="WXB1627" s="1"/>
      <c r="WXC1627" s="1"/>
      <c r="WXD1627" s="1"/>
      <c r="WXE1627" s="1"/>
      <c r="WXF1627" s="1"/>
      <c r="WXG1627" s="1"/>
      <c r="WXH1627" s="1"/>
      <c r="WXI1627" s="1"/>
      <c r="WXJ1627" s="1"/>
      <c r="WXK1627" s="1"/>
      <c r="WXL1627" s="1"/>
      <c r="WXM1627" s="1"/>
      <c r="WXN1627" s="1"/>
      <c r="WXO1627" s="1"/>
      <c r="WXP1627" s="1"/>
      <c r="WXQ1627" s="1"/>
      <c r="WXR1627" s="1"/>
      <c r="WXS1627" s="1"/>
      <c r="WXT1627" s="1"/>
      <c r="WXU1627" s="1"/>
      <c r="WXV1627" s="1"/>
      <c r="WXW1627" s="1"/>
      <c r="WXX1627" s="1"/>
      <c r="WXY1627" s="1"/>
      <c r="WXZ1627" s="1"/>
      <c r="WYA1627" s="1"/>
      <c r="WYB1627" s="1"/>
      <c r="WYC1627" s="1"/>
      <c r="WYD1627" s="1"/>
      <c r="WYE1627" s="1"/>
      <c r="WYF1627" s="1"/>
      <c r="WYG1627" s="1"/>
      <c r="WYH1627" s="1"/>
      <c r="WYI1627" s="1"/>
      <c r="WYJ1627" s="1"/>
      <c r="WYK1627" s="1"/>
      <c r="WYL1627" s="1"/>
      <c r="WYM1627" s="1"/>
      <c r="WYN1627" s="1"/>
      <c r="WYO1627" s="1"/>
      <c r="WYP1627" s="1"/>
      <c r="WYQ1627" s="1"/>
      <c r="WYR1627" s="1"/>
      <c r="WYS1627" s="1"/>
      <c r="WYT1627" s="1"/>
      <c r="WYU1627" s="1"/>
      <c r="WYV1627" s="1"/>
      <c r="WYW1627" s="1"/>
      <c r="WYX1627" s="1"/>
      <c r="WYY1627" s="1"/>
      <c r="WYZ1627" s="1"/>
      <c r="WZA1627" s="1"/>
      <c r="WZB1627" s="1"/>
      <c r="WZC1627" s="1"/>
      <c r="WZD1627" s="1"/>
      <c r="WZE1627" s="1"/>
      <c r="WZF1627" s="1"/>
      <c r="WZG1627" s="1"/>
      <c r="WZH1627" s="1"/>
      <c r="WZI1627" s="1"/>
      <c r="WZJ1627" s="1"/>
      <c r="WZK1627" s="1"/>
      <c r="WZL1627" s="1"/>
      <c r="WZM1627" s="1"/>
      <c r="WZN1627" s="1"/>
      <c r="WZO1627" s="1"/>
      <c r="WZP1627" s="1"/>
      <c r="WZQ1627" s="1"/>
      <c r="WZR1627" s="1"/>
      <c r="WZS1627" s="1"/>
      <c r="WZT1627" s="1"/>
      <c r="WZU1627" s="1"/>
      <c r="WZV1627" s="1"/>
      <c r="WZW1627" s="1"/>
      <c r="WZX1627" s="1"/>
      <c r="WZY1627" s="1"/>
      <c r="WZZ1627" s="1"/>
      <c r="XAA1627" s="1"/>
      <c r="XAB1627" s="1"/>
      <c r="XAC1627" s="1"/>
      <c r="XAD1627" s="1"/>
      <c r="XAE1627" s="1"/>
      <c r="XAF1627" s="1"/>
      <c r="XAG1627" s="1"/>
      <c r="XAH1627" s="1"/>
      <c r="XAI1627" s="1"/>
      <c r="XAJ1627" s="1"/>
      <c r="XAK1627" s="1"/>
      <c r="XAL1627" s="1"/>
      <c r="XAM1627" s="1"/>
      <c r="XAN1627" s="1"/>
      <c r="XAO1627" s="1"/>
      <c r="XAP1627" s="1"/>
      <c r="XAQ1627" s="1"/>
      <c r="XAR1627" s="1"/>
      <c r="XAS1627" s="1"/>
      <c r="XAT1627" s="1"/>
      <c r="XAU1627" s="1"/>
      <c r="XAV1627" s="1"/>
      <c r="XAW1627" s="1"/>
      <c r="XAX1627" s="1"/>
      <c r="XAY1627" s="1"/>
      <c r="XAZ1627" s="1"/>
      <c r="XBA1627" s="1"/>
      <c r="XBB1627" s="1"/>
      <c r="XBC1627" s="1"/>
      <c r="XBD1627" s="1"/>
      <c r="XBE1627" s="1"/>
      <c r="XBF1627" s="1"/>
      <c r="XBG1627" s="1"/>
      <c r="XBH1627" s="1"/>
      <c r="XBI1627" s="1"/>
      <c r="XBJ1627" s="1"/>
      <c r="XBK1627" s="1"/>
      <c r="XBL1627" s="1"/>
      <c r="XBM1627" s="1"/>
      <c r="XBN1627" s="1"/>
      <c r="XBO1627" s="1"/>
      <c r="XBP1627" s="1"/>
      <c r="XBQ1627" s="1"/>
      <c r="XBR1627" s="1"/>
      <c r="XBS1627" s="1"/>
      <c r="XBT1627" s="1"/>
      <c r="XBU1627" s="1"/>
      <c r="XBV1627" s="1"/>
      <c r="XBW1627" s="1"/>
      <c r="XBX1627" s="1"/>
      <c r="XBY1627" s="1"/>
      <c r="XBZ1627" s="1"/>
      <c r="XCA1627" s="1"/>
      <c r="XCB1627" s="1"/>
      <c r="XCC1627" s="1"/>
      <c r="XCD1627" s="1"/>
      <c r="XCE1627" s="1"/>
      <c r="XCF1627" s="1"/>
      <c r="XCG1627" s="1"/>
      <c r="XCH1627" s="1"/>
      <c r="XCI1627" s="1"/>
      <c r="XCJ1627" s="1"/>
      <c r="XCK1627" s="1"/>
      <c r="XCL1627" s="1"/>
      <c r="XCM1627" s="1"/>
      <c r="XCN1627" s="1"/>
      <c r="XCO1627" s="1"/>
      <c r="XCP1627" s="1"/>
      <c r="XCQ1627" s="1"/>
      <c r="XCR1627" s="1"/>
      <c r="XCS1627" s="1"/>
      <c r="XCT1627" s="1"/>
      <c r="XCU1627" s="1"/>
      <c r="XCV1627" s="1"/>
      <c r="XCW1627" s="1"/>
      <c r="XCX1627" s="1"/>
      <c r="XCY1627" s="1"/>
      <c r="XCZ1627" s="1"/>
      <c r="XDA1627" s="1"/>
      <c r="XDB1627" s="1"/>
      <c r="XDC1627" s="1"/>
      <c r="XDD1627" s="1"/>
      <c r="XDE1627" s="1"/>
      <c r="XDF1627" s="1"/>
      <c r="XDG1627" s="1"/>
      <c r="XDH1627" s="1"/>
      <c r="XDI1627" s="1"/>
      <c r="XDJ1627" s="1"/>
      <c r="XDK1627" s="1"/>
      <c r="XDL1627" s="1"/>
      <c r="XDM1627" s="1"/>
      <c r="XDN1627" s="1"/>
      <c r="XDO1627" s="1"/>
      <c r="XDP1627" s="1"/>
      <c r="XDQ1627" s="1"/>
      <c r="XDR1627" s="1"/>
      <c r="XDS1627" s="1"/>
    </row>
    <row r="1628" spans="1:16347" s="26" customFormat="1" x14ac:dyDescent="0.25">
      <c r="A1628" s="1" t="s">
        <v>1014</v>
      </c>
      <c r="B1628" s="1" t="s">
        <v>1458</v>
      </c>
      <c r="C1628" s="1">
        <v>1469</v>
      </c>
      <c r="D1628" s="1">
        <v>0.5</v>
      </c>
      <c r="E1628" s="3">
        <f t="shared" si="104"/>
        <v>734.5</v>
      </c>
      <c r="F1628" s="1">
        <f t="shared" si="105"/>
        <v>881.4</v>
      </c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  <c r="BF1628" s="1"/>
      <c r="BG1628" s="1"/>
      <c r="BH1628" s="1"/>
      <c r="BI1628" s="1"/>
      <c r="BJ1628" s="1"/>
      <c r="BK1628" s="1"/>
      <c r="BL1628" s="1"/>
      <c r="BM1628" s="1"/>
      <c r="BN1628" s="1"/>
      <c r="BO1628" s="1"/>
      <c r="BP1628" s="1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  <c r="CC1628" s="1"/>
      <c r="CD1628" s="1"/>
      <c r="CE1628" s="1"/>
      <c r="CF1628" s="1"/>
      <c r="CG1628" s="1"/>
      <c r="CH1628" s="1"/>
      <c r="CI1628" s="1"/>
      <c r="CJ1628" s="1"/>
      <c r="CK1628" s="1"/>
      <c r="CL1628" s="1"/>
      <c r="CM1628" s="1"/>
      <c r="CN1628" s="1"/>
      <c r="CO1628" s="1"/>
      <c r="CP1628" s="1"/>
      <c r="CQ1628" s="1"/>
      <c r="CR1628" s="1"/>
      <c r="CS1628" s="1"/>
      <c r="CT1628" s="1"/>
      <c r="CU1628" s="1"/>
      <c r="CV1628" s="1"/>
      <c r="CW1628" s="1"/>
      <c r="CX1628" s="1"/>
      <c r="CY1628" s="1"/>
      <c r="CZ1628" s="1"/>
      <c r="DA1628" s="1"/>
      <c r="DB1628" s="1"/>
      <c r="DC1628" s="1"/>
      <c r="DD1628" s="1"/>
      <c r="DE1628" s="1"/>
      <c r="DF1628" s="1"/>
      <c r="DG1628" s="1"/>
      <c r="DH1628" s="1"/>
      <c r="DI1628" s="1"/>
      <c r="DJ1628" s="1"/>
      <c r="DK1628" s="1"/>
      <c r="DL1628" s="1"/>
      <c r="DM1628" s="1"/>
      <c r="DN1628" s="1"/>
      <c r="DO1628" s="1"/>
      <c r="DP1628" s="1"/>
      <c r="DQ1628" s="1"/>
      <c r="DR1628" s="1"/>
      <c r="DS1628" s="1"/>
      <c r="DT1628" s="1"/>
      <c r="DU1628" s="1"/>
      <c r="DV1628" s="1"/>
      <c r="DW1628" s="1"/>
      <c r="DX1628" s="1"/>
      <c r="DY1628" s="1"/>
      <c r="DZ1628" s="1"/>
      <c r="EA1628" s="1"/>
      <c r="EB1628" s="1"/>
      <c r="EC1628" s="1"/>
      <c r="ED1628" s="1"/>
      <c r="EE1628" s="1"/>
      <c r="EF1628" s="1"/>
      <c r="EG1628" s="1"/>
      <c r="EH1628" s="1"/>
      <c r="EI1628" s="1"/>
      <c r="EJ1628" s="1"/>
      <c r="EK1628" s="1"/>
      <c r="EL1628" s="1"/>
      <c r="EM1628" s="1"/>
      <c r="EN1628" s="1"/>
      <c r="EO1628" s="1"/>
      <c r="EP1628" s="1"/>
      <c r="EQ1628" s="1"/>
      <c r="ER1628" s="1"/>
      <c r="ES1628" s="1"/>
      <c r="ET1628" s="1"/>
      <c r="EU1628" s="1"/>
      <c r="EV1628" s="1"/>
      <c r="EW1628" s="1"/>
      <c r="EX1628" s="1"/>
      <c r="EY1628" s="1"/>
      <c r="EZ1628" s="1"/>
      <c r="FA1628" s="1"/>
      <c r="FB1628" s="1"/>
      <c r="FC1628" s="1"/>
      <c r="FD1628" s="1"/>
      <c r="FE1628" s="1"/>
      <c r="FF1628" s="1"/>
      <c r="FG1628" s="1"/>
      <c r="FH1628" s="1"/>
      <c r="FI1628" s="1"/>
      <c r="FJ1628" s="1"/>
      <c r="FK1628" s="1"/>
      <c r="FL1628" s="1"/>
      <c r="FM1628" s="1"/>
      <c r="FN1628" s="1"/>
      <c r="FO1628" s="1"/>
      <c r="FP1628" s="1"/>
      <c r="FQ1628" s="1"/>
      <c r="FR1628" s="1"/>
      <c r="FS1628" s="1"/>
      <c r="FT1628" s="1"/>
      <c r="FU1628" s="1"/>
      <c r="FV1628" s="1"/>
      <c r="FW1628" s="1"/>
      <c r="FX1628" s="1"/>
      <c r="FY1628" s="1"/>
      <c r="FZ1628" s="1"/>
      <c r="GA1628" s="1"/>
      <c r="GB1628" s="1"/>
      <c r="GC1628" s="1"/>
      <c r="GD1628" s="1"/>
      <c r="GE1628" s="1"/>
      <c r="GF1628" s="1"/>
      <c r="GG1628" s="1"/>
      <c r="GH1628" s="1"/>
      <c r="GI1628" s="1"/>
      <c r="GJ1628" s="1"/>
      <c r="GK1628" s="1"/>
      <c r="GL1628" s="1"/>
      <c r="GM1628" s="1"/>
      <c r="GN1628" s="1"/>
      <c r="GO1628" s="1"/>
      <c r="GP1628" s="1"/>
      <c r="GQ1628" s="1"/>
      <c r="GR1628" s="1"/>
      <c r="GS1628" s="1"/>
      <c r="GT1628" s="1"/>
      <c r="GU1628" s="1"/>
      <c r="GV1628" s="1"/>
      <c r="GW1628" s="1"/>
      <c r="GX1628" s="1"/>
      <c r="GY1628" s="1"/>
      <c r="GZ1628" s="1"/>
      <c r="HA1628" s="1"/>
      <c r="HB1628" s="1"/>
      <c r="HC1628" s="1"/>
      <c r="HD1628" s="1"/>
      <c r="HE1628" s="1"/>
      <c r="HF1628" s="1"/>
      <c r="HG1628" s="1"/>
      <c r="HH1628" s="1"/>
      <c r="HI1628" s="1"/>
      <c r="HJ1628" s="1"/>
      <c r="HK1628" s="1"/>
      <c r="HL1628" s="1"/>
      <c r="HM1628" s="1"/>
      <c r="HN1628" s="1"/>
      <c r="HO1628" s="1"/>
      <c r="HP1628" s="1"/>
      <c r="HQ1628" s="1"/>
      <c r="HR1628" s="1"/>
      <c r="HS1628" s="1"/>
      <c r="HT1628" s="1"/>
      <c r="HU1628" s="1"/>
      <c r="HV1628" s="1"/>
      <c r="HW1628" s="1"/>
      <c r="HX1628" s="1"/>
      <c r="HY1628" s="1"/>
      <c r="HZ1628" s="1"/>
      <c r="IA1628" s="1"/>
      <c r="IB1628" s="1"/>
      <c r="IC1628" s="1"/>
      <c r="ID1628" s="1"/>
      <c r="IE1628" s="1"/>
      <c r="IF1628" s="1"/>
      <c r="IG1628" s="1"/>
      <c r="IH1628" s="1"/>
      <c r="II1628" s="1"/>
      <c r="IJ1628" s="1"/>
      <c r="IK1628" s="1"/>
      <c r="IL1628" s="1"/>
      <c r="IM1628" s="1"/>
      <c r="IN1628" s="1"/>
      <c r="IO1628" s="1"/>
      <c r="IP1628" s="1"/>
      <c r="IQ1628" s="1"/>
      <c r="IR1628" s="1"/>
      <c r="IS1628" s="1"/>
      <c r="IT1628" s="1"/>
      <c r="IU1628" s="1"/>
      <c r="IV1628" s="1"/>
      <c r="IW1628" s="1"/>
      <c r="IX1628" s="1"/>
      <c r="IY1628" s="1"/>
      <c r="IZ1628" s="1"/>
      <c r="JA1628" s="1"/>
      <c r="JB1628" s="1"/>
      <c r="JC1628" s="1"/>
      <c r="JD1628" s="1"/>
      <c r="JE1628" s="1"/>
      <c r="JF1628" s="1"/>
      <c r="JG1628" s="1"/>
      <c r="JH1628" s="1"/>
      <c r="JI1628" s="1"/>
      <c r="JJ1628" s="1"/>
      <c r="JK1628" s="1"/>
      <c r="JL1628" s="1"/>
      <c r="JM1628" s="1"/>
      <c r="JN1628" s="1"/>
      <c r="JO1628" s="1"/>
      <c r="JP1628" s="1"/>
      <c r="JQ1628" s="1"/>
      <c r="JR1628" s="1"/>
      <c r="JS1628" s="1"/>
      <c r="JT1628" s="1"/>
      <c r="JU1628" s="1"/>
      <c r="JV1628" s="1"/>
      <c r="JW1628" s="1"/>
      <c r="JX1628" s="1"/>
      <c r="JY1628" s="1"/>
      <c r="JZ1628" s="1"/>
      <c r="KA1628" s="1"/>
      <c r="KB1628" s="1"/>
      <c r="KC1628" s="1"/>
      <c r="KD1628" s="1"/>
      <c r="KE1628" s="1"/>
      <c r="KF1628" s="1"/>
      <c r="KG1628" s="1"/>
      <c r="KH1628" s="1"/>
      <c r="KI1628" s="1"/>
      <c r="KJ1628" s="1"/>
      <c r="KK1628" s="1"/>
      <c r="KL1628" s="1"/>
      <c r="KM1628" s="1"/>
      <c r="KN1628" s="1"/>
      <c r="KO1628" s="1"/>
      <c r="KP1628" s="1"/>
      <c r="KQ1628" s="1"/>
      <c r="KR1628" s="1"/>
      <c r="KS1628" s="1"/>
      <c r="KT1628" s="1"/>
      <c r="KU1628" s="1"/>
      <c r="KV1628" s="1"/>
      <c r="KW1628" s="1"/>
      <c r="KX1628" s="1"/>
      <c r="KY1628" s="1"/>
      <c r="KZ1628" s="1"/>
      <c r="LA1628" s="1"/>
      <c r="LB1628" s="1"/>
      <c r="LC1628" s="1"/>
      <c r="LD1628" s="1"/>
      <c r="LE1628" s="1"/>
      <c r="LF1628" s="1"/>
      <c r="LG1628" s="1"/>
      <c r="LH1628" s="1"/>
      <c r="LI1628" s="1"/>
      <c r="LJ1628" s="1"/>
      <c r="LK1628" s="1"/>
      <c r="LL1628" s="1"/>
      <c r="LM1628" s="1"/>
      <c r="LN1628" s="1"/>
      <c r="LO1628" s="1"/>
      <c r="LP1628" s="1"/>
      <c r="LQ1628" s="1"/>
      <c r="LR1628" s="1"/>
      <c r="LS1628" s="1"/>
      <c r="LT1628" s="1"/>
      <c r="LU1628" s="1"/>
      <c r="LV1628" s="1"/>
      <c r="LW1628" s="1"/>
      <c r="LX1628" s="1"/>
      <c r="LY1628" s="1"/>
      <c r="LZ1628" s="1"/>
      <c r="MA1628" s="1"/>
      <c r="MB1628" s="1"/>
      <c r="MC1628" s="1"/>
      <c r="MD1628" s="1"/>
      <c r="ME1628" s="1"/>
      <c r="MF1628" s="1"/>
      <c r="MG1628" s="1"/>
      <c r="MH1628" s="1"/>
      <c r="MI1628" s="1"/>
      <c r="MJ1628" s="1"/>
      <c r="MK1628" s="1"/>
      <c r="ML1628" s="1"/>
      <c r="MM1628" s="1"/>
      <c r="MN1628" s="1"/>
      <c r="MO1628" s="1"/>
      <c r="MP1628" s="1"/>
      <c r="MQ1628" s="1"/>
      <c r="MR1628" s="1"/>
      <c r="MS1628" s="1"/>
      <c r="MT1628" s="1"/>
      <c r="MU1628" s="1"/>
      <c r="MV1628" s="1"/>
      <c r="MW1628" s="1"/>
      <c r="MX1628" s="1"/>
      <c r="MY1628" s="1"/>
      <c r="MZ1628" s="1"/>
      <c r="NA1628" s="1"/>
      <c r="NB1628" s="1"/>
      <c r="NC1628" s="1"/>
      <c r="ND1628" s="1"/>
      <c r="NE1628" s="1"/>
      <c r="NF1628" s="1"/>
      <c r="NG1628" s="1"/>
      <c r="NH1628" s="1"/>
      <c r="NI1628" s="1"/>
      <c r="NJ1628" s="1"/>
      <c r="NK1628" s="1"/>
      <c r="NL1628" s="1"/>
      <c r="NM1628" s="1"/>
      <c r="NN1628" s="1"/>
      <c r="NO1628" s="1"/>
      <c r="NP1628" s="1"/>
      <c r="NQ1628" s="1"/>
      <c r="NR1628" s="1"/>
      <c r="NS1628" s="1"/>
      <c r="NT1628" s="1"/>
      <c r="NU1628" s="1"/>
      <c r="NV1628" s="1"/>
      <c r="NW1628" s="1"/>
      <c r="NX1628" s="1"/>
      <c r="NY1628" s="1"/>
      <c r="NZ1628" s="1"/>
      <c r="OA1628" s="1"/>
      <c r="OB1628" s="1"/>
      <c r="OC1628" s="1"/>
      <c r="OD1628" s="1"/>
      <c r="OE1628" s="1"/>
      <c r="OF1628" s="1"/>
      <c r="OG1628" s="1"/>
      <c r="OH1628" s="1"/>
      <c r="OI1628" s="1"/>
      <c r="OJ1628" s="1"/>
      <c r="OK1628" s="1"/>
      <c r="OL1628" s="1"/>
      <c r="OM1628" s="1"/>
      <c r="ON1628" s="1"/>
      <c r="OO1628" s="1"/>
      <c r="OP1628" s="1"/>
      <c r="OQ1628" s="1"/>
      <c r="OR1628" s="1"/>
      <c r="OS1628" s="1"/>
      <c r="OT1628" s="1"/>
      <c r="OU1628" s="1"/>
      <c r="OV1628" s="1"/>
      <c r="OW1628" s="1"/>
      <c r="OX1628" s="1"/>
      <c r="OY1628" s="1"/>
      <c r="OZ1628" s="1"/>
      <c r="PA1628" s="1"/>
      <c r="PB1628" s="1"/>
      <c r="PC1628" s="1"/>
      <c r="PD1628" s="1"/>
      <c r="PE1628" s="1"/>
      <c r="PF1628" s="1"/>
      <c r="PG1628" s="1"/>
      <c r="PH1628" s="1"/>
      <c r="PI1628" s="1"/>
      <c r="PJ1628" s="1"/>
      <c r="PK1628" s="1"/>
      <c r="PL1628" s="1"/>
      <c r="PM1628" s="1"/>
      <c r="PN1628" s="1"/>
      <c r="PO1628" s="1"/>
      <c r="PP1628" s="1"/>
      <c r="PQ1628" s="1"/>
      <c r="PR1628" s="1"/>
      <c r="PS1628" s="1"/>
      <c r="PT1628" s="1"/>
      <c r="PU1628" s="1"/>
      <c r="PV1628" s="1"/>
      <c r="PW1628" s="1"/>
      <c r="PX1628" s="1"/>
      <c r="PY1628" s="1"/>
      <c r="PZ1628" s="1"/>
      <c r="QA1628" s="1"/>
      <c r="QB1628" s="1"/>
      <c r="QC1628" s="1"/>
      <c r="QD1628" s="1"/>
      <c r="QE1628" s="1"/>
      <c r="QF1628" s="1"/>
      <c r="QG1628" s="1"/>
      <c r="QH1628" s="1"/>
      <c r="QI1628" s="1"/>
      <c r="QJ1628" s="1"/>
      <c r="QK1628" s="1"/>
      <c r="QL1628" s="1"/>
      <c r="QM1628" s="1"/>
      <c r="QN1628" s="1"/>
      <c r="QO1628" s="1"/>
      <c r="QP1628" s="1"/>
      <c r="QQ1628" s="1"/>
      <c r="QR1628" s="1"/>
      <c r="QS1628" s="1"/>
      <c r="QT1628" s="1"/>
      <c r="QU1628" s="1"/>
      <c r="QV1628" s="1"/>
      <c r="QW1628" s="1"/>
      <c r="QX1628" s="1"/>
      <c r="QY1628" s="1"/>
      <c r="QZ1628" s="1"/>
      <c r="RA1628" s="1"/>
      <c r="RB1628" s="1"/>
      <c r="RC1628" s="1"/>
      <c r="RD1628" s="1"/>
      <c r="RE1628" s="1"/>
      <c r="RF1628" s="1"/>
      <c r="RG1628" s="1"/>
      <c r="RH1628" s="1"/>
      <c r="RI1628" s="1"/>
      <c r="RJ1628" s="1"/>
      <c r="RK1628" s="1"/>
      <c r="RL1628" s="1"/>
      <c r="RM1628" s="1"/>
      <c r="RN1628" s="1"/>
      <c r="RO1628" s="1"/>
      <c r="RP1628" s="1"/>
      <c r="RQ1628" s="1"/>
      <c r="RR1628" s="1"/>
      <c r="RS1628" s="1"/>
      <c r="RT1628" s="1"/>
      <c r="RU1628" s="1"/>
      <c r="RV1628" s="1"/>
      <c r="RW1628" s="1"/>
      <c r="RX1628" s="1"/>
      <c r="RY1628" s="1"/>
      <c r="RZ1628" s="1"/>
      <c r="SA1628" s="1"/>
      <c r="SB1628" s="1"/>
      <c r="SC1628" s="1"/>
      <c r="SD1628" s="1"/>
      <c r="SE1628" s="1"/>
      <c r="SF1628" s="1"/>
      <c r="SG1628" s="1"/>
      <c r="SH1628" s="1"/>
      <c r="SI1628" s="1"/>
      <c r="SJ1628" s="1"/>
      <c r="SK1628" s="1"/>
      <c r="SL1628" s="1"/>
      <c r="SM1628" s="1"/>
      <c r="SN1628" s="1"/>
      <c r="SO1628" s="1"/>
      <c r="SP1628" s="1"/>
      <c r="SQ1628" s="1"/>
      <c r="SR1628" s="1"/>
      <c r="SS1628" s="1"/>
      <c r="ST1628" s="1"/>
      <c r="SU1628" s="1"/>
      <c r="SV1628" s="1"/>
      <c r="SW1628" s="1"/>
      <c r="SX1628" s="1"/>
      <c r="SY1628" s="1"/>
      <c r="SZ1628" s="1"/>
      <c r="TA1628" s="1"/>
      <c r="TB1628" s="1"/>
      <c r="TC1628" s="1"/>
      <c r="TD1628" s="1"/>
      <c r="TE1628" s="1"/>
      <c r="TF1628" s="1"/>
      <c r="TG1628" s="1"/>
      <c r="TH1628" s="1"/>
      <c r="TI1628" s="1"/>
      <c r="TJ1628" s="1"/>
      <c r="TK1628" s="1"/>
      <c r="TL1628" s="1"/>
      <c r="TM1628" s="1"/>
      <c r="TN1628" s="1"/>
      <c r="TO1628" s="1"/>
      <c r="TP1628" s="1"/>
      <c r="TQ1628" s="1"/>
      <c r="TR1628" s="1"/>
      <c r="TS1628" s="1"/>
      <c r="TT1628" s="1"/>
      <c r="TU1628" s="1"/>
      <c r="TV1628" s="1"/>
      <c r="TW1628" s="1"/>
      <c r="TX1628" s="1"/>
      <c r="TY1628" s="1"/>
      <c r="TZ1628" s="1"/>
      <c r="UA1628" s="1"/>
      <c r="UB1628" s="1"/>
      <c r="UC1628" s="1"/>
      <c r="UD1628" s="1"/>
      <c r="UE1628" s="1"/>
      <c r="UF1628" s="1"/>
      <c r="UG1628" s="1"/>
      <c r="UH1628" s="1"/>
      <c r="UI1628" s="1"/>
      <c r="UJ1628" s="1"/>
      <c r="UK1628" s="1"/>
      <c r="UL1628" s="1"/>
      <c r="UM1628" s="1"/>
      <c r="UN1628" s="1"/>
      <c r="UO1628" s="1"/>
      <c r="UP1628" s="1"/>
      <c r="UQ1628" s="1"/>
      <c r="UR1628" s="1"/>
      <c r="US1628" s="1"/>
      <c r="UT1628" s="1"/>
      <c r="UU1628" s="1"/>
      <c r="UV1628" s="1"/>
      <c r="UW1628" s="1"/>
      <c r="UX1628" s="1"/>
      <c r="UY1628" s="1"/>
      <c r="UZ1628" s="1"/>
      <c r="VA1628" s="1"/>
      <c r="VB1628" s="1"/>
      <c r="VC1628" s="1"/>
      <c r="VD1628" s="1"/>
      <c r="VE1628" s="1"/>
      <c r="VF1628" s="1"/>
      <c r="VG1628" s="1"/>
      <c r="VH1628" s="1"/>
      <c r="VI1628" s="1"/>
      <c r="VJ1628" s="1"/>
      <c r="VK1628" s="1"/>
      <c r="VL1628" s="1"/>
      <c r="VM1628" s="1"/>
      <c r="VN1628" s="1"/>
      <c r="VO1628" s="1"/>
      <c r="VP1628" s="1"/>
      <c r="VQ1628" s="1"/>
      <c r="VR1628" s="1"/>
      <c r="VS1628" s="1"/>
      <c r="VT1628" s="1"/>
      <c r="VU1628" s="1"/>
      <c r="VV1628" s="1"/>
      <c r="VW1628" s="1"/>
      <c r="VX1628" s="1"/>
      <c r="VY1628" s="1"/>
      <c r="VZ1628" s="1"/>
      <c r="WA1628" s="1"/>
      <c r="WB1628" s="1"/>
      <c r="WC1628" s="1"/>
      <c r="WD1628" s="1"/>
      <c r="WE1628" s="1"/>
      <c r="WF1628" s="1"/>
      <c r="WG1628" s="1"/>
      <c r="WH1628" s="1"/>
      <c r="WI1628" s="1"/>
      <c r="WJ1628" s="1"/>
      <c r="WK1628" s="1"/>
      <c r="WL1628" s="1"/>
      <c r="WM1628" s="1"/>
      <c r="WN1628" s="1"/>
      <c r="WO1628" s="1"/>
      <c r="WP1628" s="1"/>
      <c r="WQ1628" s="1"/>
      <c r="WR1628" s="1"/>
      <c r="WS1628" s="1"/>
      <c r="WT1628" s="1"/>
      <c r="WU1628" s="1"/>
      <c r="WV1628" s="1"/>
      <c r="WW1628" s="1"/>
      <c r="WX1628" s="1"/>
      <c r="WY1628" s="1"/>
      <c r="WZ1628" s="1"/>
      <c r="XA1628" s="1"/>
      <c r="XB1628" s="1"/>
      <c r="XC1628" s="1"/>
      <c r="XD1628" s="1"/>
      <c r="XE1628" s="1"/>
      <c r="XF1628" s="1"/>
      <c r="XG1628" s="1"/>
      <c r="XH1628" s="1"/>
      <c r="XI1628" s="1"/>
      <c r="XJ1628" s="1"/>
      <c r="XK1628" s="1"/>
      <c r="XL1628" s="1"/>
      <c r="XM1628" s="1"/>
      <c r="XN1628" s="1"/>
      <c r="XO1628" s="1"/>
      <c r="XP1628" s="1"/>
      <c r="XQ1628" s="1"/>
      <c r="XR1628" s="1"/>
      <c r="XS1628" s="1"/>
      <c r="XT1628" s="1"/>
      <c r="XU1628" s="1"/>
      <c r="XV1628" s="1"/>
      <c r="XW1628" s="1"/>
      <c r="XX1628" s="1"/>
      <c r="XY1628" s="1"/>
      <c r="XZ1628" s="1"/>
      <c r="YA1628" s="1"/>
      <c r="YB1628" s="1"/>
      <c r="YC1628" s="1"/>
      <c r="YD1628" s="1"/>
      <c r="YE1628" s="1"/>
      <c r="YF1628" s="1"/>
      <c r="YG1628" s="1"/>
      <c r="YH1628" s="1"/>
      <c r="YI1628" s="1"/>
      <c r="YJ1628" s="1"/>
      <c r="YK1628" s="1"/>
      <c r="YL1628" s="1"/>
      <c r="YM1628" s="1"/>
      <c r="YN1628" s="1"/>
      <c r="YO1628" s="1"/>
      <c r="YP1628" s="1"/>
      <c r="YQ1628" s="1"/>
      <c r="YR1628" s="1"/>
      <c r="YS1628" s="1"/>
      <c r="YT1628" s="1"/>
      <c r="YU1628" s="1"/>
      <c r="YV1628" s="1"/>
      <c r="YW1628" s="1"/>
      <c r="YX1628" s="1"/>
      <c r="YY1628" s="1"/>
      <c r="YZ1628" s="1"/>
      <c r="ZA1628" s="1"/>
      <c r="ZB1628" s="1"/>
      <c r="ZC1628" s="1"/>
      <c r="ZD1628" s="1"/>
      <c r="ZE1628" s="1"/>
      <c r="ZF1628" s="1"/>
      <c r="ZG1628" s="1"/>
      <c r="ZH1628" s="1"/>
      <c r="ZI1628" s="1"/>
      <c r="ZJ1628" s="1"/>
      <c r="ZK1628" s="1"/>
      <c r="ZL1628" s="1"/>
      <c r="ZM1628" s="1"/>
      <c r="ZN1628" s="1"/>
      <c r="ZO1628" s="1"/>
      <c r="ZP1628" s="1"/>
      <c r="ZQ1628" s="1"/>
      <c r="ZR1628" s="1"/>
      <c r="ZS1628" s="1"/>
      <c r="ZT1628" s="1"/>
      <c r="ZU1628" s="1"/>
      <c r="ZV1628" s="1"/>
      <c r="ZW1628" s="1"/>
      <c r="ZX1628" s="1"/>
      <c r="ZY1628" s="1"/>
      <c r="ZZ1628" s="1"/>
      <c r="AAA1628" s="1"/>
      <c r="AAB1628" s="1"/>
      <c r="AAC1628" s="1"/>
      <c r="AAD1628" s="1"/>
      <c r="AAE1628" s="1"/>
      <c r="AAF1628" s="1"/>
      <c r="AAG1628" s="1"/>
      <c r="AAH1628" s="1"/>
      <c r="AAI1628" s="1"/>
      <c r="AAJ1628" s="1"/>
      <c r="AAK1628" s="1"/>
      <c r="AAL1628" s="1"/>
      <c r="AAM1628" s="1"/>
      <c r="AAN1628" s="1"/>
      <c r="AAO1628" s="1"/>
      <c r="AAP1628" s="1"/>
      <c r="AAQ1628" s="1"/>
      <c r="AAR1628" s="1"/>
      <c r="AAS1628" s="1"/>
      <c r="AAT1628" s="1"/>
      <c r="AAU1628" s="1"/>
      <c r="AAV1628" s="1"/>
      <c r="AAW1628" s="1"/>
      <c r="AAX1628" s="1"/>
      <c r="AAY1628" s="1"/>
      <c r="AAZ1628" s="1"/>
      <c r="ABA1628" s="1"/>
      <c r="ABB1628" s="1"/>
      <c r="ABC1628" s="1"/>
      <c r="ABD1628" s="1"/>
      <c r="ABE1628" s="1"/>
      <c r="ABF1628" s="1"/>
      <c r="ABG1628" s="1"/>
      <c r="ABH1628" s="1"/>
      <c r="ABI1628" s="1"/>
      <c r="ABJ1628" s="1"/>
      <c r="ABK1628" s="1"/>
      <c r="ABL1628" s="1"/>
      <c r="ABM1628" s="1"/>
      <c r="ABN1628" s="1"/>
      <c r="ABO1628" s="1"/>
      <c r="ABP1628" s="1"/>
      <c r="ABQ1628" s="1"/>
      <c r="ABR1628" s="1"/>
      <c r="ABS1628" s="1"/>
      <c r="ABT1628" s="1"/>
      <c r="ABU1628" s="1"/>
      <c r="ABV1628" s="1"/>
      <c r="ABW1628" s="1"/>
      <c r="ABX1628" s="1"/>
      <c r="ABY1628" s="1"/>
      <c r="ABZ1628" s="1"/>
      <c r="ACA1628" s="1"/>
      <c r="ACB1628" s="1"/>
      <c r="ACC1628" s="1"/>
      <c r="ACD1628" s="1"/>
      <c r="ACE1628" s="1"/>
      <c r="ACF1628" s="1"/>
      <c r="ACG1628" s="1"/>
      <c r="ACH1628" s="1"/>
      <c r="ACI1628" s="1"/>
      <c r="ACJ1628" s="1"/>
      <c r="ACK1628" s="1"/>
      <c r="ACL1628" s="1"/>
      <c r="ACM1628" s="1"/>
      <c r="ACN1628" s="1"/>
      <c r="ACO1628" s="1"/>
      <c r="ACP1628" s="1"/>
      <c r="ACQ1628" s="1"/>
      <c r="ACR1628" s="1"/>
      <c r="ACS1628" s="1"/>
      <c r="ACT1628" s="1"/>
      <c r="ACU1628" s="1"/>
      <c r="ACV1628" s="1"/>
      <c r="ACW1628" s="1"/>
      <c r="ACX1628" s="1"/>
      <c r="ACY1628" s="1"/>
      <c r="ACZ1628" s="1"/>
      <c r="ADA1628" s="1"/>
      <c r="ADB1628" s="1"/>
      <c r="ADC1628" s="1"/>
      <c r="ADD1628" s="1"/>
      <c r="ADE1628" s="1"/>
      <c r="ADF1628" s="1"/>
      <c r="ADG1628" s="1"/>
      <c r="ADH1628" s="1"/>
      <c r="ADI1628" s="1"/>
      <c r="ADJ1628" s="1"/>
      <c r="ADK1628" s="1"/>
      <c r="ADL1628" s="1"/>
      <c r="ADM1628" s="1"/>
      <c r="ADN1628" s="1"/>
      <c r="ADO1628" s="1"/>
      <c r="ADP1628" s="1"/>
      <c r="ADQ1628" s="1"/>
      <c r="ADR1628" s="1"/>
      <c r="ADS1628" s="1"/>
      <c r="ADT1628" s="1"/>
      <c r="ADU1628" s="1"/>
      <c r="ADV1628" s="1"/>
      <c r="ADW1628" s="1"/>
      <c r="ADX1628" s="1"/>
      <c r="ADY1628" s="1"/>
      <c r="ADZ1628" s="1"/>
      <c r="AEA1628" s="1"/>
      <c r="AEB1628" s="1"/>
      <c r="AEC1628" s="1"/>
      <c r="AED1628" s="1"/>
      <c r="AEE1628" s="1"/>
      <c r="AEF1628" s="1"/>
      <c r="AEG1628" s="1"/>
      <c r="AEH1628" s="1"/>
      <c r="AEI1628" s="1"/>
      <c r="AEJ1628" s="1"/>
      <c r="AEK1628" s="1"/>
      <c r="AEL1628" s="1"/>
      <c r="AEM1628" s="1"/>
      <c r="AEN1628" s="1"/>
      <c r="AEO1628" s="1"/>
      <c r="AEP1628" s="1"/>
      <c r="AEQ1628" s="1"/>
      <c r="AER1628" s="1"/>
      <c r="AES1628" s="1"/>
      <c r="AET1628" s="1"/>
      <c r="AEU1628" s="1"/>
      <c r="AEV1628" s="1"/>
      <c r="AEW1628" s="1"/>
      <c r="AEX1628" s="1"/>
      <c r="AEY1628" s="1"/>
      <c r="AEZ1628" s="1"/>
      <c r="AFA1628" s="1"/>
      <c r="AFB1628" s="1"/>
      <c r="AFC1628" s="1"/>
      <c r="AFD1628" s="1"/>
      <c r="AFE1628" s="1"/>
      <c r="AFF1628" s="1"/>
      <c r="AFG1628" s="1"/>
      <c r="AFH1628" s="1"/>
      <c r="AFI1628" s="1"/>
      <c r="AFJ1628" s="1"/>
      <c r="AFK1628" s="1"/>
      <c r="AFL1628" s="1"/>
      <c r="AFM1628" s="1"/>
      <c r="AFN1628" s="1"/>
      <c r="AFO1628" s="1"/>
      <c r="AFP1628" s="1"/>
      <c r="AFQ1628" s="1"/>
      <c r="AFR1628" s="1"/>
      <c r="AFS1628" s="1"/>
      <c r="AFT1628" s="1"/>
      <c r="AFU1628" s="1"/>
      <c r="AFV1628" s="1"/>
      <c r="AFW1628" s="1"/>
      <c r="AFX1628" s="1"/>
      <c r="AFY1628" s="1"/>
      <c r="AFZ1628" s="1"/>
      <c r="AGA1628" s="1"/>
      <c r="AGB1628" s="1"/>
      <c r="AGC1628" s="1"/>
      <c r="AGD1628" s="1"/>
      <c r="AGE1628" s="1"/>
      <c r="AGF1628" s="1"/>
      <c r="AGG1628" s="1"/>
      <c r="AGH1628" s="1"/>
      <c r="AGI1628" s="1"/>
      <c r="AGJ1628" s="1"/>
      <c r="AGK1628" s="1"/>
      <c r="AGL1628" s="1"/>
      <c r="AGM1628" s="1"/>
      <c r="AGN1628" s="1"/>
      <c r="AGO1628" s="1"/>
      <c r="AGP1628" s="1"/>
      <c r="AGQ1628" s="1"/>
      <c r="AGR1628" s="1"/>
      <c r="AGS1628" s="1"/>
      <c r="AGT1628" s="1"/>
      <c r="AGU1628" s="1"/>
      <c r="AGV1628" s="1"/>
      <c r="AGW1628" s="1"/>
      <c r="AGX1628" s="1"/>
      <c r="AGY1628" s="1"/>
      <c r="AGZ1628" s="1"/>
      <c r="AHA1628" s="1"/>
      <c r="AHB1628" s="1"/>
      <c r="AHC1628" s="1"/>
      <c r="AHD1628" s="1"/>
      <c r="AHE1628" s="1"/>
      <c r="AHF1628" s="1"/>
      <c r="AHG1628" s="1"/>
      <c r="AHH1628" s="1"/>
      <c r="AHI1628" s="1"/>
      <c r="AHJ1628" s="1"/>
      <c r="AHK1628" s="1"/>
      <c r="AHL1628" s="1"/>
      <c r="AHM1628" s="1"/>
      <c r="AHN1628" s="1"/>
      <c r="AHO1628" s="1"/>
      <c r="AHP1628" s="1"/>
      <c r="AHQ1628" s="1"/>
      <c r="AHR1628" s="1"/>
      <c r="AHS1628" s="1"/>
      <c r="AHT1628" s="1"/>
      <c r="AHU1628" s="1"/>
      <c r="AHV1628" s="1"/>
      <c r="AHW1628" s="1"/>
      <c r="AHX1628" s="1"/>
      <c r="AHY1628" s="1"/>
      <c r="AHZ1628" s="1"/>
      <c r="AIA1628" s="1"/>
      <c r="AIB1628" s="1"/>
      <c r="AIC1628" s="1"/>
      <c r="AID1628" s="1"/>
      <c r="AIE1628" s="1"/>
      <c r="AIF1628" s="1"/>
      <c r="AIG1628" s="1"/>
      <c r="AIH1628" s="1"/>
      <c r="AII1628" s="1"/>
      <c r="AIJ1628" s="1"/>
      <c r="AIK1628" s="1"/>
      <c r="AIL1628" s="1"/>
      <c r="AIM1628" s="1"/>
      <c r="AIN1628" s="1"/>
      <c r="AIO1628" s="1"/>
      <c r="AIP1628" s="1"/>
      <c r="AIQ1628" s="1"/>
      <c r="AIR1628" s="1"/>
      <c r="AIS1628" s="1"/>
      <c r="AIT1628" s="1"/>
      <c r="AIU1628" s="1"/>
      <c r="AIV1628" s="1"/>
      <c r="AIW1628" s="1"/>
      <c r="AIX1628" s="1"/>
      <c r="AIY1628" s="1"/>
      <c r="AIZ1628" s="1"/>
      <c r="AJA1628" s="1"/>
      <c r="AJB1628" s="1"/>
      <c r="AJC1628" s="1"/>
      <c r="AJD1628" s="1"/>
      <c r="AJE1628" s="1"/>
      <c r="AJF1628" s="1"/>
      <c r="AJG1628" s="1"/>
      <c r="AJH1628" s="1"/>
      <c r="AJI1628" s="1"/>
      <c r="AJJ1628" s="1"/>
      <c r="AJK1628" s="1"/>
      <c r="AJL1628" s="1"/>
      <c r="AJM1628" s="1"/>
      <c r="AJN1628" s="1"/>
      <c r="AJO1628" s="1"/>
      <c r="AJP1628" s="1"/>
      <c r="AJQ1628" s="1"/>
      <c r="AJR1628" s="1"/>
      <c r="AJS1628" s="1"/>
      <c r="AJT1628" s="1"/>
      <c r="AJU1628" s="1"/>
      <c r="AJV1628" s="1"/>
      <c r="AJW1628" s="1"/>
      <c r="AJX1628" s="1"/>
      <c r="AJY1628" s="1"/>
      <c r="AJZ1628" s="1"/>
      <c r="AKA1628" s="1"/>
      <c r="AKB1628" s="1"/>
      <c r="AKC1628" s="1"/>
      <c r="AKD1628" s="1"/>
      <c r="AKE1628" s="1"/>
      <c r="AKF1628" s="1"/>
      <c r="AKG1628" s="1"/>
      <c r="AKH1628" s="1"/>
      <c r="AKI1628" s="1"/>
      <c r="AKJ1628" s="1"/>
      <c r="AKK1628" s="1"/>
      <c r="AKL1628" s="1"/>
      <c r="AKM1628" s="1"/>
      <c r="AKN1628" s="1"/>
      <c r="AKO1628" s="1"/>
      <c r="AKP1628" s="1"/>
      <c r="AKQ1628" s="1"/>
      <c r="AKR1628" s="1"/>
      <c r="AKS1628" s="1"/>
      <c r="AKT1628" s="1"/>
      <c r="AKU1628" s="1"/>
      <c r="AKV1628" s="1"/>
      <c r="AKW1628" s="1"/>
      <c r="AKX1628" s="1"/>
      <c r="AKY1628" s="1"/>
      <c r="AKZ1628" s="1"/>
      <c r="ALA1628" s="1"/>
      <c r="ALB1628" s="1"/>
      <c r="ALC1628" s="1"/>
      <c r="ALD1628" s="1"/>
      <c r="ALE1628" s="1"/>
      <c r="ALF1628" s="1"/>
      <c r="ALG1628" s="1"/>
      <c r="ALH1628" s="1"/>
      <c r="ALI1628" s="1"/>
      <c r="ALJ1628" s="1"/>
      <c r="ALK1628" s="1"/>
      <c r="ALL1628" s="1"/>
      <c r="ALM1628" s="1"/>
      <c r="ALN1628" s="1"/>
      <c r="ALO1628" s="1"/>
      <c r="ALP1628" s="1"/>
      <c r="ALQ1628" s="1"/>
      <c r="ALR1628" s="1"/>
      <c r="ALS1628" s="1"/>
      <c r="ALT1628" s="1"/>
      <c r="ALU1628" s="1"/>
      <c r="ALV1628" s="1"/>
      <c r="ALW1628" s="1"/>
      <c r="ALX1628" s="1"/>
      <c r="ALY1628" s="1"/>
      <c r="ALZ1628" s="1"/>
      <c r="AMA1628" s="1"/>
      <c r="AMB1628" s="1"/>
      <c r="AMC1628" s="1"/>
      <c r="AMD1628" s="1"/>
      <c r="AME1628" s="1"/>
      <c r="AMF1628" s="1"/>
      <c r="AMG1628" s="1"/>
      <c r="AMH1628" s="1"/>
      <c r="AMI1628" s="1"/>
      <c r="AMJ1628" s="1"/>
      <c r="AMK1628" s="1"/>
      <c r="AML1628" s="1"/>
      <c r="AMM1628" s="1"/>
      <c r="AMN1628" s="1"/>
      <c r="AMO1628" s="1"/>
      <c r="AMP1628" s="1"/>
      <c r="AMQ1628" s="1"/>
      <c r="AMR1628" s="1"/>
      <c r="AMS1628" s="1"/>
      <c r="AMT1628" s="1"/>
      <c r="AMU1628" s="1"/>
      <c r="AMV1628" s="1"/>
      <c r="AMW1628" s="1"/>
      <c r="AMX1628" s="1"/>
      <c r="AMY1628" s="1"/>
      <c r="AMZ1628" s="1"/>
      <c r="ANA1628" s="1"/>
      <c r="ANB1628" s="1"/>
      <c r="ANC1628" s="1"/>
      <c r="AND1628" s="1"/>
      <c r="ANE1628" s="1"/>
      <c r="ANF1628" s="1"/>
      <c r="ANG1628" s="1"/>
      <c r="ANH1628" s="1"/>
      <c r="ANI1628" s="1"/>
      <c r="ANJ1628" s="1"/>
      <c r="ANK1628" s="1"/>
      <c r="ANL1628" s="1"/>
      <c r="ANM1628" s="1"/>
      <c r="ANN1628" s="1"/>
      <c r="ANO1628" s="1"/>
      <c r="ANP1628" s="1"/>
      <c r="ANQ1628" s="1"/>
      <c r="ANR1628" s="1"/>
      <c r="ANS1628" s="1"/>
      <c r="ANT1628" s="1"/>
      <c r="ANU1628" s="1"/>
      <c r="ANV1628" s="1"/>
      <c r="ANW1628" s="1"/>
      <c r="ANX1628" s="1"/>
      <c r="ANY1628" s="1"/>
      <c r="ANZ1628" s="1"/>
      <c r="AOA1628" s="1"/>
      <c r="AOB1628" s="1"/>
      <c r="AOC1628" s="1"/>
      <c r="AOD1628" s="1"/>
      <c r="AOE1628" s="1"/>
      <c r="AOF1628" s="1"/>
      <c r="AOG1628" s="1"/>
      <c r="AOH1628" s="1"/>
      <c r="AOI1628" s="1"/>
      <c r="AOJ1628" s="1"/>
      <c r="AOK1628" s="1"/>
      <c r="AOL1628" s="1"/>
      <c r="AOM1628" s="1"/>
      <c r="AON1628" s="1"/>
      <c r="AOO1628" s="1"/>
      <c r="AOP1628" s="1"/>
      <c r="AOQ1628" s="1"/>
      <c r="AOR1628" s="1"/>
      <c r="AOS1628" s="1"/>
      <c r="AOT1628" s="1"/>
      <c r="AOU1628" s="1"/>
      <c r="AOV1628" s="1"/>
      <c r="AOW1628" s="1"/>
      <c r="AOX1628" s="1"/>
      <c r="AOY1628" s="1"/>
      <c r="AOZ1628" s="1"/>
      <c r="APA1628" s="1"/>
      <c r="APB1628" s="1"/>
      <c r="APC1628" s="1"/>
      <c r="APD1628" s="1"/>
      <c r="APE1628" s="1"/>
      <c r="APF1628" s="1"/>
      <c r="APG1628" s="1"/>
      <c r="APH1628" s="1"/>
      <c r="API1628" s="1"/>
      <c r="APJ1628" s="1"/>
      <c r="APK1628" s="1"/>
      <c r="APL1628" s="1"/>
      <c r="APM1628" s="1"/>
      <c r="APN1628" s="1"/>
      <c r="APO1628" s="1"/>
      <c r="APP1628" s="1"/>
      <c r="APQ1628" s="1"/>
      <c r="APR1628" s="1"/>
      <c r="APS1628" s="1"/>
      <c r="APT1628" s="1"/>
      <c r="APU1628" s="1"/>
      <c r="APV1628" s="1"/>
      <c r="APW1628" s="1"/>
      <c r="APX1628" s="1"/>
      <c r="APY1628" s="1"/>
      <c r="APZ1628" s="1"/>
      <c r="AQA1628" s="1"/>
      <c r="AQB1628" s="1"/>
      <c r="AQC1628" s="1"/>
      <c r="AQD1628" s="1"/>
      <c r="AQE1628" s="1"/>
      <c r="AQF1628" s="1"/>
      <c r="AQG1628" s="1"/>
      <c r="AQH1628" s="1"/>
      <c r="AQI1628" s="1"/>
      <c r="AQJ1628" s="1"/>
      <c r="AQK1628" s="1"/>
      <c r="AQL1628" s="1"/>
      <c r="AQM1628" s="1"/>
      <c r="AQN1628" s="1"/>
      <c r="AQO1628" s="1"/>
      <c r="AQP1628" s="1"/>
      <c r="AQQ1628" s="1"/>
      <c r="AQR1628" s="1"/>
      <c r="AQS1628" s="1"/>
      <c r="AQT1628" s="1"/>
      <c r="AQU1628" s="1"/>
      <c r="AQV1628" s="1"/>
      <c r="AQW1628" s="1"/>
      <c r="AQX1628" s="1"/>
      <c r="AQY1628" s="1"/>
      <c r="AQZ1628" s="1"/>
      <c r="ARA1628" s="1"/>
      <c r="ARB1628" s="1"/>
      <c r="ARC1628" s="1"/>
      <c r="ARD1628" s="1"/>
      <c r="ARE1628" s="1"/>
      <c r="ARF1628" s="1"/>
      <c r="ARG1628" s="1"/>
      <c r="ARH1628" s="1"/>
      <c r="ARI1628" s="1"/>
      <c r="ARJ1628" s="1"/>
      <c r="ARK1628" s="1"/>
      <c r="ARL1628" s="1"/>
      <c r="ARM1628" s="1"/>
      <c r="ARN1628" s="1"/>
      <c r="ARO1628" s="1"/>
      <c r="ARP1628" s="1"/>
      <c r="ARQ1628" s="1"/>
      <c r="ARR1628" s="1"/>
      <c r="ARS1628" s="1"/>
      <c r="ART1628" s="1"/>
      <c r="ARU1628" s="1"/>
      <c r="ARV1628" s="1"/>
      <c r="ARW1628" s="1"/>
      <c r="ARX1628" s="1"/>
      <c r="ARY1628" s="1"/>
      <c r="ARZ1628" s="1"/>
      <c r="ASA1628" s="1"/>
      <c r="ASB1628" s="1"/>
      <c r="ASC1628" s="1"/>
      <c r="ASD1628" s="1"/>
      <c r="ASE1628" s="1"/>
      <c r="ASF1628" s="1"/>
      <c r="ASG1628" s="1"/>
      <c r="ASH1628" s="1"/>
      <c r="ASI1628" s="1"/>
      <c r="ASJ1628" s="1"/>
      <c r="ASK1628" s="1"/>
      <c r="ASL1628" s="1"/>
      <c r="ASM1628" s="1"/>
      <c r="ASN1628" s="1"/>
      <c r="ASO1628" s="1"/>
      <c r="ASP1628" s="1"/>
      <c r="ASQ1628" s="1"/>
      <c r="ASR1628" s="1"/>
      <c r="ASS1628" s="1"/>
      <c r="AST1628" s="1"/>
      <c r="ASU1628" s="1"/>
      <c r="ASV1628" s="1"/>
      <c r="ASW1628" s="1"/>
      <c r="ASX1628" s="1"/>
      <c r="ASY1628" s="1"/>
      <c r="ASZ1628" s="1"/>
      <c r="ATA1628" s="1"/>
      <c r="ATB1628" s="1"/>
      <c r="ATC1628" s="1"/>
      <c r="ATD1628" s="1"/>
      <c r="ATE1628" s="1"/>
      <c r="ATF1628" s="1"/>
      <c r="ATG1628" s="1"/>
      <c r="ATH1628" s="1"/>
      <c r="ATI1628" s="1"/>
      <c r="ATJ1628" s="1"/>
      <c r="ATK1628" s="1"/>
      <c r="ATL1628" s="1"/>
      <c r="ATM1628" s="1"/>
      <c r="ATN1628" s="1"/>
      <c r="ATO1628" s="1"/>
      <c r="ATP1628" s="1"/>
      <c r="ATQ1628" s="1"/>
      <c r="ATR1628" s="1"/>
      <c r="ATS1628" s="1"/>
      <c r="ATT1628" s="1"/>
      <c r="ATU1628" s="1"/>
      <c r="ATV1628" s="1"/>
      <c r="ATW1628" s="1"/>
      <c r="ATX1628" s="1"/>
      <c r="ATY1628" s="1"/>
      <c r="ATZ1628" s="1"/>
      <c r="AUA1628" s="1"/>
      <c r="AUB1628" s="1"/>
      <c r="AUC1628" s="1"/>
      <c r="AUD1628" s="1"/>
      <c r="AUE1628" s="1"/>
      <c r="AUF1628" s="1"/>
      <c r="AUG1628" s="1"/>
      <c r="AUH1628" s="1"/>
      <c r="AUI1628" s="1"/>
      <c r="AUJ1628" s="1"/>
      <c r="AUK1628" s="1"/>
      <c r="AUL1628" s="1"/>
      <c r="AUM1628" s="1"/>
      <c r="AUN1628" s="1"/>
      <c r="AUO1628" s="1"/>
      <c r="AUP1628" s="1"/>
      <c r="AUQ1628" s="1"/>
      <c r="AUR1628" s="1"/>
      <c r="AUS1628" s="1"/>
      <c r="AUT1628" s="1"/>
      <c r="AUU1628" s="1"/>
      <c r="AUV1628" s="1"/>
      <c r="AUW1628" s="1"/>
      <c r="AUX1628" s="1"/>
      <c r="AUY1628" s="1"/>
      <c r="AUZ1628" s="1"/>
      <c r="AVA1628" s="1"/>
      <c r="AVB1628" s="1"/>
      <c r="AVC1628" s="1"/>
      <c r="AVD1628" s="1"/>
      <c r="AVE1628" s="1"/>
      <c r="AVF1628" s="1"/>
      <c r="AVG1628" s="1"/>
      <c r="AVH1628" s="1"/>
      <c r="AVI1628" s="1"/>
      <c r="AVJ1628" s="1"/>
      <c r="AVK1628" s="1"/>
      <c r="AVL1628" s="1"/>
      <c r="AVM1628" s="1"/>
      <c r="AVN1628" s="1"/>
      <c r="AVO1628" s="1"/>
      <c r="AVP1628" s="1"/>
      <c r="AVQ1628" s="1"/>
      <c r="AVR1628" s="1"/>
      <c r="AVS1628" s="1"/>
      <c r="AVT1628" s="1"/>
      <c r="AVU1628" s="1"/>
      <c r="AVV1628" s="1"/>
      <c r="AVW1628" s="1"/>
      <c r="AVX1628" s="1"/>
      <c r="AVY1628" s="1"/>
      <c r="AVZ1628" s="1"/>
      <c r="AWA1628" s="1"/>
      <c r="AWB1628" s="1"/>
      <c r="AWC1628" s="1"/>
      <c r="AWD1628" s="1"/>
      <c r="AWE1628" s="1"/>
      <c r="AWF1628" s="1"/>
      <c r="AWG1628" s="1"/>
      <c r="AWH1628" s="1"/>
      <c r="AWI1628" s="1"/>
      <c r="AWJ1628" s="1"/>
      <c r="AWK1628" s="1"/>
      <c r="AWL1628" s="1"/>
      <c r="AWM1628" s="1"/>
      <c r="AWN1628" s="1"/>
      <c r="AWO1628" s="1"/>
      <c r="AWP1628" s="1"/>
      <c r="AWQ1628" s="1"/>
      <c r="AWR1628" s="1"/>
      <c r="AWS1628" s="1"/>
      <c r="AWT1628" s="1"/>
      <c r="AWU1628" s="1"/>
      <c r="AWV1628" s="1"/>
      <c r="AWW1628" s="1"/>
      <c r="AWX1628" s="1"/>
      <c r="AWY1628" s="1"/>
      <c r="AWZ1628" s="1"/>
      <c r="AXA1628" s="1"/>
      <c r="AXB1628" s="1"/>
      <c r="AXC1628" s="1"/>
      <c r="AXD1628" s="1"/>
      <c r="AXE1628" s="1"/>
      <c r="AXF1628" s="1"/>
      <c r="AXG1628" s="1"/>
      <c r="AXH1628" s="1"/>
      <c r="AXI1628" s="1"/>
      <c r="AXJ1628" s="1"/>
      <c r="AXK1628" s="1"/>
      <c r="AXL1628" s="1"/>
      <c r="AXM1628" s="1"/>
      <c r="AXN1628" s="1"/>
      <c r="AXO1628" s="1"/>
      <c r="AXP1628" s="1"/>
      <c r="AXQ1628" s="1"/>
      <c r="AXR1628" s="1"/>
      <c r="AXS1628" s="1"/>
      <c r="AXT1628" s="1"/>
      <c r="AXU1628" s="1"/>
      <c r="AXV1628" s="1"/>
      <c r="AXW1628" s="1"/>
      <c r="AXX1628" s="1"/>
      <c r="AXY1628" s="1"/>
      <c r="AXZ1628" s="1"/>
      <c r="AYA1628" s="1"/>
      <c r="AYB1628" s="1"/>
      <c r="AYC1628" s="1"/>
      <c r="AYD1628" s="1"/>
      <c r="AYE1628" s="1"/>
      <c r="AYF1628" s="1"/>
      <c r="AYG1628" s="1"/>
      <c r="AYH1628" s="1"/>
      <c r="AYI1628" s="1"/>
      <c r="AYJ1628" s="1"/>
      <c r="AYK1628" s="1"/>
      <c r="AYL1628" s="1"/>
      <c r="AYM1628" s="1"/>
      <c r="AYN1628" s="1"/>
      <c r="AYO1628" s="1"/>
      <c r="AYP1628" s="1"/>
      <c r="AYQ1628" s="1"/>
      <c r="AYR1628" s="1"/>
      <c r="AYS1628" s="1"/>
      <c r="AYT1628" s="1"/>
      <c r="AYU1628" s="1"/>
      <c r="AYV1628" s="1"/>
      <c r="AYW1628" s="1"/>
      <c r="AYX1628" s="1"/>
      <c r="AYY1628" s="1"/>
      <c r="AYZ1628" s="1"/>
      <c r="AZA1628" s="1"/>
      <c r="AZB1628" s="1"/>
      <c r="AZC1628" s="1"/>
      <c r="AZD1628" s="1"/>
      <c r="AZE1628" s="1"/>
      <c r="AZF1628" s="1"/>
      <c r="AZG1628" s="1"/>
      <c r="AZH1628" s="1"/>
      <c r="AZI1628" s="1"/>
      <c r="AZJ1628" s="1"/>
      <c r="AZK1628" s="1"/>
      <c r="AZL1628" s="1"/>
      <c r="AZM1628" s="1"/>
      <c r="AZN1628" s="1"/>
      <c r="AZO1628" s="1"/>
      <c r="AZP1628" s="1"/>
      <c r="AZQ1628" s="1"/>
      <c r="AZR1628" s="1"/>
      <c r="AZS1628" s="1"/>
      <c r="AZT1628" s="1"/>
      <c r="AZU1628" s="1"/>
      <c r="AZV1628" s="1"/>
      <c r="AZW1628" s="1"/>
      <c r="AZX1628" s="1"/>
      <c r="AZY1628" s="1"/>
      <c r="AZZ1628" s="1"/>
      <c r="BAA1628" s="1"/>
      <c r="BAB1628" s="1"/>
      <c r="BAC1628" s="1"/>
      <c r="BAD1628" s="1"/>
      <c r="BAE1628" s="1"/>
      <c r="BAF1628" s="1"/>
      <c r="BAG1628" s="1"/>
      <c r="BAH1628" s="1"/>
      <c r="BAI1628" s="1"/>
      <c r="BAJ1628" s="1"/>
      <c r="BAK1628" s="1"/>
      <c r="BAL1628" s="1"/>
      <c r="BAM1628" s="1"/>
      <c r="BAN1628" s="1"/>
      <c r="BAO1628" s="1"/>
      <c r="BAP1628" s="1"/>
      <c r="BAQ1628" s="1"/>
      <c r="BAR1628" s="1"/>
      <c r="BAS1628" s="1"/>
      <c r="BAT1628" s="1"/>
      <c r="BAU1628" s="1"/>
      <c r="BAV1628" s="1"/>
      <c r="BAW1628" s="1"/>
      <c r="BAX1628" s="1"/>
      <c r="BAY1628" s="1"/>
      <c r="BAZ1628" s="1"/>
      <c r="BBA1628" s="1"/>
      <c r="BBB1628" s="1"/>
      <c r="BBC1628" s="1"/>
      <c r="BBD1628" s="1"/>
      <c r="BBE1628" s="1"/>
      <c r="BBF1628" s="1"/>
      <c r="BBG1628" s="1"/>
      <c r="BBH1628" s="1"/>
      <c r="BBI1628" s="1"/>
      <c r="BBJ1628" s="1"/>
      <c r="BBK1628" s="1"/>
      <c r="BBL1628" s="1"/>
      <c r="BBM1628" s="1"/>
      <c r="BBN1628" s="1"/>
      <c r="BBO1628" s="1"/>
      <c r="BBP1628" s="1"/>
      <c r="BBQ1628" s="1"/>
      <c r="BBR1628" s="1"/>
      <c r="BBS1628" s="1"/>
      <c r="BBT1628" s="1"/>
      <c r="BBU1628" s="1"/>
      <c r="BBV1628" s="1"/>
      <c r="BBW1628" s="1"/>
      <c r="BBX1628" s="1"/>
      <c r="BBY1628" s="1"/>
      <c r="BBZ1628" s="1"/>
      <c r="BCA1628" s="1"/>
      <c r="BCB1628" s="1"/>
      <c r="BCC1628" s="1"/>
      <c r="BCD1628" s="1"/>
      <c r="BCE1628" s="1"/>
      <c r="BCF1628" s="1"/>
      <c r="BCG1628" s="1"/>
      <c r="BCH1628" s="1"/>
      <c r="BCI1628" s="1"/>
      <c r="BCJ1628" s="1"/>
      <c r="BCK1628" s="1"/>
      <c r="BCL1628" s="1"/>
      <c r="BCM1628" s="1"/>
      <c r="BCN1628" s="1"/>
      <c r="BCO1628" s="1"/>
      <c r="BCP1628" s="1"/>
      <c r="BCQ1628" s="1"/>
      <c r="BCR1628" s="1"/>
      <c r="BCS1628" s="1"/>
      <c r="BCT1628" s="1"/>
      <c r="BCU1628" s="1"/>
      <c r="BCV1628" s="1"/>
      <c r="BCW1628" s="1"/>
      <c r="BCX1628" s="1"/>
      <c r="BCY1628" s="1"/>
      <c r="BCZ1628" s="1"/>
      <c r="BDA1628" s="1"/>
      <c r="BDB1628" s="1"/>
      <c r="BDC1628" s="1"/>
      <c r="BDD1628" s="1"/>
      <c r="BDE1628" s="1"/>
      <c r="BDF1628" s="1"/>
      <c r="BDG1628" s="1"/>
      <c r="BDH1628" s="1"/>
      <c r="BDI1628" s="1"/>
      <c r="BDJ1628" s="1"/>
      <c r="BDK1628" s="1"/>
      <c r="BDL1628" s="1"/>
      <c r="BDM1628" s="1"/>
      <c r="BDN1628" s="1"/>
      <c r="BDO1628" s="1"/>
      <c r="BDP1628" s="1"/>
      <c r="BDQ1628" s="1"/>
      <c r="BDR1628" s="1"/>
      <c r="BDS1628" s="1"/>
      <c r="BDT1628" s="1"/>
      <c r="BDU1628" s="1"/>
      <c r="BDV1628" s="1"/>
      <c r="BDW1628" s="1"/>
      <c r="BDX1628" s="1"/>
      <c r="BDY1628" s="1"/>
      <c r="BDZ1628" s="1"/>
      <c r="BEA1628" s="1"/>
      <c r="BEB1628" s="1"/>
      <c r="BEC1628" s="1"/>
      <c r="BED1628" s="1"/>
      <c r="BEE1628" s="1"/>
      <c r="BEF1628" s="1"/>
      <c r="BEG1628" s="1"/>
      <c r="BEH1628" s="1"/>
      <c r="BEI1628" s="1"/>
      <c r="BEJ1628" s="1"/>
      <c r="BEK1628" s="1"/>
      <c r="BEL1628" s="1"/>
      <c r="BEM1628" s="1"/>
      <c r="BEN1628" s="1"/>
      <c r="BEO1628" s="1"/>
      <c r="BEP1628" s="1"/>
      <c r="BEQ1628" s="1"/>
      <c r="BER1628" s="1"/>
      <c r="BES1628" s="1"/>
      <c r="BET1628" s="1"/>
      <c r="BEU1628" s="1"/>
      <c r="BEV1628" s="1"/>
      <c r="BEW1628" s="1"/>
      <c r="BEX1628" s="1"/>
      <c r="BEY1628" s="1"/>
      <c r="BEZ1628" s="1"/>
      <c r="BFA1628" s="1"/>
      <c r="BFB1628" s="1"/>
      <c r="BFC1628" s="1"/>
      <c r="BFD1628" s="1"/>
      <c r="BFE1628" s="1"/>
      <c r="BFF1628" s="1"/>
      <c r="BFG1628" s="1"/>
      <c r="BFH1628" s="1"/>
      <c r="BFI1628" s="1"/>
      <c r="BFJ1628" s="1"/>
      <c r="BFK1628" s="1"/>
      <c r="BFL1628" s="1"/>
      <c r="BFM1628" s="1"/>
      <c r="BFN1628" s="1"/>
      <c r="BFO1628" s="1"/>
      <c r="BFP1628" s="1"/>
      <c r="BFQ1628" s="1"/>
      <c r="BFR1628" s="1"/>
      <c r="BFS1628" s="1"/>
      <c r="BFT1628" s="1"/>
      <c r="BFU1628" s="1"/>
      <c r="BFV1628" s="1"/>
      <c r="BFW1628" s="1"/>
      <c r="BFX1628" s="1"/>
      <c r="BFY1628" s="1"/>
      <c r="BFZ1628" s="1"/>
      <c r="BGA1628" s="1"/>
      <c r="BGB1628" s="1"/>
      <c r="BGC1628" s="1"/>
      <c r="BGD1628" s="1"/>
      <c r="BGE1628" s="1"/>
      <c r="BGF1628" s="1"/>
      <c r="BGG1628" s="1"/>
      <c r="BGH1628" s="1"/>
      <c r="BGI1628" s="1"/>
      <c r="BGJ1628" s="1"/>
      <c r="BGK1628" s="1"/>
      <c r="BGL1628" s="1"/>
      <c r="BGM1628" s="1"/>
      <c r="BGN1628" s="1"/>
      <c r="BGO1628" s="1"/>
      <c r="BGP1628" s="1"/>
      <c r="BGQ1628" s="1"/>
      <c r="BGR1628" s="1"/>
      <c r="BGS1628" s="1"/>
      <c r="BGT1628" s="1"/>
      <c r="BGU1628" s="1"/>
      <c r="BGV1628" s="1"/>
      <c r="BGW1628" s="1"/>
      <c r="BGX1628" s="1"/>
      <c r="BGY1628" s="1"/>
      <c r="BGZ1628" s="1"/>
      <c r="BHA1628" s="1"/>
      <c r="BHB1628" s="1"/>
      <c r="BHC1628" s="1"/>
      <c r="BHD1628" s="1"/>
      <c r="BHE1628" s="1"/>
      <c r="BHF1628" s="1"/>
      <c r="BHG1628" s="1"/>
      <c r="BHH1628" s="1"/>
      <c r="BHI1628" s="1"/>
      <c r="BHJ1628" s="1"/>
      <c r="BHK1628" s="1"/>
      <c r="BHL1628" s="1"/>
      <c r="BHM1628" s="1"/>
      <c r="BHN1628" s="1"/>
      <c r="BHO1628" s="1"/>
      <c r="BHP1628" s="1"/>
      <c r="BHQ1628" s="1"/>
      <c r="BHR1628" s="1"/>
      <c r="BHS1628" s="1"/>
      <c r="BHT1628" s="1"/>
      <c r="BHU1628" s="1"/>
      <c r="BHV1628" s="1"/>
      <c r="BHW1628" s="1"/>
      <c r="BHX1628" s="1"/>
      <c r="BHY1628" s="1"/>
      <c r="BHZ1628" s="1"/>
      <c r="BIA1628" s="1"/>
      <c r="BIB1628" s="1"/>
      <c r="BIC1628" s="1"/>
      <c r="BID1628" s="1"/>
      <c r="BIE1628" s="1"/>
      <c r="BIF1628" s="1"/>
      <c r="BIG1628" s="1"/>
      <c r="BIH1628" s="1"/>
      <c r="BII1628" s="1"/>
      <c r="BIJ1628" s="1"/>
      <c r="BIK1628" s="1"/>
      <c r="BIL1628" s="1"/>
      <c r="BIM1628" s="1"/>
      <c r="BIN1628" s="1"/>
      <c r="BIO1628" s="1"/>
      <c r="BIP1628" s="1"/>
      <c r="BIQ1628" s="1"/>
      <c r="BIR1628" s="1"/>
      <c r="BIS1628" s="1"/>
      <c r="BIT1628" s="1"/>
      <c r="BIU1628" s="1"/>
      <c r="BIV1628" s="1"/>
      <c r="BIW1628" s="1"/>
      <c r="BIX1628" s="1"/>
      <c r="BIY1628" s="1"/>
      <c r="BIZ1628" s="1"/>
      <c r="BJA1628" s="1"/>
      <c r="BJB1628" s="1"/>
      <c r="BJC1628" s="1"/>
      <c r="BJD1628" s="1"/>
      <c r="BJE1628" s="1"/>
      <c r="BJF1628" s="1"/>
      <c r="BJG1628" s="1"/>
      <c r="BJH1628" s="1"/>
      <c r="BJI1628" s="1"/>
      <c r="BJJ1628" s="1"/>
      <c r="BJK1628" s="1"/>
      <c r="BJL1628" s="1"/>
      <c r="BJM1628" s="1"/>
      <c r="BJN1628" s="1"/>
      <c r="BJO1628" s="1"/>
      <c r="BJP1628" s="1"/>
      <c r="BJQ1628" s="1"/>
      <c r="BJR1628" s="1"/>
      <c r="BJS1628" s="1"/>
      <c r="BJT1628" s="1"/>
      <c r="BJU1628" s="1"/>
      <c r="BJV1628" s="1"/>
      <c r="BJW1628" s="1"/>
      <c r="BJX1628" s="1"/>
      <c r="BJY1628" s="1"/>
      <c r="BJZ1628" s="1"/>
      <c r="BKA1628" s="1"/>
      <c r="BKB1628" s="1"/>
      <c r="BKC1628" s="1"/>
      <c r="BKD1628" s="1"/>
      <c r="BKE1628" s="1"/>
      <c r="BKF1628" s="1"/>
      <c r="BKG1628" s="1"/>
      <c r="BKH1628" s="1"/>
      <c r="BKI1628" s="1"/>
      <c r="BKJ1628" s="1"/>
      <c r="BKK1628" s="1"/>
      <c r="BKL1628" s="1"/>
      <c r="BKM1628" s="1"/>
      <c r="BKN1628" s="1"/>
      <c r="BKO1628" s="1"/>
      <c r="BKP1628" s="1"/>
      <c r="BKQ1628" s="1"/>
      <c r="BKR1628" s="1"/>
      <c r="BKS1628" s="1"/>
      <c r="BKT1628" s="1"/>
      <c r="BKU1628" s="1"/>
      <c r="BKV1628" s="1"/>
      <c r="BKW1628" s="1"/>
      <c r="BKX1628" s="1"/>
      <c r="BKY1628" s="1"/>
      <c r="BKZ1628" s="1"/>
      <c r="BLA1628" s="1"/>
      <c r="BLB1628" s="1"/>
      <c r="BLC1628" s="1"/>
      <c r="BLD1628" s="1"/>
      <c r="BLE1628" s="1"/>
      <c r="BLF1628" s="1"/>
      <c r="BLG1628" s="1"/>
      <c r="BLH1628" s="1"/>
      <c r="BLI1628" s="1"/>
      <c r="BLJ1628" s="1"/>
      <c r="BLK1628" s="1"/>
      <c r="BLL1628" s="1"/>
      <c r="BLM1628" s="1"/>
      <c r="BLN1628" s="1"/>
      <c r="BLO1628" s="1"/>
      <c r="BLP1628" s="1"/>
      <c r="BLQ1628" s="1"/>
      <c r="BLR1628" s="1"/>
      <c r="BLS1628" s="1"/>
      <c r="BLT1628" s="1"/>
      <c r="BLU1628" s="1"/>
      <c r="BLV1628" s="1"/>
      <c r="BLW1628" s="1"/>
      <c r="BLX1628" s="1"/>
      <c r="BLY1628" s="1"/>
      <c r="BLZ1628" s="1"/>
      <c r="BMA1628" s="1"/>
      <c r="BMB1628" s="1"/>
      <c r="BMC1628" s="1"/>
      <c r="BMD1628" s="1"/>
      <c r="BME1628" s="1"/>
      <c r="BMF1628" s="1"/>
      <c r="BMG1628" s="1"/>
      <c r="BMH1628" s="1"/>
      <c r="BMI1628" s="1"/>
      <c r="BMJ1628" s="1"/>
      <c r="BMK1628" s="1"/>
      <c r="BML1628" s="1"/>
      <c r="BMM1628" s="1"/>
      <c r="BMN1628" s="1"/>
      <c r="BMO1628" s="1"/>
      <c r="BMP1628" s="1"/>
      <c r="BMQ1628" s="1"/>
      <c r="BMR1628" s="1"/>
      <c r="BMS1628" s="1"/>
      <c r="BMT1628" s="1"/>
      <c r="BMU1628" s="1"/>
      <c r="BMV1628" s="1"/>
      <c r="BMW1628" s="1"/>
      <c r="BMX1628" s="1"/>
      <c r="BMY1628" s="1"/>
      <c r="BMZ1628" s="1"/>
      <c r="BNA1628" s="1"/>
      <c r="BNB1628" s="1"/>
      <c r="BNC1628" s="1"/>
      <c r="BND1628" s="1"/>
      <c r="BNE1628" s="1"/>
      <c r="BNF1628" s="1"/>
      <c r="BNG1628" s="1"/>
      <c r="BNH1628" s="1"/>
      <c r="BNI1628" s="1"/>
      <c r="BNJ1628" s="1"/>
      <c r="BNK1628" s="1"/>
      <c r="BNL1628" s="1"/>
      <c r="BNM1628" s="1"/>
      <c r="BNN1628" s="1"/>
      <c r="BNO1628" s="1"/>
      <c r="BNP1628" s="1"/>
      <c r="BNQ1628" s="1"/>
      <c r="BNR1628" s="1"/>
      <c r="BNS1628" s="1"/>
      <c r="BNT1628" s="1"/>
      <c r="BNU1628" s="1"/>
      <c r="BNV1628" s="1"/>
      <c r="BNW1628" s="1"/>
      <c r="BNX1628" s="1"/>
      <c r="BNY1628" s="1"/>
      <c r="BNZ1628" s="1"/>
      <c r="BOA1628" s="1"/>
      <c r="BOB1628" s="1"/>
      <c r="BOC1628" s="1"/>
      <c r="BOD1628" s="1"/>
      <c r="BOE1628" s="1"/>
      <c r="BOF1628" s="1"/>
      <c r="BOG1628" s="1"/>
      <c r="BOH1628" s="1"/>
      <c r="BOI1628" s="1"/>
      <c r="BOJ1628" s="1"/>
      <c r="BOK1628" s="1"/>
      <c r="BOL1628" s="1"/>
      <c r="BOM1628" s="1"/>
      <c r="BON1628" s="1"/>
      <c r="BOO1628" s="1"/>
      <c r="BOP1628" s="1"/>
      <c r="BOQ1628" s="1"/>
      <c r="BOR1628" s="1"/>
      <c r="BOS1628" s="1"/>
      <c r="BOT1628" s="1"/>
      <c r="BOU1628" s="1"/>
      <c r="BOV1628" s="1"/>
      <c r="BOW1628" s="1"/>
      <c r="BOX1628" s="1"/>
      <c r="BOY1628" s="1"/>
      <c r="BOZ1628" s="1"/>
      <c r="BPA1628" s="1"/>
      <c r="BPB1628" s="1"/>
      <c r="BPC1628" s="1"/>
      <c r="BPD1628" s="1"/>
      <c r="BPE1628" s="1"/>
      <c r="BPF1628" s="1"/>
      <c r="BPG1628" s="1"/>
      <c r="BPH1628" s="1"/>
      <c r="BPI1628" s="1"/>
      <c r="BPJ1628" s="1"/>
      <c r="BPK1628" s="1"/>
      <c r="BPL1628" s="1"/>
      <c r="BPM1628" s="1"/>
      <c r="BPN1628" s="1"/>
      <c r="BPO1628" s="1"/>
      <c r="BPP1628" s="1"/>
      <c r="BPQ1628" s="1"/>
      <c r="BPR1628" s="1"/>
      <c r="BPS1628" s="1"/>
      <c r="BPT1628" s="1"/>
      <c r="BPU1628" s="1"/>
      <c r="BPV1628" s="1"/>
      <c r="BPW1628" s="1"/>
      <c r="BPX1628" s="1"/>
      <c r="BPY1628" s="1"/>
      <c r="BPZ1628" s="1"/>
      <c r="BQA1628" s="1"/>
      <c r="BQB1628" s="1"/>
      <c r="BQC1628" s="1"/>
      <c r="BQD1628" s="1"/>
      <c r="BQE1628" s="1"/>
      <c r="BQF1628" s="1"/>
      <c r="BQG1628" s="1"/>
      <c r="BQH1628" s="1"/>
      <c r="BQI1628" s="1"/>
      <c r="BQJ1628" s="1"/>
      <c r="BQK1628" s="1"/>
      <c r="BQL1628" s="1"/>
      <c r="BQM1628" s="1"/>
      <c r="BQN1628" s="1"/>
      <c r="BQO1628" s="1"/>
      <c r="BQP1628" s="1"/>
      <c r="BQQ1628" s="1"/>
      <c r="BQR1628" s="1"/>
      <c r="BQS1628" s="1"/>
      <c r="BQT1628" s="1"/>
      <c r="BQU1628" s="1"/>
      <c r="BQV1628" s="1"/>
      <c r="BQW1628" s="1"/>
      <c r="BQX1628" s="1"/>
      <c r="BQY1628" s="1"/>
      <c r="BQZ1628" s="1"/>
      <c r="BRA1628" s="1"/>
      <c r="BRB1628" s="1"/>
      <c r="BRC1628" s="1"/>
      <c r="BRD1628" s="1"/>
      <c r="BRE1628" s="1"/>
      <c r="BRF1628" s="1"/>
      <c r="BRG1628" s="1"/>
      <c r="BRH1628" s="1"/>
      <c r="BRI1628" s="1"/>
      <c r="BRJ1628" s="1"/>
      <c r="BRK1628" s="1"/>
      <c r="BRL1628" s="1"/>
      <c r="BRM1628" s="1"/>
      <c r="BRN1628" s="1"/>
      <c r="BRO1628" s="1"/>
      <c r="BRP1628" s="1"/>
      <c r="BRQ1628" s="1"/>
      <c r="BRR1628" s="1"/>
      <c r="BRS1628" s="1"/>
      <c r="BRT1628" s="1"/>
      <c r="BRU1628" s="1"/>
      <c r="BRV1628" s="1"/>
      <c r="BRW1628" s="1"/>
      <c r="BRX1628" s="1"/>
      <c r="BRY1628" s="1"/>
      <c r="BRZ1628" s="1"/>
      <c r="BSA1628" s="1"/>
      <c r="BSB1628" s="1"/>
      <c r="BSC1628" s="1"/>
      <c r="BSD1628" s="1"/>
      <c r="BSE1628" s="1"/>
      <c r="BSF1628" s="1"/>
      <c r="BSG1628" s="1"/>
      <c r="BSH1628" s="1"/>
      <c r="BSI1628" s="1"/>
      <c r="BSJ1628" s="1"/>
      <c r="BSK1628" s="1"/>
      <c r="BSL1628" s="1"/>
      <c r="BSM1628" s="1"/>
      <c r="BSN1628" s="1"/>
      <c r="BSO1628" s="1"/>
      <c r="BSP1628" s="1"/>
      <c r="BSQ1628" s="1"/>
      <c r="BSR1628" s="1"/>
      <c r="BSS1628" s="1"/>
      <c r="BST1628" s="1"/>
      <c r="BSU1628" s="1"/>
      <c r="BSV1628" s="1"/>
      <c r="BSW1628" s="1"/>
      <c r="BSX1628" s="1"/>
      <c r="BSY1628" s="1"/>
      <c r="BSZ1628" s="1"/>
      <c r="BTA1628" s="1"/>
      <c r="BTB1628" s="1"/>
      <c r="BTC1628" s="1"/>
      <c r="BTD1628" s="1"/>
      <c r="BTE1628" s="1"/>
      <c r="BTF1628" s="1"/>
      <c r="BTG1628" s="1"/>
      <c r="BTH1628" s="1"/>
      <c r="BTI1628" s="1"/>
      <c r="BTJ1628" s="1"/>
      <c r="BTK1628" s="1"/>
      <c r="BTL1628" s="1"/>
      <c r="BTM1628" s="1"/>
      <c r="BTN1628" s="1"/>
      <c r="BTO1628" s="1"/>
      <c r="BTP1628" s="1"/>
      <c r="BTQ1628" s="1"/>
      <c r="BTR1628" s="1"/>
      <c r="BTS1628" s="1"/>
      <c r="BTT1628" s="1"/>
      <c r="BTU1628" s="1"/>
      <c r="BTV1628" s="1"/>
      <c r="BTW1628" s="1"/>
      <c r="BTX1628" s="1"/>
      <c r="BTY1628" s="1"/>
      <c r="BTZ1628" s="1"/>
      <c r="BUA1628" s="1"/>
      <c r="BUB1628" s="1"/>
      <c r="BUC1628" s="1"/>
      <c r="BUD1628" s="1"/>
      <c r="BUE1628" s="1"/>
      <c r="BUF1628" s="1"/>
      <c r="BUG1628" s="1"/>
      <c r="BUH1628" s="1"/>
      <c r="BUI1628" s="1"/>
      <c r="BUJ1628" s="1"/>
      <c r="BUK1628" s="1"/>
      <c r="BUL1628" s="1"/>
      <c r="BUM1628" s="1"/>
      <c r="BUN1628" s="1"/>
      <c r="BUO1628" s="1"/>
      <c r="BUP1628" s="1"/>
      <c r="BUQ1628" s="1"/>
      <c r="BUR1628" s="1"/>
      <c r="BUS1628" s="1"/>
      <c r="BUT1628" s="1"/>
      <c r="BUU1628" s="1"/>
      <c r="BUV1628" s="1"/>
      <c r="BUW1628" s="1"/>
      <c r="BUX1628" s="1"/>
      <c r="BUY1628" s="1"/>
      <c r="BUZ1628" s="1"/>
      <c r="BVA1628" s="1"/>
      <c r="BVB1628" s="1"/>
      <c r="BVC1628" s="1"/>
      <c r="BVD1628" s="1"/>
      <c r="BVE1628" s="1"/>
      <c r="BVF1628" s="1"/>
      <c r="BVG1628" s="1"/>
      <c r="BVH1628" s="1"/>
      <c r="BVI1628" s="1"/>
      <c r="BVJ1628" s="1"/>
      <c r="BVK1628" s="1"/>
      <c r="BVL1628" s="1"/>
      <c r="BVM1628" s="1"/>
      <c r="BVN1628" s="1"/>
      <c r="BVO1628" s="1"/>
      <c r="BVP1628" s="1"/>
      <c r="BVQ1628" s="1"/>
      <c r="BVR1628" s="1"/>
      <c r="BVS1628" s="1"/>
      <c r="BVT1628" s="1"/>
      <c r="BVU1628" s="1"/>
      <c r="BVV1628" s="1"/>
      <c r="BVW1628" s="1"/>
      <c r="BVX1628" s="1"/>
      <c r="BVY1628" s="1"/>
      <c r="BVZ1628" s="1"/>
      <c r="BWA1628" s="1"/>
      <c r="BWB1628" s="1"/>
      <c r="BWC1628" s="1"/>
      <c r="BWD1628" s="1"/>
      <c r="BWE1628" s="1"/>
      <c r="BWF1628" s="1"/>
      <c r="BWG1628" s="1"/>
      <c r="BWH1628" s="1"/>
      <c r="BWI1628" s="1"/>
      <c r="BWJ1628" s="1"/>
      <c r="BWK1628" s="1"/>
      <c r="BWL1628" s="1"/>
      <c r="BWM1628" s="1"/>
      <c r="BWN1628" s="1"/>
      <c r="BWO1628" s="1"/>
      <c r="BWP1628" s="1"/>
      <c r="BWQ1628" s="1"/>
      <c r="BWR1628" s="1"/>
      <c r="BWS1628" s="1"/>
      <c r="BWT1628" s="1"/>
      <c r="BWU1628" s="1"/>
      <c r="BWV1628" s="1"/>
      <c r="BWW1628" s="1"/>
      <c r="BWX1628" s="1"/>
      <c r="BWY1628" s="1"/>
      <c r="BWZ1628" s="1"/>
      <c r="BXA1628" s="1"/>
      <c r="BXB1628" s="1"/>
      <c r="BXC1628" s="1"/>
      <c r="BXD1628" s="1"/>
      <c r="BXE1628" s="1"/>
      <c r="BXF1628" s="1"/>
      <c r="BXG1628" s="1"/>
      <c r="BXH1628" s="1"/>
      <c r="BXI1628" s="1"/>
      <c r="BXJ1628" s="1"/>
      <c r="BXK1628" s="1"/>
      <c r="BXL1628" s="1"/>
      <c r="BXM1628" s="1"/>
      <c r="BXN1628" s="1"/>
      <c r="BXO1628" s="1"/>
      <c r="BXP1628" s="1"/>
      <c r="BXQ1628" s="1"/>
      <c r="BXR1628" s="1"/>
      <c r="BXS1628" s="1"/>
      <c r="BXT1628" s="1"/>
      <c r="BXU1628" s="1"/>
      <c r="BXV1628" s="1"/>
      <c r="BXW1628" s="1"/>
      <c r="BXX1628" s="1"/>
      <c r="BXY1628" s="1"/>
      <c r="BXZ1628" s="1"/>
      <c r="BYA1628" s="1"/>
      <c r="BYB1628" s="1"/>
      <c r="BYC1628" s="1"/>
      <c r="BYD1628" s="1"/>
      <c r="BYE1628" s="1"/>
      <c r="BYF1628" s="1"/>
      <c r="BYG1628" s="1"/>
      <c r="BYH1628" s="1"/>
      <c r="BYI1628" s="1"/>
      <c r="BYJ1628" s="1"/>
      <c r="BYK1628" s="1"/>
      <c r="BYL1628" s="1"/>
      <c r="BYM1628" s="1"/>
      <c r="BYN1628" s="1"/>
      <c r="BYO1628" s="1"/>
      <c r="BYP1628" s="1"/>
      <c r="BYQ1628" s="1"/>
      <c r="BYR1628" s="1"/>
      <c r="BYS1628" s="1"/>
      <c r="BYT1628" s="1"/>
      <c r="BYU1628" s="1"/>
      <c r="BYV1628" s="1"/>
      <c r="BYW1628" s="1"/>
      <c r="BYX1628" s="1"/>
      <c r="BYY1628" s="1"/>
      <c r="BYZ1628" s="1"/>
      <c r="BZA1628" s="1"/>
      <c r="BZB1628" s="1"/>
      <c r="BZC1628" s="1"/>
      <c r="BZD1628" s="1"/>
      <c r="BZE1628" s="1"/>
      <c r="BZF1628" s="1"/>
      <c r="BZG1628" s="1"/>
      <c r="BZH1628" s="1"/>
      <c r="BZI1628" s="1"/>
      <c r="BZJ1628" s="1"/>
      <c r="BZK1628" s="1"/>
      <c r="BZL1628" s="1"/>
      <c r="BZM1628" s="1"/>
      <c r="BZN1628" s="1"/>
      <c r="BZO1628" s="1"/>
      <c r="BZP1628" s="1"/>
      <c r="BZQ1628" s="1"/>
      <c r="BZR1628" s="1"/>
      <c r="BZS1628" s="1"/>
      <c r="BZT1628" s="1"/>
      <c r="BZU1628" s="1"/>
      <c r="BZV1628" s="1"/>
      <c r="BZW1628" s="1"/>
      <c r="BZX1628" s="1"/>
      <c r="BZY1628" s="1"/>
      <c r="BZZ1628" s="1"/>
      <c r="CAA1628" s="1"/>
      <c r="CAB1628" s="1"/>
      <c r="CAC1628" s="1"/>
      <c r="CAD1628" s="1"/>
      <c r="CAE1628" s="1"/>
      <c r="CAF1628" s="1"/>
      <c r="CAG1628" s="1"/>
      <c r="CAH1628" s="1"/>
      <c r="CAI1628" s="1"/>
      <c r="CAJ1628" s="1"/>
      <c r="CAK1628" s="1"/>
      <c r="CAL1628" s="1"/>
      <c r="CAM1628" s="1"/>
      <c r="CAN1628" s="1"/>
      <c r="CAO1628" s="1"/>
      <c r="CAP1628" s="1"/>
      <c r="CAQ1628" s="1"/>
      <c r="CAR1628" s="1"/>
      <c r="CAS1628" s="1"/>
      <c r="CAT1628" s="1"/>
      <c r="CAU1628" s="1"/>
      <c r="CAV1628" s="1"/>
      <c r="CAW1628" s="1"/>
      <c r="CAX1628" s="1"/>
      <c r="CAY1628" s="1"/>
      <c r="CAZ1628" s="1"/>
      <c r="CBA1628" s="1"/>
      <c r="CBB1628" s="1"/>
      <c r="CBC1628" s="1"/>
      <c r="CBD1628" s="1"/>
      <c r="CBE1628" s="1"/>
      <c r="CBF1628" s="1"/>
      <c r="CBG1628" s="1"/>
      <c r="CBH1628" s="1"/>
      <c r="CBI1628" s="1"/>
      <c r="CBJ1628" s="1"/>
      <c r="CBK1628" s="1"/>
      <c r="CBL1628" s="1"/>
      <c r="CBM1628" s="1"/>
      <c r="CBN1628" s="1"/>
      <c r="CBO1628" s="1"/>
      <c r="CBP1628" s="1"/>
      <c r="CBQ1628" s="1"/>
      <c r="CBR1628" s="1"/>
      <c r="CBS1628" s="1"/>
      <c r="CBT1628" s="1"/>
      <c r="CBU1628" s="1"/>
      <c r="CBV1628" s="1"/>
      <c r="CBW1628" s="1"/>
      <c r="CBX1628" s="1"/>
      <c r="CBY1628" s="1"/>
      <c r="CBZ1628" s="1"/>
      <c r="CCA1628" s="1"/>
      <c r="CCB1628" s="1"/>
      <c r="CCC1628" s="1"/>
      <c r="CCD1628" s="1"/>
      <c r="CCE1628" s="1"/>
      <c r="CCF1628" s="1"/>
      <c r="CCG1628" s="1"/>
      <c r="CCH1628" s="1"/>
      <c r="CCI1628" s="1"/>
      <c r="CCJ1628" s="1"/>
      <c r="CCK1628" s="1"/>
      <c r="CCL1628" s="1"/>
      <c r="CCM1628" s="1"/>
      <c r="CCN1628" s="1"/>
      <c r="CCO1628" s="1"/>
      <c r="CCP1628" s="1"/>
      <c r="CCQ1628" s="1"/>
      <c r="CCR1628" s="1"/>
      <c r="CCS1628" s="1"/>
      <c r="CCT1628" s="1"/>
      <c r="CCU1628" s="1"/>
      <c r="CCV1628" s="1"/>
      <c r="CCW1628" s="1"/>
      <c r="CCX1628" s="1"/>
      <c r="CCY1628" s="1"/>
      <c r="CCZ1628" s="1"/>
      <c r="CDA1628" s="1"/>
      <c r="CDB1628" s="1"/>
      <c r="CDC1628" s="1"/>
      <c r="CDD1628" s="1"/>
      <c r="CDE1628" s="1"/>
      <c r="CDF1628" s="1"/>
      <c r="CDG1628" s="1"/>
      <c r="CDH1628" s="1"/>
      <c r="CDI1628" s="1"/>
      <c r="CDJ1628" s="1"/>
      <c r="CDK1628" s="1"/>
      <c r="CDL1628" s="1"/>
      <c r="CDM1628" s="1"/>
      <c r="CDN1628" s="1"/>
      <c r="CDO1628" s="1"/>
      <c r="CDP1628" s="1"/>
      <c r="CDQ1628" s="1"/>
      <c r="CDR1628" s="1"/>
      <c r="CDS1628" s="1"/>
      <c r="CDT1628" s="1"/>
      <c r="CDU1628" s="1"/>
      <c r="CDV1628" s="1"/>
      <c r="CDW1628" s="1"/>
      <c r="CDX1628" s="1"/>
      <c r="CDY1628" s="1"/>
      <c r="CDZ1628" s="1"/>
      <c r="CEA1628" s="1"/>
      <c r="CEB1628" s="1"/>
      <c r="CEC1628" s="1"/>
      <c r="CED1628" s="1"/>
      <c r="CEE1628" s="1"/>
      <c r="CEF1628" s="1"/>
      <c r="CEG1628" s="1"/>
      <c r="CEH1628" s="1"/>
      <c r="CEI1628" s="1"/>
      <c r="CEJ1628" s="1"/>
      <c r="CEK1628" s="1"/>
      <c r="CEL1628" s="1"/>
      <c r="CEM1628" s="1"/>
      <c r="CEN1628" s="1"/>
      <c r="CEO1628" s="1"/>
      <c r="CEP1628" s="1"/>
      <c r="CEQ1628" s="1"/>
      <c r="CER1628" s="1"/>
      <c r="CES1628" s="1"/>
      <c r="CET1628" s="1"/>
      <c r="CEU1628" s="1"/>
      <c r="CEV1628" s="1"/>
      <c r="CEW1628" s="1"/>
      <c r="CEX1628" s="1"/>
      <c r="CEY1628" s="1"/>
      <c r="CEZ1628" s="1"/>
      <c r="CFA1628" s="1"/>
      <c r="CFB1628" s="1"/>
      <c r="CFC1628" s="1"/>
      <c r="CFD1628" s="1"/>
      <c r="CFE1628" s="1"/>
      <c r="CFF1628" s="1"/>
      <c r="CFG1628" s="1"/>
      <c r="CFH1628" s="1"/>
      <c r="CFI1628" s="1"/>
      <c r="CFJ1628" s="1"/>
      <c r="CFK1628" s="1"/>
      <c r="CFL1628" s="1"/>
      <c r="CFM1628" s="1"/>
      <c r="CFN1628" s="1"/>
      <c r="CFO1628" s="1"/>
      <c r="CFP1628" s="1"/>
      <c r="CFQ1628" s="1"/>
      <c r="CFR1628" s="1"/>
      <c r="CFS1628" s="1"/>
      <c r="CFT1628" s="1"/>
      <c r="CFU1628" s="1"/>
      <c r="CFV1628" s="1"/>
      <c r="CFW1628" s="1"/>
      <c r="CFX1628" s="1"/>
      <c r="CFY1628" s="1"/>
      <c r="CFZ1628" s="1"/>
      <c r="CGA1628" s="1"/>
      <c r="CGB1628" s="1"/>
      <c r="CGC1628" s="1"/>
      <c r="CGD1628" s="1"/>
      <c r="CGE1628" s="1"/>
      <c r="CGF1628" s="1"/>
      <c r="CGG1628" s="1"/>
      <c r="CGH1628" s="1"/>
      <c r="CGI1628" s="1"/>
      <c r="CGJ1628" s="1"/>
      <c r="CGK1628" s="1"/>
      <c r="CGL1628" s="1"/>
      <c r="CGM1628" s="1"/>
      <c r="CGN1628" s="1"/>
      <c r="CGO1628" s="1"/>
      <c r="CGP1628" s="1"/>
      <c r="CGQ1628" s="1"/>
      <c r="CGR1628" s="1"/>
      <c r="CGS1628" s="1"/>
      <c r="CGT1628" s="1"/>
      <c r="CGU1628" s="1"/>
      <c r="CGV1628" s="1"/>
      <c r="CGW1628" s="1"/>
      <c r="CGX1628" s="1"/>
      <c r="CGY1628" s="1"/>
      <c r="CGZ1628" s="1"/>
      <c r="CHA1628" s="1"/>
      <c r="CHB1628" s="1"/>
      <c r="CHC1628" s="1"/>
      <c r="CHD1628" s="1"/>
      <c r="CHE1628" s="1"/>
      <c r="CHF1628" s="1"/>
      <c r="CHG1628" s="1"/>
      <c r="CHH1628" s="1"/>
      <c r="CHI1628" s="1"/>
      <c r="CHJ1628" s="1"/>
      <c r="CHK1628" s="1"/>
      <c r="CHL1628" s="1"/>
      <c r="CHM1628" s="1"/>
      <c r="CHN1628" s="1"/>
      <c r="CHO1628" s="1"/>
      <c r="CHP1628" s="1"/>
      <c r="CHQ1628" s="1"/>
      <c r="CHR1628" s="1"/>
      <c r="CHS1628" s="1"/>
      <c r="CHT1628" s="1"/>
      <c r="CHU1628" s="1"/>
      <c r="CHV1628" s="1"/>
      <c r="CHW1628" s="1"/>
      <c r="CHX1628" s="1"/>
      <c r="CHY1628" s="1"/>
      <c r="CHZ1628" s="1"/>
      <c r="CIA1628" s="1"/>
      <c r="CIB1628" s="1"/>
      <c r="CIC1628" s="1"/>
      <c r="CID1628" s="1"/>
      <c r="CIE1628" s="1"/>
      <c r="CIF1628" s="1"/>
      <c r="CIG1628" s="1"/>
      <c r="CIH1628" s="1"/>
      <c r="CII1628" s="1"/>
      <c r="CIJ1628" s="1"/>
      <c r="CIK1628" s="1"/>
      <c r="CIL1628" s="1"/>
      <c r="CIM1628" s="1"/>
      <c r="CIN1628" s="1"/>
      <c r="CIO1628" s="1"/>
      <c r="CIP1628" s="1"/>
      <c r="CIQ1628" s="1"/>
      <c r="CIR1628" s="1"/>
      <c r="CIS1628" s="1"/>
      <c r="CIT1628" s="1"/>
      <c r="CIU1628" s="1"/>
      <c r="CIV1628" s="1"/>
      <c r="CIW1628" s="1"/>
      <c r="CIX1628" s="1"/>
      <c r="CIY1628" s="1"/>
      <c r="CIZ1628" s="1"/>
      <c r="CJA1628" s="1"/>
      <c r="CJB1628" s="1"/>
      <c r="CJC1628" s="1"/>
      <c r="CJD1628" s="1"/>
      <c r="CJE1628" s="1"/>
      <c r="CJF1628" s="1"/>
      <c r="CJG1628" s="1"/>
      <c r="CJH1628" s="1"/>
      <c r="CJI1628" s="1"/>
      <c r="CJJ1628" s="1"/>
      <c r="CJK1628" s="1"/>
      <c r="CJL1628" s="1"/>
      <c r="CJM1628" s="1"/>
      <c r="CJN1628" s="1"/>
      <c r="CJO1628" s="1"/>
      <c r="CJP1628" s="1"/>
      <c r="CJQ1628" s="1"/>
      <c r="CJR1628" s="1"/>
      <c r="CJS1628" s="1"/>
      <c r="CJT1628" s="1"/>
      <c r="CJU1628" s="1"/>
      <c r="CJV1628" s="1"/>
      <c r="CJW1628" s="1"/>
      <c r="CJX1628" s="1"/>
      <c r="CJY1628" s="1"/>
      <c r="CJZ1628" s="1"/>
      <c r="CKA1628" s="1"/>
      <c r="CKB1628" s="1"/>
      <c r="CKC1628" s="1"/>
      <c r="CKD1628" s="1"/>
      <c r="CKE1628" s="1"/>
      <c r="CKF1628" s="1"/>
      <c r="CKG1628" s="1"/>
      <c r="CKH1628" s="1"/>
      <c r="CKI1628" s="1"/>
      <c r="CKJ1628" s="1"/>
      <c r="CKK1628" s="1"/>
      <c r="CKL1628" s="1"/>
      <c r="CKM1628" s="1"/>
      <c r="CKN1628" s="1"/>
      <c r="CKO1628" s="1"/>
      <c r="CKP1628" s="1"/>
      <c r="CKQ1628" s="1"/>
      <c r="CKR1628" s="1"/>
      <c r="CKS1628" s="1"/>
      <c r="CKT1628" s="1"/>
      <c r="CKU1628" s="1"/>
      <c r="CKV1628" s="1"/>
      <c r="CKW1628" s="1"/>
      <c r="CKX1628" s="1"/>
      <c r="CKY1628" s="1"/>
      <c r="CKZ1628" s="1"/>
      <c r="CLA1628" s="1"/>
      <c r="CLB1628" s="1"/>
      <c r="CLC1628" s="1"/>
      <c r="CLD1628" s="1"/>
      <c r="CLE1628" s="1"/>
      <c r="CLF1628" s="1"/>
      <c r="CLG1628" s="1"/>
      <c r="CLH1628" s="1"/>
      <c r="CLI1628" s="1"/>
      <c r="CLJ1628" s="1"/>
      <c r="CLK1628" s="1"/>
      <c r="CLL1628" s="1"/>
      <c r="CLM1628" s="1"/>
      <c r="CLN1628" s="1"/>
      <c r="CLO1628" s="1"/>
      <c r="CLP1628" s="1"/>
      <c r="CLQ1628" s="1"/>
      <c r="CLR1628" s="1"/>
      <c r="CLS1628" s="1"/>
      <c r="CLT1628" s="1"/>
      <c r="CLU1628" s="1"/>
      <c r="CLV1628" s="1"/>
      <c r="CLW1628" s="1"/>
      <c r="CLX1628" s="1"/>
      <c r="CLY1628" s="1"/>
      <c r="CLZ1628" s="1"/>
      <c r="CMA1628" s="1"/>
      <c r="CMB1628" s="1"/>
      <c r="CMC1628" s="1"/>
      <c r="CMD1628" s="1"/>
      <c r="CME1628" s="1"/>
      <c r="CMF1628" s="1"/>
      <c r="CMG1628" s="1"/>
      <c r="CMH1628" s="1"/>
      <c r="CMI1628" s="1"/>
      <c r="CMJ1628" s="1"/>
      <c r="CMK1628" s="1"/>
      <c r="CML1628" s="1"/>
      <c r="CMM1628" s="1"/>
      <c r="CMN1628" s="1"/>
      <c r="CMO1628" s="1"/>
      <c r="CMP1628" s="1"/>
      <c r="CMQ1628" s="1"/>
      <c r="CMR1628" s="1"/>
      <c r="CMS1628" s="1"/>
      <c r="CMT1628" s="1"/>
      <c r="CMU1628" s="1"/>
      <c r="CMV1628" s="1"/>
      <c r="CMW1628" s="1"/>
      <c r="CMX1628" s="1"/>
      <c r="CMY1628" s="1"/>
      <c r="CMZ1628" s="1"/>
      <c r="CNA1628" s="1"/>
      <c r="CNB1628" s="1"/>
      <c r="CNC1628" s="1"/>
      <c r="CND1628" s="1"/>
      <c r="CNE1628" s="1"/>
      <c r="CNF1628" s="1"/>
      <c r="CNG1628" s="1"/>
      <c r="CNH1628" s="1"/>
      <c r="CNI1628" s="1"/>
      <c r="CNJ1628" s="1"/>
      <c r="CNK1628" s="1"/>
      <c r="CNL1628" s="1"/>
      <c r="CNM1628" s="1"/>
      <c r="CNN1628" s="1"/>
      <c r="CNO1628" s="1"/>
      <c r="CNP1628" s="1"/>
      <c r="CNQ1628" s="1"/>
      <c r="CNR1628" s="1"/>
      <c r="CNS1628" s="1"/>
      <c r="CNT1628" s="1"/>
      <c r="CNU1628" s="1"/>
      <c r="CNV1628" s="1"/>
      <c r="CNW1628" s="1"/>
      <c r="CNX1628" s="1"/>
      <c r="CNY1628" s="1"/>
      <c r="CNZ1628" s="1"/>
      <c r="COA1628" s="1"/>
      <c r="COB1628" s="1"/>
      <c r="COC1628" s="1"/>
      <c r="COD1628" s="1"/>
      <c r="COE1628" s="1"/>
      <c r="COF1628" s="1"/>
      <c r="COG1628" s="1"/>
      <c r="COH1628" s="1"/>
      <c r="COI1628" s="1"/>
      <c r="COJ1628" s="1"/>
      <c r="COK1628" s="1"/>
      <c r="COL1628" s="1"/>
      <c r="COM1628" s="1"/>
      <c r="CON1628" s="1"/>
      <c r="COO1628" s="1"/>
      <c r="COP1628" s="1"/>
      <c r="COQ1628" s="1"/>
      <c r="COR1628" s="1"/>
      <c r="COS1628" s="1"/>
      <c r="COT1628" s="1"/>
      <c r="COU1628" s="1"/>
      <c r="COV1628" s="1"/>
      <c r="COW1628" s="1"/>
      <c r="COX1628" s="1"/>
      <c r="COY1628" s="1"/>
      <c r="COZ1628" s="1"/>
      <c r="CPA1628" s="1"/>
      <c r="CPB1628" s="1"/>
      <c r="CPC1628" s="1"/>
      <c r="CPD1628" s="1"/>
      <c r="CPE1628" s="1"/>
      <c r="CPF1628" s="1"/>
      <c r="CPG1628" s="1"/>
      <c r="CPH1628" s="1"/>
      <c r="CPI1628" s="1"/>
      <c r="CPJ1628" s="1"/>
      <c r="CPK1628" s="1"/>
      <c r="CPL1628" s="1"/>
      <c r="CPM1628" s="1"/>
      <c r="CPN1628" s="1"/>
      <c r="CPO1628" s="1"/>
      <c r="CPP1628" s="1"/>
      <c r="CPQ1628" s="1"/>
      <c r="CPR1628" s="1"/>
      <c r="CPS1628" s="1"/>
      <c r="CPT1628" s="1"/>
      <c r="CPU1628" s="1"/>
      <c r="CPV1628" s="1"/>
      <c r="CPW1628" s="1"/>
      <c r="CPX1628" s="1"/>
      <c r="CPY1628" s="1"/>
      <c r="CPZ1628" s="1"/>
      <c r="CQA1628" s="1"/>
      <c r="CQB1628" s="1"/>
      <c r="CQC1628" s="1"/>
      <c r="CQD1628" s="1"/>
      <c r="CQE1628" s="1"/>
      <c r="CQF1628" s="1"/>
      <c r="CQG1628" s="1"/>
      <c r="CQH1628" s="1"/>
      <c r="CQI1628" s="1"/>
      <c r="CQJ1628" s="1"/>
      <c r="CQK1628" s="1"/>
      <c r="CQL1628" s="1"/>
      <c r="CQM1628" s="1"/>
      <c r="CQN1628" s="1"/>
      <c r="CQO1628" s="1"/>
      <c r="CQP1628" s="1"/>
      <c r="CQQ1628" s="1"/>
      <c r="CQR1628" s="1"/>
      <c r="CQS1628" s="1"/>
      <c r="CQT1628" s="1"/>
      <c r="CQU1628" s="1"/>
      <c r="CQV1628" s="1"/>
      <c r="CQW1628" s="1"/>
      <c r="CQX1628" s="1"/>
      <c r="CQY1628" s="1"/>
      <c r="CQZ1628" s="1"/>
      <c r="CRA1628" s="1"/>
      <c r="CRB1628" s="1"/>
      <c r="CRC1628" s="1"/>
      <c r="CRD1628" s="1"/>
      <c r="CRE1628" s="1"/>
      <c r="CRF1628" s="1"/>
      <c r="CRG1628" s="1"/>
      <c r="CRH1628" s="1"/>
      <c r="CRI1628" s="1"/>
      <c r="CRJ1628" s="1"/>
      <c r="CRK1628" s="1"/>
      <c r="CRL1628" s="1"/>
      <c r="CRM1628" s="1"/>
      <c r="CRN1628" s="1"/>
      <c r="CRO1628" s="1"/>
      <c r="CRP1628" s="1"/>
      <c r="CRQ1628" s="1"/>
      <c r="CRR1628" s="1"/>
      <c r="CRS1628" s="1"/>
      <c r="CRT1628" s="1"/>
      <c r="CRU1628" s="1"/>
      <c r="CRV1628" s="1"/>
      <c r="CRW1628" s="1"/>
      <c r="CRX1628" s="1"/>
      <c r="CRY1628" s="1"/>
      <c r="CRZ1628" s="1"/>
      <c r="CSA1628" s="1"/>
      <c r="CSB1628" s="1"/>
      <c r="CSC1628" s="1"/>
      <c r="CSD1628" s="1"/>
      <c r="CSE1628" s="1"/>
      <c r="CSF1628" s="1"/>
      <c r="CSG1628" s="1"/>
      <c r="CSH1628" s="1"/>
      <c r="CSI1628" s="1"/>
      <c r="CSJ1628" s="1"/>
      <c r="CSK1628" s="1"/>
      <c r="CSL1628" s="1"/>
      <c r="CSM1628" s="1"/>
      <c r="CSN1628" s="1"/>
      <c r="CSO1628" s="1"/>
      <c r="CSP1628" s="1"/>
      <c r="CSQ1628" s="1"/>
      <c r="CSR1628" s="1"/>
      <c r="CSS1628" s="1"/>
      <c r="CST1628" s="1"/>
      <c r="CSU1628" s="1"/>
      <c r="CSV1628" s="1"/>
      <c r="CSW1628" s="1"/>
      <c r="CSX1628" s="1"/>
      <c r="CSY1628" s="1"/>
      <c r="CSZ1628" s="1"/>
      <c r="CTA1628" s="1"/>
      <c r="CTB1628" s="1"/>
      <c r="CTC1628" s="1"/>
      <c r="CTD1628" s="1"/>
      <c r="CTE1628" s="1"/>
      <c r="CTF1628" s="1"/>
      <c r="CTG1628" s="1"/>
      <c r="CTH1628" s="1"/>
      <c r="CTI1628" s="1"/>
      <c r="CTJ1628" s="1"/>
      <c r="CTK1628" s="1"/>
      <c r="CTL1628" s="1"/>
      <c r="CTM1628" s="1"/>
      <c r="CTN1628" s="1"/>
      <c r="CTO1628" s="1"/>
      <c r="CTP1628" s="1"/>
      <c r="CTQ1628" s="1"/>
      <c r="CTR1628" s="1"/>
      <c r="CTS1628" s="1"/>
      <c r="CTT1628" s="1"/>
      <c r="CTU1628" s="1"/>
      <c r="CTV1628" s="1"/>
      <c r="CTW1628" s="1"/>
      <c r="CTX1628" s="1"/>
      <c r="CTY1628" s="1"/>
      <c r="CTZ1628" s="1"/>
      <c r="CUA1628" s="1"/>
      <c r="CUB1628" s="1"/>
      <c r="CUC1628" s="1"/>
      <c r="CUD1628" s="1"/>
      <c r="CUE1628" s="1"/>
      <c r="CUF1628" s="1"/>
      <c r="CUG1628" s="1"/>
      <c r="CUH1628" s="1"/>
      <c r="CUI1628" s="1"/>
      <c r="CUJ1628" s="1"/>
      <c r="CUK1628" s="1"/>
      <c r="CUL1628" s="1"/>
      <c r="CUM1628" s="1"/>
      <c r="CUN1628" s="1"/>
      <c r="CUO1628" s="1"/>
      <c r="CUP1628" s="1"/>
      <c r="CUQ1628" s="1"/>
      <c r="CUR1628" s="1"/>
      <c r="CUS1628" s="1"/>
      <c r="CUT1628" s="1"/>
      <c r="CUU1628" s="1"/>
      <c r="CUV1628" s="1"/>
      <c r="CUW1628" s="1"/>
      <c r="CUX1628" s="1"/>
      <c r="CUY1628" s="1"/>
      <c r="CUZ1628" s="1"/>
      <c r="CVA1628" s="1"/>
      <c r="CVB1628" s="1"/>
      <c r="CVC1628" s="1"/>
      <c r="CVD1628" s="1"/>
      <c r="CVE1628" s="1"/>
      <c r="CVF1628" s="1"/>
      <c r="CVG1628" s="1"/>
      <c r="CVH1628" s="1"/>
      <c r="CVI1628" s="1"/>
      <c r="CVJ1628" s="1"/>
      <c r="CVK1628" s="1"/>
      <c r="CVL1628" s="1"/>
      <c r="CVM1628" s="1"/>
      <c r="CVN1628" s="1"/>
      <c r="CVO1628" s="1"/>
      <c r="CVP1628" s="1"/>
      <c r="CVQ1628" s="1"/>
      <c r="CVR1628" s="1"/>
      <c r="CVS1628" s="1"/>
      <c r="CVT1628" s="1"/>
      <c r="CVU1628" s="1"/>
      <c r="CVV1628" s="1"/>
      <c r="CVW1628" s="1"/>
      <c r="CVX1628" s="1"/>
      <c r="CVY1628" s="1"/>
      <c r="CVZ1628" s="1"/>
      <c r="CWA1628" s="1"/>
      <c r="CWB1628" s="1"/>
      <c r="CWC1628" s="1"/>
      <c r="CWD1628" s="1"/>
      <c r="CWE1628" s="1"/>
      <c r="CWF1628" s="1"/>
      <c r="CWG1628" s="1"/>
      <c r="CWH1628" s="1"/>
      <c r="CWI1628" s="1"/>
      <c r="CWJ1628" s="1"/>
      <c r="CWK1628" s="1"/>
      <c r="CWL1628" s="1"/>
      <c r="CWM1628" s="1"/>
      <c r="CWN1628" s="1"/>
      <c r="CWO1628" s="1"/>
      <c r="CWP1628" s="1"/>
      <c r="CWQ1628" s="1"/>
      <c r="CWR1628" s="1"/>
      <c r="CWS1628" s="1"/>
      <c r="CWT1628" s="1"/>
      <c r="CWU1628" s="1"/>
      <c r="CWV1628" s="1"/>
      <c r="CWW1628" s="1"/>
      <c r="CWX1628" s="1"/>
      <c r="CWY1628" s="1"/>
      <c r="CWZ1628" s="1"/>
      <c r="CXA1628" s="1"/>
      <c r="CXB1628" s="1"/>
      <c r="CXC1628" s="1"/>
      <c r="CXD1628" s="1"/>
      <c r="CXE1628" s="1"/>
      <c r="CXF1628" s="1"/>
      <c r="CXG1628" s="1"/>
      <c r="CXH1628" s="1"/>
      <c r="CXI1628" s="1"/>
      <c r="CXJ1628" s="1"/>
      <c r="CXK1628" s="1"/>
      <c r="CXL1628" s="1"/>
      <c r="CXM1628" s="1"/>
      <c r="CXN1628" s="1"/>
      <c r="CXO1628" s="1"/>
      <c r="CXP1628" s="1"/>
      <c r="CXQ1628" s="1"/>
      <c r="CXR1628" s="1"/>
      <c r="CXS1628" s="1"/>
      <c r="CXT1628" s="1"/>
      <c r="CXU1628" s="1"/>
      <c r="CXV1628" s="1"/>
      <c r="CXW1628" s="1"/>
      <c r="CXX1628" s="1"/>
      <c r="CXY1628" s="1"/>
      <c r="CXZ1628" s="1"/>
      <c r="CYA1628" s="1"/>
      <c r="CYB1628" s="1"/>
      <c r="CYC1628" s="1"/>
      <c r="CYD1628" s="1"/>
      <c r="CYE1628" s="1"/>
      <c r="CYF1628" s="1"/>
      <c r="CYG1628" s="1"/>
      <c r="CYH1628" s="1"/>
      <c r="CYI1628" s="1"/>
      <c r="CYJ1628" s="1"/>
      <c r="CYK1628" s="1"/>
      <c r="CYL1628" s="1"/>
      <c r="CYM1628" s="1"/>
      <c r="CYN1628" s="1"/>
      <c r="CYO1628" s="1"/>
      <c r="CYP1628" s="1"/>
      <c r="CYQ1628" s="1"/>
      <c r="CYR1628" s="1"/>
      <c r="CYS1628" s="1"/>
      <c r="CYT1628" s="1"/>
      <c r="CYU1628" s="1"/>
      <c r="CYV1628" s="1"/>
      <c r="CYW1628" s="1"/>
      <c r="CYX1628" s="1"/>
      <c r="CYY1628" s="1"/>
      <c r="CYZ1628" s="1"/>
      <c r="CZA1628" s="1"/>
      <c r="CZB1628" s="1"/>
      <c r="CZC1628" s="1"/>
      <c r="CZD1628" s="1"/>
      <c r="CZE1628" s="1"/>
      <c r="CZF1628" s="1"/>
      <c r="CZG1628" s="1"/>
      <c r="CZH1628" s="1"/>
      <c r="CZI1628" s="1"/>
      <c r="CZJ1628" s="1"/>
      <c r="CZK1628" s="1"/>
      <c r="CZL1628" s="1"/>
      <c r="CZM1628" s="1"/>
      <c r="CZN1628" s="1"/>
      <c r="CZO1628" s="1"/>
      <c r="CZP1628" s="1"/>
      <c r="CZQ1628" s="1"/>
      <c r="CZR1628" s="1"/>
      <c r="CZS1628" s="1"/>
      <c r="CZT1628" s="1"/>
      <c r="CZU1628" s="1"/>
      <c r="CZV1628" s="1"/>
      <c r="CZW1628" s="1"/>
      <c r="CZX1628" s="1"/>
      <c r="CZY1628" s="1"/>
      <c r="CZZ1628" s="1"/>
      <c r="DAA1628" s="1"/>
      <c r="DAB1628" s="1"/>
      <c r="DAC1628" s="1"/>
      <c r="DAD1628" s="1"/>
      <c r="DAE1628" s="1"/>
      <c r="DAF1628" s="1"/>
      <c r="DAG1628" s="1"/>
      <c r="DAH1628" s="1"/>
      <c r="DAI1628" s="1"/>
      <c r="DAJ1628" s="1"/>
      <c r="DAK1628" s="1"/>
      <c r="DAL1628" s="1"/>
      <c r="DAM1628" s="1"/>
      <c r="DAN1628" s="1"/>
      <c r="DAO1628" s="1"/>
      <c r="DAP1628" s="1"/>
      <c r="DAQ1628" s="1"/>
      <c r="DAR1628" s="1"/>
      <c r="DAS1628" s="1"/>
      <c r="DAT1628" s="1"/>
      <c r="DAU1628" s="1"/>
      <c r="DAV1628" s="1"/>
      <c r="DAW1628" s="1"/>
      <c r="DAX1628" s="1"/>
      <c r="DAY1628" s="1"/>
      <c r="DAZ1628" s="1"/>
      <c r="DBA1628" s="1"/>
      <c r="DBB1628" s="1"/>
      <c r="DBC1628" s="1"/>
      <c r="DBD1628" s="1"/>
      <c r="DBE1628" s="1"/>
      <c r="DBF1628" s="1"/>
      <c r="DBG1628" s="1"/>
      <c r="DBH1628" s="1"/>
      <c r="DBI1628" s="1"/>
      <c r="DBJ1628" s="1"/>
      <c r="DBK1628" s="1"/>
      <c r="DBL1628" s="1"/>
      <c r="DBM1628" s="1"/>
      <c r="DBN1628" s="1"/>
      <c r="DBO1628" s="1"/>
      <c r="DBP1628" s="1"/>
      <c r="DBQ1628" s="1"/>
      <c r="DBR1628" s="1"/>
      <c r="DBS1628" s="1"/>
      <c r="DBT1628" s="1"/>
      <c r="DBU1628" s="1"/>
      <c r="DBV1628" s="1"/>
      <c r="DBW1628" s="1"/>
      <c r="DBX1628" s="1"/>
      <c r="DBY1628" s="1"/>
      <c r="DBZ1628" s="1"/>
      <c r="DCA1628" s="1"/>
      <c r="DCB1628" s="1"/>
      <c r="DCC1628" s="1"/>
      <c r="DCD1628" s="1"/>
      <c r="DCE1628" s="1"/>
      <c r="DCF1628" s="1"/>
      <c r="DCG1628" s="1"/>
      <c r="DCH1628" s="1"/>
      <c r="DCI1628" s="1"/>
      <c r="DCJ1628" s="1"/>
      <c r="DCK1628" s="1"/>
      <c r="DCL1628" s="1"/>
      <c r="DCM1628" s="1"/>
      <c r="DCN1628" s="1"/>
      <c r="DCO1628" s="1"/>
      <c r="DCP1628" s="1"/>
      <c r="DCQ1628" s="1"/>
      <c r="DCR1628" s="1"/>
      <c r="DCS1628" s="1"/>
      <c r="DCT1628" s="1"/>
      <c r="DCU1628" s="1"/>
      <c r="DCV1628" s="1"/>
      <c r="DCW1628" s="1"/>
      <c r="DCX1628" s="1"/>
      <c r="DCY1628" s="1"/>
      <c r="DCZ1628" s="1"/>
      <c r="DDA1628" s="1"/>
      <c r="DDB1628" s="1"/>
      <c r="DDC1628" s="1"/>
      <c r="DDD1628" s="1"/>
      <c r="DDE1628" s="1"/>
      <c r="DDF1628" s="1"/>
      <c r="DDG1628" s="1"/>
      <c r="DDH1628" s="1"/>
      <c r="DDI1628" s="1"/>
      <c r="DDJ1628" s="1"/>
      <c r="DDK1628" s="1"/>
      <c r="DDL1628" s="1"/>
      <c r="DDM1628" s="1"/>
      <c r="DDN1628" s="1"/>
      <c r="DDO1628" s="1"/>
      <c r="DDP1628" s="1"/>
      <c r="DDQ1628" s="1"/>
      <c r="DDR1628" s="1"/>
      <c r="DDS1628" s="1"/>
      <c r="DDT1628" s="1"/>
      <c r="DDU1628" s="1"/>
      <c r="DDV1628" s="1"/>
      <c r="DDW1628" s="1"/>
      <c r="DDX1628" s="1"/>
      <c r="DDY1628" s="1"/>
      <c r="DDZ1628" s="1"/>
      <c r="DEA1628" s="1"/>
      <c r="DEB1628" s="1"/>
      <c r="DEC1628" s="1"/>
      <c r="DED1628" s="1"/>
      <c r="DEE1628" s="1"/>
      <c r="DEF1628" s="1"/>
      <c r="DEG1628" s="1"/>
      <c r="DEH1628" s="1"/>
      <c r="DEI1628" s="1"/>
      <c r="DEJ1628" s="1"/>
      <c r="DEK1628" s="1"/>
      <c r="DEL1628" s="1"/>
      <c r="DEM1628" s="1"/>
      <c r="DEN1628" s="1"/>
      <c r="DEO1628" s="1"/>
      <c r="DEP1628" s="1"/>
      <c r="DEQ1628" s="1"/>
      <c r="DER1628" s="1"/>
      <c r="DES1628" s="1"/>
      <c r="DET1628" s="1"/>
      <c r="DEU1628" s="1"/>
      <c r="DEV1628" s="1"/>
      <c r="DEW1628" s="1"/>
      <c r="DEX1628" s="1"/>
      <c r="DEY1628" s="1"/>
      <c r="DEZ1628" s="1"/>
      <c r="DFA1628" s="1"/>
      <c r="DFB1628" s="1"/>
      <c r="DFC1628" s="1"/>
      <c r="DFD1628" s="1"/>
      <c r="DFE1628" s="1"/>
      <c r="DFF1628" s="1"/>
      <c r="DFG1628" s="1"/>
      <c r="DFH1628" s="1"/>
      <c r="DFI1628" s="1"/>
      <c r="DFJ1628" s="1"/>
      <c r="DFK1628" s="1"/>
      <c r="DFL1628" s="1"/>
      <c r="DFM1628" s="1"/>
      <c r="DFN1628" s="1"/>
      <c r="DFO1628" s="1"/>
      <c r="DFP1628" s="1"/>
      <c r="DFQ1628" s="1"/>
      <c r="DFR1628" s="1"/>
      <c r="DFS1628" s="1"/>
      <c r="DFT1628" s="1"/>
      <c r="DFU1628" s="1"/>
      <c r="DFV1628" s="1"/>
      <c r="DFW1628" s="1"/>
      <c r="DFX1628" s="1"/>
      <c r="DFY1628" s="1"/>
      <c r="DFZ1628" s="1"/>
      <c r="DGA1628" s="1"/>
      <c r="DGB1628" s="1"/>
      <c r="DGC1628" s="1"/>
      <c r="DGD1628" s="1"/>
      <c r="DGE1628" s="1"/>
      <c r="DGF1628" s="1"/>
      <c r="DGG1628" s="1"/>
      <c r="DGH1628" s="1"/>
      <c r="DGI1628" s="1"/>
      <c r="DGJ1628" s="1"/>
      <c r="DGK1628" s="1"/>
      <c r="DGL1628" s="1"/>
      <c r="DGM1628" s="1"/>
      <c r="DGN1628" s="1"/>
      <c r="DGO1628" s="1"/>
      <c r="DGP1628" s="1"/>
      <c r="DGQ1628" s="1"/>
      <c r="DGR1628" s="1"/>
      <c r="DGS1628" s="1"/>
      <c r="DGT1628" s="1"/>
      <c r="DGU1628" s="1"/>
      <c r="DGV1628" s="1"/>
      <c r="DGW1628" s="1"/>
      <c r="DGX1628" s="1"/>
      <c r="DGY1628" s="1"/>
      <c r="DGZ1628" s="1"/>
      <c r="DHA1628" s="1"/>
      <c r="DHB1628" s="1"/>
      <c r="DHC1628" s="1"/>
      <c r="DHD1628" s="1"/>
      <c r="DHE1628" s="1"/>
      <c r="DHF1628" s="1"/>
      <c r="DHG1628" s="1"/>
      <c r="DHH1628" s="1"/>
      <c r="DHI1628" s="1"/>
      <c r="DHJ1628" s="1"/>
      <c r="DHK1628" s="1"/>
      <c r="DHL1628" s="1"/>
      <c r="DHM1628" s="1"/>
      <c r="DHN1628" s="1"/>
      <c r="DHO1628" s="1"/>
      <c r="DHP1628" s="1"/>
      <c r="DHQ1628" s="1"/>
      <c r="DHR1628" s="1"/>
      <c r="DHS1628" s="1"/>
      <c r="DHT1628" s="1"/>
      <c r="DHU1628" s="1"/>
      <c r="DHV1628" s="1"/>
      <c r="DHW1628" s="1"/>
      <c r="DHX1628" s="1"/>
      <c r="DHY1628" s="1"/>
      <c r="DHZ1628" s="1"/>
      <c r="DIA1628" s="1"/>
      <c r="DIB1628" s="1"/>
      <c r="DIC1628" s="1"/>
      <c r="DID1628" s="1"/>
      <c r="DIE1628" s="1"/>
      <c r="DIF1628" s="1"/>
      <c r="DIG1628" s="1"/>
      <c r="DIH1628" s="1"/>
      <c r="DII1628" s="1"/>
      <c r="DIJ1628" s="1"/>
      <c r="DIK1628" s="1"/>
      <c r="DIL1628" s="1"/>
      <c r="DIM1628" s="1"/>
      <c r="DIN1628" s="1"/>
      <c r="DIO1628" s="1"/>
      <c r="DIP1628" s="1"/>
      <c r="DIQ1628" s="1"/>
      <c r="DIR1628" s="1"/>
      <c r="DIS1628" s="1"/>
      <c r="DIT1628" s="1"/>
      <c r="DIU1628" s="1"/>
      <c r="DIV1628" s="1"/>
      <c r="DIW1628" s="1"/>
      <c r="DIX1628" s="1"/>
      <c r="DIY1628" s="1"/>
      <c r="DIZ1628" s="1"/>
      <c r="DJA1628" s="1"/>
      <c r="DJB1628" s="1"/>
      <c r="DJC1628" s="1"/>
      <c r="DJD1628" s="1"/>
      <c r="DJE1628" s="1"/>
      <c r="DJF1628" s="1"/>
      <c r="DJG1628" s="1"/>
      <c r="DJH1628" s="1"/>
      <c r="DJI1628" s="1"/>
      <c r="DJJ1628" s="1"/>
      <c r="DJK1628" s="1"/>
      <c r="DJL1628" s="1"/>
      <c r="DJM1628" s="1"/>
      <c r="DJN1628" s="1"/>
      <c r="DJO1628" s="1"/>
      <c r="DJP1628" s="1"/>
      <c r="DJQ1628" s="1"/>
      <c r="DJR1628" s="1"/>
      <c r="DJS1628" s="1"/>
      <c r="DJT1628" s="1"/>
      <c r="DJU1628" s="1"/>
      <c r="DJV1628" s="1"/>
      <c r="DJW1628" s="1"/>
      <c r="DJX1628" s="1"/>
      <c r="DJY1628" s="1"/>
      <c r="DJZ1628" s="1"/>
      <c r="DKA1628" s="1"/>
      <c r="DKB1628" s="1"/>
      <c r="DKC1628" s="1"/>
      <c r="DKD1628" s="1"/>
      <c r="DKE1628" s="1"/>
      <c r="DKF1628" s="1"/>
      <c r="DKG1628" s="1"/>
      <c r="DKH1628" s="1"/>
      <c r="DKI1628" s="1"/>
      <c r="DKJ1628" s="1"/>
      <c r="DKK1628" s="1"/>
      <c r="DKL1628" s="1"/>
      <c r="DKM1628" s="1"/>
      <c r="DKN1628" s="1"/>
      <c r="DKO1628" s="1"/>
      <c r="DKP1628" s="1"/>
      <c r="DKQ1628" s="1"/>
      <c r="DKR1628" s="1"/>
      <c r="DKS1628" s="1"/>
      <c r="DKT1628" s="1"/>
      <c r="DKU1628" s="1"/>
      <c r="DKV1628" s="1"/>
      <c r="DKW1628" s="1"/>
      <c r="DKX1628" s="1"/>
      <c r="DKY1628" s="1"/>
      <c r="DKZ1628" s="1"/>
      <c r="DLA1628" s="1"/>
      <c r="DLB1628" s="1"/>
      <c r="DLC1628" s="1"/>
      <c r="DLD1628" s="1"/>
      <c r="DLE1628" s="1"/>
      <c r="DLF1628" s="1"/>
      <c r="DLG1628" s="1"/>
      <c r="DLH1628" s="1"/>
      <c r="DLI1628" s="1"/>
      <c r="DLJ1628" s="1"/>
      <c r="DLK1628" s="1"/>
      <c r="DLL1628" s="1"/>
      <c r="DLM1628" s="1"/>
      <c r="DLN1628" s="1"/>
      <c r="DLO1628" s="1"/>
      <c r="DLP1628" s="1"/>
      <c r="DLQ1628" s="1"/>
      <c r="DLR1628" s="1"/>
      <c r="DLS1628" s="1"/>
      <c r="DLT1628" s="1"/>
      <c r="DLU1628" s="1"/>
      <c r="DLV1628" s="1"/>
      <c r="DLW1628" s="1"/>
      <c r="DLX1628" s="1"/>
      <c r="DLY1628" s="1"/>
      <c r="DLZ1628" s="1"/>
      <c r="DMA1628" s="1"/>
      <c r="DMB1628" s="1"/>
      <c r="DMC1628" s="1"/>
      <c r="DMD1628" s="1"/>
      <c r="DME1628" s="1"/>
      <c r="DMF1628" s="1"/>
      <c r="DMG1628" s="1"/>
      <c r="DMH1628" s="1"/>
      <c r="DMI1628" s="1"/>
      <c r="DMJ1628" s="1"/>
      <c r="DMK1628" s="1"/>
      <c r="DML1628" s="1"/>
      <c r="DMM1628" s="1"/>
      <c r="DMN1628" s="1"/>
      <c r="DMO1628" s="1"/>
      <c r="DMP1628" s="1"/>
      <c r="DMQ1628" s="1"/>
      <c r="DMR1628" s="1"/>
      <c r="DMS1628" s="1"/>
      <c r="DMT1628" s="1"/>
      <c r="DMU1628" s="1"/>
      <c r="DMV1628" s="1"/>
      <c r="DMW1628" s="1"/>
      <c r="DMX1628" s="1"/>
      <c r="DMY1628" s="1"/>
      <c r="DMZ1628" s="1"/>
      <c r="DNA1628" s="1"/>
      <c r="DNB1628" s="1"/>
      <c r="DNC1628" s="1"/>
      <c r="DND1628" s="1"/>
      <c r="DNE1628" s="1"/>
      <c r="DNF1628" s="1"/>
      <c r="DNG1628" s="1"/>
      <c r="DNH1628" s="1"/>
      <c r="DNI1628" s="1"/>
      <c r="DNJ1628" s="1"/>
      <c r="DNK1628" s="1"/>
      <c r="DNL1628" s="1"/>
      <c r="DNM1628" s="1"/>
      <c r="DNN1628" s="1"/>
      <c r="DNO1628" s="1"/>
      <c r="DNP1628" s="1"/>
      <c r="DNQ1628" s="1"/>
      <c r="DNR1628" s="1"/>
      <c r="DNS1628" s="1"/>
      <c r="DNT1628" s="1"/>
      <c r="DNU1628" s="1"/>
      <c r="DNV1628" s="1"/>
      <c r="DNW1628" s="1"/>
      <c r="DNX1628" s="1"/>
      <c r="DNY1628" s="1"/>
      <c r="DNZ1628" s="1"/>
      <c r="DOA1628" s="1"/>
      <c r="DOB1628" s="1"/>
      <c r="DOC1628" s="1"/>
      <c r="DOD1628" s="1"/>
      <c r="DOE1628" s="1"/>
      <c r="DOF1628" s="1"/>
      <c r="DOG1628" s="1"/>
      <c r="DOH1628" s="1"/>
      <c r="DOI1628" s="1"/>
      <c r="DOJ1628" s="1"/>
      <c r="DOK1628" s="1"/>
      <c r="DOL1628" s="1"/>
      <c r="DOM1628" s="1"/>
      <c r="DON1628" s="1"/>
      <c r="DOO1628" s="1"/>
      <c r="DOP1628" s="1"/>
      <c r="DOQ1628" s="1"/>
      <c r="DOR1628" s="1"/>
      <c r="DOS1628" s="1"/>
      <c r="DOT1628" s="1"/>
      <c r="DOU1628" s="1"/>
      <c r="DOV1628" s="1"/>
      <c r="DOW1628" s="1"/>
      <c r="DOX1628" s="1"/>
      <c r="DOY1628" s="1"/>
      <c r="DOZ1628" s="1"/>
      <c r="DPA1628" s="1"/>
      <c r="DPB1628" s="1"/>
      <c r="DPC1628" s="1"/>
      <c r="DPD1628" s="1"/>
      <c r="DPE1628" s="1"/>
      <c r="DPF1628" s="1"/>
      <c r="DPG1628" s="1"/>
      <c r="DPH1628" s="1"/>
      <c r="DPI1628" s="1"/>
      <c r="DPJ1628" s="1"/>
      <c r="DPK1628" s="1"/>
      <c r="DPL1628" s="1"/>
      <c r="DPM1628" s="1"/>
      <c r="DPN1628" s="1"/>
      <c r="DPO1628" s="1"/>
      <c r="DPP1628" s="1"/>
      <c r="DPQ1628" s="1"/>
      <c r="DPR1628" s="1"/>
      <c r="DPS1628" s="1"/>
      <c r="DPT1628" s="1"/>
      <c r="DPU1628" s="1"/>
      <c r="DPV1628" s="1"/>
      <c r="DPW1628" s="1"/>
      <c r="DPX1628" s="1"/>
      <c r="DPY1628" s="1"/>
      <c r="DPZ1628" s="1"/>
      <c r="DQA1628" s="1"/>
      <c r="DQB1628" s="1"/>
      <c r="DQC1628" s="1"/>
      <c r="DQD1628" s="1"/>
      <c r="DQE1628" s="1"/>
      <c r="DQF1628" s="1"/>
      <c r="DQG1628" s="1"/>
      <c r="DQH1628" s="1"/>
      <c r="DQI1628" s="1"/>
      <c r="DQJ1628" s="1"/>
      <c r="DQK1628" s="1"/>
      <c r="DQL1628" s="1"/>
      <c r="DQM1628" s="1"/>
      <c r="DQN1628" s="1"/>
      <c r="DQO1628" s="1"/>
      <c r="DQP1628" s="1"/>
      <c r="DQQ1628" s="1"/>
      <c r="DQR1628" s="1"/>
      <c r="DQS1628" s="1"/>
      <c r="DQT1628" s="1"/>
      <c r="DQU1628" s="1"/>
      <c r="DQV1628" s="1"/>
      <c r="DQW1628" s="1"/>
      <c r="DQX1628" s="1"/>
      <c r="DQY1628" s="1"/>
      <c r="DQZ1628" s="1"/>
      <c r="DRA1628" s="1"/>
      <c r="DRB1628" s="1"/>
      <c r="DRC1628" s="1"/>
      <c r="DRD1628" s="1"/>
      <c r="DRE1628" s="1"/>
      <c r="DRF1628" s="1"/>
      <c r="DRG1628" s="1"/>
      <c r="DRH1628" s="1"/>
      <c r="DRI1628" s="1"/>
      <c r="DRJ1628" s="1"/>
      <c r="DRK1628" s="1"/>
      <c r="DRL1628" s="1"/>
      <c r="DRM1628" s="1"/>
      <c r="DRN1628" s="1"/>
      <c r="DRO1628" s="1"/>
      <c r="DRP1628" s="1"/>
      <c r="DRQ1628" s="1"/>
      <c r="DRR1628" s="1"/>
      <c r="DRS1628" s="1"/>
      <c r="DRT1628" s="1"/>
      <c r="DRU1628" s="1"/>
      <c r="DRV1628" s="1"/>
      <c r="DRW1628" s="1"/>
      <c r="DRX1628" s="1"/>
      <c r="DRY1628" s="1"/>
      <c r="DRZ1628" s="1"/>
      <c r="DSA1628" s="1"/>
      <c r="DSB1628" s="1"/>
      <c r="DSC1628" s="1"/>
      <c r="DSD1628" s="1"/>
      <c r="DSE1628" s="1"/>
      <c r="DSF1628" s="1"/>
      <c r="DSG1628" s="1"/>
      <c r="DSH1628" s="1"/>
      <c r="DSI1628" s="1"/>
      <c r="DSJ1628" s="1"/>
      <c r="DSK1628" s="1"/>
      <c r="DSL1628" s="1"/>
      <c r="DSM1628" s="1"/>
      <c r="DSN1628" s="1"/>
      <c r="DSO1628" s="1"/>
      <c r="DSP1628" s="1"/>
      <c r="DSQ1628" s="1"/>
      <c r="DSR1628" s="1"/>
      <c r="DSS1628" s="1"/>
      <c r="DST1628" s="1"/>
      <c r="DSU1628" s="1"/>
      <c r="DSV1628" s="1"/>
      <c r="DSW1628" s="1"/>
      <c r="DSX1628" s="1"/>
      <c r="DSY1628" s="1"/>
      <c r="DSZ1628" s="1"/>
      <c r="DTA1628" s="1"/>
      <c r="DTB1628" s="1"/>
      <c r="DTC1628" s="1"/>
      <c r="DTD1628" s="1"/>
      <c r="DTE1628" s="1"/>
      <c r="DTF1628" s="1"/>
      <c r="DTG1628" s="1"/>
      <c r="DTH1628" s="1"/>
      <c r="DTI1628" s="1"/>
      <c r="DTJ1628" s="1"/>
      <c r="DTK1628" s="1"/>
      <c r="DTL1628" s="1"/>
      <c r="DTM1628" s="1"/>
      <c r="DTN1628" s="1"/>
      <c r="DTO1628" s="1"/>
      <c r="DTP1628" s="1"/>
      <c r="DTQ1628" s="1"/>
      <c r="DTR1628" s="1"/>
      <c r="DTS1628" s="1"/>
      <c r="DTT1628" s="1"/>
      <c r="DTU1628" s="1"/>
      <c r="DTV1628" s="1"/>
      <c r="DTW1628" s="1"/>
      <c r="DTX1628" s="1"/>
      <c r="DTY1628" s="1"/>
      <c r="DTZ1628" s="1"/>
      <c r="DUA1628" s="1"/>
      <c r="DUB1628" s="1"/>
      <c r="DUC1628" s="1"/>
      <c r="DUD1628" s="1"/>
      <c r="DUE1628" s="1"/>
      <c r="DUF1628" s="1"/>
      <c r="DUG1628" s="1"/>
      <c r="DUH1628" s="1"/>
      <c r="DUI1628" s="1"/>
      <c r="DUJ1628" s="1"/>
      <c r="DUK1628" s="1"/>
      <c r="DUL1628" s="1"/>
      <c r="DUM1628" s="1"/>
      <c r="DUN1628" s="1"/>
      <c r="DUO1628" s="1"/>
      <c r="DUP1628" s="1"/>
      <c r="DUQ1628" s="1"/>
      <c r="DUR1628" s="1"/>
      <c r="DUS1628" s="1"/>
      <c r="DUT1628" s="1"/>
      <c r="DUU1628" s="1"/>
      <c r="DUV1628" s="1"/>
      <c r="DUW1628" s="1"/>
      <c r="DUX1628" s="1"/>
      <c r="DUY1628" s="1"/>
      <c r="DUZ1628" s="1"/>
      <c r="DVA1628" s="1"/>
      <c r="DVB1628" s="1"/>
      <c r="DVC1628" s="1"/>
      <c r="DVD1628" s="1"/>
      <c r="DVE1628" s="1"/>
      <c r="DVF1628" s="1"/>
      <c r="DVG1628" s="1"/>
      <c r="DVH1628" s="1"/>
      <c r="DVI1628" s="1"/>
      <c r="DVJ1628" s="1"/>
      <c r="DVK1628" s="1"/>
      <c r="DVL1628" s="1"/>
      <c r="DVM1628" s="1"/>
      <c r="DVN1628" s="1"/>
      <c r="DVO1628" s="1"/>
      <c r="DVP1628" s="1"/>
      <c r="DVQ1628" s="1"/>
      <c r="DVR1628" s="1"/>
      <c r="DVS1628" s="1"/>
      <c r="DVT1628" s="1"/>
      <c r="DVU1628" s="1"/>
      <c r="DVV1628" s="1"/>
      <c r="DVW1628" s="1"/>
      <c r="DVX1628" s="1"/>
      <c r="DVY1628" s="1"/>
      <c r="DVZ1628" s="1"/>
      <c r="DWA1628" s="1"/>
      <c r="DWB1628" s="1"/>
      <c r="DWC1628" s="1"/>
      <c r="DWD1628" s="1"/>
      <c r="DWE1628" s="1"/>
      <c r="DWF1628" s="1"/>
      <c r="DWG1628" s="1"/>
      <c r="DWH1628" s="1"/>
      <c r="DWI1628" s="1"/>
      <c r="DWJ1628" s="1"/>
      <c r="DWK1628" s="1"/>
      <c r="DWL1628" s="1"/>
      <c r="DWM1628" s="1"/>
      <c r="DWN1628" s="1"/>
      <c r="DWO1628" s="1"/>
      <c r="DWP1628" s="1"/>
      <c r="DWQ1628" s="1"/>
      <c r="DWR1628" s="1"/>
      <c r="DWS1628" s="1"/>
      <c r="DWT1628" s="1"/>
      <c r="DWU1628" s="1"/>
      <c r="DWV1628" s="1"/>
      <c r="DWW1628" s="1"/>
      <c r="DWX1628" s="1"/>
      <c r="DWY1628" s="1"/>
      <c r="DWZ1628" s="1"/>
      <c r="DXA1628" s="1"/>
      <c r="DXB1628" s="1"/>
      <c r="DXC1628" s="1"/>
      <c r="DXD1628" s="1"/>
      <c r="DXE1628" s="1"/>
      <c r="DXF1628" s="1"/>
      <c r="DXG1628" s="1"/>
      <c r="DXH1628" s="1"/>
      <c r="DXI1628" s="1"/>
      <c r="DXJ1628" s="1"/>
      <c r="DXK1628" s="1"/>
      <c r="DXL1628" s="1"/>
      <c r="DXM1628" s="1"/>
      <c r="DXN1628" s="1"/>
      <c r="DXO1628" s="1"/>
      <c r="DXP1628" s="1"/>
      <c r="DXQ1628" s="1"/>
      <c r="DXR1628" s="1"/>
      <c r="DXS1628" s="1"/>
      <c r="DXT1628" s="1"/>
      <c r="DXU1628" s="1"/>
      <c r="DXV1628" s="1"/>
      <c r="DXW1628" s="1"/>
      <c r="DXX1628" s="1"/>
      <c r="DXY1628" s="1"/>
      <c r="DXZ1628" s="1"/>
      <c r="DYA1628" s="1"/>
      <c r="DYB1628" s="1"/>
      <c r="DYC1628" s="1"/>
      <c r="DYD1628" s="1"/>
      <c r="DYE1628" s="1"/>
      <c r="DYF1628" s="1"/>
      <c r="DYG1628" s="1"/>
      <c r="DYH1628" s="1"/>
      <c r="DYI1628" s="1"/>
      <c r="DYJ1628" s="1"/>
      <c r="DYK1628" s="1"/>
      <c r="DYL1628" s="1"/>
      <c r="DYM1628" s="1"/>
      <c r="DYN1628" s="1"/>
      <c r="DYO1628" s="1"/>
      <c r="DYP1628" s="1"/>
      <c r="DYQ1628" s="1"/>
      <c r="DYR1628" s="1"/>
      <c r="DYS1628" s="1"/>
      <c r="DYT1628" s="1"/>
      <c r="DYU1628" s="1"/>
      <c r="DYV1628" s="1"/>
      <c r="DYW1628" s="1"/>
      <c r="DYX1628" s="1"/>
      <c r="DYY1628" s="1"/>
      <c r="DYZ1628" s="1"/>
      <c r="DZA1628" s="1"/>
      <c r="DZB1628" s="1"/>
      <c r="DZC1628" s="1"/>
      <c r="DZD1628" s="1"/>
      <c r="DZE1628" s="1"/>
      <c r="DZF1628" s="1"/>
      <c r="DZG1628" s="1"/>
      <c r="DZH1628" s="1"/>
      <c r="DZI1628" s="1"/>
      <c r="DZJ1628" s="1"/>
      <c r="DZK1628" s="1"/>
      <c r="DZL1628" s="1"/>
      <c r="DZM1628" s="1"/>
      <c r="DZN1628" s="1"/>
      <c r="DZO1628" s="1"/>
      <c r="DZP1628" s="1"/>
      <c r="DZQ1628" s="1"/>
      <c r="DZR1628" s="1"/>
      <c r="DZS1628" s="1"/>
      <c r="DZT1628" s="1"/>
      <c r="DZU1628" s="1"/>
      <c r="DZV1628" s="1"/>
      <c r="DZW1628" s="1"/>
      <c r="DZX1628" s="1"/>
      <c r="DZY1628" s="1"/>
      <c r="DZZ1628" s="1"/>
      <c r="EAA1628" s="1"/>
      <c r="EAB1628" s="1"/>
      <c r="EAC1628" s="1"/>
      <c r="EAD1628" s="1"/>
      <c r="EAE1628" s="1"/>
      <c r="EAF1628" s="1"/>
      <c r="EAG1628" s="1"/>
      <c r="EAH1628" s="1"/>
      <c r="EAI1628" s="1"/>
      <c r="EAJ1628" s="1"/>
      <c r="EAK1628" s="1"/>
      <c r="EAL1628" s="1"/>
      <c r="EAM1628" s="1"/>
      <c r="EAN1628" s="1"/>
      <c r="EAO1628" s="1"/>
      <c r="EAP1628" s="1"/>
      <c r="EAQ1628" s="1"/>
      <c r="EAR1628" s="1"/>
      <c r="EAS1628" s="1"/>
      <c r="EAT1628" s="1"/>
      <c r="EAU1628" s="1"/>
      <c r="EAV1628" s="1"/>
      <c r="EAW1628" s="1"/>
      <c r="EAX1628" s="1"/>
      <c r="EAY1628" s="1"/>
      <c r="EAZ1628" s="1"/>
      <c r="EBA1628" s="1"/>
      <c r="EBB1628" s="1"/>
      <c r="EBC1628" s="1"/>
      <c r="EBD1628" s="1"/>
      <c r="EBE1628" s="1"/>
      <c r="EBF1628" s="1"/>
      <c r="EBG1628" s="1"/>
      <c r="EBH1628" s="1"/>
      <c r="EBI1628" s="1"/>
      <c r="EBJ1628" s="1"/>
      <c r="EBK1628" s="1"/>
      <c r="EBL1628" s="1"/>
      <c r="EBM1628" s="1"/>
      <c r="EBN1628" s="1"/>
      <c r="EBO1628" s="1"/>
      <c r="EBP1628" s="1"/>
      <c r="EBQ1628" s="1"/>
      <c r="EBR1628" s="1"/>
      <c r="EBS1628" s="1"/>
      <c r="EBT1628" s="1"/>
      <c r="EBU1628" s="1"/>
      <c r="EBV1628" s="1"/>
      <c r="EBW1628" s="1"/>
      <c r="EBX1628" s="1"/>
      <c r="EBY1628" s="1"/>
      <c r="EBZ1628" s="1"/>
      <c r="ECA1628" s="1"/>
      <c r="ECB1628" s="1"/>
      <c r="ECC1628" s="1"/>
      <c r="ECD1628" s="1"/>
      <c r="ECE1628" s="1"/>
      <c r="ECF1628" s="1"/>
      <c r="ECG1628" s="1"/>
      <c r="ECH1628" s="1"/>
      <c r="ECI1628" s="1"/>
      <c r="ECJ1628" s="1"/>
      <c r="ECK1628" s="1"/>
      <c r="ECL1628" s="1"/>
      <c r="ECM1628" s="1"/>
      <c r="ECN1628" s="1"/>
      <c r="ECO1628" s="1"/>
      <c r="ECP1628" s="1"/>
      <c r="ECQ1628" s="1"/>
      <c r="ECR1628" s="1"/>
      <c r="ECS1628" s="1"/>
      <c r="ECT1628" s="1"/>
      <c r="ECU1628" s="1"/>
      <c r="ECV1628" s="1"/>
      <c r="ECW1628" s="1"/>
      <c r="ECX1628" s="1"/>
      <c r="ECY1628" s="1"/>
      <c r="ECZ1628" s="1"/>
      <c r="EDA1628" s="1"/>
      <c r="EDB1628" s="1"/>
      <c r="EDC1628" s="1"/>
      <c r="EDD1628" s="1"/>
      <c r="EDE1628" s="1"/>
      <c r="EDF1628" s="1"/>
      <c r="EDG1628" s="1"/>
      <c r="EDH1628" s="1"/>
      <c r="EDI1628" s="1"/>
      <c r="EDJ1628" s="1"/>
      <c r="EDK1628" s="1"/>
      <c r="EDL1628" s="1"/>
      <c r="EDM1628" s="1"/>
      <c r="EDN1628" s="1"/>
      <c r="EDO1628" s="1"/>
      <c r="EDP1628" s="1"/>
      <c r="EDQ1628" s="1"/>
      <c r="EDR1628" s="1"/>
      <c r="EDS1628" s="1"/>
      <c r="EDT1628" s="1"/>
      <c r="EDU1628" s="1"/>
      <c r="EDV1628" s="1"/>
      <c r="EDW1628" s="1"/>
      <c r="EDX1628" s="1"/>
      <c r="EDY1628" s="1"/>
      <c r="EDZ1628" s="1"/>
      <c r="EEA1628" s="1"/>
      <c r="EEB1628" s="1"/>
      <c r="EEC1628" s="1"/>
      <c r="EED1628" s="1"/>
      <c r="EEE1628" s="1"/>
      <c r="EEF1628" s="1"/>
      <c r="EEG1628" s="1"/>
      <c r="EEH1628" s="1"/>
      <c r="EEI1628" s="1"/>
      <c r="EEJ1628" s="1"/>
      <c r="EEK1628" s="1"/>
      <c r="EEL1628" s="1"/>
      <c r="EEM1628" s="1"/>
      <c r="EEN1628" s="1"/>
      <c r="EEO1628" s="1"/>
      <c r="EEP1628" s="1"/>
      <c r="EEQ1628" s="1"/>
      <c r="EER1628" s="1"/>
      <c r="EES1628" s="1"/>
      <c r="EET1628" s="1"/>
      <c r="EEU1628" s="1"/>
      <c r="EEV1628" s="1"/>
      <c r="EEW1628" s="1"/>
      <c r="EEX1628" s="1"/>
      <c r="EEY1628" s="1"/>
      <c r="EEZ1628" s="1"/>
      <c r="EFA1628" s="1"/>
      <c r="EFB1628" s="1"/>
      <c r="EFC1628" s="1"/>
      <c r="EFD1628" s="1"/>
      <c r="EFE1628" s="1"/>
      <c r="EFF1628" s="1"/>
      <c r="EFG1628" s="1"/>
      <c r="EFH1628" s="1"/>
      <c r="EFI1628" s="1"/>
      <c r="EFJ1628" s="1"/>
      <c r="EFK1628" s="1"/>
      <c r="EFL1628" s="1"/>
      <c r="EFM1628" s="1"/>
      <c r="EFN1628" s="1"/>
      <c r="EFO1628" s="1"/>
      <c r="EFP1628" s="1"/>
      <c r="EFQ1628" s="1"/>
      <c r="EFR1628" s="1"/>
      <c r="EFS1628" s="1"/>
      <c r="EFT1628" s="1"/>
      <c r="EFU1628" s="1"/>
      <c r="EFV1628" s="1"/>
      <c r="EFW1628" s="1"/>
      <c r="EFX1628" s="1"/>
      <c r="EFY1628" s="1"/>
      <c r="EFZ1628" s="1"/>
      <c r="EGA1628" s="1"/>
      <c r="EGB1628" s="1"/>
      <c r="EGC1628" s="1"/>
      <c r="EGD1628" s="1"/>
      <c r="EGE1628" s="1"/>
      <c r="EGF1628" s="1"/>
      <c r="EGG1628" s="1"/>
      <c r="EGH1628" s="1"/>
      <c r="EGI1628" s="1"/>
      <c r="EGJ1628" s="1"/>
      <c r="EGK1628" s="1"/>
      <c r="EGL1628" s="1"/>
      <c r="EGM1628" s="1"/>
      <c r="EGN1628" s="1"/>
      <c r="EGO1628" s="1"/>
      <c r="EGP1628" s="1"/>
      <c r="EGQ1628" s="1"/>
      <c r="EGR1628" s="1"/>
      <c r="EGS1628" s="1"/>
      <c r="EGT1628" s="1"/>
      <c r="EGU1628" s="1"/>
      <c r="EGV1628" s="1"/>
      <c r="EGW1628" s="1"/>
      <c r="EGX1628" s="1"/>
      <c r="EGY1628" s="1"/>
      <c r="EGZ1628" s="1"/>
      <c r="EHA1628" s="1"/>
      <c r="EHB1628" s="1"/>
      <c r="EHC1628" s="1"/>
      <c r="EHD1628" s="1"/>
      <c r="EHE1628" s="1"/>
      <c r="EHF1628" s="1"/>
      <c r="EHG1628" s="1"/>
      <c r="EHH1628" s="1"/>
      <c r="EHI1628" s="1"/>
      <c r="EHJ1628" s="1"/>
      <c r="EHK1628" s="1"/>
      <c r="EHL1628" s="1"/>
      <c r="EHM1628" s="1"/>
      <c r="EHN1628" s="1"/>
      <c r="EHO1628" s="1"/>
      <c r="EHP1628" s="1"/>
      <c r="EHQ1628" s="1"/>
      <c r="EHR1628" s="1"/>
      <c r="EHS1628" s="1"/>
      <c r="EHT1628" s="1"/>
      <c r="EHU1628" s="1"/>
      <c r="EHV1628" s="1"/>
      <c r="EHW1628" s="1"/>
      <c r="EHX1628" s="1"/>
      <c r="EHY1628" s="1"/>
      <c r="EHZ1628" s="1"/>
      <c r="EIA1628" s="1"/>
      <c r="EIB1628" s="1"/>
      <c r="EIC1628" s="1"/>
      <c r="EID1628" s="1"/>
      <c r="EIE1628" s="1"/>
      <c r="EIF1628" s="1"/>
      <c r="EIG1628" s="1"/>
      <c r="EIH1628" s="1"/>
      <c r="EII1628" s="1"/>
      <c r="EIJ1628" s="1"/>
      <c r="EIK1628" s="1"/>
      <c r="EIL1628" s="1"/>
      <c r="EIM1628" s="1"/>
      <c r="EIN1628" s="1"/>
      <c r="EIO1628" s="1"/>
      <c r="EIP1628" s="1"/>
      <c r="EIQ1628" s="1"/>
      <c r="EIR1628" s="1"/>
      <c r="EIS1628" s="1"/>
      <c r="EIT1628" s="1"/>
      <c r="EIU1628" s="1"/>
      <c r="EIV1628" s="1"/>
      <c r="EIW1628" s="1"/>
      <c r="EIX1628" s="1"/>
      <c r="EIY1628" s="1"/>
      <c r="EIZ1628" s="1"/>
      <c r="EJA1628" s="1"/>
      <c r="EJB1628" s="1"/>
      <c r="EJC1628" s="1"/>
      <c r="EJD1628" s="1"/>
      <c r="EJE1628" s="1"/>
      <c r="EJF1628" s="1"/>
      <c r="EJG1628" s="1"/>
      <c r="EJH1628" s="1"/>
      <c r="EJI1628" s="1"/>
      <c r="EJJ1628" s="1"/>
      <c r="EJK1628" s="1"/>
      <c r="EJL1628" s="1"/>
      <c r="EJM1628" s="1"/>
      <c r="EJN1628" s="1"/>
      <c r="EJO1628" s="1"/>
      <c r="EJP1628" s="1"/>
      <c r="EJQ1628" s="1"/>
      <c r="EJR1628" s="1"/>
      <c r="EJS1628" s="1"/>
      <c r="EJT1628" s="1"/>
      <c r="EJU1628" s="1"/>
      <c r="EJV1628" s="1"/>
      <c r="EJW1628" s="1"/>
      <c r="EJX1628" s="1"/>
      <c r="EJY1628" s="1"/>
      <c r="EJZ1628" s="1"/>
      <c r="EKA1628" s="1"/>
      <c r="EKB1628" s="1"/>
      <c r="EKC1628" s="1"/>
      <c r="EKD1628" s="1"/>
      <c r="EKE1628" s="1"/>
      <c r="EKF1628" s="1"/>
      <c r="EKG1628" s="1"/>
      <c r="EKH1628" s="1"/>
      <c r="EKI1628" s="1"/>
      <c r="EKJ1628" s="1"/>
      <c r="EKK1628" s="1"/>
      <c r="EKL1628" s="1"/>
      <c r="EKM1628" s="1"/>
      <c r="EKN1628" s="1"/>
      <c r="EKO1628" s="1"/>
      <c r="EKP1628" s="1"/>
      <c r="EKQ1628" s="1"/>
      <c r="EKR1628" s="1"/>
      <c r="EKS1628" s="1"/>
      <c r="EKT1628" s="1"/>
      <c r="EKU1628" s="1"/>
      <c r="EKV1628" s="1"/>
      <c r="EKW1628" s="1"/>
      <c r="EKX1628" s="1"/>
      <c r="EKY1628" s="1"/>
      <c r="EKZ1628" s="1"/>
      <c r="ELA1628" s="1"/>
      <c r="ELB1628" s="1"/>
      <c r="ELC1628" s="1"/>
      <c r="ELD1628" s="1"/>
      <c r="ELE1628" s="1"/>
      <c r="ELF1628" s="1"/>
      <c r="ELG1628" s="1"/>
      <c r="ELH1628" s="1"/>
      <c r="ELI1628" s="1"/>
      <c r="ELJ1628" s="1"/>
      <c r="ELK1628" s="1"/>
      <c r="ELL1628" s="1"/>
      <c r="ELM1628" s="1"/>
      <c r="ELN1628" s="1"/>
      <c r="ELO1628" s="1"/>
      <c r="ELP1628" s="1"/>
      <c r="ELQ1628" s="1"/>
      <c r="ELR1628" s="1"/>
      <c r="ELS1628" s="1"/>
      <c r="ELT1628" s="1"/>
      <c r="ELU1628" s="1"/>
      <c r="ELV1628" s="1"/>
      <c r="ELW1628" s="1"/>
      <c r="ELX1628" s="1"/>
      <c r="ELY1628" s="1"/>
      <c r="ELZ1628" s="1"/>
      <c r="EMA1628" s="1"/>
      <c r="EMB1628" s="1"/>
      <c r="EMC1628" s="1"/>
      <c r="EMD1628" s="1"/>
      <c r="EME1628" s="1"/>
      <c r="EMF1628" s="1"/>
      <c r="EMG1628" s="1"/>
      <c r="EMH1628" s="1"/>
      <c r="EMI1628" s="1"/>
      <c r="EMJ1628" s="1"/>
      <c r="EMK1628" s="1"/>
      <c r="EML1628" s="1"/>
      <c r="EMM1628" s="1"/>
      <c r="EMN1628" s="1"/>
      <c r="EMO1628" s="1"/>
      <c r="EMP1628" s="1"/>
      <c r="EMQ1628" s="1"/>
      <c r="EMR1628" s="1"/>
      <c r="EMS1628" s="1"/>
      <c r="EMT1628" s="1"/>
      <c r="EMU1628" s="1"/>
      <c r="EMV1628" s="1"/>
      <c r="EMW1628" s="1"/>
      <c r="EMX1628" s="1"/>
      <c r="EMY1628" s="1"/>
      <c r="EMZ1628" s="1"/>
      <c r="ENA1628" s="1"/>
      <c r="ENB1628" s="1"/>
      <c r="ENC1628" s="1"/>
      <c r="END1628" s="1"/>
      <c r="ENE1628" s="1"/>
      <c r="ENF1628" s="1"/>
      <c r="ENG1628" s="1"/>
      <c r="ENH1628" s="1"/>
      <c r="ENI1628" s="1"/>
      <c r="ENJ1628" s="1"/>
      <c r="ENK1628" s="1"/>
      <c r="ENL1628" s="1"/>
      <c r="ENM1628" s="1"/>
      <c r="ENN1628" s="1"/>
      <c r="ENO1628" s="1"/>
      <c r="ENP1628" s="1"/>
      <c r="ENQ1628" s="1"/>
      <c r="ENR1628" s="1"/>
      <c r="ENS1628" s="1"/>
      <c r="ENT1628" s="1"/>
      <c r="ENU1628" s="1"/>
      <c r="ENV1628" s="1"/>
      <c r="ENW1628" s="1"/>
      <c r="ENX1628" s="1"/>
      <c r="ENY1628" s="1"/>
      <c r="ENZ1628" s="1"/>
      <c r="EOA1628" s="1"/>
      <c r="EOB1628" s="1"/>
      <c r="EOC1628" s="1"/>
      <c r="EOD1628" s="1"/>
      <c r="EOE1628" s="1"/>
      <c r="EOF1628" s="1"/>
      <c r="EOG1628" s="1"/>
      <c r="EOH1628" s="1"/>
      <c r="EOI1628" s="1"/>
      <c r="EOJ1628" s="1"/>
      <c r="EOK1628" s="1"/>
      <c r="EOL1628" s="1"/>
      <c r="EOM1628" s="1"/>
      <c r="EON1628" s="1"/>
      <c r="EOO1628" s="1"/>
      <c r="EOP1628" s="1"/>
      <c r="EOQ1628" s="1"/>
      <c r="EOR1628" s="1"/>
      <c r="EOS1628" s="1"/>
      <c r="EOT1628" s="1"/>
      <c r="EOU1628" s="1"/>
      <c r="EOV1628" s="1"/>
      <c r="EOW1628" s="1"/>
      <c r="EOX1628" s="1"/>
      <c r="EOY1628" s="1"/>
      <c r="EOZ1628" s="1"/>
      <c r="EPA1628" s="1"/>
      <c r="EPB1628" s="1"/>
      <c r="EPC1628" s="1"/>
      <c r="EPD1628" s="1"/>
      <c r="EPE1628" s="1"/>
      <c r="EPF1628" s="1"/>
      <c r="EPG1628" s="1"/>
      <c r="EPH1628" s="1"/>
      <c r="EPI1628" s="1"/>
      <c r="EPJ1628" s="1"/>
      <c r="EPK1628" s="1"/>
      <c r="EPL1628" s="1"/>
      <c r="EPM1628" s="1"/>
      <c r="EPN1628" s="1"/>
      <c r="EPO1628" s="1"/>
      <c r="EPP1628" s="1"/>
      <c r="EPQ1628" s="1"/>
      <c r="EPR1628" s="1"/>
      <c r="EPS1628" s="1"/>
      <c r="EPT1628" s="1"/>
      <c r="EPU1628" s="1"/>
      <c r="EPV1628" s="1"/>
      <c r="EPW1628" s="1"/>
      <c r="EPX1628" s="1"/>
      <c r="EPY1628" s="1"/>
      <c r="EPZ1628" s="1"/>
      <c r="EQA1628" s="1"/>
      <c r="EQB1628" s="1"/>
      <c r="EQC1628" s="1"/>
      <c r="EQD1628" s="1"/>
      <c r="EQE1628" s="1"/>
      <c r="EQF1628" s="1"/>
      <c r="EQG1628" s="1"/>
      <c r="EQH1628" s="1"/>
      <c r="EQI1628" s="1"/>
      <c r="EQJ1628" s="1"/>
      <c r="EQK1628" s="1"/>
      <c r="EQL1628" s="1"/>
      <c r="EQM1628" s="1"/>
      <c r="EQN1628" s="1"/>
      <c r="EQO1628" s="1"/>
      <c r="EQP1628" s="1"/>
      <c r="EQQ1628" s="1"/>
      <c r="EQR1628" s="1"/>
      <c r="EQS1628" s="1"/>
      <c r="EQT1628" s="1"/>
      <c r="EQU1628" s="1"/>
      <c r="EQV1628" s="1"/>
      <c r="EQW1628" s="1"/>
      <c r="EQX1628" s="1"/>
      <c r="EQY1628" s="1"/>
      <c r="EQZ1628" s="1"/>
      <c r="ERA1628" s="1"/>
      <c r="ERB1628" s="1"/>
      <c r="ERC1628" s="1"/>
      <c r="ERD1628" s="1"/>
      <c r="ERE1628" s="1"/>
      <c r="ERF1628" s="1"/>
      <c r="ERG1628" s="1"/>
      <c r="ERH1628" s="1"/>
      <c r="ERI1628" s="1"/>
      <c r="ERJ1628" s="1"/>
      <c r="ERK1628" s="1"/>
      <c r="ERL1628" s="1"/>
      <c r="ERM1628" s="1"/>
      <c r="ERN1628" s="1"/>
      <c r="ERO1628" s="1"/>
      <c r="ERP1628" s="1"/>
      <c r="ERQ1628" s="1"/>
      <c r="ERR1628" s="1"/>
      <c r="ERS1628" s="1"/>
      <c r="ERT1628" s="1"/>
      <c r="ERU1628" s="1"/>
      <c r="ERV1628" s="1"/>
      <c r="ERW1628" s="1"/>
      <c r="ERX1628" s="1"/>
      <c r="ERY1628" s="1"/>
      <c r="ERZ1628" s="1"/>
      <c r="ESA1628" s="1"/>
      <c r="ESB1628" s="1"/>
      <c r="ESC1628" s="1"/>
      <c r="ESD1628" s="1"/>
      <c r="ESE1628" s="1"/>
      <c r="ESF1628" s="1"/>
      <c r="ESG1628" s="1"/>
      <c r="ESH1628" s="1"/>
      <c r="ESI1628" s="1"/>
      <c r="ESJ1628" s="1"/>
      <c r="ESK1628" s="1"/>
      <c r="ESL1628" s="1"/>
      <c r="ESM1628" s="1"/>
      <c r="ESN1628" s="1"/>
      <c r="ESO1628" s="1"/>
      <c r="ESP1628" s="1"/>
      <c r="ESQ1628" s="1"/>
      <c r="ESR1628" s="1"/>
      <c r="ESS1628" s="1"/>
      <c r="EST1628" s="1"/>
      <c r="ESU1628" s="1"/>
      <c r="ESV1628" s="1"/>
      <c r="ESW1628" s="1"/>
      <c r="ESX1628" s="1"/>
      <c r="ESY1628" s="1"/>
      <c r="ESZ1628" s="1"/>
      <c r="ETA1628" s="1"/>
      <c r="ETB1628" s="1"/>
      <c r="ETC1628" s="1"/>
      <c r="ETD1628" s="1"/>
      <c r="ETE1628" s="1"/>
      <c r="ETF1628" s="1"/>
      <c r="ETG1628" s="1"/>
      <c r="ETH1628" s="1"/>
      <c r="ETI1628" s="1"/>
      <c r="ETJ1628" s="1"/>
      <c r="ETK1628" s="1"/>
      <c r="ETL1628" s="1"/>
      <c r="ETM1628" s="1"/>
      <c r="ETN1628" s="1"/>
      <c r="ETO1628" s="1"/>
      <c r="ETP1628" s="1"/>
      <c r="ETQ1628" s="1"/>
      <c r="ETR1628" s="1"/>
      <c r="ETS1628" s="1"/>
      <c r="ETT1628" s="1"/>
      <c r="ETU1628" s="1"/>
      <c r="ETV1628" s="1"/>
      <c r="ETW1628" s="1"/>
      <c r="ETX1628" s="1"/>
      <c r="ETY1628" s="1"/>
      <c r="ETZ1628" s="1"/>
      <c r="EUA1628" s="1"/>
      <c r="EUB1628" s="1"/>
      <c r="EUC1628" s="1"/>
      <c r="EUD1628" s="1"/>
      <c r="EUE1628" s="1"/>
      <c r="EUF1628" s="1"/>
      <c r="EUG1628" s="1"/>
      <c r="EUH1628" s="1"/>
      <c r="EUI1628" s="1"/>
      <c r="EUJ1628" s="1"/>
      <c r="EUK1628" s="1"/>
      <c r="EUL1628" s="1"/>
      <c r="EUM1628" s="1"/>
      <c r="EUN1628" s="1"/>
      <c r="EUO1628" s="1"/>
      <c r="EUP1628" s="1"/>
      <c r="EUQ1628" s="1"/>
      <c r="EUR1628" s="1"/>
      <c r="EUS1628" s="1"/>
      <c r="EUT1628" s="1"/>
      <c r="EUU1628" s="1"/>
      <c r="EUV1628" s="1"/>
      <c r="EUW1628" s="1"/>
      <c r="EUX1628" s="1"/>
      <c r="EUY1628" s="1"/>
      <c r="EUZ1628" s="1"/>
      <c r="EVA1628" s="1"/>
      <c r="EVB1628" s="1"/>
      <c r="EVC1628" s="1"/>
      <c r="EVD1628" s="1"/>
      <c r="EVE1628" s="1"/>
      <c r="EVF1628" s="1"/>
      <c r="EVG1628" s="1"/>
      <c r="EVH1628" s="1"/>
      <c r="EVI1628" s="1"/>
      <c r="EVJ1628" s="1"/>
      <c r="EVK1628" s="1"/>
      <c r="EVL1628" s="1"/>
      <c r="EVM1628" s="1"/>
      <c r="EVN1628" s="1"/>
      <c r="EVO1628" s="1"/>
      <c r="EVP1628" s="1"/>
      <c r="EVQ1628" s="1"/>
      <c r="EVR1628" s="1"/>
      <c r="EVS1628" s="1"/>
      <c r="EVT1628" s="1"/>
      <c r="EVU1628" s="1"/>
      <c r="EVV1628" s="1"/>
      <c r="EVW1628" s="1"/>
      <c r="EVX1628" s="1"/>
      <c r="EVY1628" s="1"/>
      <c r="EVZ1628" s="1"/>
      <c r="EWA1628" s="1"/>
      <c r="EWB1628" s="1"/>
      <c r="EWC1628" s="1"/>
      <c r="EWD1628" s="1"/>
      <c r="EWE1628" s="1"/>
      <c r="EWF1628" s="1"/>
      <c r="EWG1628" s="1"/>
      <c r="EWH1628" s="1"/>
      <c r="EWI1628" s="1"/>
      <c r="EWJ1628" s="1"/>
      <c r="EWK1628" s="1"/>
      <c r="EWL1628" s="1"/>
      <c r="EWM1628" s="1"/>
      <c r="EWN1628" s="1"/>
      <c r="EWO1628" s="1"/>
      <c r="EWP1628" s="1"/>
      <c r="EWQ1628" s="1"/>
      <c r="EWR1628" s="1"/>
      <c r="EWS1628" s="1"/>
      <c r="EWT1628" s="1"/>
      <c r="EWU1628" s="1"/>
      <c r="EWV1628" s="1"/>
      <c r="EWW1628" s="1"/>
      <c r="EWX1628" s="1"/>
      <c r="EWY1628" s="1"/>
      <c r="EWZ1628" s="1"/>
      <c r="EXA1628" s="1"/>
      <c r="EXB1628" s="1"/>
      <c r="EXC1628" s="1"/>
      <c r="EXD1628" s="1"/>
      <c r="EXE1628" s="1"/>
      <c r="EXF1628" s="1"/>
      <c r="EXG1628" s="1"/>
      <c r="EXH1628" s="1"/>
      <c r="EXI1628" s="1"/>
      <c r="EXJ1628" s="1"/>
      <c r="EXK1628" s="1"/>
      <c r="EXL1628" s="1"/>
      <c r="EXM1628" s="1"/>
      <c r="EXN1628" s="1"/>
      <c r="EXO1628" s="1"/>
      <c r="EXP1628" s="1"/>
      <c r="EXQ1628" s="1"/>
      <c r="EXR1628" s="1"/>
      <c r="EXS1628" s="1"/>
      <c r="EXT1628" s="1"/>
      <c r="EXU1628" s="1"/>
      <c r="EXV1628" s="1"/>
      <c r="EXW1628" s="1"/>
      <c r="EXX1628" s="1"/>
      <c r="EXY1628" s="1"/>
      <c r="EXZ1628" s="1"/>
      <c r="EYA1628" s="1"/>
      <c r="EYB1628" s="1"/>
      <c r="EYC1628" s="1"/>
      <c r="EYD1628" s="1"/>
      <c r="EYE1628" s="1"/>
      <c r="EYF1628" s="1"/>
      <c r="EYG1628" s="1"/>
      <c r="EYH1628" s="1"/>
      <c r="EYI1628" s="1"/>
      <c r="EYJ1628" s="1"/>
      <c r="EYK1628" s="1"/>
      <c r="EYL1628" s="1"/>
      <c r="EYM1628" s="1"/>
      <c r="EYN1628" s="1"/>
      <c r="EYO1628" s="1"/>
      <c r="EYP1628" s="1"/>
      <c r="EYQ1628" s="1"/>
      <c r="EYR1628" s="1"/>
      <c r="EYS1628" s="1"/>
      <c r="EYT1628" s="1"/>
      <c r="EYU1628" s="1"/>
      <c r="EYV1628" s="1"/>
      <c r="EYW1628" s="1"/>
      <c r="EYX1628" s="1"/>
      <c r="EYY1628" s="1"/>
      <c r="EYZ1628" s="1"/>
      <c r="EZA1628" s="1"/>
      <c r="EZB1628" s="1"/>
      <c r="EZC1628" s="1"/>
      <c r="EZD1628" s="1"/>
      <c r="EZE1628" s="1"/>
      <c r="EZF1628" s="1"/>
      <c r="EZG1628" s="1"/>
      <c r="EZH1628" s="1"/>
      <c r="EZI1628" s="1"/>
      <c r="EZJ1628" s="1"/>
      <c r="EZK1628" s="1"/>
      <c r="EZL1628" s="1"/>
      <c r="EZM1628" s="1"/>
      <c r="EZN1628" s="1"/>
      <c r="EZO1628" s="1"/>
      <c r="EZP1628" s="1"/>
      <c r="EZQ1628" s="1"/>
      <c r="EZR1628" s="1"/>
      <c r="EZS1628" s="1"/>
      <c r="EZT1628" s="1"/>
      <c r="EZU1628" s="1"/>
      <c r="EZV1628" s="1"/>
      <c r="EZW1628" s="1"/>
      <c r="EZX1628" s="1"/>
      <c r="EZY1628" s="1"/>
      <c r="EZZ1628" s="1"/>
      <c r="FAA1628" s="1"/>
      <c r="FAB1628" s="1"/>
      <c r="FAC1628" s="1"/>
      <c r="FAD1628" s="1"/>
      <c r="FAE1628" s="1"/>
      <c r="FAF1628" s="1"/>
      <c r="FAG1628" s="1"/>
      <c r="FAH1628" s="1"/>
      <c r="FAI1628" s="1"/>
      <c r="FAJ1628" s="1"/>
      <c r="FAK1628" s="1"/>
      <c r="FAL1628" s="1"/>
      <c r="FAM1628" s="1"/>
      <c r="FAN1628" s="1"/>
      <c r="FAO1628" s="1"/>
      <c r="FAP1628" s="1"/>
      <c r="FAQ1628" s="1"/>
      <c r="FAR1628" s="1"/>
      <c r="FAS1628" s="1"/>
      <c r="FAT1628" s="1"/>
      <c r="FAU1628" s="1"/>
      <c r="FAV1628" s="1"/>
      <c r="FAW1628" s="1"/>
      <c r="FAX1628" s="1"/>
      <c r="FAY1628" s="1"/>
      <c r="FAZ1628" s="1"/>
      <c r="FBA1628" s="1"/>
      <c r="FBB1628" s="1"/>
      <c r="FBC1628" s="1"/>
      <c r="FBD1628" s="1"/>
      <c r="FBE1628" s="1"/>
      <c r="FBF1628" s="1"/>
      <c r="FBG1628" s="1"/>
      <c r="FBH1628" s="1"/>
      <c r="FBI1628" s="1"/>
      <c r="FBJ1628" s="1"/>
      <c r="FBK1628" s="1"/>
      <c r="FBL1628" s="1"/>
      <c r="FBM1628" s="1"/>
      <c r="FBN1628" s="1"/>
      <c r="FBO1628" s="1"/>
      <c r="FBP1628" s="1"/>
      <c r="FBQ1628" s="1"/>
      <c r="FBR1628" s="1"/>
      <c r="FBS1628" s="1"/>
      <c r="FBT1628" s="1"/>
      <c r="FBU1628" s="1"/>
      <c r="FBV1628" s="1"/>
      <c r="FBW1628" s="1"/>
      <c r="FBX1628" s="1"/>
      <c r="FBY1628" s="1"/>
      <c r="FBZ1628" s="1"/>
      <c r="FCA1628" s="1"/>
      <c r="FCB1628" s="1"/>
      <c r="FCC1628" s="1"/>
      <c r="FCD1628" s="1"/>
      <c r="FCE1628" s="1"/>
      <c r="FCF1628" s="1"/>
      <c r="FCG1628" s="1"/>
      <c r="FCH1628" s="1"/>
      <c r="FCI1628" s="1"/>
      <c r="FCJ1628" s="1"/>
      <c r="FCK1628" s="1"/>
      <c r="FCL1628" s="1"/>
      <c r="FCM1628" s="1"/>
      <c r="FCN1628" s="1"/>
      <c r="FCO1628" s="1"/>
      <c r="FCP1628" s="1"/>
      <c r="FCQ1628" s="1"/>
      <c r="FCR1628" s="1"/>
      <c r="FCS1628" s="1"/>
      <c r="FCT1628" s="1"/>
      <c r="FCU1628" s="1"/>
      <c r="FCV1628" s="1"/>
      <c r="FCW1628" s="1"/>
      <c r="FCX1628" s="1"/>
      <c r="FCY1628" s="1"/>
      <c r="FCZ1628" s="1"/>
      <c r="FDA1628" s="1"/>
      <c r="FDB1628" s="1"/>
      <c r="FDC1628" s="1"/>
      <c r="FDD1628" s="1"/>
      <c r="FDE1628" s="1"/>
      <c r="FDF1628" s="1"/>
      <c r="FDG1628" s="1"/>
      <c r="FDH1628" s="1"/>
      <c r="FDI1628" s="1"/>
      <c r="FDJ1628" s="1"/>
      <c r="FDK1628" s="1"/>
      <c r="FDL1628" s="1"/>
      <c r="FDM1628" s="1"/>
      <c r="FDN1628" s="1"/>
      <c r="FDO1628" s="1"/>
      <c r="FDP1628" s="1"/>
      <c r="FDQ1628" s="1"/>
      <c r="FDR1628" s="1"/>
      <c r="FDS1628" s="1"/>
      <c r="FDT1628" s="1"/>
      <c r="FDU1628" s="1"/>
      <c r="FDV1628" s="1"/>
      <c r="FDW1628" s="1"/>
      <c r="FDX1628" s="1"/>
      <c r="FDY1628" s="1"/>
      <c r="FDZ1628" s="1"/>
      <c r="FEA1628" s="1"/>
      <c r="FEB1628" s="1"/>
      <c r="FEC1628" s="1"/>
      <c r="FED1628" s="1"/>
      <c r="FEE1628" s="1"/>
      <c r="FEF1628" s="1"/>
      <c r="FEG1628" s="1"/>
      <c r="FEH1628" s="1"/>
      <c r="FEI1628" s="1"/>
      <c r="FEJ1628" s="1"/>
      <c r="FEK1628" s="1"/>
      <c r="FEL1628" s="1"/>
      <c r="FEM1628" s="1"/>
      <c r="FEN1628" s="1"/>
      <c r="FEO1628" s="1"/>
      <c r="FEP1628" s="1"/>
      <c r="FEQ1628" s="1"/>
      <c r="FER1628" s="1"/>
      <c r="FES1628" s="1"/>
      <c r="FET1628" s="1"/>
      <c r="FEU1628" s="1"/>
      <c r="FEV1628" s="1"/>
      <c r="FEW1628" s="1"/>
      <c r="FEX1628" s="1"/>
      <c r="FEY1628" s="1"/>
      <c r="FEZ1628" s="1"/>
      <c r="FFA1628" s="1"/>
      <c r="FFB1628" s="1"/>
      <c r="FFC1628" s="1"/>
      <c r="FFD1628" s="1"/>
      <c r="FFE1628" s="1"/>
      <c r="FFF1628" s="1"/>
      <c r="FFG1628" s="1"/>
      <c r="FFH1628" s="1"/>
      <c r="FFI1628" s="1"/>
      <c r="FFJ1628" s="1"/>
      <c r="FFK1628" s="1"/>
      <c r="FFL1628" s="1"/>
      <c r="FFM1628" s="1"/>
      <c r="FFN1628" s="1"/>
      <c r="FFO1628" s="1"/>
      <c r="FFP1628" s="1"/>
      <c r="FFQ1628" s="1"/>
      <c r="FFR1628" s="1"/>
      <c r="FFS1628" s="1"/>
      <c r="FFT1628" s="1"/>
      <c r="FFU1628" s="1"/>
      <c r="FFV1628" s="1"/>
      <c r="FFW1628" s="1"/>
      <c r="FFX1628" s="1"/>
      <c r="FFY1628" s="1"/>
      <c r="FFZ1628" s="1"/>
      <c r="FGA1628" s="1"/>
      <c r="FGB1628" s="1"/>
      <c r="FGC1628" s="1"/>
      <c r="FGD1628" s="1"/>
      <c r="FGE1628" s="1"/>
      <c r="FGF1628" s="1"/>
      <c r="FGG1628" s="1"/>
      <c r="FGH1628" s="1"/>
      <c r="FGI1628" s="1"/>
      <c r="FGJ1628" s="1"/>
      <c r="FGK1628" s="1"/>
      <c r="FGL1628" s="1"/>
      <c r="FGM1628" s="1"/>
      <c r="FGN1628" s="1"/>
      <c r="FGO1628" s="1"/>
      <c r="FGP1628" s="1"/>
      <c r="FGQ1628" s="1"/>
      <c r="FGR1628" s="1"/>
      <c r="FGS1628" s="1"/>
      <c r="FGT1628" s="1"/>
      <c r="FGU1628" s="1"/>
      <c r="FGV1628" s="1"/>
      <c r="FGW1628" s="1"/>
      <c r="FGX1628" s="1"/>
      <c r="FGY1628" s="1"/>
      <c r="FGZ1628" s="1"/>
      <c r="FHA1628" s="1"/>
      <c r="FHB1628" s="1"/>
      <c r="FHC1628" s="1"/>
      <c r="FHD1628" s="1"/>
      <c r="FHE1628" s="1"/>
      <c r="FHF1628" s="1"/>
      <c r="FHG1628" s="1"/>
      <c r="FHH1628" s="1"/>
      <c r="FHI1628" s="1"/>
      <c r="FHJ1628" s="1"/>
      <c r="FHK1628" s="1"/>
      <c r="FHL1628" s="1"/>
      <c r="FHM1628" s="1"/>
      <c r="FHN1628" s="1"/>
      <c r="FHO1628" s="1"/>
      <c r="FHP1628" s="1"/>
      <c r="FHQ1628" s="1"/>
      <c r="FHR1628" s="1"/>
      <c r="FHS1628" s="1"/>
      <c r="FHT1628" s="1"/>
      <c r="FHU1628" s="1"/>
      <c r="FHV1628" s="1"/>
      <c r="FHW1628" s="1"/>
      <c r="FHX1628" s="1"/>
      <c r="FHY1628" s="1"/>
      <c r="FHZ1628" s="1"/>
      <c r="FIA1628" s="1"/>
      <c r="FIB1628" s="1"/>
      <c r="FIC1628" s="1"/>
      <c r="FID1628" s="1"/>
      <c r="FIE1628" s="1"/>
      <c r="FIF1628" s="1"/>
      <c r="FIG1628" s="1"/>
      <c r="FIH1628" s="1"/>
      <c r="FII1628" s="1"/>
      <c r="FIJ1628" s="1"/>
      <c r="FIK1628" s="1"/>
      <c r="FIL1628" s="1"/>
      <c r="FIM1628" s="1"/>
      <c r="FIN1628" s="1"/>
      <c r="FIO1628" s="1"/>
      <c r="FIP1628" s="1"/>
      <c r="FIQ1628" s="1"/>
      <c r="FIR1628" s="1"/>
      <c r="FIS1628" s="1"/>
      <c r="FIT1628" s="1"/>
      <c r="FIU1628" s="1"/>
      <c r="FIV1628" s="1"/>
      <c r="FIW1628" s="1"/>
      <c r="FIX1628" s="1"/>
      <c r="FIY1628" s="1"/>
      <c r="FIZ1628" s="1"/>
      <c r="FJA1628" s="1"/>
      <c r="FJB1628" s="1"/>
      <c r="FJC1628" s="1"/>
      <c r="FJD1628" s="1"/>
      <c r="FJE1628" s="1"/>
      <c r="FJF1628" s="1"/>
      <c r="FJG1628" s="1"/>
      <c r="FJH1628" s="1"/>
      <c r="FJI1628" s="1"/>
      <c r="FJJ1628" s="1"/>
      <c r="FJK1628" s="1"/>
      <c r="FJL1628" s="1"/>
      <c r="FJM1628" s="1"/>
      <c r="FJN1628" s="1"/>
      <c r="FJO1628" s="1"/>
      <c r="FJP1628" s="1"/>
      <c r="FJQ1628" s="1"/>
      <c r="FJR1628" s="1"/>
      <c r="FJS1628" s="1"/>
      <c r="FJT1628" s="1"/>
      <c r="FJU1628" s="1"/>
      <c r="FJV1628" s="1"/>
      <c r="FJW1628" s="1"/>
      <c r="FJX1628" s="1"/>
      <c r="FJY1628" s="1"/>
      <c r="FJZ1628" s="1"/>
      <c r="FKA1628" s="1"/>
      <c r="FKB1628" s="1"/>
      <c r="FKC1628" s="1"/>
      <c r="FKD1628" s="1"/>
      <c r="FKE1628" s="1"/>
      <c r="FKF1628" s="1"/>
      <c r="FKG1628" s="1"/>
      <c r="FKH1628" s="1"/>
      <c r="FKI1628" s="1"/>
      <c r="FKJ1628" s="1"/>
      <c r="FKK1628" s="1"/>
      <c r="FKL1628" s="1"/>
      <c r="FKM1628" s="1"/>
      <c r="FKN1628" s="1"/>
      <c r="FKO1628" s="1"/>
      <c r="FKP1628" s="1"/>
      <c r="FKQ1628" s="1"/>
      <c r="FKR1628" s="1"/>
      <c r="FKS1628" s="1"/>
      <c r="FKT1628" s="1"/>
      <c r="FKU1628" s="1"/>
      <c r="FKV1628" s="1"/>
      <c r="FKW1628" s="1"/>
      <c r="FKX1628" s="1"/>
      <c r="FKY1628" s="1"/>
      <c r="FKZ1628" s="1"/>
      <c r="FLA1628" s="1"/>
      <c r="FLB1628" s="1"/>
      <c r="FLC1628" s="1"/>
      <c r="FLD1628" s="1"/>
      <c r="FLE1628" s="1"/>
      <c r="FLF1628" s="1"/>
      <c r="FLG1628" s="1"/>
      <c r="FLH1628" s="1"/>
      <c r="FLI1628" s="1"/>
      <c r="FLJ1628" s="1"/>
      <c r="FLK1628" s="1"/>
      <c r="FLL1628" s="1"/>
      <c r="FLM1628" s="1"/>
      <c r="FLN1628" s="1"/>
      <c r="FLO1628" s="1"/>
      <c r="FLP1628" s="1"/>
      <c r="FLQ1628" s="1"/>
      <c r="FLR1628" s="1"/>
      <c r="FLS1628" s="1"/>
      <c r="FLT1628" s="1"/>
      <c r="FLU1628" s="1"/>
      <c r="FLV1628" s="1"/>
      <c r="FLW1628" s="1"/>
      <c r="FLX1628" s="1"/>
      <c r="FLY1628" s="1"/>
      <c r="FLZ1628" s="1"/>
      <c r="FMA1628" s="1"/>
      <c r="FMB1628" s="1"/>
      <c r="FMC1628" s="1"/>
      <c r="FMD1628" s="1"/>
      <c r="FME1628" s="1"/>
      <c r="FMF1628" s="1"/>
      <c r="FMG1628" s="1"/>
      <c r="FMH1628" s="1"/>
      <c r="FMI1628" s="1"/>
      <c r="FMJ1628" s="1"/>
      <c r="FMK1628" s="1"/>
      <c r="FML1628" s="1"/>
      <c r="FMM1628" s="1"/>
      <c r="FMN1628" s="1"/>
      <c r="FMO1628" s="1"/>
      <c r="FMP1628" s="1"/>
      <c r="FMQ1628" s="1"/>
      <c r="FMR1628" s="1"/>
      <c r="FMS1628" s="1"/>
      <c r="FMT1628" s="1"/>
      <c r="FMU1628" s="1"/>
      <c r="FMV1628" s="1"/>
      <c r="FMW1628" s="1"/>
      <c r="FMX1628" s="1"/>
      <c r="FMY1628" s="1"/>
      <c r="FMZ1628" s="1"/>
      <c r="FNA1628" s="1"/>
      <c r="FNB1628" s="1"/>
      <c r="FNC1628" s="1"/>
      <c r="FND1628" s="1"/>
      <c r="FNE1628" s="1"/>
      <c r="FNF1628" s="1"/>
      <c r="FNG1628" s="1"/>
      <c r="FNH1628" s="1"/>
      <c r="FNI1628" s="1"/>
      <c r="FNJ1628" s="1"/>
      <c r="FNK1628" s="1"/>
      <c r="FNL1628" s="1"/>
      <c r="FNM1628" s="1"/>
      <c r="FNN1628" s="1"/>
      <c r="FNO1628" s="1"/>
      <c r="FNP1628" s="1"/>
      <c r="FNQ1628" s="1"/>
      <c r="FNR1628" s="1"/>
      <c r="FNS1628" s="1"/>
      <c r="FNT1628" s="1"/>
      <c r="FNU1628" s="1"/>
      <c r="FNV1628" s="1"/>
      <c r="FNW1628" s="1"/>
      <c r="FNX1628" s="1"/>
      <c r="FNY1628" s="1"/>
      <c r="FNZ1628" s="1"/>
      <c r="FOA1628" s="1"/>
      <c r="FOB1628" s="1"/>
      <c r="FOC1628" s="1"/>
      <c r="FOD1628" s="1"/>
      <c r="FOE1628" s="1"/>
      <c r="FOF1628" s="1"/>
      <c r="FOG1628" s="1"/>
      <c r="FOH1628" s="1"/>
      <c r="FOI1628" s="1"/>
      <c r="FOJ1628" s="1"/>
      <c r="FOK1628" s="1"/>
      <c r="FOL1628" s="1"/>
      <c r="FOM1628" s="1"/>
      <c r="FON1628" s="1"/>
      <c r="FOO1628" s="1"/>
      <c r="FOP1628" s="1"/>
      <c r="FOQ1628" s="1"/>
      <c r="FOR1628" s="1"/>
      <c r="FOS1628" s="1"/>
      <c r="FOT1628" s="1"/>
      <c r="FOU1628" s="1"/>
      <c r="FOV1628" s="1"/>
      <c r="FOW1628" s="1"/>
      <c r="FOX1628" s="1"/>
      <c r="FOY1628" s="1"/>
      <c r="FOZ1628" s="1"/>
      <c r="FPA1628" s="1"/>
      <c r="FPB1628" s="1"/>
      <c r="FPC1628" s="1"/>
      <c r="FPD1628" s="1"/>
      <c r="FPE1628" s="1"/>
      <c r="FPF1628" s="1"/>
      <c r="FPG1628" s="1"/>
      <c r="FPH1628" s="1"/>
      <c r="FPI1628" s="1"/>
      <c r="FPJ1628" s="1"/>
      <c r="FPK1628" s="1"/>
      <c r="FPL1628" s="1"/>
      <c r="FPM1628" s="1"/>
      <c r="FPN1628" s="1"/>
      <c r="FPO1628" s="1"/>
      <c r="FPP1628" s="1"/>
      <c r="FPQ1628" s="1"/>
      <c r="FPR1628" s="1"/>
      <c r="FPS1628" s="1"/>
      <c r="FPT1628" s="1"/>
      <c r="FPU1628" s="1"/>
      <c r="FPV1628" s="1"/>
      <c r="FPW1628" s="1"/>
      <c r="FPX1628" s="1"/>
      <c r="FPY1628" s="1"/>
      <c r="FPZ1628" s="1"/>
      <c r="FQA1628" s="1"/>
      <c r="FQB1628" s="1"/>
      <c r="FQC1628" s="1"/>
      <c r="FQD1628" s="1"/>
      <c r="FQE1628" s="1"/>
      <c r="FQF1628" s="1"/>
      <c r="FQG1628" s="1"/>
      <c r="FQH1628" s="1"/>
      <c r="FQI1628" s="1"/>
      <c r="FQJ1628" s="1"/>
      <c r="FQK1628" s="1"/>
      <c r="FQL1628" s="1"/>
      <c r="FQM1628" s="1"/>
      <c r="FQN1628" s="1"/>
      <c r="FQO1628" s="1"/>
      <c r="FQP1628" s="1"/>
      <c r="FQQ1628" s="1"/>
      <c r="FQR1628" s="1"/>
      <c r="FQS1628" s="1"/>
      <c r="FQT1628" s="1"/>
      <c r="FQU1628" s="1"/>
      <c r="FQV1628" s="1"/>
      <c r="FQW1628" s="1"/>
      <c r="FQX1628" s="1"/>
      <c r="FQY1628" s="1"/>
      <c r="FQZ1628" s="1"/>
      <c r="FRA1628" s="1"/>
      <c r="FRB1628" s="1"/>
      <c r="FRC1628" s="1"/>
      <c r="FRD1628" s="1"/>
      <c r="FRE1628" s="1"/>
      <c r="FRF1628" s="1"/>
      <c r="FRG1628" s="1"/>
      <c r="FRH1628" s="1"/>
      <c r="FRI1628" s="1"/>
      <c r="FRJ1628" s="1"/>
      <c r="FRK1628" s="1"/>
      <c r="FRL1628" s="1"/>
      <c r="FRM1628" s="1"/>
      <c r="FRN1628" s="1"/>
      <c r="FRO1628" s="1"/>
      <c r="FRP1628" s="1"/>
      <c r="FRQ1628" s="1"/>
      <c r="FRR1628" s="1"/>
      <c r="FRS1628" s="1"/>
      <c r="FRT1628" s="1"/>
      <c r="FRU1628" s="1"/>
      <c r="FRV1628" s="1"/>
      <c r="FRW1628" s="1"/>
      <c r="FRX1628" s="1"/>
      <c r="FRY1628" s="1"/>
      <c r="FRZ1628" s="1"/>
      <c r="FSA1628" s="1"/>
      <c r="FSB1628" s="1"/>
      <c r="FSC1628" s="1"/>
      <c r="FSD1628" s="1"/>
      <c r="FSE1628" s="1"/>
      <c r="FSF1628" s="1"/>
      <c r="FSG1628" s="1"/>
      <c r="FSH1628" s="1"/>
      <c r="FSI1628" s="1"/>
      <c r="FSJ1628" s="1"/>
      <c r="FSK1628" s="1"/>
      <c r="FSL1628" s="1"/>
      <c r="FSM1628" s="1"/>
      <c r="FSN1628" s="1"/>
      <c r="FSO1628" s="1"/>
      <c r="FSP1628" s="1"/>
      <c r="FSQ1628" s="1"/>
      <c r="FSR1628" s="1"/>
      <c r="FSS1628" s="1"/>
      <c r="FST1628" s="1"/>
      <c r="FSU1628" s="1"/>
      <c r="FSV1628" s="1"/>
      <c r="FSW1628" s="1"/>
      <c r="FSX1628" s="1"/>
      <c r="FSY1628" s="1"/>
      <c r="FSZ1628" s="1"/>
      <c r="FTA1628" s="1"/>
      <c r="FTB1628" s="1"/>
      <c r="FTC1628" s="1"/>
      <c r="FTD1628" s="1"/>
      <c r="FTE1628" s="1"/>
      <c r="FTF1628" s="1"/>
      <c r="FTG1628" s="1"/>
      <c r="FTH1628" s="1"/>
      <c r="FTI1628" s="1"/>
      <c r="FTJ1628" s="1"/>
      <c r="FTK1628" s="1"/>
      <c r="FTL1628" s="1"/>
      <c r="FTM1628" s="1"/>
      <c r="FTN1628" s="1"/>
      <c r="FTO1628" s="1"/>
      <c r="FTP1628" s="1"/>
      <c r="FTQ1628" s="1"/>
      <c r="FTR1628" s="1"/>
      <c r="FTS1628" s="1"/>
      <c r="FTT1628" s="1"/>
      <c r="FTU1628" s="1"/>
      <c r="FTV1628" s="1"/>
      <c r="FTW1628" s="1"/>
      <c r="FTX1628" s="1"/>
      <c r="FTY1628" s="1"/>
      <c r="FTZ1628" s="1"/>
      <c r="FUA1628" s="1"/>
      <c r="FUB1628" s="1"/>
      <c r="FUC1628" s="1"/>
      <c r="FUD1628" s="1"/>
      <c r="FUE1628" s="1"/>
      <c r="FUF1628" s="1"/>
      <c r="FUG1628" s="1"/>
      <c r="FUH1628" s="1"/>
      <c r="FUI1628" s="1"/>
      <c r="FUJ1628" s="1"/>
      <c r="FUK1628" s="1"/>
      <c r="FUL1628" s="1"/>
      <c r="FUM1628" s="1"/>
      <c r="FUN1628" s="1"/>
      <c r="FUO1628" s="1"/>
      <c r="FUP1628" s="1"/>
      <c r="FUQ1628" s="1"/>
      <c r="FUR1628" s="1"/>
      <c r="FUS1628" s="1"/>
      <c r="FUT1628" s="1"/>
      <c r="FUU1628" s="1"/>
      <c r="FUV1628" s="1"/>
      <c r="FUW1628" s="1"/>
      <c r="FUX1628" s="1"/>
      <c r="FUY1628" s="1"/>
      <c r="FUZ1628" s="1"/>
      <c r="FVA1628" s="1"/>
      <c r="FVB1628" s="1"/>
      <c r="FVC1628" s="1"/>
      <c r="FVD1628" s="1"/>
      <c r="FVE1628" s="1"/>
      <c r="FVF1628" s="1"/>
      <c r="FVG1628" s="1"/>
      <c r="FVH1628" s="1"/>
      <c r="FVI1628" s="1"/>
      <c r="FVJ1628" s="1"/>
      <c r="FVK1628" s="1"/>
      <c r="FVL1628" s="1"/>
      <c r="FVM1628" s="1"/>
      <c r="FVN1628" s="1"/>
      <c r="FVO1628" s="1"/>
      <c r="FVP1628" s="1"/>
      <c r="FVQ1628" s="1"/>
      <c r="FVR1628" s="1"/>
      <c r="FVS1628" s="1"/>
      <c r="FVT1628" s="1"/>
      <c r="FVU1628" s="1"/>
      <c r="FVV1628" s="1"/>
      <c r="FVW1628" s="1"/>
      <c r="FVX1628" s="1"/>
      <c r="FVY1628" s="1"/>
      <c r="FVZ1628" s="1"/>
      <c r="FWA1628" s="1"/>
      <c r="FWB1628" s="1"/>
      <c r="FWC1628" s="1"/>
      <c r="FWD1628" s="1"/>
      <c r="FWE1628" s="1"/>
      <c r="FWF1628" s="1"/>
      <c r="FWG1628" s="1"/>
      <c r="FWH1628" s="1"/>
      <c r="FWI1628" s="1"/>
      <c r="FWJ1628" s="1"/>
      <c r="FWK1628" s="1"/>
      <c r="FWL1628" s="1"/>
      <c r="FWM1628" s="1"/>
      <c r="FWN1628" s="1"/>
      <c r="FWO1628" s="1"/>
      <c r="FWP1628" s="1"/>
      <c r="FWQ1628" s="1"/>
      <c r="FWR1628" s="1"/>
      <c r="FWS1628" s="1"/>
      <c r="FWT1628" s="1"/>
      <c r="FWU1628" s="1"/>
      <c r="FWV1628" s="1"/>
      <c r="FWW1628" s="1"/>
      <c r="FWX1628" s="1"/>
      <c r="FWY1628" s="1"/>
      <c r="FWZ1628" s="1"/>
      <c r="FXA1628" s="1"/>
      <c r="FXB1628" s="1"/>
      <c r="FXC1628" s="1"/>
      <c r="FXD1628" s="1"/>
      <c r="FXE1628" s="1"/>
      <c r="FXF1628" s="1"/>
      <c r="FXG1628" s="1"/>
      <c r="FXH1628" s="1"/>
      <c r="FXI1628" s="1"/>
      <c r="FXJ1628" s="1"/>
      <c r="FXK1628" s="1"/>
      <c r="FXL1628" s="1"/>
      <c r="FXM1628" s="1"/>
      <c r="FXN1628" s="1"/>
      <c r="FXO1628" s="1"/>
      <c r="FXP1628" s="1"/>
      <c r="FXQ1628" s="1"/>
      <c r="FXR1628" s="1"/>
      <c r="FXS1628" s="1"/>
      <c r="FXT1628" s="1"/>
      <c r="FXU1628" s="1"/>
      <c r="FXV1628" s="1"/>
      <c r="FXW1628" s="1"/>
      <c r="FXX1628" s="1"/>
      <c r="FXY1628" s="1"/>
      <c r="FXZ1628" s="1"/>
      <c r="FYA1628" s="1"/>
      <c r="FYB1628" s="1"/>
      <c r="FYC1628" s="1"/>
      <c r="FYD1628" s="1"/>
      <c r="FYE1628" s="1"/>
      <c r="FYF1628" s="1"/>
      <c r="FYG1628" s="1"/>
      <c r="FYH1628" s="1"/>
      <c r="FYI1628" s="1"/>
      <c r="FYJ1628" s="1"/>
      <c r="FYK1628" s="1"/>
      <c r="FYL1628" s="1"/>
      <c r="FYM1628" s="1"/>
      <c r="FYN1628" s="1"/>
      <c r="FYO1628" s="1"/>
      <c r="FYP1628" s="1"/>
      <c r="FYQ1628" s="1"/>
      <c r="FYR1628" s="1"/>
      <c r="FYS1628" s="1"/>
      <c r="FYT1628" s="1"/>
      <c r="FYU1628" s="1"/>
      <c r="FYV1628" s="1"/>
      <c r="FYW1628" s="1"/>
      <c r="FYX1628" s="1"/>
      <c r="FYY1628" s="1"/>
      <c r="FYZ1628" s="1"/>
      <c r="FZA1628" s="1"/>
      <c r="FZB1628" s="1"/>
      <c r="FZC1628" s="1"/>
      <c r="FZD1628" s="1"/>
      <c r="FZE1628" s="1"/>
      <c r="FZF1628" s="1"/>
      <c r="FZG1628" s="1"/>
      <c r="FZH1628" s="1"/>
      <c r="FZI1628" s="1"/>
      <c r="FZJ1628" s="1"/>
      <c r="FZK1628" s="1"/>
      <c r="FZL1628" s="1"/>
      <c r="FZM1628" s="1"/>
      <c r="FZN1628" s="1"/>
      <c r="FZO1628" s="1"/>
      <c r="FZP1628" s="1"/>
      <c r="FZQ1628" s="1"/>
      <c r="FZR1628" s="1"/>
      <c r="FZS1628" s="1"/>
      <c r="FZT1628" s="1"/>
      <c r="FZU1628" s="1"/>
      <c r="FZV1628" s="1"/>
      <c r="FZW1628" s="1"/>
      <c r="FZX1628" s="1"/>
      <c r="FZY1628" s="1"/>
      <c r="FZZ1628" s="1"/>
      <c r="GAA1628" s="1"/>
      <c r="GAB1628" s="1"/>
      <c r="GAC1628" s="1"/>
      <c r="GAD1628" s="1"/>
      <c r="GAE1628" s="1"/>
      <c r="GAF1628" s="1"/>
      <c r="GAG1628" s="1"/>
      <c r="GAH1628" s="1"/>
      <c r="GAI1628" s="1"/>
      <c r="GAJ1628" s="1"/>
      <c r="GAK1628" s="1"/>
      <c r="GAL1628" s="1"/>
      <c r="GAM1628" s="1"/>
      <c r="GAN1628" s="1"/>
      <c r="GAO1628" s="1"/>
      <c r="GAP1628" s="1"/>
      <c r="GAQ1628" s="1"/>
      <c r="GAR1628" s="1"/>
      <c r="GAS1628" s="1"/>
      <c r="GAT1628" s="1"/>
      <c r="GAU1628" s="1"/>
      <c r="GAV1628" s="1"/>
      <c r="GAW1628" s="1"/>
      <c r="GAX1628" s="1"/>
      <c r="GAY1628" s="1"/>
      <c r="GAZ1628" s="1"/>
      <c r="GBA1628" s="1"/>
      <c r="GBB1628" s="1"/>
      <c r="GBC1628" s="1"/>
      <c r="GBD1628" s="1"/>
      <c r="GBE1628" s="1"/>
      <c r="GBF1628" s="1"/>
      <c r="GBG1628" s="1"/>
      <c r="GBH1628" s="1"/>
      <c r="GBI1628" s="1"/>
      <c r="GBJ1628" s="1"/>
      <c r="GBK1628" s="1"/>
      <c r="GBL1628" s="1"/>
      <c r="GBM1628" s="1"/>
      <c r="GBN1628" s="1"/>
      <c r="GBO1628" s="1"/>
      <c r="GBP1628" s="1"/>
      <c r="GBQ1628" s="1"/>
      <c r="GBR1628" s="1"/>
      <c r="GBS1628" s="1"/>
      <c r="GBT1628" s="1"/>
      <c r="GBU1628" s="1"/>
      <c r="GBV1628" s="1"/>
      <c r="GBW1628" s="1"/>
      <c r="GBX1628" s="1"/>
      <c r="GBY1628" s="1"/>
      <c r="GBZ1628" s="1"/>
      <c r="GCA1628" s="1"/>
      <c r="GCB1628" s="1"/>
      <c r="GCC1628" s="1"/>
      <c r="GCD1628" s="1"/>
      <c r="GCE1628" s="1"/>
      <c r="GCF1628" s="1"/>
      <c r="GCG1628" s="1"/>
      <c r="GCH1628" s="1"/>
      <c r="GCI1628" s="1"/>
      <c r="GCJ1628" s="1"/>
      <c r="GCK1628" s="1"/>
      <c r="GCL1628" s="1"/>
      <c r="GCM1628" s="1"/>
      <c r="GCN1628" s="1"/>
      <c r="GCO1628" s="1"/>
      <c r="GCP1628" s="1"/>
      <c r="GCQ1628" s="1"/>
      <c r="GCR1628" s="1"/>
      <c r="GCS1628" s="1"/>
      <c r="GCT1628" s="1"/>
      <c r="GCU1628" s="1"/>
      <c r="GCV1628" s="1"/>
      <c r="GCW1628" s="1"/>
      <c r="GCX1628" s="1"/>
      <c r="GCY1628" s="1"/>
      <c r="GCZ1628" s="1"/>
      <c r="GDA1628" s="1"/>
      <c r="GDB1628" s="1"/>
      <c r="GDC1628" s="1"/>
      <c r="GDD1628" s="1"/>
      <c r="GDE1628" s="1"/>
      <c r="GDF1628" s="1"/>
      <c r="GDG1628" s="1"/>
      <c r="GDH1628" s="1"/>
      <c r="GDI1628" s="1"/>
      <c r="GDJ1628" s="1"/>
      <c r="GDK1628" s="1"/>
      <c r="GDL1628" s="1"/>
      <c r="GDM1628" s="1"/>
      <c r="GDN1628" s="1"/>
      <c r="GDO1628" s="1"/>
      <c r="GDP1628" s="1"/>
      <c r="GDQ1628" s="1"/>
      <c r="GDR1628" s="1"/>
      <c r="GDS1628" s="1"/>
      <c r="GDT1628" s="1"/>
      <c r="GDU1628" s="1"/>
      <c r="GDV1628" s="1"/>
      <c r="GDW1628" s="1"/>
      <c r="GDX1628" s="1"/>
      <c r="GDY1628" s="1"/>
      <c r="GDZ1628" s="1"/>
      <c r="GEA1628" s="1"/>
      <c r="GEB1628" s="1"/>
      <c r="GEC1628" s="1"/>
      <c r="GED1628" s="1"/>
      <c r="GEE1628" s="1"/>
      <c r="GEF1628" s="1"/>
      <c r="GEG1628" s="1"/>
      <c r="GEH1628" s="1"/>
      <c r="GEI1628" s="1"/>
      <c r="GEJ1628" s="1"/>
      <c r="GEK1628" s="1"/>
      <c r="GEL1628" s="1"/>
      <c r="GEM1628" s="1"/>
      <c r="GEN1628" s="1"/>
      <c r="GEO1628" s="1"/>
      <c r="GEP1628" s="1"/>
      <c r="GEQ1628" s="1"/>
      <c r="GER1628" s="1"/>
      <c r="GES1628" s="1"/>
      <c r="GET1628" s="1"/>
      <c r="GEU1628" s="1"/>
      <c r="GEV1628" s="1"/>
      <c r="GEW1628" s="1"/>
      <c r="GEX1628" s="1"/>
      <c r="GEY1628" s="1"/>
      <c r="GEZ1628" s="1"/>
      <c r="GFA1628" s="1"/>
      <c r="GFB1628" s="1"/>
      <c r="GFC1628" s="1"/>
      <c r="GFD1628" s="1"/>
      <c r="GFE1628" s="1"/>
      <c r="GFF1628" s="1"/>
      <c r="GFG1628" s="1"/>
      <c r="GFH1628" s="1"/>
      <c r="GFI1628" s="1"/>
      <c r="GFJ1628" s="1"/>
      <c r="GFK1628" s="1"/>
      <c r="GFL1628" s="1"/>
      <c r="GFM1628" s="1"/>
      <c r="GFN1628" s="1"/>
      <c r="GFO1628" s="1"/>
      <c r="GFP1628" s="1"/>
      <c r="GFQ1628" s="1"/>
      <c r="GFR1628" s="1"/>
      <c r="GFS1628" s="1"/>
      <c r="GFT1628" s="1"/>
      <c r="GFU1628" s="1"/>
      <c r="GFV1628" s="1"/>
      <c r="GFW1628" s="1"/>
      <c r="GFX1628" s="1"/>
      <c r="GFY1628" s="1"/>
      <c r="GFZ1628" s="1"/>
      <c r="GGA1628" s="1"/>
      <c r="GGB1628" s="1"/>
      <c r="GGC1628" s="1"/>
      <c r="GGD1628" s="1"/>
      <c r="GGE1628" s="1"/>
      <c r="GGF1628" s="1"/>
      <c r="GGG1628" s="1"/>
      <c r="GGH1628" s="1"/>
      <c r="GGI1628" s="1"/>
      <c r="GGJ1628" s="1"/>
      <c r="GGK1628" s="1"/>
      <c r="GGL1628" s="1"/>
      <c r="GGM1628" s="1"/>
      <c r="GGN1628" s="1"/>
      <c r="GGO1628" s="1"/>
      <c r="GGP1628" s="1"/>
      <c r="GGQ1628" s="1"/>
      <c r="GGR1628" s="1"/>
      <c r="GGS1628" s="1"/>
      <c r="GGT1628" s="1"/>
      <c r="GGU1628" s="1"/>
      <c r="GGV1628" s="1"/>
      <c r="GGW1628" s="1"/>
      <c r="GGX1628" s="1"/>
      <c r="GGY1628" s="1"/>
      <c r="GGZ1628" s="1"/>
      <c r="GHA1628" s="1"/>
      <c r="GHB1628" s="1"/>
      <c r="GHC1628" s="1"/>
      <c r="GHD1628" s="1"/>
      <c r="GHE1628" s="1"/>
      <c r="GHF1628" s="1"/>
      <c r="GHG1628" s="1"/>
      <c r="GHH1628" s="1"/>
      <c r="GHI1628" s="1"/>
      <c r="GHJ1628" s="1"/>
      <c r="GHK1628" s="1"/>
      <c r="GHL1628" s="1"/>
      <c r="GHM1628" s="1"/>
      <c r="GHN1628" s="1"/>
      <c r="GHO1628" s="1"/>
      <c r="GHP1628" s="1"/>
      <c r="GHQ1628" s="1"/>
      <c r="GHR1628" s="1"/>
      <c r="GHS1628" s="1"/>
      <c r="GHT1628" s="1"/>
      <c r="GHU1628" s="1"/>
      <c r="GHV1628" s="1"/>
      <c r="GHW1628" s="1"/>
      <c r="GHX1628" s="1"/>
      <c r="GHY1628" s="1"/>
      <c r="GHZ1628" s="1"/>
      <c r="GIA1628" s="1"/>
      <c r="GIB1628" s="1"/>
      <c r="GIC1628" s="1"/>
      <c r="GID1628" s="1"/>
      <c r="GIE1628" s="1"/>
      <c r="GIF1628" s="1"/>
      <c r="GIG1628" s="1"/>
      <c r="GIH1628" s="1"/>
      <c r="GII1628" s="1"/>
      <c r="GIJ1628" s="1"/>
      <c r="GIK1628" s="1"/>
      <c r="GIL1628" s="1"/>
      <c r="GIM1628" s="1"/>
      <c r="GIN1628" s="1"/>
      <c r="GIO1628" s="1"/>
      <c r="GIP1628" s="1"/>
      <c r="GIQ1628" s="1"/>
      <c r="GIR1628" s="1"/>
      <c r="GIS1628" s="1"/>
      <c r="GIT1628" s="1"/>
      <c r="GIU1628" s="1"/>
      <c r="GIV1628" s="1"/>
      <c r="GIW1628" s="1"/>
      <c r="GIX1628" s="1"/>
      <c r="GIY1628" s="1"/>
      <c r="GIZ1628" s="1"/>
      <c r="GJA1628" s="1"/>
      <c r="GJB1628" s="1"/>
      <c r="GJC1628" s="1"/>
      <c r="GJD1628" s="1"/>
      <c r="GJE1628" s="1"/>
      <c r="GJF1628" s="1"/>
      <c r="GJG1628" s="1"/>
      <c r="GJH1628" s="1"/>
      <c r="GJI1628" s="1"/>
      <c r="GJJ1628" s="1"/>
      <c r="GJK1628" s="1"/>
      <c r="GJL1628" s="1"/>
      <c r="GJM1628" s="1"/>
      <c r="GJN1628" s="1"/>
      <c r="GJO1628" s="1"/>
      <c r="GJP1628" s="1"/>
      <c r="GJQ1628" s="1"/>
      <c r="GJR1628" s="1"/>
      <c r="GJS1628" s="1"/>
      <c r="GJT1628" s="1"/>
      <c r="GJU1628" s="1"/>
      <c r="GJV1628" s="1"/>
      <c r="GJW1628" s="1"/>
      <c r="GJX1628" s="1"/>
      <c r="GJY1628" s="1"/>
      <c r="GJZ1628" s="1"/>
      <c r="GKA1628" s="1"/>
      <c r="GKB1628" s="1"/>
      <c r="GKC1628" s="1"/>
      <c r="GKD1628" s="1"/>
      <c r="GKE1628" s="1"/>
      <c r="GKF1628" s="1"/>
      <c r="GKG1628" s="1"/>
      <c r="GKH1628" s="1"/>
      <c r="GKI1628" s="1"/>
      <c r="GKJ1628" s="1"/>
      <c r="GKK1628" s="1"/>
      <c r="GKL1628" s="1"/>
      <c r="GKM1628" s="1"/>
      <c r="GKN1628" s="1"/>
      <c r="GKO1628" s="1"/>
      <c r="GKP1628" s="1"/>
      <c r="GKQ1628" s="1"/>
      <c r="GKR1628" s="1"/>
      <c r="GKS1628" s="1"/>
      <c r="GKT1628" s="1"/>
      <c r="GKU1628" s="1"/>
      <c r="GKV1628" s="1"/>
      <c r="GKW1628" s="1"/>
      <c r="GKX1628" s="1"/>
      <c r="GKY1628" s="1"/>
      <c r="GKZ1628" s="1"/>
      <c r="GLA1628" s="1"/>
      <c r="GLB1628" s="1"/>
      <c r="GLC1628" s="1"/>
      <c r="GLD1628" s="1"/>
      <c r="GLE1628" s="1"/>
      <c r="GLF1628" s="1"/>
      <c r="GLG1628" s="1"/>
      <c r="GLH1628" s="1"/>
      <c r="GLI1628" s="1"/>
      <c r="GLJ1628" s="1"/>
      <c r="GLK1628" s="1"/>
      <c r="GLL1628" s="1"/>
      <c r="GLM1628" s="1"/>
      <c r="GLN1628" s="1"/>
      <c r="GLO1628" s="1"/>
      <c r="GLP1628" s="1"/>
      <c r="GLQ1628" s="1"/>
      <c r="GLR1628" s="1"/>
      <c r="GLS1628" s="1"/>
      <c r="GLT1628" s="1"/>
      <c r="GLU1628" s="1"/>
      <c r="GLV1628" s="1"/>
      <c r="GLW1628" s="1"/>
      <c r="GLX1628" s="1"/>
      <c r="GLY1628" s="1"/>
      <c r="GLZ1628" s="1"/>
      <c r="GMA1628" s="1"/>
      <c r="GMB1628" s="1"/>
      <c r="GMC1628" s="1"/>
      <c r="GMD1628" s="1"/>
      <c r="GME1628" s="1"/>
      <c r="GMF1628" s="1"/>
      <c r="GMG1628" s="1"/>
      <c r="GMH1628" s="1"/>
      <c r="GMI1628" s="1"/>
      <c r="GMJ1628" s="1"/>
      <c r="GMK1628" s="1"/>
      <c r="GML1628" s="1"/>
      <c r="GMM1628" s="1"/>
      <c r="GMN1628" s="1"/>
      <c r="GMO1628" s="1"/>
      <c r="GMP1628" s="1"/>
      <c r="GMQ1628" s="1"/>
      <c r="GMR1628" s="1"/>
      <c r="GMS1628" s="1"/>
      <c r="GMT1628" s="1"/>
      <c r="GMU1628" s="1"/>
      <c r="GMV1628" s="1"/>
      <c r="GMW1628" s="1"/>
      <c r="GMX1628" s="1"/>
      <c r="GMY1628" s="1"/>
      <c r="GMZ1628" s="1"/>
      <c r="GNA1628" s="1"/>
      <c r="GNB1628" s="1"/>
      <c r="GNC1628" s="1"/>
      <c r="GND1628" s="1"/>
      <c r="GNE1628" s="1"/>
      <c r="GNF1628" s="1"/>
      <c r="GNG1628" s="1"/>
      <c r="GNH1628" s="1"/>
      <c r="GNI1628" s="1"/>
      <c r="GNJ1628" s="1"/>
      <c r="GNK1628" s="1"/>
      <c r="GNL1628" s="1"/>
      <c r="GNM1628" s="1"/>
      <c r="GNN1628" s="1"/>
      <c r="GNO1628" s="1"/>
      <c r="GNP1628" s="1"/>
      <c r="GNQ1628" s="1"/>
      <c r="GNR1628" s="1"/>
      <c r="GNS1628" s="1"/>
      <c r="GNT1628" s="1"/>
      <c r="GNU1628" s="1"/>
      <c r="GNV1628" s="1"/>
      <c r="GNW1628" s="1"/>
      <c r="GNX1628" s="1"/>
      <c r="GNY1628" s="1"/>
      <c r="GNZ1628" s="1"/>
      <c r="GOA1628" s="1"/>
      <c r="GOB1628" s="1"/>
      <c r="GOC1628" s="1"/>
      <c r="GOD1628" s="1"/>
      <c r="GOE1628" s="1"/>
      <c r="GOF1628" s="1"/>
      <c r="GOG1628" s="1"/>
      <c r="GOH1628" s="1"/>
      <c r="GOI1628" s="1"/>
      <c r="GOJ1628" s="1"/>
      <c r="GOK1628" s="1"/>
      <c r="GOL1628" s="1"/>
      <c r="GOM1628" s="1"/>
      <c r="GON1628" s="1"/>
      <c r="GOO1628" s="1"/>
      <c r="GOP1628" s="1"/>
      <c r="GOQ1628" s="1"/>
      <c r="GOR1628" s="1"/>
      <c r="GOS1628" s="1"/>
      <c r="GOT1628" s="1"/>
      <c r="GOU1628" s="1"/>
      <c r="GOV1628" s="1"/>
      <c r="GOW1628" s="1"/>
      <c r="GOX1628" s="1"/>
      <c r="GOY1628" s="1"/>
      <c r="GOZ1628" s="1"/>
      <c r="GPA1628" s="1"/>
      <c r="GPB1628" s="1"/>
      <c r="GPC1628" s="1"/>
      <c r="GPD1628" s="1"/>
      <c r="GPE1628" s="1"/>
      <c r="GPF1628" s="1"/>
      <c r="GPG1628" s="1"/>
      <c r="GPH1628" s="1"/>
      <c r="GPI1628" s="1"/>
      <c r="GPJ1628" s="1"/>
      <c r="GPK1628" s="1"/>
      <c r="GPL1628" s="1"/>
      <c r="GPM1628" s="1"/>
      <c r="GPN1628" s="1"/>
      <c r="GPO1628" s="1"/>
      <c r="GPP1628" s="1"/>
      <c r="GPQ1628" s="1"/>
      <c r="GPR1628" s="1"/>
      <c r="GPS1628" s="1"/>
      <c r="GPT1628" s="1"/>
      <c r="GPU1628" s="1"/>
      <c r="GPV1628" s="1"/>
      <c r="GPW1628" s="1"/>
      <c r="GPX1628" s="1"/>
      <c r="GPY1628" s="1"/>
      <c r="GPZ1628" s="1"/>
      <c r="GQA1628" s="1"/>
      <c r="GQB1628" s="1"/>
      <c r="GQC1628" s="1"/>
      <c r="GQD1628" s="1"/>
      <c r="GQE1628" s="1"/>
      <c r="GQF1628" s="1"/>
      <c r="GQG1628" s="1"/>
      <c r="GQH1628" s="1"/>
      <c r="GQI1628" s="1"/>
      <c r="GQJ1628" s="1"/>
      <c r="GQK1628" s="1"/>
      <c r="GQL1628" s="1"/>
      <c r="GQM1628" s="1"/>
      <c r="GQN1628" s="1"/>
      <c r="GQO1628" s="1"/>
      <c r="GQP1628" s="1"/>
      <c r="GQQ1628" s="1"/>
      <c r="GQR1628" s="1"/>
      <c r="GQS1628" s="1"/>
      <c r="GQT1628" s="1"/>
      <c r="GQU1628" s="1"/>
      <c r="GQV1628" s="1"/>
      <c r="GQW1628" s="1"/>
      <c r="GQX1628" s="1"/>
      <c r="GQY1628" s="1"/>
      <c r="GQZ1628" s="1"/>
      <c r="GRA1628" s="1"/>
      <c r="GRB1628" s="1"/>
      <c r="GRC1628" s="1"/>
      <c r="GRD1628" s="1"/>
      <c r="GRE1628" s="1"/>
      <c r="GRF1628" s="1"/>
      <c r="GRG1628" s="1"/>
      <c r="GRH1628" s="1"/>
      <c r="GRI1628" s="1"/>
      <c r="GRJ1628" s="1"/>
      <c r="GRK1628" s="1"/>
      <c r="GRL1628" s="1"/>
      <c r="GRM1628" s="1"/>
      <c r="GRN1628" s="1"/>
      <c r="GRO1628" s="1"/>
      <c r="GRP1628" s="1"/>
      <c r="GRQ1628" s="1"/>
      <c r="GRR1628" s="1"/>
      <c r="GRS1628" s="1"/>
      <c r="GRT1628" s="1"/>
      <c r="GRU1628" s="1"/>
      <c r="GRV1628" s="1"/>
      <c r="GRW1628" s="1"/>
      <c r="GRX1628" s="1"/>
      <c r="GRY1628" s="1"/>
      <c r="GRZ1628" s="1"/>
      <c r="GSA1628" s="1"/>
      <c r="GSB1628" s="1"/>
      <c r="GSC1628" s="1"/>
      <c r="GSD1628" s="1"/>
      <c r="GSE1628" s="1"/>
      <c r="GSF1628" s="1"/>
      <c r="GSG1628" s="1"/>
      <c r="GSH1628" s="1"/>
      <c r="GSI1628" s="1"/>
      <c r="GSJ1628" s="1"/>
      <c r="GSK1628" s="1"/>
      <c r="GSL1628" s="1"/>
      <c r="GSM1628" s="1"/>
      <c r="GSN1628" s="1"/>
      <c r="GSO1628" s="1"/>
      <c r="GSP1628" s="1"/>
      <c r="GSQ1628" s="1"/>
      <c r="GSR1628" s="1"/>
      <c r="GSS1628" s="1"/>
      <c r="GST1628" s="1"/>
      <c r="GSU1628" s="1"/>
      <c r="GSV1628" s="1"/>
      <c r="GSW1628" s="1"/>
      <c r="GSX1628" s="1"/>
      <c r="GSY1628" s="1"/>
      <c r="GSZ1628" s="1"/>
      <c r="GTA1628" s="1"/>
      <c r="GTB1628" s="1"/>
      <c r="GTC1628" s="1"/>
      <c r="GTD1628" s="1"/>
      <c r="GTE1628" s="1"/>
      <c r="GTF1628" s="1"/>
      <c r="GTG1628" s="1"/>
      <c r="GTH1628" s="1"/>
      <c r="GTI1628" s="1"/>
      <c r="GTJ1628" s="1"/>
      <c r="GTK1628" s="1"/>
      <c r="GTL1628" s="1"/>
      <c r="GTM1628" s="1"/>
      <c r="GTN1628" s="1"/>
      <c r="GTO1628" s="1"/>
      <c r="GTP1628" s="1"/>
      <c r="GTQ1628" s="1"/>
      <c r="GTR1628" s="1"/>
      <c r="GTS1628" s="1"/>
      <c r="GTT1628" s="1"/>
      <c r="GTU1628" s="1"/>
      <c r="GTV1628" s="1"/>
      <c r="GTW1628" s="1"/>
      <c r="GTX1628" s="1"/>
      <c r="GTY1628" s="1"/>
      <c r="GTZ1628" s="1"/>
      <c r="GUA1628" s="1"/>
      <c r="GUB1628" s="1"/>
      <c r="GUC1628" s="1"/>
      <c r="GUD1628" s="1"/>
      <c r="GUE1628" s="1"/>
      <c r="GUF1628" s="1"/>
      <c r="GUG1628" s="1"/>
      <c r="GUH1628" s="1"/>
      <c r="GUI1628" s="1"/>
      <c r="GUJ1628" s="1"/>
      <c r="GUK1628" s="1"/>
      <c r="GUL1628" s="1"/>
      <c r="GUM1628" s="1"/>
      <c r="GUN1628" s="1"/>
      <c r="GUO1628" s="1"/>
      <c r="GUP1628" s="1"/>
      <c r="GUQ1628" s="1"/>
      <c r="GUR1628" s="1"/>
      <c r="GUS1628" s="1"/>
      <c r="GUT1628" s="1"/>
      <c r="GUU1628" s="1"/>
      <c r="GUV1628" s="1"/>
      <c r="GUW1628" s="1"/>
      <c r="GUX1628" s="1"/>
      <c r="GUY1628" s="1"/>
      <c r="GUZ1628" s="1"/>
      <c r="GVA1628" s="1"/>
      <c r="GVB1628" s="1"/>
      <c r="GVC1628" s="1"/>
      <c r="GVD1628" s="1"/>
      <c r="GVE1628" s="1"/>
      <c r="GVF1628" s="1"/>
      <c r="GVG1628" s="1"/>
      <c r="GVH1628" s="1"/>
      <c r="GVI1628" s="1"/>
      <c r="GVJ1628" s="1"/>
      <c r="GVK1628" s="1"/>
      <c r="GVL1628" s="1"/>
      <c r="GVM1628" s="1"/>
      <c r="GVN1628" s="1"/>
      <c r="GVO1628" s="1"/>
      <c r="GVP1628" s="1"/>
      <c r="GVQ1628" s="1"/>
      <c r="GVR1628" s="1"/>
      <c r="GVS1628" s="1"/>
      <c r="GVT1628" s="1"/>
      <c r="GVU1628" s="1"/>
      <c r="GVV1628" s="1"/>
      <c r="GVW1628" s="1"/>
      <c r="GVX1628" s="1"/>
      <c r="GVY1628" s="1"/>
      <c r="GVZ1628" s="1"/>
      <c r="GWA1628" s="1"/>
      <c r="GWB1628" s="1"/>
      <c r="GWC1628" s="1"/>
      <c r="GWD1628" s="1"/>
      <c r="GWE1628" s="1"/>
      <c r="GWF1628" s="1"/>
      <c r="GWG1628" s="1"/>
      <c r="GWH1628" s="1"/>
      <c r="GWI1628" s="1"/>
      <c r="GWJ1628" s="1"/>
      <c r="GWK1628" s="1"/>
      <c r="GWL1628" s="1"/>
      <c r="GWM1628" s="1"/>
      <c r="GWN1628" s="1"/>
      <c r="GWO1628" s="1"/>
      <c r="GWP1628" s="1"/>
      <c r="GWQ1628" s="1"/>
      <c r="GWR1628" s="1"/>
      <c r="GWS1628" s="1"/>
      <c r="GWT1628" s="1"/>
      <c r="GWU1628" s="1"/>
      <c r="GWV1628" s="1"/>
      <c r="GWW1628" s="1"/>
      <c r="GWX1628" s="1"/>
      <c r="GWY1628" s="1"/>
      <c r="GWZ1628" s="1"/>
      <c r="GXA1628" s="1"/>
      <c r="GXB1628" s="1"/>
      <c r="GXC1628" s="1"/>
      <c r="GXD1628" s="1"/>
      <c r="GXE1628" s="1"/>
      <c r="GXF1628" s="1"/>
      <c r="GXG1628" s="1"/>
      <c r="GXH1628" s="1"/>
      <c r="GXI1628" s="1"/>
      <c r="GXJ1628" s="1"/>
      <c r="GXK1628" s="1"/>
      <c r="GXL1628" s="1"/>
      <c r="GXM1628" s="1"/>
      <c r="GXN1628" s="1"/>
      <c r="GXO1628" s="1"/>
      <c r="GXP1628" s="1"/>
      <c r="GXQ1628" s="1"/>
      <c r="GXR1628" s="1"/>
      <c r="GXS1628" s="1"/>
      <c r="GXT1628" s="1"/>
      <c r="GXU1628" s="1"/>
      <c r="GXV1628" s="1"/>
      <c r="GXW1628" s="1"/>
      <c r="GXX1628" s="1"/>
      <c r="GXY1628" s="1"/>
      <c r="GXZ1628" s="1"/>
      <c r="GYA1628" s="1"/>
      <c r="GYB1628" s="1"/>
      <c r="GYC1628" s="1"/>
      <c r="GYD1628" s="1"/>
      <c r="GYE1628" s="1"/>
      <c r="GYF1628" s="1"/>
      <c r="GYG1628" s="1"/>
      <c r="GYH1628" s="1"/>
      <c r="GYI1628" s="1"/>
      <c r="GYJ1628" s="1"/>
      <c r="GYK1628" s="1"/>
      <c r="GYL1628" s="1"/>
      <c r="GYM1628" s="1"/>
      <c r="GYN1628" s="1"/>
      <c r="GYO1628" s="1"/>
      <c r="GYP1628" s="1"/>
      <c r="GYQ1628" s="1"/>
      <c r="GYR1628" s="1"/>
      <c r="GYS1628" s="1"/>
      <c r="GYT1628" s="1"/>
      <c r="GYU1628" s="1"/>
      <c r="GYV1628" s="1"/>
      <c r="GYW1628" s="1"/>
      <c r="GYX1628" s="1"/>
      <c r="GYY1628" s="1"/>
      <c r="GYZ1628" s="1"/>
      <c r="GZA1628" s="1"/>
      <c r="GZB1628" s="1"/>
      <c r="GZC1628" s="1"/>
      <c r="GZD1628" s="1"/>
      <c r="GZE1628" s="1"/>
      <c r="GZF1628" s="1"/>
      <c r="GZG1628" s="1"/>
      <c r="GZH1628" s="1"/>
      <c r="GZI1628" s="1"/>
      <c r="GZJ1628" s="1"/>
      <c r="GZK1628" s="1"/>
      <c r="GZL1628" s="1"/>
      <c r="GZM1628" s="1"/>
      <c r="GZN1628" s="1"/>
      <c r="GZO1628" s="1"/>
      <c r="GZP1628" s="1"/>
      <c r="GZQ1628" s="1"/>
      <c r="GZR1628" s="1"/>
      <c r="GZS1628" s="1"/>
      <c r="GZT1628" s="1"/>
      <c r="GZU1628" s="1"/>
      <c r="GZV1628" s="1"/>
      <c r="GZW1628" s="1"/>
      <c r="GZX1628" s="1"/>
      <c r="GZY1628" s="1"/>
      <c r="GZZ1628" s="1"/>
      <c r="HAA1628" s="1"/>
      <c r="HAB1628" s="1"/>
      <c r="HAC1628" s="1"/>
      <c r="HAD1628" s="1"/>
      <c r="HAE1628" s="1"/>
      <c r="HAF1628" s="1"/>
      <c r="HAG1628" s="1"/>
      <c r="HAH1628" s="1"/>
      <c r="HAI1628" s="1"/>
      <c r="HAJ1628" s="1"/>
      <c r="HAK1628" s="1"/>
      <c r="HAL1628" s="1"/>
      <c r="HAM1628" s="1"/>
      <c r="HAN1628" s="1"/>
      <c r="HAO1628" s="1"/>
      <c r="HAP1628" s="1"/>
      <c r="HAQ1628" s="1"/>
      <c r="HAR1628" s="1"/>
      <c r="HAS1628" s="1"/>
      <c r="HAT1628" s="1"/>
      <c r="HAU1628" s="1"/>
      <c r="HAV1628" s="1"/>
      <c r="HAW1628" s="1"/>
      <c r="HAX1628" s="1"/>
      <c r="HAY1628" s="1"/>
      <c r="HAZ1628" s="1"/>
      <c r="HBA1628" s="1"/>
      <c r="HBB1628" s="1"/>
      <c r="HBC1628" s="1"/>
      <c r="HBD1628" s="1"/>
      <c r="HBE1628" s="1"/>
      <c r="HBF1628" s="1"/>
      <c r="HBG1628" s="1"/>
      <c r="HBH1628" s="1"/>
      <c r="HBI1628" s="1"/>
      <c r="HBJ1628" s="1"/>
      <c r="HBK1628" s="1"/>
      <c r="HBL1628" s="1"/>
      <c r="HBM1628" s="1"/>
      <c r="HBN1628" s="1"/>
      <c r="HBO1628" s="1"/>
      <c r="HBP1628" s="1"/>
      <c r="HBQ1628" s="1"/>
      <c r="HBR1628" s="1"/>
      <c r="HBS1628" s="1"/>
      <c r="HBT1628" s="1"/>
      <c r="HBU1628" s="1"/>
      <c r="HBV1628" s="1"/>
      <c r="HBW1628" s="1"/>
      <c r="HBX1628" s="1"/>
      <c r="HBY1628" s="1"/>
      <c r="HBZ1628" s="1"/>
      <c r="HCA1628" s="1"/>
      <c r="HCB1628" s="1"/>
      <c r="HCC1628" s="1"/>
      <c r="HCD1628" s="1"/>
      <c r="HCE1628" s="1"/>
      <c r="HCF1628" s="1"/>
      <c r="HCG1628" s="1"/>
      <c r="HCH1628" s="1"/>
      <c r="HCI1628" s="1"/>
      <c r="HCJ1628" s="1"/>
      <c r="HCK1628" s="1"/>
      <c r="HCL1628" s="1"/>
      <c r="HCM1628" s="1"/>
      <c r="HCN1628" s="1"/>
      <c r="HCO1628" s="1"/>
      <c r="HCP1628" s="1"/>
      <c r="HCQ1628" s="1"/>
      <c r="HCR1628" s="1"/>
      <c r="HCS1628" s="1"/>
      <c r="HCT1628" s="1"/>
      <c r="HCU1628" s="1"/>
      <c r="HCV1628" s="1"/>
      <c r="HCW1628" s="1"/>
      <c r="HCX1628" s="1"/>
      <c r="HCY1628" s="1"/>
      <c r="HCZ1628" s="1"/>
      <c r="HDA1628" s="1"/>
      <c r="HDB1628" s="1"/>
      <c r="HDC1628" s="1"/>
      <c r="HDD1628" s="1"/>
      <c r="HDE1628" s="1"/>
      <c r="HDF1628" s="1"/>
      <c r="HDG1628" s="1"/>
      <c r="HDH1628" s="1"/>
      <c r="HDI1628" s="1"/>
      <c r="HDJ1628" s="1"/>
      <c r="HDK1628" s="1"/>
      <c r="HDL1628" s="1"/>
      <c r="HDM1628" s="1"/>
      <c r="HDN1628" s="1"/>
      <c r="HDO1628" s="1"/>
      <c r="HDP1628" s="1"/>
      <c r="HDQ1628" s="1"/>
      <c r="HDR1628" s="1"/>
      <c r="HDS1628" s="1"/>
      <c r="HDT1628" s="1"/>
      <c r="HDU1628" s="1"/>
      <c r="HDV1628" s="1"/>
      <c r="HDW1628" s="1"/>
      <c r="HDX1628" s="1"/>
      <c r="HDY1628" s="1"/>
      <c r="HDZ1628" s="1"/>
      <c r="HEA1628" s="1"/>
      <c r="HEB1628" s="1"/>
      <c r="HEC1628" s="1"/>
      <c r="HED1628" s="1"/>
      <c r="HEE1628" s="1"/>
      <c r="HEF1628" s="1"/>
      <c r="HEG1628" s="1"/>
      <c r="HEH1628" s="1"/>
      <c r="HEI1628" s="1"/>
      <c r="HEJ1628" s="1"/>
      <c r="HEK1628" s="1"/>
      <c r="HEL1628" s="1"/>
      <c r="HEM1628" s="1"/>
      <c r="HEN1628" s="1"/>
      <c r="HEO1628" s="1"/>
      <c r="HEP1628" s="1"/>
      <c r="HEQ1628" s="1"/>
      <c r="HER1628" s="1"/>
      <c r="HES1628" s="1"/>
      <c r="HET1628" s="1"/>
      <c r="HEU1628" s="1"/>
      <c r="HEV1628" s="1"/>
      <c r="HEW1628" s="1"/>
      <c r="HEX1628" s="1"/>
      <c r="HEY1628" s="1"/>
      <c r="HEZ1628" s="1"/>
      <c r="HFA1628" s="1"/>
      <c r="HFB1628" s="1"/>
      <c r="HFC1628" s="1"/>
      <c r="HFD1628" s="1"/>
      <c r="HFE1628" s="1"/>
      <c r="HFF1628" s="1"/>
      <c r="HFG1628" s="1"/>
      <c r="HFH1628" s="1"/>
      <c r="HFI1628" s="1"/>
      <c r="HFJ1628" s="1"/>
      <c r="HFK1628" s="1"/>
      <c r="HFL1628" s="1"/>
      <c r="HFM1628" s="1"/>
      <c r="HFN1628" s="1"/>
      <c r="HFO1628" s="1"/>
      <c r="HFP1628" s="1"/>
      <c r="HFQ1628" s="1"/>
      <c r="HFR1628" s="1"/>
      <c r="HFS1628" s="1"/>
      <c r="HFT1628" s="1"/>
      <c r="HFU1628" s="1"/>
      <c r="HFV1628" s="1"/>
      <c r="HFW1628" s="1"/>
      <c r="HFX1628" s="1"/>
      <c r="HFY1628" s="1"/>
      <c r="HFZ1628" s="1"/>
      <c r="HGA1628" s="1"/>
      <c r="HGB1628" s="1"/>
      <c r="HGC1628" s="1"/>
      <c r="HGD1628" s="1"/>
      <c r="HGE1628" s="1"/>
      <c r="HGF1628" s="1"/>
      <c r="HGG1628" s="1"/>
      <c r="HGH1628" s="1"/>
      <c r="HGI1628" s="1"/>
      <c r="HGJ1628" s="1"/>
      <c r="HGK1628" s="1"/>
      <c r="HGL1628" s="1"/>
      <c r="HGM1628" s="1"/>
      <c r="HGN1628" s="1"/>
      <c r="HGO1628" s="1"/>
      <c r="HGP1628" s="1"/>
      <c r="HGQ1628" s="1"/>
      <c r="HGR1628" s="1"/>
      <c r="HGS1628" s="1"/>
      <c r="HGT1628" s="1"/>
      <c r="HGU1628" s="1"/>
      <c r="HGV1628" s="1"/>
      <c r="HGW1628" s="1"/>
      <c r="HGX1628" s="1"/>
      <c r="HGY1628" s="1"/>
      <c r="HGZ1628" s="1"/>
      <c r="HHA1628" s="1"/>
      <c r="HHB1628" s="1"/>
      <c r="HHC1628" s="1"/>
      <c r="HHD1628" s="1"/>
      <c r="HHE1628" s="1"/>
      <c r="HHF1628" s="1"/>
      <c r="HHG1628" s="1"/>
      <c r="HHH1628" s="1"/>
      <c r="HHI1628" s="1"/>
      <c r="HHJ1628" s="1"/>
      <c r="HHK1628" s="1"/>
      <c r="HHL1628" s="1"/>
      <c r="HHM1628" s="1"/>
      <c r="HHN1628" s="1"/>
      <c r="HHO1628" s="1"/>
      <c r="HHP1628" s="1"/>
      <c r="HHQ1628" s="1"/>
      <c r="HHR1628" s="1"/>
      <c r="HHS1628" s="1"/>
      <c r="HHT1628" s="1"/>
      <c r="HHU1628" s="1"/>
      <c r="HHV1628" s="1"/>
      <c r="HHW1628" s="1"/>
      <c r="HHX1628" s="1"/>
      <c r="HHY1628" s="1"/>
      <c r="HHZ1628" s="1"/>
      <c r="HIA1628" s="1"/>
      <c r="HIB1628" s="1"/>
      <c r="HIC1628" s="1"/>
      <c r="HID1628" s="1"/>
      <c r="HIE1628" s="1"/>
      <c r="HIF1628" s="1"/>
      <c r="HIG1628" s="1"/>
      <c r="HIH1628" s="1"/>
      <c r="HII1628" s="1"/>
      <c r="HIJ1628" s="1"/>
      <c r="HIK1628" s="1"/>
      <c r="HIL1628" s="1"/>
      <c r="HIM1628" s="1"/>
      <c r="HIN1628" s="1"/>
      <c r="HIO1628" s="1"/>
      <c r="HIP1628" s="1"/>
      <c r="HIQ1628" s="1"/>
      <c r="HIR1628" s="1"/>
      <c r="HIS1628" s="1"/>
      <c r="HIT1628" s="1"/>
      <c r="HIU1628" s="1"/>
      <c r="HIV1628" s="1"/>
      <c r="HIW1628" s="1"/>
      <c r="HIX1628" s="1"/>
      <c r="HIY1628" s="1"/>
      <c r="HIZ1628" s="1"/>
      <c r="HJA1628" s="1"/>
      <c r="HJB1628" s="1"/>
      <c r="HJC1628" s="1"/>
      <c r="HJD1628" s="1"/>
      <c r="HJE1628" s="1"/>
      <c r="HJF1628" s="1"/>
      <c r="HJG1628" s="1"/>
      <c r="HJH1628" s="1"/>
      <c r="HJI1628" s="1"/>
      <c r="HJJ1628" s="1"/>
      <c r="HJK1628" s="1"/>
      <c r="HJL1628" s="1"/>
      <c r="HJM1628" s="1"/>
      <c r="HJN1628" s="1"/>
      <c r="HJO1628" s="1"/>
      <c r="HJP1628" s="1"/>
      <c r="HJQ1628" s="1"/>
      <c r="HJR1628" s="1"/>
      <c r="HJS1628" s="1"/>
      <c r="HJT1628" s="1"/>
      <c r="HJU1628" s="1"/>
      <c r="HJV1628" s="1"/>
      <c r="HJW1628" s="1"/>
      <c r="HJX1628" s="1"/>
      <c r="HJY1628" s="1"/>
      <c r="HJZ1628" s="1"/>
      <c r="HKA1628" s="1"/>
      <c r="HKB1628" s="1"/>
      <c r="HKC1628" s="1"/>
      <c r="HKD1628" s="1"/>
      <c r="HKE1628" s="1"/>
      <c r="HKF1628" s="1"/>
      <c r="HKG1628" s="1"/>
      <c r="HKH1628" s="1"/>
      <c r="HKI1628" s="1"/>
      <c r="HKJ1628" s="1"/>
      <c r="HKK1628" s="1"/>
      <c r="HKL1628" s="1"/>
      <c r="HKM1628" s="1"/>
      <c r="HKN1628" s="1"/>
      <c r="HKO1628" s="1"/>
      <c r="HKP1628" s="1"/>
      <c r="HKQ1628" s="1"/>
      <c r="HKR1628" s="1"/>
      <c r="HKS1628" s="1"/>
      <c r="HKT1628" s="1"/>
      <c r="HKU1628" s="1"/>
      <c r="HKV1628" s="1"/>
      <c r="HKW1628" s="1"/>
      <c r="HKX1628" s="1"/>
      <c r="HKY1628" s="1"/>
      <c r="HKZ1628" s="1"/>
      <c r="HLA1628" s="1"/>
      <c r="HLB1628" s="1"/>
      <c r="HLC1628" s="1"/>
      <c r="HLD1628" s="1"/>
      <c r="HLE1628" s="1"/>
      <c r="HLF1628" s="1"/>
      <c r="HLG1628" s="1"/>
      <c r="HLH1628" s="1"/>
      <c r="HLI1628" s="1"/>
      <c r="HLJ1628" s="1"/>
      <c r="HLK1628" s="1"/>
      <c r="HLL1628" s="1"/>
      <c r="HLM1628" s="1"/>
      <c r="HLN1628" s="1"/>
      <c r="HLO1628" s="1"/>
      <c r="HLP1628" s="1"/>
      <c r="HLQ1628" s="1"/>
      <c r="HLR1628" s="1"/>
      <c r="HLS1628" s="1"/>
      <c r="HLT1628" s="1"/>
      <c r="HLU1628" s="1"/>
      <c r="HLV1628" s="1"/>
      <c r="HLW1628" s="1"/>
      <c r="HLX1628" s="1"/>
      <c r="HLY1628" s="1"/>
      <c r="HLZ1628" s="1"/>
      <c r="HMA1628" s="1"/>
      <c r="HMB1628" s="1"/>
      <c r="HMC1628" s="1"/>
      <c r="HMD1628" s="1"/>
      <c r="HME1628" s="1"/>
      <c r="HMF1628" s="1"/>
      <c r="HMG1628" s="1"/>
      <c r="HMH1628" s="1"/>
      <c r="HMI1628" s="1"/>
      <c r="HMJ1628" s="1"/>
      <c r="HMK1628" s="1"/>
      <c r="HML1628" s="1"/>
      <c r="HMM1628" s="1"/>
      <c r="HMN1628" s="1"/>
      <c r="HMO1628" s="1"/>
      <c r="HMP1628" s="1"/>
      <c r="HMQ1628" s="1"/>
      <c r="HMR1628" s="1"/>
      <c r="HMS1628" s="1"/>
      <c r="HMT1628" s="1"/>
      <c r="HMU1628" s="1"/>
      <c r="HMV1628" s="1"/>
      <c r="HMW1628" s="1"/>
      <c r="HMX1628" s="1"/>
      <c r="HMY1628" s="1"/>
      <c r="HMZ1628" s="1"/>
      <c r="HNA1628" s="1"/>
      <c r="HNB1628" s="1"/>
      <c r="HNC1628" s="1"/>
      <c r="HND1628" s="1"/>
      <c r="HNE1628" s="1"/>
      <c r="HNF1628" s="1"/>
      <c r="HNG1628" s="1"/>
      <c r="HNH1628" s="1"/>
      <c r="HNI1628" s="1"/>
      <c r="HNJ1628" s="1"/>
      <c r="HNK1628" s="1"/>
      <c r="HNL1628" s="1"/>
      <c r="HNM1628" s="1"/>
      <c r="HNN1628" s="1"/>
      <c r="HNO1628" s="1"/>
      <c r="HNP1628" s="1"/>
      <c r="HNQ1628" s="1"/>
      <c r="HNR1628" s="1"/>
      <c r="HNS1628" s="1"/>
      <c r="HNT1628" s="1"/>
      <c r="HNU1628" s="1"/>
      <c r="HNV1628" s="1"/>
      <c r="HNW1628" s="1"/>
      <c r="HNX1628" s="1"/>
      <c r="HNY1628" s="1"/>
      <c r="HNZ1628" s="1"/>
      <c r="HOA1628" s="1"/>
      <c r="HOB1628" s="1"/>
      <c r="HOC1628" s="1"/>
      <c r="HOD1628" s="1"/>
      <c r="HOE1628" s="1"/>
      <c r="HOF1628" s="1"/>
      <c r="HOG1628" s="1"/>
      <c r="HOH1628" s="1"/>
      <c r="HOI1628" s="1"/>
      <c r="HOJ1628" s="1"/>
      <c r="HOK1628" s="1"/>
      <c r="HOL1628" s="1"/>
      <c r="HOM1628" s="1"/>
      <c r="HON1628" s="1"/>
      <c r="HOO1628" s="1"/>
      <c r="HOP1628" s="1"/>
      <c r="HOQ1628" s="1"/>
      <c r="HOR1628" s="1"/>
      <c r="HOS1628" s="1"/>
      <c r="HOT1628" s="1"/>
      <c r="HOU1628" s="1"/>
      <c r="HOV1628" s="1"/>
      <c r="HOW1628" s="1"/>
      <c r="HOX1628" s="1"/>
      <c r="HOY1628" s="1"/>
      <c r="HOZ1628" s="1"/>
      <c r="HPA1628" s="1"/>
      <c r="HPB1628" s="1"/>
      <c r="HPC1628" s="1"/>
      <c r="HPD1628" s="1"/>
      <c r="HPE1628" s="1"/>
      <c r="HPF1628" s="1"/>
      <c r="HPG1628" s="1"/>
      <c r="HPH1628" s="1"/>
      <c r="HPI1628" s="1"/>
      <c r="HPJ1628" s="1"/>
      <c r="HPK1628" s="1"/>
      <c r="HPL1628" s="1"/>
      <c r="HPM1628" s="1"/>
      <c r="HPN1628" s="1"/>
      <c r="HPO1628" s="1"/>
      <c r="HPP1628" s="1"/>
      <c r="HPQ1628" s="1"/>
      <c r="HPR1628" s="1"/>
      <c r="HPS1628" s="1"/>
      <c r="HPT1628" s="1"/>
      <c r="HPU1628" s="1"/>
      <c r="HPV1628" s="1"/>
      <c r="HPW1628" s="1"/>
      <c r="HPX1628" s="1"/>
      <c r="HPY1628" s="1"/>
      <c r="HPZ1628" s="1"/>
      <c r="HQA1628" s="1"/>
      <c r="HQB1628" s="1"/>
      <c r="HQC1628" s="1"/>
      <c r="HQD1628" s="1"/>
      <c r="HQE1628" s="1"/>
      <c r="HQF1628" s="1"/>
      <c r="HQG1628" s="1"/>
      <c r="HQH1628" s="1"/>
      <c r="HQI1628" s="1"/>
      <c r="HQJ1628" s="1"/>
      <c r="HQK1628" s="1"/>
      <c r="HQL1628" s="1"/>
      <c r="HQM1628" s="1"/>
      <c r="HQN1628" s="1"/>
      <c r="HQO1628" s="1"/>
      <c r="HQP1628" s="1"/>
      <c r="HQQ1628" s="1"/>
      <c r="HQR1628" s="1"/>
      <c r="HQS1628" s="1"/>
      <c r="HQT1628" s="1"/>
      <c r="HQU1628" s="1"/>
      <c r="HQV1628" s="1"/>
      <c r="HQW1628" s="1"/>
      <c r="HQX1628" s="1"/>
      <c r="HQY1628" s="1"/>
      <c r="HQZ1628" s="1"/>
      <c r="HRA1628" s="1"/>
      <c r="HRB1628" s="1"/>
      <c r="HRC1628" s="1"/>
      <c r="HRD1628" s="1"/>
      <c r="HRE1628" s="1"/>
      <c r="HRF1628" s="1"/>
      <c r="HRG1628" s="1"/>
      <c r="HRH1628" s="1"/>
      <c r="HRI1628" s="1"/>
      <c r="HRJ1628" s="1"/>
      <c r="HRK1628" s="1"/>
      <c r="HRL1628" s="1"/>
      <c r="HRM1628" s="1"/>
      <c r="HRN1628" s="1"/>
      <c r="HRO1628" s="1"/>
      <c r="HRP1628" s="1"/>
      <c r="HRQ1628" s="1"/>
      <c r="HRR1628" s="1"/>
      <c r="HRS1628" s="1"/>
      <c r="HRT1628" s="1"/>
      <c r="HRU1628" s="1"/>
      <c r="HRV1628" s="1"/>
      <c r="HRW1628" s="1"/>
      <c r="HRX1628" s="1"/>
      <c r="HRY1628" s="1"/>
      <c r="HRZ1628" s="1"/>
      <c r="HSA1628" s="1"/>
      <c r="HSB1628" s="1"/>
      <c r="HSC1628" s="1"/>
      <c r="HSD1628" s="1"/>
      <c r="HSE1628" s="1"/>
      <c r="HSF1628" s="1"/>
      <c r="HSG1628" s="1"/>
      <c r="HSH1628" s="1"/>
      <c r="HSI1628" s="1"/>
      <c r="HSJ1628" s="1"/>
      <c r="HSK1628" s="1"/>
      <c r="HSL1628" s="1"/>
      <c r="HSM1628" s="1"/>
      <c r="HSN1628" s="1"/>
      <c r="HSO1628" s="1"/>
      <c r="HSP1628" s="1"/>
      <c r="HSQ1628" s="1"/>
      <c r="HSR1628" s="1"/>
      <c r="HSS1628" s="1"/>
      <c r="HST1628" s="1"/>
      <c r="HSU1628" s="1"/>
      <c r="HSV1628" s="1"/>
      <c r="HSW1628" s="1"/>
      <c r="HSX1628" s="1"/>
      <c r="HSY1628" s="1"/>
      <c r="HSZ1628" s="1"/>
      <c r="HTA1628" s="1"/>
      <c r="HTB1628" s="1"/>
      <c r="HTC1628" s="1"/>
      <c r="HTD1628" s="1"/>
      <c r="HTE1628" s="1"/>
      <c r="HTF1628" s="1"/>
      <c r="HTG1628" s="1"/>
      <c r="HTH1628" s="1"/>
      <c r="HTI1628" s="1"/>
      <c r="HTJ1628" s="1"/>
      <c r="HTK1628" s="1"/>
      <c r="HTL1628" s="1"/>
      <c r="HTM1628" s="1"/>
      <c r="HTN1628" s="1"/>
      <c r="HTO1628" s="1"/>
      <c r="HTP1628" s="1"/>
      <c r="HTQ1628" s="1"/>
      <c r="HTR1628" s="1"/>
      <c r="HTS1628" s="1"/>
      <c r="HTT1628" s="1"/>
      <c r="HTU1628" s="1"/>
      <c r="HTV1628" s="1"/>
      <c r="HTW1628" s="1"/>
      <c r="HTX1628" s="1"/>
      <c r="HTY1628" s="1"/>
      <c r="HTZ1628" s="1"/>
      <c r="HUA1628" s="1"/>
      <c r="HUB1628" s="1"/>
      <c r="HUC1628" s="1"/>
      <c r="HUD1628" s="1"/>
      <c r="HUE1628" s="1"/>
      <c r="HUF1628" s="1"/>
      <c r="HUG1628" s="1"/>
      <c r="HUH1628" s="1"/>
      <c r="HUI1628" s="1"/>
      <c r="HUJ1628" s="1"/>
      <c r="HUK1628" s="1"/>
      <c r="HUL1628" s="1"/>
      <c r="HUM1628" s="1"/>
      <c r="HUN1628" s="1"/>
      <c r="HUO1628" s="1"/>
      <c r="HUP1628" s="1"/>
      <c r="HUQ1628" s="1"/>
      <c r="HUR1628" s="1"/>
      <c r="HUS1628" s="1"/>
      <c r="HUT1628" s="1"/>
      <c r="HUU1628" s="1"/>
      <c r="HUV1628" s="1"/>
      <c r="HUW1628" s="1"/>
      <c r="HUX1628" s="1"/>
      <c r="HUY1628" s="1"/>
      <c r="HUZ1628" s="1"/>
      <c r="HVA1628" s="1"/>
      <c r="HVB1628" s="1"/>
      <c r="HVC1628" s="1"/>
      <c r="HVD1628" s="1"/>
      <c r="HVE1628" s="1"/>
      <c r="HVF1628" s="1"/>
      <c r="HVG1628" s="1"/>
      <c r="HVH1628" s="1"/>
      <c r="HVI1628" s="1"/>
      <c r="HVJ1628" s="1"/>
      <c r="HVK1628" s="1"/>
      <c r="HVL1628" s="1"/>
      <c r="HVM1628" s="1"/>
      <c r="HVN1628" s="1"/>
      <c r="HVO1628" s="1"/>
      <c r="HVP1628" s="1"/>
      <c r="HVQ1628" s="1"/>
      <c r="HVR1628" s="1"/>
      <c r="HVS1628" s="1"/>
      <c r="HVT1628" s="1"/>
      <c r="HVU1628" s="1"/>
      <c r="HVV1628" s="1"/>
      <c r="HVW1628" s="1"/>
      <c r="HVX1628" s="1"/>
      <c r="HVY1628" s="1"/>
      <c r="HVZ1628" s="1"/>
      <c r="HWA1628" s="1"/>
      <c r="HWB1628" s="1"/>
      <c r="HWC1628" s="1"/>
      <c r="HWD1628" s="1"/>
      <c r="HWE1628" s="1"/>
      <c r="HWF1628" s="1"/>
      <c r="HWG1628" s="1"/>
      <c r="HWH1628" s="1"/>
      <c r="HWI1628" s="1"/>
      <c r="HWJ1628" s="1"/>
      <c r="HWK1628" s="1"/>
      <c r="HWL1628" s="1"/>
      <c r="HWM1628" s="1"/>
      <c r="HWN1628" s="1"/>
      <c r="HWO1628" s="1"/>
      <c r="HWP1628" s="1"/>
      <c r="HWQ1628" s="1"/>
      <c r="HWR1628" s="1"/>
      <c r="HWS1628" s="1"/>
      <c r="HWT1628" s="1"/>
      <c r="HWU1628" s="1"/>
      <c r="HWV1628" s="1"/>
      <c r="HWW1628" s="1"/>
      <c r="HWX1628" s="1"/>
      <c r="HWY1628" s="1"/>
      <c r="HWZ1628" s="1"/>
      <c r="HXA1628" s="1"/>
      <c r="HXB1628" s="1"/>
      <c r="HXC1628" s="1"/>
      <c r="HXD1628" s="1"/>
      <c r="HXE1628" s="1"/>
      <c r="HXF1628" s="1"/>
      <c r="HXG1628" s="1"/>
      <c r="HXH1628" s="1"/>
      <c r="HXI1628" s="1"/>
      <c r="HXJ1628" s="1"/>
      <c r="HXK1628" s="1"/>
      <c r="HXL1628" s="1"/>
      <c r="HXM1628" s="1"/>
      <c r="HXN1628" s="1"/>
      <c r="HXO1628" s="1"/>
      <c r="HXP1628" s="1"/>
      <c r="HXQ1628" s="1"/>
      <c r="HXR1628" s="1"/>
      <c r="HXS1628" s="1"/>
      <c r="HXT1628" s="1"/>
      <c r="HXU1628" s="1"/>
      <c r="HXV1628" s="1"/>
      <c r="HXW1628" s="1"/>
      <c r="HXX1628" s="1"/>
      <c r="HXY1628" s="1"/>
      <c r="HXZ1628" s="1"/>
      <c r="HYA1628" s="1"/>
      <c r="HYB1628" s="1"/>
      <c r="HYC1628" s="1"/>
      <c r="HYD1628" s="1"/>
      <c r="HYE1628" s="1"/>
      <c r="HYF1628" s="1"/>
      <c r="HYG1628" s="1"/>
      <c r="HYH1628" s="1"/>
      <c r="HYI1628" s="1"/>
      <c r="HYJ1628" s="1"/>
      <c r="HYK1628" s="1"/>
      <c r="HYL1628" s="1"/>
      <c r="HYM1628" s="1"/>
      <c r="HYN1628" s="1"/>
      <c r="HYO1628" s="1"/>
      <c r="HYP1628" s="1"/>
      <c r="HYQ1628" s="1"/>
      <c r="HYR1628" s="1"/>
      <c r="HYS1628" s="1"/>
      <c r="HYT1628" s="1"/>
      <c r="HYU1628" s="1"/>
      <c r="HYV1628" s="1"/>
      <c r="HYW1628" s="1"/>
      <c r="HYX1628" s="1"/>
      <c r="HYY1628" s="1"/>
      <c r="HYZ1628" s="1"/>
      <c r="HZA1628" s="1"/>
      <c r="HZB1628" s="1"/>
      <c r="HZC1628" s="1"/>
      <c r="HZD1628" s="1"/>
      <c r="HZE1628" s="1"/>
      <c r="HZF1628" s="1"/>
      <c r="HZG1628" s="1"/>
      <c r="HZH1628" s="1"/>
      <c r="HZI1628" s="1"/>
      <c r="HZJ1628" s="1"/>
      <c r="HZK1628" s="1"/>
      <c r="HZL1628" s="1"/>
      <c r="HZM1628" s="1"/>
      <c r="HZN1628" s="1"/>
      <c r="HZO1628" s="1"/>
      <c r="HZP1628" s="1"/>
      <c r="HZQ1628" s="1"/>
      <c r="HZR1628" s="1"/>
      <c r="HZS1628" s="1"/>
      <c r="HZT1628" s="1"/>
      <c r="HZU1628" s="1"/>
      <c r="HZV1628" s="1"/>
      <c r="HZW1628" s="1"/>
      <c r="HZX1628" s="1"/>
      <c r="HZY1628" s="1"/>
      <c r="HZZ1628" s="1"/>
      <c r="IAA1628" s="1"/>
      <c r="IAB1628" s="1"/>
      <c r="IAC1628" s="1"/>
      <c r="IAD1628" s="1"/>
      <c r="IAE1628" s="1"/>
      <c r="IAF1628" s="1"/>
      <c r="IAG1628" s="1"/>
      <c r="IAH1628" s="1"/>
      <c r="IAI1628" s="1"/>
      <c r="IAJ1628" s="1"/>
      <c r="IAK1628" s="1"/>
      <c r="IAL1628" s="1"/>
      <c r="IAM1628" s="1"/>
      <c r="IAN1628" s="1"/>
      <c r="IAO1628" s="1"/>
      <c r="IAP1628" s="1"/>
      <c r="IAQ1628" s="1"/>
      <c r="IAR1628" s="1"/>
      <c r="IAS1628" s="1"/>
      <c r="IAT1628" s="1"/>
      <c r="IAU1628" s="1"/>
      <c r="IAV1628" s="1"/>
      <c r="IAW1628" s="1"/>
      <c r="IAX1628" s="1"/>
      <c r="IAY1628" s="1"/>
      <c r="IAZ1628" s="1"/>
      <c r="IBA1628" s="1"/>
      <c r="IBB1628" s="1"/>
      <c r="IBC1628" s="1"/>
      <c r="IBD1628" s="1"/>
      <c r="IBE1628" s="1"/>
      <c r="IBF1628" s="1"/>
      <c r="IBG1628" s="1"/>
      <c r="IBH1628" s="1"/>
      <c r="IBI1628" s="1"/>
      <c r="IBJ1628" s="1"/>
      <c r="IBK1628" s="1"/>
      <c r="IBL1628" s="1"/>
      <c r="IBM1628" s="1"/>
      <c r="IBN1628" s="1"/>
      <c r="IBO1628" s="1"/>
      <c r="IBP1628" s="1"/>
      <c r="IBQ1628" s="1"/>
      <c r="IBR1628" s="1"/>
      <c r="IBS1628" s="1"/>
      <c r="IBT1628" s="1"/>
      <c r="IBU1628" s="1"/>
      <c r="IBV1628" s="1"/>
      <c r="IBW1628" s="1"/>
      <c r="IBX1628" s="1"/>
      <c r="IBY1628" s="1"/>
      <c r="IBZ1628" s="1"/>
      <c r="ICA1628" s="1"/>
      <c r="ICB1628" s="1"/>
      <c r="ICC1628" s="1"/>
      <c r="ICD1628" s="1"/>
      <c r="ICE1628" s="1"/>
      <c r="ICF1628" s="1"/>
      <c r="ICG1628" s="1"/>
      <c r="ICH1628" s="1"/>
      <c r="ICI1628" s="1"/>
      <c r="ICJ1628" s="1"/>
      <c r="ICK1628" s="1"/>
      <c r="ICL1628" s="1"/>
      <c r="ICM1628" s="1"/>
      <c r="ICN1628" s="1"/>
      <c r="ICO1628" s="1"/>
      <c r="ICP1628" s="1"/>
      <c r="ICQ1628" s="1"/>
      <c r="ICR1628" s="1"/>
      <c r="ICS1628" s="1"/>
      <c r="ICT1628" s="1"/>
      <c r="ICU1628" s="1"/>
      <c r="ICV1628" s="1"/>
      <c r="ICW1628" s="1"/>
      <c r="ICX1628" s="1"/>
      <c r="ICY1628" s="1"/>
      <c r="ICZ1628" s="1"/>
      <c r="IDA1628" s="1"/>
      <c r="IDB1628" s="1"/>
      <c r="IDC1628" s="1"/>
      <c r="IDD1628" s="1"/>
      <c r="IDE1628" s="1"/>
      <c r="IDF1628" s="1"/>
      <c r="IDG1628" s="1"/>
      <c r="IDH1628" s="1"/>
      <c r="IDI1628" s="1"/>
      <c r="IDJ1628" s="1"/>
      <c r="IDK1628" s="1"/>
      <c r="IDL1628" s="1"/>
      <c r="IDM1628" s="1"/>
      <c r="IDN1628" s="1"/>
      <c r="IDO1628" s="1"/>
      <c r="IDP1628" s="1"/>
      <c r="IDQ1628" s="1"/>
      <c r="IDR1628" s="1"/>
      <c r="IDS1628" s="1"/>
      <c r="IDT1628" s="1"/>
      <c r="IDU1628" s="1"/>
      <c r="IDV1628" s="1"/>
      <c r="IDW1628" s="1"/>
      <c r="IDX1628" s="1"/>
      <c r="IDY1628" s="1"/>
      <c r="IDZ1628" s="1"/>
      <c r="IEA1628" s="1"/>
      <c r="IEB1628" s="1"/>
      <c r="IEC1628" s="1"/>
      <c r="IED1628" s="1"/>
      <c r="IEE1628" s="1"/>
      <c r="IEF1628" s="1"/>
      <c r="IEG1628" s="1"/>
      <c r="IEH1628" s="1"/>
      <c r="IEI1628" s="1"/>
      <c r="IEJ1628" s="1"/>
      <c r="IEK1628" s="1"/>
      <c r="IEL1628" s="1"/>
      <c r="IEM1628" s="1"/>
      <c r="IEN1628" s="1"/>
      <c r="IEO1628" s="1"/>
      <c r="IEP1628" s="1"/>
      <c r="IEQ1628" s="1"/>
      <c r="IER1628" s="1"/>
      <c r="IES1628" s="1"/>
      <c r="IET1628" s="1"/>
      <c r="IEU1628" s="1"/>
      <c r="IEV1628" s="1"/>
      <c r="IEW1628" s="1"/>
      <c r="IEX1628" s="1"/>
      <c r="IEY1628" s="1"/>
      <c r="IEZ1628" s="1"/>
      <c r="IFA1628" s="1"/>
      <c r="IFB1628" s="1"/>
      <c r="IFC1628" s="1"/>
      <c r="IFD1628" s="1"/>
      <c r="IFE1628" s="1"/>
      <c r="IFF1628" s="1"/>
      <c r="IFG1628" s="1"/>
      <c r="IFH1628" s="1"/>
      <c r="IFI1628" s="1"/>
      <c r="IFJ1628" s="1"/>
      <c r="IFK1628" s="1"/>
      <c r="IFL1628" s="1"/>
      <c r="IFM1628" s="1"/>
      <c r="IFN1628" s="1"/>
      <c r="IFO1628" s="1"/>
      <c r="IFP1628" s="1"/>
      <c r="IFQ1628" s="1"/>
      <c r="IFR1628" s="1"/>
      <c r="IFS1628" s="1"/>
      <c r="IFT1628" s="1"/>
      <c r="IFU1628" s="1"/>
      <c r="IFV1628" s="1"/>
      <c r="IFW1628" s="1"/>
      <c r="IFX1628" s="1"/>
      <c r="IFY1628" s="1"/>
      <c r="IFZ1628" s="1"/>
      <c r="IGA1628" s="1"/>
      <c r="IGB1628" s="1"/>
      <c r="IGC1628" s="1"/>
      <c r="IGD1628" s="1"/>
      <c r="IGE1628" s="1"/>
      <c r="IGF1628" s="1"/>
      <c r="IGG1628" s="1"/>
      <c r="IGH1628" s="1"/>
      <c r="IGI1628" s="1"/>
      <c r="IGJ1628" s="1"/>
      <c r="IGK1628" s="1"/>
      <c r="IGL1628" s="1"/>
      <c r="IGM1628" s="1"/>
      <c r="IGN1628" s="1"/>
      <c r="IGO1628" s="1"/>
      <c r="IGP1628" s="1"/>
      <c r="IGQ1628" s="1"/>
      <c r="IGR1628" s="1"/>
      <c r="IGS1628" s="1"/>
      <c r="IGT1628" s="1"/>
      <c r="IGU1628" s="1"/>
      <c r="IGV1628" s="1"/>
      <c r="IGW1628" s="1"/>
      <c r="IGX1628" s="1"/>
      <c r="IGY1628" s="1"/>
      <c r="IGZ1628" s="1"/>
      <c r="IHA1628" s="1"/>
      <c r="IHB1628" s="1"/>
      <c r="IHC1628" s="1"/>
      <c r="IHD1628" s="1"/>
      <c r="IHE1628" s="1"/>
      <c r="IHF1628" s="1"/>
      <c r="IHG1628" s="1"/>
      <c r="IHH1628" s="1"/>
      <c r="IHI1628" s="1"/>
      <c r="IHJ1628" s="1"/>
      <c r="IHK1628" s="1"/>
      <c r="IHL1628" s="1"/>
      <c r="IHM1628" s="1"/>
      <c r="IHN1628" s="1"/>
      <c r="IHO1628" s="1"/>
      <c r="IHP1628" s="1"/>
      <c r="IHQ1628" s="1"/>
      <c r="IHR1628" s="1"/>
      <c r="IHS1628" s="1"/>
      <c r="IHT1628" s="1"/>
      <c r="IHU1628" s="1"/>
      <c r="IHV1628" s="1"/>
      <c r="IHW1628" s="1"/>
      <c r="IHX1628" s="1"/>
      <c r="IHY1628" s="1"/>
      <c r="IHZ1628" s="1"/>
      <c r="IIA1628" s="1"/>
      <c r="IIB1628" s="1"/>
      <c r="IIC1628" s="1"/>
      <c r="IID1628" s="1"/>
      <c r="IIE1628" s="1"/>
      <c r="IIF1628" s="1"/>
      <c r="IIG1628" s="1"/>
      <c r="IIH1628" s="1"/>
      <c r="III1628" s="1"/>
      <c r="IIJ1628" s="1"/>
      <c r="IIK1628" s="1"/>
      <c r="IIL1628" s="1"/>
      <c r="IIM1628" s="1"/>
      <c r="IIN1628" s="1"/>
      <c r="IIO1628" s="1"/>
      <c r="IIP1628" s="1"/>
      <c r="IIQ1628" s="1"/>
      <c r="IIR1628" s="1"/>
      <c r="IIS1628" s="1"/>
      <c r="IIT1628" s="1"/>
      <c r="IIU1628" s="1"/>
      <c r="IIV1628" s="1"/>
      <c r="IIW1628" s="1"/>
      <c r="IIX1628" s="1"/>
      <c r="IIY1628" s="1"/>
      <c r="IIZ1628" s="1"/>
      <c r="IJA1628" s="1"/>
      <c r="IJB1628" s="1"/>
      <c r="IJC1628" s="1"/>
      <c r="IJD1628" s="1"/>
      <c r="IJE1628" s="1"/>
      <c r="IJF1628" s="1"/>
      <c r="IJG1628" s="1"/>
      <c r="IJH1628" s="1"/>
      <c r="IJI1628" s="1"/>
      <c r="IJJ1628" s="1"/>
      <c r="IJK1628" s="1"/>
      <c r="IJL1628" s="1"/>
      <c r="IJM1628" s="1"/>
      <c r="IJN1628" s="1"/>
      <c r="IJO1628" s="1"/>
      <c r="IJP1628" s="1"/>
      <c r="IJQ1628" s="1"/>
      <c r="IJR1628" s="1"/>
      <c r="IJS1628" s="1"/>
      <c r="IJT1628" s="1"/>
      <c r="IJU1628" s="1"/>
      <c r="IJV1628" s="1"/>
      <c r="IJW1628" s="1"/>
      <c r="IJX1628" s="1"/>
      <c r="IJY1628" s="1"/>
      <c r="IJZ1628" s="1"/>
      <c r="IKA1628" s="1"/>
      <c r="IKB1628" s="1"/>
      <c r="IKC1628" s="1"/>
      <c r="IKD1628" s="1"/>
      <c r="IKE1628" s="1"/>
      <c r="IKF1628" s="1"/>
      <c r="IKG1628" s="1"/>
      <c r="IKH1628" s="1"/>
      <c r="IKI1628" s="1"/>
      <c r="IKJ1628" s="1"/>
      <c r="IKK1628" s="1"/>
      <c r="IKL1628" s="1"/>
      <c r="IKM1628" s="1"/>
      <c r="IKN1628" s="1"/>
      <c r="IKO1628" s="1"/>
      <c r="IKP1628" s="1"/>
      <c r="IKQ1628" s="1"/>
      <c r="IKR1628" s="1"/>
      <c r="IKS1628" s="1"/>
      <c r="IKT1628" s="1"/>
      <c r="IKU1628" s="1"/>
      <c r="IKV1628" s="1"/>
      <c r="IKW1628" s="1"/>
      <c r="IKX1628" s="1"/>
      <c r="IKY1628" s="1"/>
      <c r="IKZ1628" s="1"/>
      <c r="ILA1628" s="1"/>
      <c r="ILB1628" s="1"/>
      <c r="ILC1628" s="1"/>
      <c r="ILD1628" s="1"/>
      <c r="ILE1628" s="1"/>
      <c r="ILF1628" s="1"/>
      <c r="ILG1628" s="1"/>
      <c r="ILH1628" s="1"/>
      <c r="ILI1628" s="1"/>
      <c r="ILJ1628" s="1"/>
      <c r="ILK1628" s="1"/>
      <c r="ILL1628" s="1"/>
      <c r="ILM1628" s="1"/>
      <c r="ILN1628" s="1"/>
      <c r="ILO1628" s="1"/>
      <c r="ILP1628" s="1"/>
      <c r="ILQ1628" s="1"/>
      <c r="ILR1628" s="1"/>
      <c r="ILS1628" s="1"/>
      <c r="ILT1628" s="1"/>
      <c r="ILU1628" s="1"/>
      <c r="ILV1628" s="1"/>
      <c r="ILW1628" s="1"/>
      <c r="ILX1628" s="1"/>
      <c r="ILY1628" s="1"/>
      <c r="ILZ1628" s="1"/>
      <c r="IMA1628" s="1"/>
      <c r="IMB1628" s="1"/>
      <c r="IMC1628" s="1"/>
      <c r="IMD1628" s="1"/>
      <c r="IME1628" s="1"/>
      <c r="IMF1628" s="1"/>
      <c r="IMG1628" s="1"/>
      <c r="IMH1628" s="1"/>
      <c r="IMI1628" s="1"/>
      <c r="IMJ1628" s="1"/>
      <c r="IMK1628" s="1"/>
      <c r="IML1628" s="1"/>
      <c r="IMM1628" s="1"/>
      <c r="IMN1628" s="1"/>
      <c r="IMO1628" s="1"/>
      <c r="IMP1628" s="1"/>
      <c r="IMQ1628" s="1"/>
      <c r="IMR1628" s="1"/>
      <c r="IMS1628" s="1"/>
      <c r="IMT1628" s="1"/>
      <c r="IMU1628" s="1"/>
      <c r="IMV1628" s="1"/>
      <c r="IMW1628" s="1"/>
      <c r="IMX1628" s="1"/>
      <c r="IMY1628" s="1"/>
      <c r="IMZ1628" s="1"/>
      <c r="INA1628" s="1"/>
      <c r="INB1628" s="1"/>
      <c r="INC1628" s="1"/>
      <c r="IND1628" s="1"/>
      <c r="INE1628" s="1"/>
      <c r="INF1628" s="1"/>
      <c r="ING1628" s="1"/>
      <c r="INH1628" s="1"/>
      <c r="INI1628" s="1"/>
      <c r="INJ1628" s="1"/>
      <c r="INK1628" s="1"/>
      <c r="INL1628" s="1"/>
      <c r="INM1628" s="1"/>
      <c r="INN1628" s="1"/>
      <c r="INO1628" s="1"/>
      <c r="INP1628" s="1"/>
      <c r="INQ1628" s="1"/>
      <c r="INR1628" s="1"/>
      <c r="INS1628" s="1"/>
      <c r="INT1628" s="1"/>
      <c r="INU1628" s="1"/>
      <c r="INV1628" s="1"/>
      <c r="INW1628" s="1"/>
      <c r="INX1628" s="1"/>
      <c r="INY1628" s="1"/>
      <c r="INZ1628" s="1"/>
      <c r="IOA1628" s="1"/>
      <c r="IOB1628" s="1"/>
      <c r="IOC1628" s="1"/>
      <c r="IOD1628" s="1"/>
      <c r="IOE1628" s="1"/>
      <c r="IOF1628" s="1"/>
      <c r="IOG1628" s="1"/>
      <c r="IOH1628" s="1"/>
      <c r="IOI1628" s="1"/>
      <c r="IOJ1628" s="1"/>
      <c r="IOK1628" s="1"/>
      <c r="IOL1628" s="1"/>
      <c r="IOM1628" s="1"/>
      <c r="ION1628" s="1"/>
      <c r="IOO1628" s="1"/>
      <c r="IOP1628" s="1"/>
      <c r="IOQ1628" s="1"/>
      <c r="IOR1628" s="1"/>
      <c r="IOS1628" s="1"/>
      <c r="IOT1628" s="1"/>
      <c r="IOU1628" s="1"/>
      <c r="IOV1628" s="1"/>
      <c r="IOW1628" s="1"/>
      <c r="IOX1628" s="1"/>
      <c r="IOY1628" s="1"/>
      <c r="IOZ1628" s="1"/>
      <c r="IPA1628" s="1"/>
      <c r="IPB1628" s="1"/>
      <c r="IPC1628" s="1"/>
      <c r="IPD1628" s="1"/>
      <c r="IPE1628" s="1"/>
      <c r="IPF1628" s="1"/>
      <c r="IPG1628" s="1"/>
      <c r="IPH1628" s="1"/>
      <c r="IPI1628" s="1"/>
      <c r="IPJ1628" s="1"/>
      <c r="IPK1628" s="1"/>
      <c r="IPL1628" s="1"/>
      <c r="IPM1628" s="1"/>
      <c r="IPN1628" s="1"/>
      <c r="IPO1628" s="1"/>
      <c r="IPP1628" s="1"/>
      <c r="IPQ1628" s="1"/>
      <c r="IPR1628" s="1"/>
      <c r="IPS1628" s="1"/>
      <c r="IPT1628" s="1"/>
      <c r="IPU1628" s="1"/>
      <c r="IPV1628" s="1"/>
      <c r="IPW1628" s="1"/>
      <c r="IPX1628" s="1"/>
      <c r="IPY1628" s="1"/>
      <c r="IPZ1628" s="1"/>
      <c r="IQA1628" s="1"/>
      <c r="IQB1628" s="1"/>
      <c r="IQC1628" s="1"/>
      <c r="IQD1628" s="1"/>
      <c r="IQE1628" s="1"/>
      <c r="IQF1628" s="1"/>
      <c r="IQG1628" s="1"/>
      <c r="IQH1628" s="1"/>
      <c r="IQI1628" s="1"/>
      <c r="IQJ1628" s="1"/>
      <c r="IQK1628" s="1"/>
      <c r="IQL1628" s="1"/>
      <c r="IQM1628" s="1"/>
      <c r="IQN1628" s="1"/>
      <c r="IQO1628" s="1"/>
      <c r="IQP1628" s="1"/>
      <c r="IQQ1628" s="1"/>
      <c r="IQR1628" s="1"/>
      <c r="IQS1628" s="1"/>
      <c r="IQT1628" s="1"/>
      <c r="IQU1628" s="1"/>
      <c r="IQV1628" s="1"/>
      <c r="IQW1628" s="1"/>
      <c r="IQX1628" s="1"/>
      <c r="IQY1628" s="1"/>
      <c r="IQZ1628" s="1"/>
      <c r="IRA1628" s="1"/>
      <c r="IRB1628" s="1"/>
      <c r="IRC1628" s="1"/>
      <c r="IRD1628" s="1"/>
      <c r="IRE1628" s="1"/>
      <c r="IRF1628" s="1"/>
      <c r="IRG1628" s="1"/>
      <c r="IRH1628" s="1"/>
      <c r="IRI1628" s="1"/>
      <c r="IRJ1628" s="1"/>
      <c r="IRK1628" s="1"/>
      <c r="IRL1628" s="1"/>
      <c r="IRM1628" s="1"/>
      <c r="IRN1628" s="1"/>
      <c r="IRO1628" s="1"/>
      <c r="IRP1628" s="1"/>
      <c r="IRQ1628" s="1"/>
      <c r="IRR1628" s="1"/>
      <c r="IRS1628" s="1"/>
      <c r="IRT1628" s="1"/>
      <c r="IRU1628" s="1"/>
      <c r="IRV1628" s="1"/>
      <c r="IRW1628" s="1"/>
      <c r="IRX1628" s="1"/>
      <c r="IRY1628" s="1"/>
      <c r="IRZ1628" s="1"/>
      <c r="ISA1628" s="1"/>
      <c r="ISB1628" s="1"/>
      <c r="ISC1628" s="1"/>
      <c r="ISD1628" s="1"/>
      <c r="ISE1628" s="1"/>
      <c r="ISF1628" s="1"/>
      <c r="ISG1628" s="1"/>
      <c r="ISH1628" s="1"/>
      <c r="ISI1628" s="1"/>
      <c r="ISJ1628" s="1"/>
      <c r="ISK1628" s="1"/>
      <c r="ISL1628" s="1"/>
      <c r="ISM1628" s="1"/>
      <c r="ISN1628" s="1"/>
      <c r="ISO1628" s="1"/>
      <c r="ISP1628" s="1"/>
      <c r="ISQ1628" s="1"/>
      <c r="ISR1628" s="1"/>
      <c r="ISS1628" s="1"/>
      <c r="IST1628" s="1"/>
      <c r="ISU1628" s="1"/>
      <c r="ISV1628" s="1"/>
      <c r="ISW1628" s="1"/>
      <c r="ISX1628" s="1"/>
      <c r="ISY1628" s="1"/>
      <c r="ISZ1628" s="1"/>
      <c r="ITA1628" s="1"/>
      <c r="ITB1628" s="1"/>
      <c r="ITC1628" s="1"/>
      <c r="ITD1628" s="1"/>
      <c r="ITE1628" s="1"/>
      <c r="ITF1628" s="1"/>
      <c r="ITG1628" s="1"/>
      <c r="ITH1628" s="1"/>
      <c r="ITI1628" s="1"/>
      <c r="ITJ1628" s="1"/>
      <c r="ITK1628" s="1"/>
      <c r="ITL1628" s="1"/>
      <c r="ITM1628" s="1"/>
      <c r="ITN1628" s="1"/>
      <c r="ITO1628" s="1"/>
      <c r="ITP1628" s="1"/>
      <c r="ITQ1628" s="1"/>
      <c r="ITR1628" s="1"/>
      <c r="ITS1628" s="1"/>
      <c r="ITT1628" s="1"/>
      <c r="ITU1628" s="1"/>
      <c r="ITV1628" s="1"/>
      <c r="ITW1628" s="1"/>
      <c r="ITX1628" s="1"/>
      <c r="ITY1628" s="1"/>
      <c r="ITZ1628" s="1"/>
      <c r="IUA1628" s="1"/>
      <c r="IUB1628" s="1"/>
      <c r="IUC1628" s="1"/>
      <c r="IUD1628" s="1"/>
      <c r="IUE1628" s="1"/>
      <c r="IUF1628" s="1"/>
      <c r="IUG1628" s="1"/>
      <c r="IUH1628" s="1"/>
      <c r="IUI1628" s="1"/>
      <c r="IUJ1628" s="1"/>
      <c r="IUK1628" s="1"/>
      <c r="IUL1628" s="1"/>
      <c r="IUM1628" s="1"/>
      <c r="IUN1628" s="1"/>
      <c r="IUO1628" s="1"/>
      <c r="IUP1628" s="1"/>
      <c r="IUQ1628" s="1"/>
      <c r="IUR1628" s="1"/>
      <c r="IUS1628" s="1"/>
      <c r="IUT1628" s="1"/>
      <c r="IUU1628" s="1"/>
      <c r="IUV1628" s="1"/>
      <c r="IUW1628" s="1"/>
      <c r="IUX1628" s="1"/>
      <c r="IUY1628" s="1"/>
      <c r="IUZ1628" s="1"/>
      <c r="IVA1628" s="1"/>
      <c r="IVB1628" s="1"/>
      <c r="IVC1628" s="1"/>
      <c r="IVD1628" s="1"/>
      <c r="IVE1628" s="1"/>
      <c r="IVF1628" s="1"/>
      <c r="IVG1628" s="1"/>
      <c r="IVH1628" s="1"/>
      <c r="IVI1628" s="1"/>
      <c r="IVJ1628" s="1"/>
      <c r="IVK1628" s="1"/>
      <c r="IVL1628" s="1"/>
      <c r="IVM1628" s="1"/>
      <c r="IVN1628" s="1"/>
      <c r="IVO1628" s="1"/>
      <c r="IVP1628" s="1"/>
      <c r="IVQ1628" s="1"/>
      <c r="IVR1628" s="1"/>
      <c r="IVS1628" s="1"/>
      <c r="IVT1628" s="1"/>
      <c r="IVU1628" s="1"/>
      <c r="IVV1628" s="1"/>
      <c r="IVW1628" s="1"/>
      <c r="IVX1628" s="1"/>
      <c r="IVY1628" s="1"/>
      <c r="IVZ1628" s="1"/>
      <c r="IWA1628" s="1"/>
      <c r="IWB1628" s="1"/>
      <c r="IWC1628" s="1"/>
      <c r="IWD1628" s="1"/>
      <c r="IWE1628" s="1"/>
      <c r="IWF1628" s="1"/>
      <c r="IWG1628" s="1"/>
      <c r="IWH1628" s="1"/>
      <c r="IWI1628" s="1"/>
      <c r="IWJ1628" s="1"/>
      <c r="IWK1628" s="1"/>
      <c r="IWL1628" s="1"/>
      <c r="IWM1628" s="1"/>
      <c r="IWN1628" s="1"/>
      <c r="IWO1628" s="1"/>
      <c r="IWP1628" s="1"/>
      <c r="IWQ1628" s="1"/>
      <c r="IWR1628" s="1"/>
      <c r="IWS1628" s="1"/>
      <c r="IWT1628" s="1"/>
      <c r="IWU1628" s="1"/>
      <c r="IWV1628" s="1"/>
      <c r="IWW1628" s="1"/>
      <c r="IWX1628" s="1"/>
      <c r="IWY1628" s="1"/>
      <c r="IWZ1628" s="1"/>
      <c r="IXA1628" s="1"/>
      <c r="IXB1628" s="1"/>
      <c r="IXC1628" s="1"/>
      <c r="IXD1628" s="1"/>
      <c r="IXE1628" s="1"/>
      <c r="IXF1628" s="1"/>
      <c r="IXG1628" s="1"/>
      <c r="IXH1628" s="1"/>
      <c r="IXI1628" s="1"/>
      <c r="IXJ1628" s="1"/>
      <c r="IXK1628" s="1"/>
      <c r="IXL1628" s="1"/>
      <c r="IXM1628" s="1"/>
      <c r="IXN1628" s="1"/>
      <c r="IXO1628" s="1"/>
      <c r="IXP1628" s="1"/>
      <c r="IXQ1628" s="1"/>
      <c r="IXR1628" s="1"/>
      <c r="IXS1628" s="1"/>
      <c r="IXT1628" s="1"/>
      <c r="IXU1628" s="1"/>
      <c r="IXV1628" s="1"/>
      <c r="IXW1628" s="1"/>
      <c r="IXX1628" s="1"/>
      <c r="IXY1628" s="1"/>
      <c r="IXZ1628" s="1"/>
      <c r="IYA1628" s="1"/>
      <c r="IYB1628" s="1"/>
      <c r="IYC1628" s="1"/>
      <c r="IYD1628" s="1"/>
      <c r="IYE1628" s="1"/>
      <c r="IYF1628" s="1"/>
      <c r="IYG1628" s="1"/>
      <c r="IYH1628" s="1"/>
      <c r="IYI1628" s="1"/>
      <c r="IYJ1628" s="1"/>
      <c r="IYK1628" s="1"/>
      <c r="IYL1628" s="1"/>
      <c r="IYM1628" s="1"/>
      <c r="IYN1628" s="1"/>
      <c r="IYO1628" s="1"/>
      <c r="IYP1628" s="1"/>
      <c r="IYQ1628" s="1"/>
      <c r="IYR1628" s="1"/>
      <c r="IYS1628" s="1"/>
      <c r="IYT1628" s="1"/>
      <c r="IYU1628" s="1"/>
      <c r="IYV1628" s="1"/>
      <c r="IYW1628" s="1"/>
      <c r="IYX1628" s="1"/>
      <c r="IYY1628" s="1"/>
      <c r="IYZ1628" s="1"/>
      <c r="IZA1628" s="1"/>
      <c r="IZB1628" s="1"/>
      <c r="IZC1628" s="1"/>
      <c r="IZD1628" s="1"/>
      <c r="IZE1628" s="1"/>
      <c r="IZF1628" s="1"/>
      <c r="IZG1628" s="1"/>
      <c r="IZH1628" s="1"/>
      <c r="IZI1628" s="1"/>
      <c r="IZJ1628" s="1"/>
      <c r="IZK1628" s="1"/>
      <c r="IZL1628" s="1"/>
      <c r="IZM1628" s="1"/>
      <c r="IZN1628" s="1"/>
      <c r="IZO1628" s="1"/>
      <c r="IZP1628" s="1"/>
      <c r="IZQ1628" s="1"/>
      <c r="IZR1628" s="1"/>
      <c r="IZS1628" s="1"/>
      <c r="IZT1628" s="1"/>
      <c r="IZU1628" s="1"/>
      <c r="IZV1628" s="1"/>
      <c r="IZW1628" s="1"/>
      <c r="IZX1628" s="1"/>
      <c r="IZY1628" s="1"/>
      <c r="IZZ1628" s="1"/>
      <c r="JAA1628" s="1"/>
      <c r="JAB1628" s="1"/>
      <c r="JAC1628" s="1"/>
      <c r="JAD1628" s="1"/>
      <c r="JAE1628" s="1"/>
      <c r="JAF1628" s="1"/>
      <c r="JAG1628" s="1"/>
      <c r="JAH1628" s="1"/>
      <c r="JAI1628" s="1"/>
      <c r="JAJ1628" s="1"/>
      <c r="JAK1628" s="1"/>
      <c r="JAL1628" s="1"/>
      <c r="JAM1628" s="1"/>
      <c r="JAN1628" s="1"/>
      <c r="JAO1628" s="1"/>
      <c r="JAP1628" s="1"/>
      <c r="JAQ1628" s="1"/>
      <c r="JAR1628" s="1"/>
      <c r="JAS1628" s="1"/>
      <c r="JAT1628" s="1"/>
      <c r="JAU1628" s="1"/>
      <c r="JAV1628" s="1"/>
      <c r="JAW1628" s="1"/>
      <c r="JAX1628" s="1"/>
      <c r="JAY1628" s="1"/>
      <c r="JAZ1628" s="1"/>
      <c r="JBA1628" s="1"/>
      <c r="JBB1628" s="1"/>
      <c r="JBC1628" s="1"/>
      <c r="JBD1628" s="1"/>
      <c r="JBE1628" s="1"/>
      <c r="JBF1628" s="1"/>
      <c r="JBG1628" s="1"/>
      <c r="JBH1628" s="1"/>
      <c r="JBI1628" s="1"/>
      <c r="JBJ1628" s="1"/>
      <c r="JBK1628" s="1"/>
      <c r="JBL1628" s="1"/>
      <c r="JBM1628" s="1"/>
      <c r="JBN1628" s="1"/>
      <c r="JBO1628" s="1"/>
      <c r="JBP1628" s="1"/>
      <c r="JBQ1628" s="1"/>
      <c r="JBR1628" s="1"/>
      <c r="JBS1628" s="1"/>
      <c r="JBT1628" s="1"/>
      <c r="JBU1628" s="1"/>
      <c r="JBV1628" s="1"/>
      <c r="JBW1628" s="1"/>
      <c r="JBX1628" s="1"/>
      <c r="JBY1628" s="1"/>
      <c r="JBZ1628" s="1"/>
      <c r="JCA1628" s="1"/>
      <c r="JCB1628" s="1"/>
      <c r="JCC1628" s="1"/>
      <c r="JCD1628" s="1"/>
      <c r="JCE1628" s="1"/>
      <c r="JCF1628" s="1"/>
      <c r="JCG1628" s="1"/>
      <c r="JCH1628" s="1"/>
      <c r="JCI1628" s="1"/>
      <c r="JCJ1628" s="1"/>
      <c r="JCK1628" s="1"/>
      <c r="JCL1628" s="1"/>
      <c r="JCM1628" s="1"/>
      <c r="JCN1628" s="1"/>
      <c r="JCO1628" s="1"/>
      <c r="JCP1628" s="1"/>
      <c r="JCQ1628" s="1"/>
      <c r="JCR1628" s="1"/>
      <c r="JCS1628" s="1"/>
      <c r="JCT1628" s="1"/>
      <c r="JCU1628" s="1"/>
      <c r="JCV1628" s="1"/>
      <c r="JCW1628" s="1"/>
      <c r="JCX1628" s="1"/>
      <c r="JCY1628" s="1"/>
      <c r="JCZ1628" s="1"/>
      <c r="JDA1628" s="1"/>
      <c r="JDB1628" s="1"/>
      <c r="JDC1628" s="1"/>
      <c r="JDD1628" s="1"/>
      <c r="JDE1628" s="1"/>
      <c r="JDF1628" s="1"/>
      <c r="JDG1628" s="1"/>
      <c r="JDH1628" s="1"/>
      <c r="JDI1628" s="1"/>
      <c r="JDJ1628" s="1"/>
      <c r="JDK1628" s="1"/>
      <c r="JDL1628" s="1"/>
      <c r="JDM1628" s="1"/>
      <c r="JDN1628" s="1"/>
      <c r="JDO1628" s="1"/>
      <c r="JDP1628" s="1"/>
      <c r="JDQ1628" s="1"/>
      <c r="JDR1628" s="1"/>
      <c r="JDS1628" s="1"/>
      <c r="JDT1628" s="1"/>
      <c r="JDU1628" s="1"/>
      <c r="JDV1628" s="1"/>
      <c r="JDW1628" s="1"/>
      <c r="JDX1628" s="1"/>
      <c r="JDY1628" s="1"/>
      <c r="JDZ1628" s="1"/>
      <c r="JEA1628" s="1"/>
      <c r="JEB1628" s="1"/>
      <c r="JEC1628" s="1"/>
      <c r="JED1628" s="1"/>
      <c r="JEE1628" s="1"/>
      <c r="JEF1628" s="1"/>
      <c r="JEG1628" s="1"/>
      <c r="JEH1628" s="1"/>
      <c r="JEI1628" s="1"/>
      <c r="JEJ1628" s="1"/>
      <c r="JEK1628" s="1"/>
      <c r="JEL1628" s="1"/>
      <c r="JEM1628" s="1"/>
      <c r="JEN1628" s="1"/>
      <c r="JEO1628" s="1"/>
      <c r="JEP1628" s="1"/>
      <c r="JEQ1628" s="1"/>
      <c r="JER1628" s="1"/>
      <c r="JES1628" s="1"/>
      <c r="JET1628" s="1"/>
      <c r="JEU1628" s="1"/>
      <c r="JEV1628" s="1"/>
      <c r="JEW1628" s="1"/>
      <c r="JEX1628" s="1"/>
      <c r="JEY1628" s="1"/>
      <c r="JEZ1628" s="1"/>
      <c r="JFA1628" s="1"/>
      <c r="JFB1628" s="1"/>
      <c r="JFC1628" s="1"/>
      <c r="JFD1628" s="1"/>
      <c r="JFE1628" s="1"/>
      <c r="JFF1628" s="1"/>
      <c r="JFG1628" s="1"/>
      <c r="JFH1628" s="1"/>
      <c r="JFI1628" s="1"/>
      <c r="JFJ1628" s="1"/>
      <c r="JFK1628" s="1"/>
      <c r="JFL1628" s="1"/>
      <c r="JFM1628" s="1"/>
      <c r="JFN1628" s="1"/>
      <c r="JFO1628" s="1"/>
      <c r="JFP1628" s="1"/>
      <c r="JFQ1628" s="1"/>
      <c r="JFR1628" s="1"/>
      <c r="JFS1628" s="1"/>
      <c r="JFT1628" s="1"/>
      <c r="JFU1628" s="1"/>
      <c r="JFV1628" s="1"/>
      <c r="JFW1628" s="1"/>
      <c r="JFX1628" s="1"/>
      <c r="JFY1628" s="1"/>
      <c r="JFZ1628" s="1"/>
      <c r="JGA1628" s="1"/>
      <c r="JGB1628" s="1"/>
      <c r="JGC1628" s="1"/>
      <c r="JGD1628" s="1"/>
      <c r="JGE1628" s="1"/>
      <c r="JGF1628" s="1"/>
      <c r="JGG1628" s="1"/>
      <c r="JGH1628" s="1"/>
      <c r="JGI1628" s="1"/>
      <c r="JGJ1628" s="1"/>
      <c r="JGK1628" s="1"/>
      <c r="JGL1628" s="1"/>
      <c r="JGM1628" s="1"/>
      <c r="JGN1628" s="1"/>
      <c r="JGO1628" s="1"/>
      <c r="JGP1628" s="1"/>
      <c r="JGQ1628" s="1"/>
      <c r="JGR1628" s="1"/>
      <c r="JGS1628" s="1"/>
      <c r="JGT1628" s="1"/>
      <c r="JGU1628" s="1"/>
      <c r="JGV1628" s="1"/>
      <c r="JGW1628" s="1"/>
      <c r="JGX1628" s="1"/>
      <c r="JGY1628" s="1"/>
      <c r="JGZ1628" s="1"/>
      <c r="JHA1628" s="1"/>
      <c r="JHB1628" s="1"/>
      <c r="JHC1628" s="1"/>
      <c r="JHD1628" s="1"/>
      <c r="JHE1628" s="1"/>
      <c r="JHF1628" s="1"/>
      <c r="JHG1628" s="1"/>
      <c r="JHH1628" s="1"/>
      <c r="JHI1628" s="1"/>
      <c r="JHJ1628" s="1"/>
      <c r="JHK1628" s="1"/>
      <c r="JHL1628" s="1"/>
      <c r="JHM1628" s="1"/>
      <c r="JHN1628" s="1"/>
      <c r="JHO1628" s="1"/>
      <c r="JHP1628" s="1"/>
      <c r="JHQ1628" s="1"/>
      <c r="JHR1628" s="1"/>
      <c r="JHS1628" s="1"/>
      <c r="JHT1628" s="1"/>
      <c r="JHU1628" s="1"/>
      <c r="JHV1628" s="1"/>
      <c r="JHW1628" s="1"/>
      <c r="JHX1628" s="1"/>
      <c r="JHY1628" s="1"/>
      <c r="JHZ1628" s="1"/>
      <c r="JIA1628" s="1"/>
      <c r="JIB1628" s="1"/>
      <c r="JIC1628" s="1"/>
      <c r="JID1628" s="1"/>
      <c r="JIE1628" s="1"/>
      <c r="JIF1628" s="1"/>
      <c r="JIG1628" s="1"/>
      <c r="JIH1628" s="1"/>
      <c r="JII1628" s="1"/>
      <c r="JIJ1628" s="1"/>
      <c r="JIK1628" s="1"/>
      <c r="JIL1628" s="1"/>
      <c r="JIM1628" s="1"/>
      <c r="JIN1628" s="1"/>
      <c r="JIO1628" s="1"/>
      <c r="JIP1628" s="1"/>
      <c r="JIQ1628" s="1"/>
      <c r="JIR1628" s="1"/>
      <c r="JIS1628" s="1"/>
      <c r="JIT1628" s="1"/>
      <c r="JIU1628" s="1"/>
      <c r="JIV1628" s="1"/>
      <c r="JIW1628" s="1"/>
      <c r="JIX1628" s="1"/>
      <c r="JIY1628" s="1"/>
      <c r="JIZ1628" s="1"/>
      <c r="JJA1628" s="1"/>
      <c r="JJB1628" s="1"/>
      <c r="JJC1628" s="1"/>
      <c r="JJD1628" s="1"/>
      <c r="JJE1628" s="1"/>
      <c r="JJF1628" s="1"/>
      <c r="JJG1628" s="1"/>
      <c r="JJH1628" s="1"/>
      <c r="JJI1628" s="1"/>
      <c r="JJJ1628" s="1"/>
      <c r="JJK1628" s="1"/>
      <c r="JJL1628" s="1"/>
      <c r="JJM1628" s="1"/>
      <c r="JJN1628" s="1"/>
      <c r="JJO1628" s="1"/>
      <c r="JJP1628" s="1"/>
      <c r="JJQ1628" s="1"/>
      <c r="JJR1628" s="1"/>
      <c r="JJS1628" s="1"/>
      <c r="JJT1628" s="1"/>
      <c r="JJU1628" s="1"/>
      <c r="JJV1628" s="1"/>
      <c r="JJW1628" s="1"/>
      <c r="JJX1628" s="1"/>
      <c r="JJY1628" s="1"/>
      <c r="JJZ1628" s="1"/>
      <c r="JKA1628" s="1"/>
      <c r="JKB1628" s="1"/>
      <c r="JKC1628" s="1"/>
      <c r="JKD1628" s="1"/>
      <c r="JKE1628" s="1"/>
      <c r="JKF1628" s="1"/>
      <c r="JKG1628" s="1"/>
      <c r="JKH1628" s="1"/>
      <c r="JKI1628" s="1"/>
      <c r="JKJ1628" s="1"/>
      <c r="JKK1628" s="1"/>
      <c r="JKL1628" s="1"/>
      <c r="JKM1628" s="1"/>
      <c r="JKN1628" s="1"/>
      <c r="JKO1628" s="1"/>
      <c r="JKP1628" s="1"/>
      <c r="JKQ1628" s="1"/>
      <c r="JKR1628" s="1"/>
      <c r="JKS1628" s="1"/>
      <c r="JKT1628" s="1"/>
      <c r="JKU1628" s="1"/>
      <c r="JKV1628" s="1"/>
      <c r="JKW1628" s="1"/>
      <c r="JKX1628" s="1"/>
      <c r="JKY1628" s="1"/>
      <c r="JKZ1628" s="1"/>
      <c r="JLA1628" s="1"/>
      <c r="JLB1628" s="1"/>
      <c r="JLC1628" s="1"/>
      <c r="JLD1628" s="1"/>
      <c r="JLE1628" s="1"/>
      <c r="JLF1628" s="1"/>
      <c r="JLG1628" s="1"/>
      <c r="JLH1628" s="1"/>
      <c r="JLI1628" s="1"/>
      <c r="JLJ1628" s="1"/>
      <c r="JLK1628" s="1"/>
      <c r="JLL1628" s="1"/>
      <c r="JLM1628" s="1"/>
      <c r="JLN1628" s="1"/>
      <c r="JLO1628" s="1"/>
      <c r="JLP1628" s="1"/>
      <c r="JLQ1628" s="1"/>
      <c r="JLR1628" s="1"/>
      <c r="JLS1628" s="1"/>
      <c r="JLT1628" s="1"/>
      <c r="JLU1628" s="1"/>
      <c r="JLV1628" s="1"/>
      <c r="JLW1628" s="1"/>
      <c r="JLX1628" s="1"/>
      <c r="JLY1628" s="1"/>
      <c r="JLZ1628" s="1"/>
      <c r="JMA1628" s="1"/>
      <c r="JMB1628" s="1"/>
      <c r="JMC1628" s="1"/>
      <c r="JMD1628" s="1"/>
      <c r="JME1628" s="1"/>
      <c r="JMF1628" s="1"/>
      <c r="JMG1628" s="1"/>
      <c r="JMH1628" s="1"/>
      <c r="JMI1628" s="1"/>
      <c r="JMJ1628" s="1"/>
      <c r="JMK1628" s="1"/>
      <c r="JML1628" s="1"/>
      <c r="JMM1628" s="1"/>
      <c r="JMN1628" s="1"/>
      <c r="JMO1628" s="1"/>
      <c r="JMP1628" s="1"/>
      <c r="JMQ1628" s="1"/>
      <c r="JMR1628" s="1"/>
      <c r="JMS1628" s="1"/>
      <c r="JMT1628" s="1"/>
      <c r="JMU1628" s="1"/>
      <c r="JMV1628" s="1"/>
      <c r="JMW1628" s="1"/>
      <c r="JMX1628" s="1"/>
      <c r="JMY1628" s="1"/>
      <c r="JMZ1628" s="1"/>
      <c r="JNA1628" s="1"/>
      <c r="JNB1628" s="1"/>
      <c r="JNC1628" s="1"/>
      <c r="JND1628" s="1"/>
      <c r="JNE1628" s="1"/>
      <c r="JNF1628" s="1"/>
      <c r="JNG1628" s="1"/>
      <c r="JNH1628" s="1"/>
      <c r="JNI1628" s="1"/>
      <c r="JNJ1628" s="1"/>
      <c r="JNK1628" s="1"/>
      <c r="JNL1628" s="1"/>
      <c r="JNM1628" s="1"/>
      <c r="JNN1628" s="1"/>
      <c r="JNO1628" s="1"/>
      <c r="JNP1628" s="1"/>
      <c r="JNQ1628" s="1"/>
      <c r="JNR1628" s="1"/>
      <c r="JNS1628" s="1"/>
      <c r="JNT1628" s="1"/>
      <c r="JNU1628" s="1"/>
      <c r="JNV1628" s="1"/>
      <c r="JNW1628" s="1"/>
      <c r="JNX1628" s="1"/>
      <c r="JNY1628" s="1"/>
      <c r="JNZ1628" s="1"/>
      <c r="JOA1628" s="1"/>
      <c r="JOB1628" s="1"/>
      <c r="JOC1628" s="1"/>
      <c r="JOD1628" s="1"/>
      <c r="JOE1628" s="1"/>
      <c r="JOF1628" s="1"/>
      <c r="JOG1628" s="1"/>
      <c r="JOH1628" s="1"/>
      <c r="JOI1628" s="1"/>
      <c r="JOJ1628" s="1"/>
      <c r="JOK1628" s="1"/>
      <c r="JOL1628" s="1"/>
      <c r="JOM1628" s="1"/>
      <c r="JON1628" s="1"/>
      <c r="JOO1628" s="1"/>
      <c r="JOP1628" s="1"/>
      <c r="JOQ1628" s="1"/>
      <c r="JOR1628" s="1"/>
      <c r="JOS1628" s="1"/>
      <c r="JOT1628" s="1"/>
      <c r="JOU1628" s="1"/>
      <c r="JOV1628" s="1"/>
      <c r="JOW1628" s="1"/>
      <c r="JOX1628" s="1"/>
      <c r="JOY1628" s="1"/>
      <c r="JOZ1628" s="1"/>
      <c r="JPA1628" s="1"/>
      <c r="JPB1628" s="1"/>
      <c r="JPC1628" s="1"/>
      <c r="JPD1628" s="1"/>
      <c r="JPE1628" s="1"/>
      <c r="JPF1628" s="1"/>
      <c r="JPG1628" s="1"/>
      <c r="JPH1628" s="1"/>
      <c r="JPI1628" s="1"/>
      <c r="JPJ1628" s="1"/>
      <c r="JPK1628" s="1"/>
      <c r="JPL1628" s="1"/>
      <c r="JPM1628" s="1"/>
      <c r="JPN1628" s="1"/>
      <c r="JPO1628" s="1"/>
      <c r="JPP1628" s="1"/>
      <c r="JPQ1628" s="1"/>
      <c r="JPR1628" s="1"/>
      <c r="JPS1628" s="1"/>
      <c r="JPT1628" s="1"/>
      <c r="JPU1628" s="1"/>
      <c r="JPV1628" s="1"/>
      <c r="JPW1628" s="1"/>
      <c r="JPX1628" s="1"/>
      <c r="JPY1628" s="1"/>
      <c r="JPZ1628" s="1"/>
      <c r="JQA1628" s="1"/>
      <c r="JQB1628" s="1"/>
      <c r="JQC1628" s="1"/>
      <c r="JQD1628" s="1"/>
      <c r="JQE1628" s="1"/>
      <c r="JQF1628" s="1"/>
      <c r="JQG1628" s="1"/>
      <c r="JQH1628" s="1"/>
      <c r="JQI1628" s="1"/>
      <c r="JQJ1628" s="1"/>
      <c r="JQK1628" s="1"/>
      <c r="JQL1628" s="1"/>
      <c r="JQM1628" s="1"/>
      <c r="JQN1628" s="1"/>
      <c r="JQO1628" s="1"/>
      <c r="JQP1628" s="1"/>
      <c r="JQQ1628" s="1"/>
      <c r="JQR1628" s="1"/>
      <c r="JQS1628" s="1"/>
      <c r="JQT1628" s="1"/>
      <c r="JQU1628" s="1"/>
      <c r="JQV1628" s="1"/>
      <c r="JQW1628" s="1"/>
      <c r="JQX1628" s="1"/>
      <c r="JQY1628" s="1"/>
      <c r="JQZ1628" s="1"/>
      <c r="JRA1628" s="1"/>
      <c r="JRB1628" s="1"/>
      <c r="JRC1628" s="1"/>
      <c r="JRD1628" s="1"/>
      <c r="JRE1628" s="1"/>
      <c r="JRF1628" s="1"/>
      <c r="JRG1628" s="1"/>
      <c r="JRH1628" s="1"/>
      <c r="JRI1628" s="1"/>
      <c r="JRJ1628" s="1"/>
      <c r="JRK1628" s="1"/>
      <c r="JRL1628" s="1"/>
      <c r="JRM1628" s="1"/>
      <c r="JRN1628" s="1"/>
      <c r="JRO1628" s="1"/>
      <c r="JRP1628" s="1"/>
      <c r="JRQ1628" s="1"/>
      <c r="JRR1628" s="1"/>
      <c r="JRS1628" s="1"/>
      <c r="JRT1628" s="1"/>
      <c r="JRU1628" s="1"/>
      <c r="JRV1628" s="1"/>
      <c r="JRW1628" s="1"/>
      <c r="JRX1628" s="1"/>
      <c r="JRY1628" s="1"/>
      <c r="JRZ1628" s="1"/>
      <c r="JSA1628" s="1"/>
      <c r="JSB1628" s="1"/>
      <c r="JSC1628" s="1"/>
      <c r="JSD1628" s="1"/>
      <c r="JSE1628" s="1"/>
      <c r="JSF1628" s="1"/>
      <c r="JSG1628" s="1"/>
      <c r="JSH1628" s="1"/>
      <c r="JSI1628" s="1"/>
      <c r="JSJ1628" s="1"/>
      <c r="JSK1628" s="1"/>
      <c r="JSL1628" s="1"/>
      <c r="JSM1628" s="1"/>
      <c r="JSN1628" s="1"/>
      <c r="JSO1628" s="1"/>
      <c r="JSP1628" s="1"/>
      <c r="JSQ1628" s="1"/>
      <c r="JSR1628" s="1"/>
      <c r="JSS1628" s="1"/>
      <c r="JST1628" s="1"/>
      <c r="JSU1628" s="1"/>
      <c r="JSV1628" s="1"/>
      <c r="JSW1628" s="1"/>
      <c r="JSX1628" s="1"/>
      <c r="JSY1628" s="1"/>
      <c r="JSZ1628" s="1"/>
      <c r="JTA1628" s="1"/>
      <c r="JTB1628" s="1"/>
      <c r="JTC1628" s="1"/>
      <c r="JTD1628" s="1"/>
      <c r="JTE1628" s="1"/>
      <c r="JTF1628" s="1"/>
      <c r="JTG1628" s="1"/>
      <c r="JTH1628" s="1"/>
      <c r="JTI1628" s="1"/>
      <c r="JTJ1628" s="1"/>
      <c r="JTK1628" s="1"/>
      <c r="JTL1628" s="1"/>
      <c r="JTM1628" s="1"/>
      <c r="JTN1628" s="1"/>
      <c r="JTO1628" s="1"/>
      <c r="JTP1628" s="1"/>
      <c r="JTQ1628" s="1"/>
      <c r="JTR1628" s="1"/>
      <c r="JTS1628" s="1"/>
      <c r="JTT1628" s="1"/>
      <c r="JTU1628" s="1"/>
      <c r="JTV1628" s="1"/>
      <c r="JTW1628" s="1"/>
      <c r="JTX1628" s="1"/>
      <c r="JTY1628" s="1"/>
      <c r="JTZ1628" s="1"/>
      <c r="JUA1628" s="1"/>
      <c r="JUB1628" s="1"/>
      <c r="JUC1628" s="1"/>
      <c r="JUD1628" s="1"/>
      <c r="JUE1628" s="1"/>
      <c r="JUF1628" s="1"/>
      <c r="JUG1628" s="1"/>
      <c r="JUH1628" s="1"/>
      <c r="JUI1628" s="1"/>
      <c r="JUJ1628" s="1"/>
      <c r="JUK1628" s="1"/>
      <c r="JUL1628" s="1"/>
      <c r="JUM1628" s="1"/>
      <c r="JUN1628" s="1"/>
      <c r="JUO1628" s="1"/>
      <c r="JUP1628" s="1"/>
      <c r="JUQ1628" s="1"/>
      <c r="JUR1628" s="1"/>
      <c r="JUS1628" s="1"/>
      <c r="JUT1628" s="1"/>
      <c r="JUU1628" s="1"/>
      <c r="JUV1628" s="1"/>
      <c r="JUW1628" s="1"/>
      <c r="JUX1628" s="1"/>
      <c r="JUY1628" s="1"/>
      <c r="JUZ1628" s="1"/>
      <c r="JVA1628" s="1"/>
      <c r="JVB1628" s="1"/>
      <c r="JVC1628" s="1"/>
      <c r="JVD1628" s="1"/>
      <c r="JVE1628" s="1"/>
      <c r="JVF1628" s="1"/>
      <c r="JVG1628" s="1"/>
      <c r="JVH1628" s="1"/>
      <c r="JVI1628" s="1"/>
      <c r="JVJ1628" s="1"/>
      <c r="JVK1628" s="1"/>
      <c r="JVL1628" s="1"/>
      <c r="JVM1628" s="1"/>
      <c r="JVN1628" s="1"/>
      <c r="JVO1628" s="1"/>
      <c r="JVP1628" s="1"/>
      <c r="JVQ1628" s="1"/>
      <c r="JVR1628" s="1"/>
      <c r="JVS1628" s="1"/>
      <c r="JVT1628" s="1"/>
      <c r="JVU1628" s="1"/>
      <c r="JVV1628" s="1"/>
      <c r="JVW1628" s="1"/>
      <c r="JVX1628" s="1"/>
      <c r="JVY1628" s="1"/>
      <c r="JVZ1628" s="1"/>
      <c r="JWA1628" s="1"/>
      <c r="JWB1628" s="1"/>
      <c r="JWC1628" s="1"/>
      <c r="JWD1628" s="1"/>
      <c r="JWE1628" s="1"/>
      <c r="JWF1628" s="1"/>
      <c r="JWG1628" s="1"/>
      <c r="JWH1628" s="1"/>
      <c r="JWI1628" s="1"/>
      <c r="JWJ1628" s="1"/>
      <c r="JWK1628" s="1"/>
      <c r="JWL1628" s="1"/>
      <c r="JWM1628" s="1"/>
      <c r="JWN1628" s="1"/>
      <c r="JWO1628" s="1"/>
      <c r="JWP1628" s="1"/>
      <c r="JWQ1628" s="1"/>
      <c r="JWR1628" s="1"/>
      <c r="JWS1628" s="1"/>
      <c r="JWT1628" s="1"/>
      <c r="JWU1628" s="1"/>
      <c r="JWV1628" s="1"/>
      <c r="JWW1628" s="1"/>
      <c r="JWX1628" s="1"/>
      <c r="JWY1628" s="1"/>
      <c r="JWZ1628" s="1"/>
      <c r="JXA1628" s="1"/>
      <c r="JXB1628" s="1"/>
      <c r="JXC1628" s="1"/>
      <c r="JXD1628" s="1"/>
      <c r="JXE1628" s="1"/>
      <c r="JXF1628" s="1"/>
      <c r="JXG1628" s="1"/>
      <c r="JXH1628" s="1"/>
      <c r="JXI1628" s="1"/>
      <c r="JXJ1628" s="1"/>
      <c r="JXK1628" s="1"/>
      <c r="JXL1628" s="1"/>
      <c r="JXM1628" s="1"/>
      <c r="JXN1628" s="1"/>
      <c r="JXO1628" s="1"/>
      <c r="JXP1628" s="1"/>
      <c r="JXQ1628" s="1"/>
      <c r="JXR1628" s="1"/>
      <c r="JXS1628" s="1"/>
      <c r="JXT1628" s="1"/>
      <c r="JXU1628" s="1"/>
      <c r="JXV1628" s="1"/>
      <c r="JXW1628" s="1"/>
      <c r="JXX1628" s="1"/>
      <c r="JXY1628" s="1"/>
      <c r="JXZ1628" s="1"/>
      <c r="JYA1628" s="1"/>
      <c r="JYB1628" s="1"/>
      <c r="JYC1628" s="1"/>
      <c r="JYD1628" s="1"/>
      <c r="JYE1628" s="1"/>
      <c r="JYF1628" s="1"/>
      <c r="JYG1628" s="1"/>
      <c r="JYH1628" s="1"/>
      <c r="JYI1628" s="1"/>
      <c r="JYJ1628" s="1"/>
      <c r="JYK1628" s="1"/>
      <c r="JYL1628" s="1"/>
      <c r="JYM1628" s="1"/>
      <c r="JYN1628" s="1"/>
      <c r="JYO1628" s="1"/>
      <c r="JYP1628" s="1"/>
      <c r="JYQ1628" s="1"/>
      <c r="JYR1628" s="1"/>
      <c r="JYS1628" s="1"/>
      <c r="JYT1628" s="1"/>
      <c r="JYU1628" s="1"/>
      <c r="JYV1628" s="1"/>
      <c r="JYW1628" s="1"/>
      <c r="JYX1628" s="1"/>
      <c r="JYY1628" s="1"/>
      <c r="JYZ1628" s="1"/>
      <c r="JZA1628" s="1"/>
      <c r="JZB1628" s="1"/>
      <c r="JZC1628" s="1"/>
      <c r="JZD1628" s="1"/>
      <c r="JZE1628" s="1"/>
      <c r="JZF1628" s="1"/>
      <c r="JZG1628" s="1"/>
      <c r="JZH1628" s="1"/>
      <c r="JZI1628" s="1"/>
      <c r="JZJ1628" s="1"/>
      <c r="JZK1628" s="1"/>
      <c r="JZL1628" s="1"/>
      <c r="JZM1628" s="1"/>
      <c r="JZN1628" s="1"/>
      <c r="JZO1628" s="1"/>
      <c r="JZP1628" s="1"/>
      <c r="JZQ1628" s="1"/>
      <c r="JZR1628" s="1"/>
      <c r="JZS1628" s="1"/>
      <c r="JZT1628" s="1"/>
      <c r="JZU1628" s="1"/>
      <c r="JZV1628" s="1"/>
      <c r="JZW1628" s="1"/>
      <c r="JZX1628" s="1"/>
      <c r="JZY1628" s="1"/>
      <c r="JZZ1628" s="1"/>
      <c r="KAA1628" s="1"/>
      <c r="KAB1628" s="1"/>
      <c r="KAC1628" s="1"/>
      <c r="KAD1628" s="1"/>
      <c r="KAE1628" s="1"/>
      <c r="KAF1628" s="1"/>
      <c r="KAG1628" s="1"/>
      <c r="KAH1628" s="1"/>
      <c r="KAI1628" s="1"/>
      <c r="KAJ1628" s="1"/>
      <c r="KAK1628" s="1"/>
      <c r="KAL1628" s="1"/>
      <c r="KAM1628" s="1"/>
      <c r="KAN1628" s="1"/>
      <c r="KAO1628" s="1"/>
      <c r="KAP1628" s="1"/>
      <c r="KAQ1628" s="1"/>
      <c r="KAR1628" s="1"/>
      <c r="KAS1628" s="1"/>
      <c r="KAT1628" s="1"/>
      <c r="KAU1628" s="1"/>
      <c r="KAV1628" s="1"/>
      <c r="KAW1628" s="1"/>
      <c r="KAX1628" s="1"/>
      <c r="KAY1628" s="1"/>
      <c r="KAZ1628" s="1"/>
      <c r="KBA1628" s="1"/>
      <c r="KBB1628" s="1"/>
      <c r="KBC1628" s="1"/>
      <c r="KBD1628" s="1"/>
      <c r="KBE1628" s="1"/>
      <c r="KBF1628" s="1"/>
      <c r="KBG1628" s="1"/>
      <c r="KBH1628" s="1"/>
      <c r="KBI1628" s="1"/>
      <c r="KBJ1628" s="1"/>
      <c r="KBK1628" s="1"/>
      <c r="KBL1628" s="1"/>
      <c r="KBM1628" s="1"/>
      <c r="KBN1628" s="1"/>
      <c r="KBO1628" s="1"/>
      <c r="KBP1628" s="1"/>
      <c r="KBQ1628" s="1"/>
      <c r="KBR1628" s="1"/>
      <c r="KBS1628" s="1"/>
      <c r="KBT1628" s="1"/>
      <c r="KBU1628" s="1"/>
      <c r="KBV1628" s="1"/>
      <c r="KBW1628" s="1"/>
      <c r="KBX1628" s="1"/>
      <c r="KBY1628" s="1"/>
      <c r="KBZ1628" s="1"/>
      <c r="KCA1628" s="1"/>
      <c r="KCB1628" s="1"/>
      <c r="KCC1628" s="1"/>
      <c r="KCD1628" s="1"/>
      <c r="KCE1628" s="1"/>
      <c r="KCF1628" s="1"/>
      <c r="KCG1628" s="1"/>
      <c r="KCH1628" s="1"/>
      <c r="KCI1628" s="1"/>
      <c r="KCJ1628" s="1"/>
      <c r="KCK1628" s="1"/>
      <c r="KCL1628" s="1"/>
      <c r="KCM1628" s="1"/>
      <c r="KCN1628" s="1"/>
      <c r="KCO1628" s="1"/>
      <c r="KCP1628" s="1"/>
      <c r="KCQ1628" s="1"/>
      <c r="KCR1628" s="1"/>
      <c r="KCS1628" s="1"/>
      <c r="KCT1628" s="1"/>
      <c r="KCU1628" s="1"/>
      <c r="KCV1628" s="1"/>
      <c r="KCW1628" s="1"/>
      <c r="KCX1628" s="1"/>
      <c r="KCY1628" s="1"/>
      <c r="KCZ1628" s="1"/>
      <c r="KDA1628" s="1"/>
      <c r="KDB1628" s="1"/>
      <c r="KDC1628" s="1"/>
      <c r="KDD1628" s="1"/>
      <c r="KDE1628" s="1"/>
      <c r="KDF1628" s="1"/>
      <c r="KDG1628" s="1"/>
      <c r="KDH1628" s="1"/>
      <c r="KDI1628" s="1"/>
      <c r="KDJ1628" s="1"/>
      <c r="KDK1628" s="1"/>
      <c r="KDL1628" s="1"/>
      <c r="KDM1628" s="1"/>
      <c r="KDN1628" s="1"/>
      <c r="KDO1628" s="1"/>
      <c r="KDP1628" s="1"/>
      <c r="KDQ1628" s="1"/>
      <c r="KDR1628" s="1"/>
      <c r="KDS1628" s="1"/>
      <c r="KDT1628" s="1"/>
      <c r="KDU1628" s="1"/>
      <c r="KDV1628" s="1"/>
      <c r="KDW1628" s="1"/>
      <c r="KDX1628" s="1"/>
      <c r="KDY1628" s="1"/>
      <c r="KDZ1628" s="1"/>
      <c r="KEA1628" s="1"/>
      <c r="KEB1628" s="1"/>
      <c r="KEC1628" s="1"/>
      <c r="KED1628" s="1"/>
      <c r="KEE1628" s="1"/>
      <c r="KEF1628" s="1"/>
      <c r="KEG1628" s="1"/>
      <c r="KEH1628" s="1"/>
      <c r="KEI1628" s="1"/>
      <c r="KEJ1628" s="1"/>
      <c r="KEK1628" s="1"/>
      <c r="KEL1628" s="1"/>
      <c r="KEM1628" s="1"/>
      <c r="KEN1628" s="1"/>
      <c r="KEO1628" s="1"/>
      <c r="KEP1628" s="1"/>
      <c r="KEQ1628" s="1"/>
      <c r="KER1628" s="1"/>
      <c r="KES1628" s="1"/>
      <c r="KET1628" s="1"/>
      <c r="KEU1628" s="1"/>
      <c r="KEV1628" s="1"/>
      <c r="KEW1628" s="1"/>
      <c r="KEX1628" s="1"/>
      <c r="KEY1628" s="1"/>
      <c r="KEZ1628" s="1"/>
      <c r="KFA1628" s="1"/>
      <c r="KFB1628" s="1"/>
      <c r="KFC1628" s="1"/>
      <c r="KFD1628" s="1"/>
      <c r="KFE1628" s="1"/>
      <c r="KFF1628" s="1"/>
      <c r="KFG1628" s="1"/>
      <c r="KFH1628" s="1"/>
      <c r="KFI1628" s="1"/>
      <c r="KFJ1628" s="1"/>
      <c r="KFK1628" s="1"/>
      <c r="KFL1628" s="1"/>
      <c r="KFM1628" s="1"/>
      <c r="KFN1628" s="1"/>
      <c r="KFO1628" s="1"/>
      <c r="KFP1628" s="1"/>
      <c r="KFQ1628" s="1"/>
      <c r="KFR1628" s="1"/>
      <c r="KFS1628" s="1"/>
      <c r="KFT1628" s="1"/>
      <c r="KFU1628" s="1"/>
      <c r="KFV1628" s="1"/>
      <c r="KFW1628" s="1"/>
      <c r="KFX1628" s="1"/>
      <c r="KFY1628" s="1"/>
      <c r="KFZ1628" s="1"/>
      <c r="KGA1628" s="1"/>
      <c r="KGB1628" s="1"/>
      <c r="KGC1628" s="1"/>
      <c r="KGD1628" s="1"/>
      <c r="KGE1628" s="1"/>
      <c r="KGF1628" s="1"/>
      <c r="KGG1628" s="1"/>
      <c r="KGH1628" s="1"/>
      <c r="KGI1628" s="1"/>
      <c r="KGJ1628" s="1"/>
      <c r="KGK1628" s="1"/>
      <c r="KGL1628" s="1"/>
      <c r="KGM1628" s="1"/>
      <c r="KGN1628" s="1"/>
      <c r="KGO1628" s="1"/>
      <c r="KGP1628" s="1"/>
      <c r="KGQ1628" s="1"/>
      <c r="KGR1628" s="1"/>
      <c r="KGS1628" s="1"/>
      <c r="KGT1628" s="1"/>
      <c r="KGU1628" s="1"/>
      <c r="KGV1628" s="1"/>
      <c r="KGW1628" s="1"/>
      <c r="KGX1628" s="1"/>
      <c r="KGY1628" s="1"/>
      <c r="KGZ1628" s="1"/>
      <c r="KHA1628" s="1"/>
      <c r="KHB1628" s="1"/>
      <c r="KHC1628" s="1"/>
      <c r="KHD1628" s="1"/>
      <c r="KHE1628" s="1"/>
      <c r="KHF1628" s="1"/>
      <c r="KHG1628" s="1"/>
      <c r="KHH1628" s="1"/>
      <c r="KHI1628" s="1"/>
      <c r="KHJ1628" s="1"/>
      <c r="KHK1628" s="1"/>
      <c r="KHL1628" s="1"/>
      <c r="KHM1628" s="1"/>
      <c r="KHN1628" s="1"/>
      <c r="KHO1628" s="1"/>
      <c r="KHP1628" s="1"/>
      <c r="KHQ1628" s="1"/>
      <c r="KHR1628" s="1"/>
      <c r="KHS1628" s="1"/>
      <c r="KHT1628" s="1"/>
      <c r="KHU1628" s="1"/>
      <c r="KHV1628" s="1"/>
      <c r="KHW1628" s="1"/>
      <c r="KHX1628" s="1"/>
      <c r="KHY1628" s="1"/>
      <c r="KHZ1628" s="1"/>
      <c r="KIA1628" s="1"/>
      <c r="KIB1628" s="1"/>
      <c r="KIC1628" s="1"/>
      <c r="KID1628" s="1"/>
      <c r="KIE1628" s="1"/>
      <c r="KIF1628" s="1"/>
      <c r="KIG1628" s="1"/>
      <c r="KIH1628" s="1"/>
      <c r="KII1628" s="1"/>
      <c r="KIJ1628" s="1"/>
      <c r="KIK1628" s="1"/>
      <c r="KIL1628" s="1"/>
      <c r="KIM1628" s="1"/>
      <c r="KIN1628" s="1"/>
      <c r="KIO1628" s="1"/>
      <c r="KIP1628" s="1"/>
      <c r="KIQ1628" s="1"/>
      <c r="KIR1628" s="1"/>
      <c r="KIS1628" s="1"/>
      <c r="KIT1628" s="1"/>
      <c r="KIU1628" s="1"/>
      <c r="KIV1628" s="1"/>
      <c r="KIW1628" s="1"/>
      <c r="KIX1628" s="1"/>
      <c r="KIY1628" s="1"/>
      <c r="KIZ1628" s="1"/>
      <c r="KJA1628" s="1"/>
      <c r="KJB1628" s="1"/>
      <c r="KJC1628" s="1"/>
      <c r="KJD1628" s="1"/>
      <c r="KJE1628" s="1"/>
      <c r="KJF1628" s="1"/>
      <c r="KJG1628" s="1"/>
      <c r="KJH1628" s="1"/>
      <c r="KJI1628" s="1"/>
      <c r="KJJ1628" s="1"/>
      <c r="KJK1628" s="1"/>
      <c r="KJL1628" s="1"/>
      <c r="KJM1628" s="1"/>
      <c r="KJN1628" s="1"/>
      <c r="KJO1628" s="1"/>
      <c r="KJP1628" s="1"/>
      <c r="KJQ1628" s="1"/>
      <c r="KJR1628" s="1"/>
      <c r="KJS1628" s="1"/>
      <c r="KJT1628" s="1"/>
      <c r="KJU1628" s="1"/>
      <c r="KJV1628" s="1"/>
      <c r="KJW1628" s="1"/>
      <c r="KJX1628" s="1"/>
      <c r="KJY1628" s="1"/>
      <c r="KJZ1628" s="1"/>
      <c r="KKA1628" s="1"/>
      <c r="KKB1628" s="1"/>
      <c r="KKC1628" s="1"/>
      <c r="KKD1628" s="1"/>
      <c r="KKE1628" s="1"/>
      <c r="KKF1628" s="1"/>
      <c r="KKG1628" s="1"/>
      <c r="KKH1628" s="1"/>
      <c r="KKI1628" s="1"/>
      <c r="KKJ1628" s="1"/>
      <c r="KKK1628" s="1"/>
      <c r="KKL1628" s="1"/>
      <c r="KKM1628" s="1"/>
      <c r="KKN1628" s="1"/>
      <c r="KKO1628" s="1"/>
      <c r="KKP1628" s="1"/>
      <c r="KKQ1628" s="1"/>
      <c r="KKR1628" s="1"/>
      <c r="KKS1628" s="1"/>
      <c r="KKT1628" s="1"/>
      <c r="KKU1628" s="1"/>
      <c r="KKV1628" s="1"/>
      <c r="KKW1628" s="1"/>
      <c r="KKX1628" s="1"/>
      <c r="KKY1628" s="1"/>
      <c r="KKZ1628" s="1"/>
      <c r="KLA1628" s="1"/>
      <c r="KLB1628" s="1"/>
      <c r="KLC1628" s="1"/>
      <c r="KLD1628" s="1"/>
      <c r="KLE1628" s="1"/>
      <c r="KLF1628" s="1"/>
      <c r="KLG1628" s="1"/>
      <c r="KLH1628" s="1"/>
      <c r="KLI1628" s="1"/>
      <c r="KLJ1628" s="1"/>
      <c r="KLK1628" s="1"/>
      <c r="KLL1628" s="1"/>
      <c r="KLM1628" s="1"/>
      <c r="KLN1628" s="1"/>
      <c r="KLO1628" s="1"/>
      <c r="KLP1628" s="1"/>
      <c r="KLQ1628" s="1"/>
      <c r="KLR1628" s="1"/>
      <c r="KLS1628" s="1"/>
      <c r="KLT1628" s="1"/>
      <c r="KLU1628" s="1"/>
      <c r="KLV1628" s="1"/>
      <c r="KLW1628" s="1"/>
      <c r="KLX1628" s="1"/>
      <c r="KLY1628" s="1"/>
      <c r="KLZ1628" s="1"/>
      <c r="KMA1628" s="1"/>
      <c r="KMB1628" s="1"/>
      <c r="KMC1628" s="1"/>
      <c r="KMD1628" s="1"/>
      <c r="KME1628" s="1"/>
      <c r="KMF1628" s="1"/>
      <c r="KMG1628" s="1"/>
      <c r="KMH1628" s="1"/>
      <c r="KMI1628" s="1"/>
      <c r="KMJ1628" s="1"/>
      <c r="KMK1628" s="1"/>
      <c r="KML1628" s="1"/>
      <c r="KMM1628" s="1"/>
      <c r="KMN1628" s="1"/>
      <c r="KMO1628" s="1"/>
      <c r="KMP1628" s="1"/>
      <c r="KMQ1628" s="1"/>
      <c r="KMR1628" s="1"/>
      <c r="KMS1628" s="1"/>
      <c r="KMT1628" s="1"/>
      <c r="KMU1628" s="1"/>
      <c r="KMV1628" s="1"/>
      <c r="KMW1628" s="1"/>
      <c r="KMX1628" s="1"/>
      <c r="KMY1628" s="1"/>
      <c r="KMZ1628" s="1"/>
      <c r="KNA1628" s="1"/>
      <c r="KNB1628" s="1"/>
      <c r="KNC1628" s="1"/>
      <c r="KND1628" s="1"/>
      <c r="KNE1628" s="1"/>
      <c r="KNF1628" s="1"/>
      <c r="KNG1628" s="1"/>
      <c r="KNH1628" s="1"/>
      <c r="KNI1628" s="1"/>
      <c r="KNJ1628" s="1"/>
      <c r="KNK1628" s="1"/>
      <c r="KNL1628" s="1"/>
      <c r="KNM1628" s="1"/>
      <c r="KNN1628" s="1"/>
      <c r="KNO1628" s="1"/>
      <c r="KNP1628" s="1"/>
      <c r="KNQ1628" s="1"/>
      <c r="KNR1628" s="1"/>
      <c r="KNS1628" s="1"/>
      <c r="KNT1628" s="1"/>
      <c r="KNU1628" s="1"/>
      <c r="KNV1628" s="1"/>
      <c r="KNW1628" s="1"/>
      <c r="KNX1628" s="1"/>
      <c r="KNY1628" s="1"/>
      <c r="KNZ1628" s="1"/>
      <c r="KOA1628" s="1"/>
      <c r="KOB1628" s="1"/>
      <c r="KOC1628" s="1"/>
      <c r="KOD1628" s="1"/>
      <c r="KOE1628" s="1"/>
      <c r="KOF1628" s="1"/>
      <c r="KOG1628" s="1"/>
      <c r="KOH1628" s="1"/>
      <c r="KOI1628" s="1"/>
      <c r="KOJ1628" s="1"/>
      <c r="KOK1628" s="1"/>
      <c r="KOL1628" s="1"/>
      <c r="KOM1628" s="1"/>
      <c r="KON1628" s="1"/>
      <c r="KOO1628" s="1"/>
      <c r="KOP1628" s="1"/>
      <c r="KOQ1628" s="1"/>
      <c r="KOR1628" s="1"/>
      <c r="KOS1628" s="1"/>
      <c r="KOT1628" s="1"/>
      <c r="KOU1628" s="1"/>
      <c r="KOV1628" s="1"/>
      <c r="KOW1628" s="1"/>
      <c r="KOX1628" s="1"/>
      <c r="KOY1628" s="1"/>
      <c r="KOZ1628" s="1"/>
      <c r="KPA1628" s="1"/>
      <c r="KPB1628" s="1"/>
      <c r="KPC1628" s="1"/>
      <c r="KPD1628" s="1"/>
      <c r="KPE1628" s="1"/>
      <c r="KPF1628" s="1"/>
      <c r="KPG1628" s="1"/>
      <c r="KPH1628" s="1"/>
      <c r="KPI1628" s="1"/>
      <c r="KPJ1628" s="1"/>
      <c r="KPK1628" s="1"/>
      <c r="KPL1628" s="1"/>
      <c r="KPM1628" s="1"/>
      <c r="KPN1628" s="1"/>
      <c r="KPO1628" s="1"/>
      <c r="KPP1628" s="1"/>
      <c r="KPQ1628" s="1"/>
      <c r="KPR1628" s="1"/>
      <c r="KPS1628" s="1"/>
      <c r="KPT1628" s="1"/>
      <c r="KPU1628" s="1"/>
      <c r="KPV1628" s="1"/>
      <c r="KPW1628" s="1"/>
      <c r="KPX1628" s="1"/>
      <c r="KPY1628" s="1"/>
      <c r="KPZ1628" s="1"/>
      <c r="KQA1628" s="1"/>
      <c r="KQB1628" s="1"/>
      <c r="KQC1628" s="1"/>
      <c r="KQD1628" s="1"/>
      <c r="KQE1628" s="1"/>
      <c r="KQF1628" s="1"/>
      <c r="KQG1628" s="1"/>
      <c r="KQH1628" s="1"/>
      <c r="KQI1628" s="1"/>
      <c r="KQJ1628" s="1"/>
      <c r="KQK1628" s="1"/>
      <c r="KQL1628" s="1"/>
      <c r="KQM1628" s="1"/>
      <c r="KQN1628" s="1"/>
      <c r="KQO1628" s="1"/>
      <c r="KQP1628" s="1"/>
      <c r="KQQ1628" s="1"/>
      <c r="KQR1628" s="1"/>
      <c r="KQS1628" s="1"/>
      <c r="KQT1628" s="1"/>
      <c r="KQU1628" s="1"/>
      <c r="KQV1628" s="1"/>
      <c r="KQW1628" s="1"/>
      <c r="KQX1628" s="1"/>
      <c r="KQY1628" s="1"/>
      <c r="KQZ1628" s="1"/>
      <c r="KRA1628" s="1"/>
      <c r="KRB1628" s="1"/>
      <c r="KRC1628" s="1"/>
      <c r="KRD1628" s="1"/>
      <c r="KRE1628" s="1"/>
      <c r="KRF1628" s="1"/>
      <c r="KRG1628" s="1"/>
      <c r="KRH1628" s="1"/>
      <c r="KRI1628" s="1"/>
      <c r="KRJ1628" s="1"/>
      <c r="KRK1628" s="1"/>
      <c r="KRL1628" s="1"/>
      <c r="KRM1628" s="1"/>
      <c r="KRN1628" s="1"/>
      <c r="KRO1628" s="1"/>
      <c r="KRP1628" s="1"/>
      <c r="KRQ1628" s="1"/>
      <c r="KRR1628" s="1"/>
      <c r="KRS1628" s="1"/>
      <c r="KRT1628" s="1"/>
      <c r="KRU1628" s="1"/>
      <c r="KRV1628" s="1"/>
      <c r="KRW1628" s="1"/>
      <c r="KRX1628" s="1"/>
      <c r="KRY1628" s="1"/>
      <c r="KRZ1628" s="1"/>
      <c r="KSA1628" s="1"/>
      <c r="KSB1628" s="1"/>
      <c r="KSC1628" s="1"/>
      <c r="KSD1628" s="1"/>
      <c r="KSE1628" s="1"/>
      <c r="KSF1628" s="1"/>
      <c r="KSG1628" s="1"/>
      <c r="KSH1628" s="1"/>
      <c r="KSI1628" s="1"/>
      <c r="KSJ1628" s="1"/>
      <c r="KSK1628" s="1"/>
      <c r="KSL1628" s="1"/>
      <c r="KSM1628" s="1"/>
      <c r="KSN1628" s="1"/>
      <c r="KSO1628" s="1"/>
      <c r="KSP1628" s="1"/>
      <c r="KSQ1628" s="1"/>
      <c r="KSR1628" s="1"/>
      <c r="KSS1628" s="1"/>
      <c r="KST1628" s="1"/>
      <c r="KSU1628" s="1"/>
      <c r="KSV1628" s="1"/>
      <c r="KSW1628" s="1"/>
      <c r="KSX1628" s="1"/>
      <c r="KSY1628" s="1"/>
      <c r="KSZ1628" s="1"/>
      <c r="KTA1628" s="1"/>
      <c r="KTB1628" s="1"/>
      <c r="KTC1628" s="1"/>
      <c r="KTD1628" s="1"/>
      <c r="KTE1628" s="1"/>
      <c r="KTF1628" s="1"/>
      <c r="KTG1628" s="1"/>
      <c r="KTH1628" s="1"/>
      <c r="KTI1628" s="1"/>
      <c r="KTJ1628" s="1"/>
      <c r="KTK1628" s="1"/>
      <c r="KTL1628" s="1"/>
      <c r="KTM1628" s="1"/>
      <c r="KTN1628" s="1"/>
      <c r="KTO1628" s="1"/>
      <c r="KTP1628" s="1"/>
      <c r="KTQ1628" s="1"/>
      <c r="KTR1628" s="1"/>
      <c r="KTS1628" s="1"/>
      <c r="KTT1628" s="1"/>
      <c r="KTU1628" s="1"/>
      <c r="KTV1628" s="1"/>
      <c r="KTW1628" s="1"/>
      <c r="KTX1628" s="1"/>
      <c r="KTY1628" s="1"/>
      <c r="KTZ1628" s="1"/>
      <c r="KUA1628" s="1"/>
      <c r="KUB1628" s="1"/>
      <c r="KUC1628" s="1"/>
      <c r="KUD1628" s="1"/>
      <c r="KUE1628" s="1"/>
      <c r="KUF1628" s="1"/>
      <c r="KUG1628" s="1"/>
      <c r="KUH1628" s="1"/>
      <c r="KUI1628" s="1"/>
      <c r="KUJ1628" s="1"/>
      <c r="KUK1628" s="1"/>
      <c r="KUL1628" s="1"/>
      <c r="KUM1628" s="1"/>
      <c r="KUN1628" s="1"/>
      <c r="KUO1628" s="1"/>
      <c r="KUP1628" s="1"/>
      <c r="KUQ1628" s="1"/>
      <c r="KUR1628" s="1"/>
      <c r="KUS1628" s="1"/>
      <c r="KUT1628" s="1"/>
      <c r="KUU1628" s="1"/>
      <c r="KUV1628" s="1"/>
      <c r="KUW1628" s="1"/>
      <c r="KUX1628" s="1"/>
      <c r="KUY1628" s="1"/>
      <c r="KUZ1628" s="1"/>
      <c r="KVA1628" s="1"/>
      <c r="KVB1628" s="1"/>
      <c r="KVC1628" s="1"/>
      <c r="KVD1628" s="1"/>
      <c r="KVE1628" s="1"/>
      <c r="KVF1628" s="1"/>
      <c r="KVG1628" s="1"/>
      <c r="KVH1628" s="1"/>
      <c r="KVI1628" s="1"/>
      <c r="KVJ1628" s="1"/>
      <c r="KVK1628" s="1"/>
      <c r="KVL1628" s="1"/>
      <c r="KVM1628" s="1"/>
      <c r="KVN1628" s="1"/>
      <c r="KVO1628" s="1"/>
      <c r="KVP1628" s="1"/>
      <c r="KVQ1628" s="1"/>
      <c r="KVR1628" s="1"/>
      <c r="KVS1628" s="1"/>
      <c r="KVT1628" s="1"/>
      <c r="KVU1628" s="1"/>
      <c r="KVV1628" s="1"/>
      <c r="KVW1628" s="1"/>
      <c r="KVX1628" s="1"/>
      <c r="KVY1628" s="1"/>
      <c r="KVZ1628" s="1"/>
      <c r="KWA1628" s="1"/>
      <c r="KWB1628" s="1"/>
      <c r="KWC1628" s="1"/>
      <c r="KWD1628" s="1"/>
      <c r="KWE1628" s="1"/>
      <c r="KWF1628" s="1"/>
      <c r="KWG1628" s="1"/>
      <c r="KWH1628" s="1"/>
      <c r="KWI1628" s="1"/>
      <c r="KWJ1628" s="1"/>
      <c r="KWK1628" s="1"/>
      <c r="KWL1628" s="1"/>
      <c r="KWM1628" s="1"/>
      <c r="KWN1628" s="1"/>
      <c r="KWO1628" s="1"/>
      <c r="KWP1628" s="1"/>
      <c r="KWQ1628" s="1"/>
      <c r="KWR1628" s="1"/>
      <c r="KWS1628" s="1"/>
      <c r="KWT1628" s="1"/>
      <c r="KWU1628" s="1"/>
      <c r="KWV1628" s="1"/>
      <c r="KWW1628" s="1"/>
      <c r="KWX1628" s="1"/>
      <c r="KWY1628" s="1"/>
      <c r="KWZ1628" s="1"/>
      <c r="KXA1628" s="1"/>
      <c r="KXB1628" s="1"/>
      <c r="KXC1628" s="1"/>
      <c r="KXD1628" s="1"/>
      <c r="KXE1628" s="1"/>
      <c r="KXF1628" s="1"/>
      <c r="KXG1628" s="1"/>
      <c r="KXH1628" s="1"/>
      <c r="KXI1628" s="1"/>
      <c r="KXJ1628" s="1"/>
      <c r="KXK1628" s="1"/>
      <c r="KXL1628" s="1"/>
      <c r="KXM1628" s="1"/>
      <c r="KXN1628" s="1"/>
      <c r="KXO1628" s="1"/>
      <c r="KXP1628" s="1"/>
      <c r="KXQ1628" s="1"/>
      <c r="KXR1628" s="1"/>
      <c r="KXS1628" s="1"/>
      <c r="KXT1628" s="1"/>
      <c r="KXU1628" s="1"/>
      <c r="KXV1628" s="1"/>
      <c r="KXW1628" s="1"/>
      <c r="KXX1628" s="1"/>
      <c r="KXY1628" s="1"/>
      <c r="KXZ1628" s="1"/>
      <c r="KYA1628" s="1"/>
      <c r="KYB1628" s="1"/>
      <c r="KYC1628" s="1"/>
      <c r="KYD1628" s="1"/>
      <c r="KYE1628" s="1"/>
      <c r="KYF1628" s="1"/>
      <c r="KYG1628" s="1"/>
      <c r="KYH1628" s="1"/>
      <c r="KYI1628" s="1"/>
      <c r="KYJ1628" s="1"/>
      <c r="KYK1628" s="1"/>
      <c r="KYL1628" s="1"/>
      <c r="KYM1628" s="1"/>
      <c r="KYN1628" s="1"/>
      <c r="KYO1628" s="1"/>
      <c r="KYP1628" s="1"/>
      <c r="KYQ1628" s="1"/>
      <c r="KYR1628" s="1"/>
      <c r="KYS1628" s="1"/>
      <c r="KYT1628" s="1"/>
      <c r="KYU1628" s="1"/>
      <c r="KYV1628" s="1"/>
      <c r="KYW1628" s="1"/>
      <c r="KYX1628" s="1"/>
      <c r="KYY1628" s="1"/>
      <c r="KYZ1628" s="1"/>
      <c r="KZA1628" s="1"/>
      <c r="KZB1628" s="1"/>
      <c r="KZC1628" s="1"/>
      <c r="KZD1628" s="1"/>
      <c r="KZE1628" s="1"/>
      <c r="KZF1628" s="1"/>
      <c r="KZG1628" s="1"/>
      <c r="KZH1628" s="1"/>
      <c r="KZI1628" s="1"/>
      <c r="KZJ1628" s="1"/>
      <c r="KZK1628" s="1"/>
      <c r="KZL1628" s="1"/>
      <c r="KZM1628" s="1"/>
      <c r="KZN1628" s="1"/>
      <c r="KZO1628" s="1"/>
      <c r="KZP1628" s="1"/>
      <c r="KZQ1628" s="1"/>
      <c r="KZR1628" s="1"/>
      <c r="KZS1628" s="1"/>
      <c r="KZT1628" s="1"/>
      <c r="KZU1628" s="1"/>
      <c r="KZV1628" s="1"/>
      <c r="KZW1628" s="1"/>
      <c r="KZX1628" s="1"/>
      <c r="KZY1628" s="1"/>
      <c r="KZZ1628" s="1"/>
      <c r="LAA1628" s="1"/>
      <c r="LAB1628" s="1"/>
      <c r="LAC1628" s="1"/>
      <c r="LAD1628" s="1"/>
      <c r="LAE1628" s="1"/>
      <c r="LAF1628" s="1"/>
      <c r="LAG1628" s="1"/>
      <c r="LAH1628" s="1"/>
      <c r="LAI1628" s="1"/>
      <c r="LAJ1628" s="1"/>
      <c r="LAK1628" s="1"/>
      <c r="LAL1628" s="1"/>
      <c r="LAM1628" s="1"/>
      <c r="LAN1628" s="1"/>
      <c r="LAO1628" s="1"/>
      <c r="LAP1628" s="1"/>
      <c r="LAQ1628" s="1"/>
      <c r="LAR1628" s="1"/>
      <c r="LAS1628" s="1"/>
      <c r="LAT1628" s="1"/>
      <c r="LAU1628" s="1"/>
      <c r="LAV1628" s="1"/>
      <c r="LAW1628" s="1"/>
      <c r="LAX1628" s="1"/>
      <c r="LAY1628" s="1"/>
      <c r="LAZ1628" s="1"/>
      <c r="LBA1628" s="1"/>
      <c r="LBB1628" s="1"/>
      <c r="LBC1628" s="1"/>
      <c r="LBD1628" s="1"/>
      <c r="LBE1628" s="1"/>
      <c r="LBF1628" s="1"/>
      <c r="LBG1628" s="1"/>
      <c r="LBH1628" s="1"/>
      <c r="LBI1628" s="1"/>
      <c r="LBJ1628" s="1"/>
      <c r="LBK1628" s="1"/>
      <c r="LBL1628" s="1"/>
      <c r="LBM1628" s="1"/>
      <c r="LBN1628" s="1"/>
      <c r="LBO1628" s="1"/>
      <c r="LBP1628" s="1"/>
      <c r="LBQ1628" s="1"/>
      <c r="LBR1628" s="1"/>
      <c r="LBS1628" s="1"/>
      <c r="LBT1628" s="1"/>
      <c r="LBU1628" s="1"/>
      <c r="LBV1628" s="1"/>
      <c r="LBW1628" s="1"/>
      <c r="LBX1628" s="1"/>
      <c r="LBY1628" s="1"/>
      <c r="LBZ1628" s="1"/>
      <c r="LCA1628" s="1"/>
      <c r="LCB1628" s="1"/>
      <c r="LCC1628" s="1"/>
      <c r="LCD1628" s="1"/>
      <c r="LCE1628" s="1"/>
      <c r="LCF1628" s="1"/>
      <c r="LCG1628" s="1"/>
      <c r="LCH1628" s="1"/>
      <c r="LCI1628" s="1"/>
      <c r="LCJ1628" s="1"/>
      <c r="LCK1628" s="1"/>
      <c r="LCL1628" s="1"/>
      <c r="LCM1628" s="1"/>
      <c r="LCN1628" s="1"/>
      <c r="LCO1628" s="1"/>
      <c r="LCP1628" s="1"/>
      <c r="LCQ1628" s="1"/>
      <c r="LCR1628" s="1"/>
      <c r="LCS1628" s="1"/>
      <c r="LCT1628" s="1"/>
      <c r="LCU1628" s="1"/>
      <c r="LCV1628" s="1"/>
      <c r="LCW1628" s="1"/>
      <c r="LCX1628" s="1"/>
      <c r="LCY1628" s="1"/>
      <c r="LCZ1628" s="1"/>
      <c r="LDA1628" s="1"/>
      <c r="LDB1628" s="1"/>
      <c r="LDC1628" s="1"/>
      <c r="LDD1628" s="1"/>
      <c r="LDE1628" s="1"/>
      <c r="LDF1628" s="1"/>
      <c r="LDG1628" s="1"/>
      <c r="LDH1628" s="1"/>
      <c r="LDI1628" s="1"/>
      <c r="LDJ1628" s="1"/>
      <c r="LDK1628" s="1"/>
      <c r="LDL1628" s="1"/>
      <c r="LDM1628" s="1"/>
      <c r="LDN1628" s="1"/>
      <c r="LDO1628" s="1"/>
      <c r="LDP1628" s="1"/>
      <c r="LDQ1628" s="1"/>
      <c r="LDR1628" s="1"/>
      <c r="LDS1628" s="1"/>
      <c r="LDT1628" s="1"/>
      <c r="LDU1628" s="1"/>
      <c r="LDV1628" s="1"/>
      <c r="LDW1628" s="1"/>
      <c r="LDX1628" s="1"/>
      <c r="LDY1628" s="1"/>
      <c r="LDZ1628" s="1"/>
      <c r="LEA1628" s="1"/>
      <c r="LEB1628" s="1"/>
      <c r="LEC1628" s="1"/>
      <c r="LED1628" s="1"/>
      <c r="LEE1628" s="1"/>
      <c r="LEF1628" s="1"/>
      <c r="LEG1628" s="1"/>
      <c r="LEH1628" s="1"/>
      <c r="LEI1628" s="1"/>
      <c r="LEJ1628" s="1"/>
      <c r="LEK1628" s="1"/>
      <c r="LEL1628" s="1"/>
      <c r="LEM1628" s="1"/>
      <c r="LEN1628" s="1"/>
      <c r="LEO1628" s="1"/>
      <c r="LEP1628" s="1"/>
      <c r="LEQ1628" s="1"/>
      <c r="LER1628" s="1"/>
      <c r="LES1628" s="1"/>
      <c r="LET1628" s="1"/>
      <c r="LEU1628" s="1"/>
      <c r="LEV1628" s="1"/>
      <c r="LEW1628" s="1"/>
      <c r="LEX1628" s="1"/>
      <c r="LEY1628" s="1"/>
      <c r="LEZ1628" s="1"/>
      <c r="LFA1628" s="1"/>
      <c r="LFB1628" s="1"/>
      <c r="LFC1628" s="1"/>
      <c r="LFD1628" s="1"/>
      <c r="LFE1628" s="1"/>
      <c r="LFF1628" s="1"/>
      <c r="LFG1628" s="1"/>
      <c r="LFH1628" s="1"/>
      <c r="LFI1628" s="1"/>
      <c r="LFJ1628" s="1"/>
      <c r="LFK1628" s="1"/>
      <c r="LFL1628" s="1"/>
      <c r="LFM1628" s="1"/>
      <c r="LFN1628" s="1"/>
      <c r="LFO1628" s="1"/>
      <c r="LFP1628" s="1"/>
      <c r="LFQ1628" s="1"/>
      <c r="LFR1628" s="1"/>
      <c r="LFS1628" s="1"/>
      <c r="LFT1628" s="1"/>
      <c r="LFU1628" s="1"/>
      <c r="LFV1628" s="1"/>
      <c r="LFW1628" s="1"/>
      <c r="LFX1628" s="1"/>
      <c r="LFY1628" s="1"/>
      <c r="LFZ1628" s="1"/>
      <c r="LGA1628" s="1"/>
      <c r="LGB1628" s="1"/>
      <c r="LGC1628" s="1"/>
      <c r="LGD1628" s="1"/>
      <c r="LGE1628" s="1"/>
      <c r="LGF1628" s="1"/>
      <c r="LGG1628" s="1"/>
      <c r="LGH1628" s="1"/>
      <c r="LGI1628" s="1"/>
      <c r="LGJ1628" s="1"/>
      <c r="LGK1628" s="1"/>
      <c r="LGL1628" s="1"/>
      <c r="LGM1628" s="1"/>
      <c r="LGN1628" s="1"/>
      <c r="LGO1628" s="1"/>
      <c r="LGP1628" s="1"/>
      <c r="LGQ1628" s="1"/>
      <c r="LGR1628" s="1"/>
      <c r="LGS1628" s="1"/>
      <c r="LGT1628" s="1"/>
      <c r="LGU1628" s="1"/>
      <c r="LGV1628" s="1"/>
      <c r="LGW1628" s="1"/>
      <c r="LGX1628" s="1"/>
      <c r="LGY1628" s="1"/>
      <c r="LGZ1628" s="1"/>
      <c r="LHA1628" s="1"/>
      <c r="LHB1628" s="1"/>
      <c r="LHC1628" s="1"/>
      <c r="LHD1628" s="1"/>
      <c r="LHE1628" s="1"/>
      <c r="LHF1628" s="1"/>
      <c r="LHG1628" s="1"/>
      <c r="LHH1628" s="1"/>
      <c r="LHI1628" s="1"/>
      <c r="LHJ1628" s="1"/>
      <c r="LHK1628" s="1"/>
      <c r="LHL1628" s="1"/>
      <c r="LHM1628" s="1"/>
      <c r="LHN1628" s="1"/>
      <c r="LHO1628" s="1"/>
      <c r="LHP1628" s="1"/>
      <c r="LHQ1628" s="1"/>
      <c r="LHR1628" s="1"/>
      <c r="LHS1628" s="1"/>
      <c r="LHT1628" s="1"/>
      <c r="LHU1628" s="1"/>
      <c r="LHV1628" s="1"/>
      <c r="LHW1628" s="1"/>
      <c r="LHX1628" s="1"/>
      <c r="LHY1628" s="1"/>
      <c r="LHZ1628" s="1"/>
      <c r="LIA1628" s="1"/>
      <c r="LIB1628" s="1"/>
      <c r="LIC1628" s="1"/>
      <c r="LID1628" s="1"/>
      <c r="LIE1628" s="1"/>
      <c r="LIF1628" s="1"/>
      <c r="LIG1628" s="1"/>
      <c r="LIH1628" s="1"/>
      <c r="LII1628" s="1"/>
      <c r="LIJ1628" s="1"/>
      <c r="LIK1628" s="1"/>
      <c r="LIL1628" s="1"/>
      <c r="LIM1628" s="1"/>
      <c r="LIN1628" s="1"/>
      <c r="LIO1628" s="1"/>
      <c r="LIP1628" s="1"/>
      <c r="LIQ1628" s="1"/>
      <c r="LIR1628" s="1"/>
      <c r="LIS1628" s="1"/>
      <c r="LIT1628" s="1"/>
      <c r="LIU1628" s="1"/>
      <c r="LIV1628" s="1"/>
      <c r="LIW1628" s="1"/>
      <c r="LIX1628" s="1"/>
      <c r="LIY1628" s="1"/>
      <c r="LIZ1628" s="1"/>
      <c r="LJA1628" s="1"/>
      <c r="LJB1628" s="1"/>
      <c r="LJC1628" s="1"/>
      <c r="LJD1628" s="1"/>
      <c r="LJE1628" s="1"/>
      <c r="LJF1628" s="1"/>
      <c r="LJG1628" s="1"/>
      <c r="LJH1628" s="1"/>
      <c r="LJI1628" s="1"/>
      <c r="LJJ1628" s="1"/>
      <c r="LJK1628" s="1"/>
      <c r="LJL1628" s="1"/>
      <c r="LJM1628" s="1"/>
      <c r="LJN1628" s="1"/>
      <c r="LJO1628" s="1"/>
      <c r="LJP1628" s="1"/>
      <c r="LJQ1628" s="1"/>
      <c r="LJR1628" s="1"/>
      <c r="LJS1628" s="1"/>
      <c r="LJT1628" s="1"/>
      <c r="LJU1628" s="1"/>
      <c r="LJV1628" s="1"/>
      <c r="LJW1628" s="1"/>
      <c r="LJX1628" s="1"/>
      <c r="LJY1628" s="1"/>
      <c r="LJZ1628" s="1"/>
      <c r="LKA1628" s="1"/>
      <c r="LKB1628" s="1"/>
      <c r="LKC1628" s="1"/>
      <c r="LKD1628" s="1"/>
      <c r="LKE1628" s="1"/>
      <c r="LKF1628" s="1"/>
      <c r="LKG1628" s="1"/>
      <c r="LKH1628" s="1"/>
      <c r="LKI1628" s="1"/>
      <c r="LKJ1628" s="1"/>
      <c r="LKK1628" s="1"/>
      <c r="LKL1628" s="1"/>
      <c r="LKM1628" s="1"/>
      <c r="LKN1628" s="1"/>
      <c r="LKO1628" s="1"/>
      <c r="LKP1628" s="1"/>
      <c r="LKQ1628" s="1"/>
      <c r="LKR1628" s="1"/>
      <c r="LKS1628" s="1"/>
      <c r="LKT1628" s="1"/>
      <c r="LKU1628" s="1"/>
      <c r="LKV1628" s="1"/>
      <c r="LKW1628" s="1"/>
      <c r="LKX1628" s="1"/>
      <c r="LKY1628" s="1"/>
      <c r="LKZ1628" s="1"/>
      <c r="LLA1628" s="1"/>
      <c r="LLB1628" s="1"/>
      <c r="LLC1628" s="1"/>
      <c r="LLD1628" s="1"/>
      <c r="LLE1628" s="1"/>
      <c r="LLF1628" s="1"/>
      <c r="LLG1628" s="1"/>
      <c r="LLH1628" s="1"/>
      <c r="LLI1628" s="1"/>
      <c r="LLJ1628" s="1"/>
      <c r="LLK1628" s="1"/>
      <c r="LLL1628" s="1"/>
      <c r="LLM1628" s="1"/>
      <c r="LLN1628" s="1"/>
      <c r="LLO1628" s="1"/>
      <c r="LLP1628" s="1"/>
      <c r="LLQ1628" s="1"/>
      <c r="LLR1628" s="1"/>
      <c r="LLS1628" s="1"/>
      <c r="LLT1628" s="1"/>
      <c r="LLU1628" s="1"/>
      <c r="LLV1628" s="1"/>
      <c r="LLW1628" s="1"/>
      <c r="LLX1628" s="1"/>
      <c r="LLY1628" s="1"/>
      <c r="LLZ1628" s="1"/>
      <c r="LMA1628" s="1"/>
      <c r="LMB1628" s="1"/>
      <c r="LMC1628" s="1"/>
      <c r="LMD1628" s="1"/>
      <c r="LME1628" s="1"/>
      <c r="LMF1628" s="1"/>
      <c r="LMG1628" s="1"/>
      <c r="LMH1628" s="1"/>
      <c r="LMI1628" s="1"/>
      <c r="LMJ1628" s="1"/>
      <c r="LMK1628" s="1"/>
      <c r="LML1628" s="1"/>
      <c r="LMM1628" s="1"/>
      <c r="LMN1628" s="1"/>
      <c r="LMO1628" s="1"/>
      <c r="LMP1628" s="1"/>
      <c r="LMQ1628" s="1"/>
      <c r="LMR1628" s="1"/>
      <c r="LMS1628" s="1"/>
      <c r="LMT1628" s="1"/>
      <c r="LMU1628" s="1"/>
      <c r="LMV1628" s="1"/>
      <c r="LMW1628" s="1"/>
      <c r="LMX1628" s="1"/>
      <c r="LMY1628" s="1"/>
      <c r="LMZ1628" s="1"/>
      <c r="LNA1628" s="1"/>
      <c r="LNB1628" s="1"/>
      <c r="LNC1628" s="1"/>
      <c r="LND1628" s="1"/>
      <c r="LNE1628" s="1"/>
      <c r="LNF1628" s="1"/>
      <c r="LNG1628" s="1"/>
      <c r="LNH1628" s="1"/>
      <c r="LNI1628" s="1"/>
      <c r="LNJ1628" s="1"/>
      <c r="LNK1628" s="1"/>
      <c r="LNL1628" s="1"/>
      <c r="LNM1628" s="1"/>
      <c r="LNN1628" s="1"/>
      <c r="LNO1628" s="1"/>
      <c r="LNP1628" s="1"/>
      <c r="LNQ1628" s="1"/>
      <c r="LNR1628" s="1"/>
      <c r="LNS1628" s="1"/>
      <c r="LNT1628" s="1"/>
      <c r="LNU1628" s="1"/>
      <c r="LNV1628" s="1"/>
      <c r="LNW1628" s="1"/>
      <c r="LNX1628" s="1"/>
      <c r="LNY1628" s="1"/>
      <c r="LNZ1628" s="1"/>
      <c r="LOA1628" s="1"/>
      <c r="LOB1628" s="1"/>
      <c r="LOC1628" s="1"/>
      <c r="LOD1628" s="1"/>
      <c r="LOE1628" s="1"/>
      <c r="LOF1628" s="1"/>
      <c r="LOG1628" s="1"/>
      <c r="LOH1628" s="1"/>
      <c r="LOI1628" s="1"/>
      <c r="LOJ1628" s="1"/>
      <c r="LOK1628" s="1"/>
      <c r="LOL1628" s="1"/>
      <c r="LOM1628" s="1"/>
      <c r="LON1628" s="1"/>
      <c r="LOO1628" s="1"/>
      <c r="LOP1628" s="1"/>
      <c r="LOQ1628" s="1"/>
      <c r="LOR1628" s="1"/>
      <c r="LOS1628" s="1"/>
      <c r="LOT1628" s="1"/>
      <c r="LOU1628" s="1"/>
      <c r="LOV1628" s="1"/>
      <c r="LOW1628" s="1"/>
      <c r="LOX1628" s="1"/>
      <c r="LOY1628" s="1"/>
      <c r="LOZ1628" s="1"/>
      <c r="LPA1628" s="1"/>
      <c r="LPB1628" s="1"/>
      <c r="LPC1628" s="1"/>
      <c r="LPD1628" s="1"/>
      <c r="LPE1628" s="1"/>
      <c r="LPF1628" s="1"/>
      <c r="LPG1628" s="1"/>
      <c r="LPH1628" s="1"/>
      <c r="LPI1628" s="1"/>
      <c r="LPJ1628" s="1"/>
      <c r="LPK1628" s="1"/>
      <c r="LPL1628" s="1"/>
      <c r="LPM1628" s="1"/>
      <c r="LPN1628" s="1"/>
      <c r="LPO1628" s="1"/>
      <c r="LPP1628" s="1"/>
      <c r="LPQ1628" s="1"/>
      <c r="LPR1628" s="1"/>
      <c r="LPS1628" s="1"/>
      <c r="LPT1628" s="1"/>
      <c r="LPU1628" s="1"/>
      <c r="LPV1628" s="1"/>
      <c r="LPW1628" s="1"/>
      <c r="LPX1628" s="1"/>
      <c r="LPY1628" s="1"/>
      <c r="LPZ1628" s="1"/>
      <c r="LQA1628" s="1"/>
      <c r="LQB1628" s="1"/>
      <c r="LQC1628" s="1"/>
      <c r="LQD1628" s="1"/>
      <c r="LQE1628" s="1"/>
      <c r="LQF1628" s="1"/>
      <c r="LQG1628" s="1"/>
      <c r="LQH1628" s="1"/>
      <c r="LQI1628" s="1"/>
      <c r="LQJ1628" s="1"/>
      <c r="LQK1628" s="1"/>
      <c r="LQL1628" s="1"/>
      <c r="LQM1628" s="1"/>
      <c r="LQN1628" s="1"/>
      <c r="LQO1628" s="1"/>
      <c r="LQP1628" s="1"/>
      <c r="LQQ1628" s="1"/>
      <c r="LQR1628" s="1"/>
      <c r="LQS1628" s="1"/>
      <c r="LQT1628" s="1"/>
      <c r="LQU1628" s="1"/>
      <c r="LQV1628" s="1"/>
      <c r="LQW1628" s="1"/>
      <c r="LQX1628" s="1"/>
      <c r="LQY1628" s="1"/>
      <c r="LQZ1628" s="1"/>
      <c r="LRA1628" s="1"/>
      <c r="LRB1628" s="1"/>
      <c r="LRC1628" s="1"/>
      <c r="LRD1628" s="1"/>
      <c r="LRE1628" s="1"/>
      <c r="LRF1628" s="1"/>
      <c r="LRG1628" s="1"/>
      <c r="LRH1628" s="1"/>
      <c r="LRI1628" s="1"/>
      <c r="LRJ1628" s="1"/>
      <c r="LRK1628" s="1"/>
      <c r="LRL1628" s="1"/>
      <c r="LRM1628" s="1"/>
      <c r="LRN1628" s="1"/>
      <c r="LRO1628" s="1"/>
      <c r="LRP1628" s="1"/>
      <c r="LRQ1628" s="1"/>
      <c r="LRR1628" s="1"/>
      <c r="LRS1628" s="1"/>
      <c r="LRT1628" s="1"/>
      <c r="LRU1628" s="1"/>
      <c r="LRV1628" s="1"/>
      <c r="LRW1628" s="1"/>
      <c r="LRX1628" s="1"/>
      <c r="LRY1628" s="1"/>
      <c r="LRZ1628" s="1"/>
      <c r="LSA1628" s="1"/>
      <c r="LSB1628" s="1"/>
      <c r="LSC1628" s="1"/>
      <c r="LSD1628" s="1"/>
      <c r="LSE1628" s="1"/>
      <c r="LSF1628" s="1"/>
      <c r="LSG1628" s="1"/>
      <c r="LSH1628" s="1"/>
      <c r="LSI1628" s="1"/>
      <c r="LSJ1628" s="1"/>
      <c r="LSK1628" s="1"/>
      <c r="LSL1628" s="1"/>
      <c r="LSM1628" s="1"/>
      <c r="LSN1628" s="1"/>
      <c r="LSO1628" s="1"/>
      <c r="LSP1628" s="1"/>
      <c r="LSQ1628" s="1"/>
      <c r="LSR1628" s="1"/>
      <c r="LSS1628" s="1"/>
      <c r="LST1628" s="1"/>
      <c r="LSU1628" s="1"/>
      <c r="LSV1628" s="1"/>
      <c r="LSW1628" s="1"/>
      <c r="LSX1628" s="1"/>
      <c r="LSY1628" s="1"/>
      <c r="LSZ1628" s="1"/>
      <c r="LTA1628" s="1"/>
      <c r="LTB1628" s="1"/>
      <c r="LTC1628" s="1"/>
      <c r="LTD1628" s="1"/>
      <c r="LTE1628" s="1"/>
      <c r="LTF1628" s="1"/>
      <c r="LTG1628" s="1"/>
      <c r="LTH1628" s="1"/>
      <c r="LTI1628" s="1"/>
      <c r="LTJ1628" s="1"/>
      <c r="LTK1628" s="1"/>
      <c r="LTL1628" s="1"/>
      <c r="LTM1628" s="1"/>
      <c r="LTN1628" s="1"/>
      <c r="LTO1628" s="1"/>
      <c r="LTP1628" s="1"/>
      <c r="LTQ1628" s="1"/>
      <c r="LTR1628" s="1"/>
      <c r="LTS1628" s="1"/>
      <c r="LTT1628" s="1"/>
      <c r="LTU1628" s="1"/>
      <c r="LTV1628" s="1"/>
      <c r="LTW1628" s="1"/>
      <c r="LTX1628" s="1"/>
      <c r="LTY1628" s="1"/>
      <c r="LTZ1628" s="1"/>
      <c r="LUA1628" s="1"/>
      <c r="LUB1628" s="1"/>
      <c r="LUC1628" s="1"/>
      <c r="LUD1628" s="1"/>
      <c r="LUE1628" s="1"/>
      <c r="LUF1628" s="1"/>
      <c r="LUG1628" s="1"/>
      <c r="LUH1628" s="1"/>
      <c r="LUI1628" s="1"/>
      <c r="LUJ1628" s="1"/>
      <c r="LUK1628" s="1"/>
      <c r="LUL1628" s="1"/>
      <c r="LUM1628" s="1"/>
      <c r="LUN1628" s="1"/>
      <c r="LUO1628" s="1"/>
      <c r="LUP1628" s="1"/>
      <c r="LUQ1628" s="1"/>
      <c r="LUR1628" s="1"/>
      <c r="LUS1628" s="1"/>
      <c r="LUT1628" s="1"/>
      <c r="LUU1628" s="1"/>
      <c r="LUV1628" s="1"/>
      <c r="LUW1628" s="1"/>
      <c r="LUX1628" s="1"/>
      <c r="LUY1628" s="1"/>
      <c r="LUZ1628" s="1"/>
      <c r="LVA1628" s="1"/>
      <c r="LVB1628" s="1"/>
      <c r="LVC1628" s="1"/>
      <c r="LVD1628" s="1"/>
      <c r="LVE1628" s="1"/>
      <c r="LVF1628" s="1"/>
      <c r="LVG1628" s="1"/>
      <c r="LVH1628" s="1"/>
      <c r="LVI1628" s="1"/>
      <c r="LVJ1628" s="1"/>
      <c r="LVK1628" s="1"/>
      <c r="LVL1628" s="1"/>
      <c r="LVM1628" s="1"/>
      <c r="LVN1628" s="1"/>
      <c r="LVO1628" s="1"/>
      <c r="LVP1628" s="1"/>
      <c r="LVQ1628" s="1"/>
      <c r="LVR1628" s="1"/>
      <c r="LVS1628" s="1"/>
      <c r="LVT1628" s="1"/>
      <c r="LVU1628" s="1"/>
      <c r="LVV1628" s="1"/>
      <c r="LVW1628" s="1"/>
      <c r="LVX1628" s="1"/>
      <c r="LVY1628" s="1"/>
      <c r="LVZ1628" s="1"/>
      <c r="LWA1628" s="1"/>
      <c r="LWB1628" s="1"/>
      <c r="LWC1628" s="1"/>
      <c r="LWD1628" s="1"/>
      <c r="LWE1628" s="1"/>
      <c r="LWF1628" s="1"/>
      <c r="LWG1628" s="1"/>
      <c r="LWH1628" s="1"/>
      <c r="LWI1628" s="1"/>
      <c r="LWJ1628" s="1"/>
      <c r="LWK1628" s="1"/>
      <c r="LWL1628" s="1"/>
      <c r="LWM1628" s="1"/>
      <c r="LWN1628" s="1"/>
      <c r="LWO1628" s="1"/>
      <c r="LWP1628" s="1"/>
      <c r="LWQ1628" s="1"/>
      <c r="LWR1628" s="1"/>
      <c r="LWS1628" s="1"/>
      <c r="LWT1628" s="1"/>
      <c r="LWU1628" s="1"/>
      <c r="LWV1628" s="1"/>
      <c r="LWW1628" s="1"/>
      <c r="LWX1628" s="1"/>
      <c r="LWY1628" s="1"/>
      <c r="LWZ1628" s="1"/>
      <c r="LXA1628" s="1"/>
      <c r="LXB1628" s="1"/>
      <c r="LXC1628" s="1"/>
      <c r="LXD1628" s="1"/>
      <c r="LXE1628" s="1"/>
      <c r="LXF1628" s="1"/>
      <c r="LXG1628" s="1"/>
      <c r="LXH1628" s="1"/>
      <c r="LXI1628" s="1"/>
      <c r="LXJ1628" s="1"/>
      <c r="LXK1628" s="1"/>
      <c r="LXL1628" s="1"/>
      <c r="LXM1628" s="1"/>
      <c r="LXN1628" s="1"/>
      <c r="LXO1628" s="1"/>
      <c r="LXP1628" s="1"/>
      <c r="LXQ1628" s="1"/>
      <c r="LXR1628" s="1"/>
      <c r="LXS1628" s="1"/>
      <c r="LXT1628" s="1"/>
      <c r="LXU1628" s="1"/>
      <c r="LXV1628" s="1"/>
      <c r="LXW1628" s="1"/>
      <c r="LXX1628" s="1"/>
      <c r="LXY1628" s="1"/>
      <c r="LXZ1628" s="1"/>
      <c r="LYA1628" s="1"/>
      <c r="LYB1628" s="1"/>
      <c r="LYC1628" s="1"/>
      <c r="LYD1628" s="1"/>
      <c r="LYE1628" s="1"/>
      <c r="LYF1628" s="1"/>
      <c r="LYG1628" s="1"/>
      <c r="LYH1628" s="1"/>
      <c r="LYI1628" s="1"/>
      <c r="LYJ1628" s="1"/>
      <c r="LYK1628" s="1"/>
      <c r="LYL1628" s="1"/>
      <c r="LYM1628" s="1"/>
      <c r="LYN1628" s="1"/>
      <c r="LYO1628" s="1"/>
      <c r="LYP1628" s="1"/>
      <c r="LYQ1628" s="1"/>
      <c r="LYR1628" s="1"/>
      <c r="LYS1628" s="1"/>
      <c r="LYT1628" s="1"/>
      <c r="LYU1628" s="1"/>
      <c r="LYV1628" s="1"/>
      <c r="LYW1628" s="1"/>
      <c r="LYX1628" s="1"/>
      <c r="LYY1628" s="1"/>
      <c r="LYZ1628" s="1"/>
      <c r="LZA1628" s="1"/>
      <c r="LZB1628" s="1"/>
      <c r="LZC1628" s="1"/>
      <c r="LZD1628" s="1"/>
      <c r="LZE1628" s="1"/>
      <c r="LZF1628" s="1"/>
      <c r="LZG1628" s="1"/>
      <c r="LZH1628" s="1"/>
      <c r="LZI1628" s="1"/>
      <c r="LZJ1628" s="1"/>
      <c r="LZK1628" s="1"/>
      <c r="LZL1628" s="1"/>
      <c r="LZM1628" s="1"/>
      <c r="LZN1628" s="1"/>
      <c r="LZO1628" s="1"/>
      <c r="LZP1628" s="1"/>
      <c r="LZQ1628" s="1"/>
      <c r="LZR1628" s="1"/>
      <c r="LZS1628" s="1"/>
      <c r="LZT1628" s="1"/>
      <c r="LZU1628" s="1"/>
      <c r="LZV1628" s="1"/>
      <c r="LZW1628" s="1"/>
      <c r="LZX1628" s="1"/>
      <c r="LZY1628" s="1"/>
      <c r="LZZ1628" s="1"/>
      <c r="MAA1628" s="1"/>
      <c r="MAB1628" s="1"/>
      <c r="MAC1628" s="1"/>
      <c r="MAD1628" s="1"/>
      <c r="MAE1628" s="1"/>
      <c r="MAF1628" s="1"/>
      <c r="MAG1628" s="1"/>
      <c r="MAH1628" s="1"/>
      <c r="MAI1628" s="1"/>
      <c r="MAJ1628" s="1"/>
      <c r="MAK1628" s="1"/>
      <c r="MAL1628" s="1"/>
      <c r="MAM1628" s="1"/>
      <c r="MAN1628" s="1"/>
      <c r="MAO1628" s="1"/>
      <c r="MAP1628" s="1"/>
      <c r="MAQ1628" s="1"/>
      <c r="MAR1628" s="1"/>
      <c r="MAS1628" s="1"/>
      <c r="MAT1628" s="1"/>
      <c r="MAU1628" s="1"/>
      <c r="MAV1628" s="1"/>
      <c r="MAW1628" s="1"/>
      <c r="MAX1628" s="1"/>
      <c r="MAY1628" s="1"/>
      <c r="MAZ1628" s="1"/>
      <c r="MBA1628" s="1"/>
      <c r="MBB1628" s="1"/>
      <c r="MBC1628" s="1"/>
      <c r="MBD1628" s="1"/>
      <c r="MBE1628" s="1"/>
      <c r="MBF1628" s="1"/>
      <c r="MBG1628" s="1"/>
      <c r="MBH1628" s="1"/>
      <c r="MBI1628" s="1"/>
      <c r="MBJ1628" s="1"/>
      <c r="MBK1628" s="1"/>
      <c r="MBL1628" s="1"/>
      <c r="MBM1628" s="1"/>
      <c r="MBN1628" s="1"/>
      <c r="MBO1628" s="1"/>
      <c r="MBP1628" s="1"/>
      <c r="MBQ1628" s="1"/>
      <c r="MBR1628" s="1"/>
      <c r="MBS1628" s="1"/>
      <c r="MBT1628" s="1"/>
      <c r="MBU1628" s="1"/>
      <c r="MBV1628" s="1"/>
      <c r="MBW1628" s="1"/>
      <c r="MBX1628" s="1"/>
      <c r="MBY1628" s="1"/>
      <c r="MBZ1628" s="1"/>
      <c r="MCA1628" s="1"/>
      <c r="MCB1628" s="1"/>
      <c r="MCC1628" s="1"/>
      <c r="MCD1628" s="1"/>
      <c r="MCE1628" s="1"/>
      <c r="MCF1628" s="1"/>
      <c r="MCG1628" s="1"/>
      <c r="MCH1628" s="1"/>
      <c r="MCI1628" s="1"/>
      <c r="MCJ1628" s="1"/>
      <c r="MCK1628" s="1"/>
      <c r="MCL1628" s="1"/>
      <c r="MCM1628" s="1"/>
      <c r="MCN1628" s="1"/>
      <c r="MCO1628" s="1"/>
      <c r="MCP1628" s="1"/>
      <c r="MCQ1628" s="1"/>
      <c r="MCR1628" s="1"/>
      <c r="MCS1628" s="1"/>
      <c r="MCT1628" s="1"/>
      <c r="MCU1628" s="1"/>
      <c r="MCV1628" s="1"/>
      <c r="MCW1628" s="1"/>
      <c r="MCX1628" s="1"/>
      <c r="MCY1628" s="1"/>
      <c r="MCZ1628" s="1"/>
      <c r="MDA1628" s="1"/>
      <c r="MDB1628" s="1"/>
      <c r="MDC1628" s="1"/>
      <c r="MDD1628" s="1"/>
      <c r="MDE1628" s="1"/>
      <c r="MDF1628" s="1"/>
      <c r="MDG1628" s="1"/>
      <c r="MDH1628" s="1"/>
      <c r="MDI1628" s="1"/>
      <c r="MDJ1628" s="1"/>
      <c r="MDK1628" s="1"/>
      <c r="MDL1628" s="1"/>
      <c r="MDM1628" s="1"/>
      <c r="MDN1628" s="1"/>
      <c r="MDO1628" s="1"/>
      <c r="MDP1628" s="1"/>
      <c r="MDQ1628" s="1"/>
      <c r="MDR1628" s="1"/>
      <c r="MDS1628" s="1"/>
      <c r="MDT1628" s="1"/>
      <c r="MDU1628" s="1"/>
      <c r="MDV1628" s="1"/>
      <c r="MDW1628" s="1"/>
      <c r="MDX1628" s="1"/>
      <c r="MDY1628" s="1"/>
      <c r="MDZ1628" s="1"/>
      <c r="MEA1628" s="1"/>
      <c r="MEB1628" s="1"/>
      <c r="MEC1628" s="1"/>
      <c r="MED1628" s="1"/>
      <c r="MEE1628" s="1"/>
      <c r="MEF1628" s="1"/>
      <c r="MEG1628" s="1"/>
      <c r="MEH1628" s="1"/>
      <c r="MEI1628" s="1"/>
      <c r="MEJ1628" s="1"/>
      <c r="MEK1628" s="1"/>
      <c r="MEL1628" s="1"/>
      <c r="MEM1628" s="1"/>
      <c r="MEN1628" s="1"/>
      <c r="MEO1628" s="1"/>
      <c r="MEP1628" s="1"/>
      <c r="MEQ1628" s="1"/>
      <c r="MER1628" s="1"/>
      <c r="MES1628" s="1"/>
      <c r="MET1628" s="1"/>
      <c r="MEU1628" s="1"/>
      <c r="MEV1628" s="1"/>
      <c r="MEW1628" s="1"/>
      <c r="MEX1628" s="1"/>
      <c r="MEY1628" s="1"/>
      <c r="MEZ1628" s="1"/>
      <c r="MFA1628" s="1"/>
      <c r="MFB1628" s="1"/>
      <c r="MFC1628" s="1"/>
      <c r="MFD1628" s="1"/>
      <c r="MFE1628" s="1"/>
      <c r="MFF1628" s="1"/>
      <c r="MFG1628" s="1"/>
      <c r="MFH1628" s="1"/>
      <c r="MFI1628" s="1"/>
      <c r="MFJ1628" s="1"/>
      <c r="MFK1628" s="1"/>
      <c r="MFL1628" s="1"/>
      <c r="MFM1628" s="1"/>
      <c r="MFN1628" s="1"/>
      <c r="MFO1628" s="1"/>
      <c r="MFP1628" s="1"/>
      <c r="MFQ1628" s="1"/>
      <c r="MFR1628" s="1"/>
      <c r="MFS1628" s="1"/>
      <c r="MFT1628" s="1"/>
      <c r="MFU1628" s="1"/>
      <c r="MFV1628" s="1"/>
      <c r="MFW1628" s="1"/>
      <c r="MFX1628" s="1"/>
      <c r="MFY1628" s="1"/>
      <c r="MFZ1628" s="1"/>
      <c r="MGA1628" s="1"/>
      <c r="MGB1628" s="1"/>
      <c r="MGC1628" s="1"/>
      <c r="MGD1628" s="1"/>
      <c r="MGE1628" s="1"/>
      <c r="MGF1628" s="1"/>
      <c r="MGG1628" s="1"/>
      <c r="MGH1628" s="1"/>
      <c r="MGI1628" s="1"/>
      <c r="MGJ1628" s="1"/>
      <c r="MGK1628" s="1"/>
      <c r="MGL1628" s="1"/>
      <c r="MGM1628" s="1"/>
      <c r="MGN1628" s="1"/>
      <c r="MGO1628" s="1"/>
      <c r="MGP1628" s="1"/>
      <c r="MGQ1628" s="1"/>
      <c r="MGR1628" s="1"/>
      <c r="MGS1628" s="1"/>
      <c r="MGT1628" s="1"/>
      <c r="MGU1628" s="1"/>
      <c r="MGV1628" s="1"/>
      <c r="MGW1628" s="1"/>
      <c r="MGX1628" s="1"/>
      <c r="MGY1628" s="1"/>
      <c r="MGZ1628" s="1"/>
      <c r="MHA1628" s="1"/>
      <c r="MHB1628" s="1"/>
      <c r="MHC1628" s="1"/>
      <c r="MHD1628" s="1"/>
      <c r="MHE1628" s="1"/>
      <c r="MHF1628" s="1"/>
      <c r="MHG1628" s="1"/>
      <c r="MHH1628" s="1"/>
      <c r="MHI1628" s="1"/>
      <c r="MHJ1628" s="1"/>
      <c r="MHK1628" s="1"/>
      <c r="MHL1628" s="1"/>
      <c r="MHM1628" s="1"/>
      <c r="MHN1628" s="1"/>
      <c r="MHO1628" s="1"/>
      <c r="MHP1628" s="1"/>
      <c r="MHQ1628" s="1"/>
      <c r="MHR1628" s="1"/>
      <c r="MHS1628" s="1"/>
      <c r="MHT1628" s="1"/>
      <c r="MHU1628" s="1"/>
      <c r="MHV1628" s="1"/>
      <c r="MHW1628" s="1"/>
      <c r="MHX1628" s="1"/>
      <c r="MHY1628" s="1"/>
      <c r="MHZ1628" s="1"/>
      <c r="MIA1628" s="1"/>
      <c r="MIB1628" s="1"/>
      <c r="MIC1628" s="1"/>
      <c r="MID1628" s="1"/>
      <c r="MIE1628" s="1"/>
      <c r="MIF1628" s="1"/>
      <c r="MIG1628" s="1"/>
      <c r="MIH1628" s="1"/>
      <c r="MII1628" s="1"/>
      <c r="MIJ1628" s="1"/>
      <c r="MIK1628" s="1"/>
      <c r="MIL1628" s="1"/>
      <c r="MIM1628" s="1"/>
      <c r="MIN1628" s="1"/>
      <c r="MIO1628" s="1"/>
      <c r="MIP1628" s="1"/>
      <c r="MIQ1628" s="1"/>
      <c r="MIR1628" s="1"/>
      <c r="MIS1628" s="1"/>
      <c r="MIT1628" s="1"/>
      <c r="MIU1628" s="1"/>
      <c r="MIV1628" s="1"/>
      <c r="MIW1628" s="1"/>
      <c r="MIX1628" s="1"/>
      <c r="MIY1628" s="1"/>
      <c r="MIZ1628" s="1"/>
      <c r="MJA1628" s="1"/>
      <c r="MJB1628" s="1"/>
      <c r="MJC1628" s="1"/>
      <c r="MJD1628" s="1"/>
      <c r="MJE1628" s="1"/>
      <c r="MJF1628" s="1"/>
      <c r="MJG1628" s="1"/>
      <c r="MJH1628" s="1"/>
      <c r="MJI1628" s="1"/>
      <c r="MJJ1628" s="1"/>
      <c r="MJK1628" s="1"/>
      <c r="MJL1628" s="1"/>
      <c r="MJM1628" s="1"/>
      <c r="MJN1628" s="1"/>
      <c r="MJO1628" s="1"/>
      <c r="MJP1628" s="1"/>
      <c r="MJQ1628" s="1"/>
      <c r="MJR1628" s="1"/>
      <c r="MJS1628" s="1"/>
      <c r="MJT1628" s="1"/>
      <c r="MJU1628" s="1"/>
      <c r="MJV1628" s="1"/>
      <c r="MJW1628" s="1"/>
      <c r="MJX1628" s="1"/>
      <c r="MJY1628" s="1"/>
      <c r="MJZ1628" s="1"/>
      <c r="MKA1628" s="1"/>
      <c r="MKB1628" s="1"/>
      <c r="MKC1628" s="1"/>
      <c r="MKD1628" s="1"/>
      <c r="MKE1628" s="1"/>
      <c r="MKF1628" s="1"/>
      <c r="MKG1628" s="1"/>
      <c r="MKH1628" s="1"/>
      <c r="MKI1628" s="1"/>
      <c r="MKJ1628" s="1"/>
      <c r="MKK1628" s="1"/>
      <c r="MKL1628" s="1"/>
      <c r="MKM1628" s="1"/>
      <c r="MKN1628" s="1"/>
      <c r="MKO1628" s="1"/>
      <c r="MKP1628" s="1"/>
      <c r="MKQ1628" s="1"/>
      <c r="MKR1628" s="1"/>
      <c r="MKS1628" s="1"/>
      <c r="MKT1628" s="1"/>
      <c r="MKU1628" s="1"/>
      <c r="MKV1628" s="1"/>
      <c r="MKW1628" s="1"/>
      <c r="MKX1628" s="1"/>
      <c r="MKY1628" s="1"/>
      <c r="MKZ1628" s="1"/>
      <c r="MLA1628" s="1"/>
      <c r="MLB1628" s="1"/>
      <c r="MLC1628" s="1"/>
      <c r="MLD1628" s="1"/>
      <c r="MLE1628" s="1"/>
      <c r="MLF1628" s="1"/>
      <c r="MLG1628" s="1"/>
      <c r="MLH1628" s="1"/>
      <c r="MLI1628" s="1"/>
      <c r="MLJ1628" s="1"/>
      <c r="MLK1628" s="1"/>
      <c r="MLL1628" s="1"/>
      <c r="MLM1628" s="1"/>
      <c r="MLN1628" s="1"/>
      <c r="MLO1628" s="1"/>
      <c r="MLP1628" s="1"/>
      <c r="MLQ1628" s="1"/>
      <c r="MLR1628" s="1"/>
      <c r="MLS1628" s="1"/>
      <c r="MLT1628" s="1"/>
      <c r="MLU1628" s="1"/>
      <c r="MLV1628" s="1"/>
      <c r="MLW1628" s="1"/>
      <c r="MLX1628" s="1"/>
      <c r="MLY1628" s="1"/>
      <c r="MLZ1628" s="1"/>
      <c r="MMA1628" s="1"/>
      <c r="MMB1628" s="1"/>
      <c r="MMC1628" s="1"/>
      <c r="MMD1628" s="1"/>
      <c r="MME1628" s="1"/>
      <c r="MMF1628" s="1"/>
      <c r="MMG1628" s="1"/>
      <c r="MMH1628" s="1"/>
      <c r="MMI1628" s="1"/>
      <c r="MMJ1628" s="1"/>
      <c r="MMK1628" s="1"/>
      <c r="MML1628" s="1"/>
      <c r="MMM1628" s="1"/>
      <c r="MMN1628" s="1"/>
      <c r="MMO1628" s="1"/>
      <c r="MMP1628" s="1"/>
      <c r="MMQ1628" s="1"/>
      <c r="MMR1628" s="1"/>
      <c r="MMS1628" s="1"/>
      <c r="MMT1628" s="1"/>
      <c r="MMU1628" s="1"/>
      <c r="MMV1628" s="1"/>
      <c r="MMW1628" s="1"/>
      <c r="MMX1628" s="1"/>
      <c r="MMY1628" s="1"/>
      <c r="MMZ1628" s="1"/>
      <c r="MNA1628" s="1"/>
      <c r="MNB1628" s="1"/>
      <c r="MNC1628" s="1"/>
      <c r="MND1628" s="1"/>
      <c r="MNE1628" s="1"/>
      <c r="MNF1628" s="1"/>
      <c r="MNG1628" s="1"/>
      <c r="MNH1628" s="1"/>
      <c r="MNI1628" s="1"/>
      <c r="MNJ1628" s="1"/>
      <c r="MNK1628" s="1"/>
      <c r="MNL1628" s="1"/>
      <c r="MNM1628" s="1"/>
      <c r="MNN1628" s="1"/>
      <c r="MNO1628" s="1"/>
      <c r="MNP1628" s="1"/>
      <c r="MNQ1628" s="1"/>
      <c r="MNR1628" s="1"/>
      <c r="MNS1628" s="1"/>
      <c r="MNT1628" s="1"/>
      <c r="MNU1628" s="1"/>
      <c r="MNV1628" s="1"/>
      <c r="MNW1628" s="1"/>
      <c r="MNX1628" s="1"/>
      <c r="MNY1628" s="1"/>
      <c r="MNZ1628" s="1"/>
      <c r="MOA1628" s="1"/>
      <c r="MOB1628" s="1"/>
      <c r="MOC1628" s="1"/>
      <c r="MOD1628" s="1"/>
      <c r="MOE1628" s="1"/>
      <c r="MOF1628" s="1"/>
      <c r="MOG1628" s="1"/>
      <c r="MOH1628" s="1"/>
      <c r="MOI1628" s="1"/>
      <c r="MOJ1628" s="1"/>
      <c r="MOK1628" s="1"/>
      <c r="MOL1628" s="1"/>
      <c r="MOM1628" s="1"/>
      <c r="MON1628" s="1"/>
      <c r="MOO1628" s="1"/>
      <c r="MOP1628" s="1"/>
      <c r="MOQ1628" s="1"/>
      <c r="MOR1628" s="1"/>
      <c r="MOS1628" s="1"/>
      <c r="MOT1628" s="1"/>
      <c r="MOU1628" s="1"/>
      <c r="MOV1628" s="1"/>
      <c r="MOW1628" s="1"/>
      <c r="MOX1628" s="1"/>
      <c r="MOY1628" s="1"/>
      <c r="MOZ1628" s="1"/>
      <c r="MPA1628" s="1"/>
      <c r="MPB1628" s="1"/>
      <c r="MPC1628" s="1"/>
      <c r="MPD1628" s="1"/>
      <c r="MPE1628" s="1"/>
      <c r="MPF1628" s="1"/>
      <c r="MPG1628" s="1"/>
      <c r="MPH1628" s="1"/>
      <c r="MPI1628" s="1"/>
      <c r="MPJ1628" s="1"/>
      <c r="MPK1628" s="1"/>
      <c r="MPL1628" s="1"/>
      <c r="MPM1628" s="1"/>
      <c r="MPN1628" s="1"/>
      <c r="MPO1628" s="1"/>
      <c r="MPP1628" s="1"/>
      <c r="MPQ1628" s="1"/>
      <c r="MPR1628" s="1"/>
      <c r="MPS1628" s="1"/>
      <c r="MPT1628" s="1"/>
      <c r="MPU1628" s="1"/>
      <c r="MPV1628" s="1"/>
      <c r="MPW1628" s="1"/>
      <c r="MPX1628" s="1"/>
      <c r="MPY1628" s="1"/>
      <c r="MPZ1628" s="1"/>
      <c r="MQA1628" s="1"/>
      <c r="MQB1628" s="1"/>
      <c r="MQC1628" s="1"/>
      <c r="MQD1628" s="1"/>
      <c r="MQE1628" s="1"/>
      <c r="MQF1628" s="1"/>
      <c r="MQG1628" s="1"/>
      <c r="MQH1628" s="1"/>
      <c r="MQI1628" s="1"/>
      <c r="MQJ1628" s="1"/>
      <c r="MQK1628" s="1"/>
      <c r="MQL1628" s="1"/>
      <c r="MQM1628" s="1"/>
      <c r="MQN1628" s="1"/>
      <c r="MQO1628" s="1"/>
      <c r="MQP1628" s="1"/>
      <c r="MQQ1628" s="1"/>
      <c r="MQR1628" s="1"/>
      <c r="MQS1628" s="1"/>
      <c r="MQT1628" s="1"/>
      <c r="MQU1628" s="1"/>
      <c r="MQV1628" s="1"/>
      <c r="MQW1628" s="1"/>
      <c r="MQX1628" s="1"/>
      <c r="MQY1628" s="1"/>
      <c r="MQZ1628" s="1"/>
      <c r="MRA1628" s="1"/>
      <c r="MRB1628" s="1"/>
      <c r="MRC1628" s="1"/>
      <c r="MRD1628" s="1"/>
      <c r="MRE1628" s="1"/>
      <c r="MRF1628" s="1"/>
      <c r="MRG1628" s="1"/>
      <c r="MRH1628" s="1"/>
      <c r="MRI1628" s="1"/>
      <c r="MRJ1628" s="1"/>
      <c r="MRK1628" s="1"/>
      <c r="MRL1628" s="1"/>
      <c r="MRM1628" s="1"/>
      <c r="MRN1628" s="1"/>
      <c r="MRO1628" s="1"/>
      <c r="MRP1628" s="1"/>
      <c r="MRQ1628" s="1"/>
      <c r="MRR1628" s="1"/>
      <c r="MRS1628" s="1"/>
      <c r="MRT1628" s="1"/>
      <c r="MRU1628" s="1"/>
      <c r="MRV1628" s="1"/>
      <c r="MRW1628" s="1"/>
      <c r="MRX1628" s="1"/>
      <c r="MRY1628" s="1"/>
      <c r="MRZ1628" s="1"/>
      <c r="MSA1628" s="1"/>
      <c r="MSB1628" s="1"/>
      <c r="MSC1628" s="1"/>
      <c r="MSD1628" s="1"/>
      <c r="MSE1628" s="1"/>
      <c r="MSF1628" s="1"/>
      <c r="MSG1628" s="1"/>
      <c r="MSH1628" s="1"/>
      <c r="MSI1628" s="1"/>
      <c r="MSJ1628" s="1"/>
      <c r="MSK1628" s="1"/>
      <c r="MSL1628" s="1"/>
      <c r="MSM1628" s="1"/>
      <c r="MSN1628" s="1"/>
      <c r="MSO1628" s="1"/>
      <c r="MSP1628" s="1"/>
      <c r="MSQ1628" s="1"/>
      <c r="MSR1628" s="1"/>
      <c r="MSS1628" s="1"/>
      <c r="MST1628" s="1"/>
      <c r="MSU1628" s="1"/>
      <c r="MSV1628" s="1"/>
      <c r="MSW1628" s="1"/>
      <c r="MSX1628" s="1"/>
      <c r="MSY1628" s="1"/>
      <c r="MSZ1628" s="1"/>
      <c r="MTA1628" s="1"/>
      <c r="MTB1628" s="1"/>
      <c r="MTC1628" s="1"/>
      <c r="MTD1628" s="1"/>
      <c r="MTE1628" s="1"/>
      <c r="MTF1628" s="1"/>
      <c r="MTG1628" s="1"/>
      <c r="MTH1628" s="1"/>
      <c r="MTI1628" s="1"/>
      <c r="MTJ1628" s="1"/>
      <c r="MTK1628" s="1"/>
      <c r="MTL1628" s="1"/>
      <c r="MTM1628" s="1"/>
      <c r="MTN1628" s="1"/>
      <c r="MTO1628" s="1"/>
      <c r="MTP1628" s="1"/>
      <c r="MTQ1628" s="1"/>
      <c r="MTR1628" s="1"/>
      <c r="MTS1628" s="1"/>
      <c r="MTT1628" s="1"/>
      <c r="MTU1628" s="1"/>
      <c r="MTV1628" s="1"/>
      <c r="MTW1628" s="1"/>
      <c r="MTX1628" s="1"/>
      <c r="MTY1628" s="1"/>
      <c r="MTZ1628" s="1"/>
      <c r="MUA1628" s="1"/>
      <c r="MUB1628" s="1"/>
      <c r="MUC1628" s="1"/>
      <c r="MUD1628" s="1"/>
      <c r="MUE1628" s="1"/>
      <c r="MUF1628" s="1"/>
      <c r="MUG1628" s="1"/>
      <c r="MUH1628" s="1"/>
      <c r="MUI1628" s="1"/>
      <c r="MUJ1628" s="1"/>
      <c r="MUK1628" s="1"/>
      <c r="MUL1628" s="1"/>
      <c r="MUM1628" s="1"/>
      <c r="MUN1628" s="1"/>
      <c r="MUO1628" s="1"/>
      <c r="MUP1628" s="1"/>
      <c r="MUQ1628" s="1"/>
      <c r="MUR1628" s="1"/>
      <c r="MUS1628" s="1"/>
      <c r="MUT1628" s="1"/>
      <c r="MUU1628" s="1"/>
      <c r="MUV1628" s="1"/>
      <c r="MUW1628" s="1"/>
      <c r="MUX1628" s="1"/>
      <c r="MUY1628" s="1"/>
      <c r="MUZ1628" s="1"/>
      <c r="MVA1628" s="1"/>
      <c r="MVB1628" s="1"/>
      <c r="MVC1628" s="1"/>
      <c r="MVD1628" s="1"/>
      <c r="MVE1628" s="1"/>
      <c r="MVF1628" s="1"/>
      <c r="MVG1628" s="1"/>
      <c r="MVH1628" s="1"/>
      <c r="MVI1628" s="1"/>
      <c r="MVJ1628" s="1"/>
      <c r="MVK1628" s="1"/>
      <c r="MVL1628" s="1"/>
      <c r="MVM1628" s="1"/>
      <c r="MVN1628" s="1"/>
      <c r="MVO1628" s="1"/>
      <c r="MVP1628" s="1"/>
      <c r="MVQ1628" s="1"/>
      <c r="MVR1628" s="1"/>
      <c r="MVS1628" s="1"/>
      <c r="MVT1628" s="1"/>
      <c r="MVU1628" s="1"/>
      <c r="MVV1628" s="1"/>
      <c r="MVW1628" s="1"/>
      <c r="MVX1628" s="1"/>
      <c r="MVY1628" s="1"/>
      <c r="MVZ1628" s="1"/>
      <c r="MWA1628" s="1"/>
      <c r="MWB1628" s="1"/>
      <c r="MWC1628" s="1"/>
      <c r="MWD1628" s="1"/>
      <c r="MWE1628" s="1"/>
      <c r="MWF1628" s="1"/>
      <c r="MWG1628" s="1"/>
      <c r="MWH1628" s="1"/>
      <c r="MWI1628" s="1"/>
      <c r="MWJ1628" s="1"/>
      <c r="MWK1628" s="1"/>
      <c r="MWL1628" s="1"/>
      <c r="MWM1628" s="1"/>
      <c r="MWN1628" s="1"/>
      <c r="MWO1628" s="1"/>
      <c r="MWP1628" s="1"/>
      <c r="MWQ1628" s="1"/>
      <c r="MWR1628" s="1"/>
      <c r="MWS1628" s="1"/>
      <c r="MWT1628" s="1"/>
      <c r="MWU1628" s="1"/>
      <c r="MWV1628" s="1"/>
      <c r="MWW1628" s="1"/>
      <c r="MWX1628" s="1"/>
      <c r="MWY1628" s="1"/>
      <c r="MWZ1628" s="1"/>
      <c r="MXA1628" s="1"/>
      <c r="MXB1628" s="1"/>
      <c r="MXC1628" s="1"/>
      <c r="MXD1628" s="1"/>
      <c r="MXE1628" s="1"/>
      <c r="MXF1628" s="1"/>
      <c r="MXG1628" s="1"/>
      <c r="MXH1628" s="1"/>
      <c r="MXI1628" s="1"/>
      <c r="MXJ1628" s="1"/>
      <c r="MXK1628" s="1"/>
      <c r="MXL1628" s="1"/>
      <c r="MXM1628" s="1"/>
      <c r="MXN1628" s="1"/>
      <c r="MXO1628" s="1"/>
      <c r="MXP1628" s="1"/>
      <c r="MXQ1628" s="1"/>
      <c r="MXR1628" s="1"/>
      <c r="MXS1628" s="1"/>
      <c r="MXT1628" s="1"/>
      <c r="MXU1628" s="1"/>
      <c r="MXV1628" s="1"/>
      <c r="MXW1628" s="1"/>
      <c r="MXX1628" s="1"/>
      <c r="MXY1628" s="1"/>
      <c r="MXZ1628" s="1"/>
      <c r="MYA1628" s="1"/>
      <c r="MYB1628" s="1"/>
      <c r="MYC1628" s="1"/>
      <c r="MYD1628" s="1"/>
      <c r="MYE1628" s="1"/>
      <c r="MYF1628" s="1"/>
      <c r="MYG1628" s="1"/>
      <c r="MYH1628" s="1"/>
      <c r="MYI1628" s="1"/>
      <c r="MYJ1628" s="1"/>
      <c r="MYK1628" s="1"/>
      <c r="MYL1628" s="1"/>
      <c r="MYM1628" s="1"/>
      <c r="MYN1628" s="1"/>
      <c r="MYO1628" s="1"/>
      <c r="MYP1628" s="1"/>
      <c r="MYQ1628" s="1"/>
      <c r="MYR1628" s="1"/>
      <c r="MYS1628" s="1"/>
      <c r="MYT1628" s="1"/>
      <c r="MYU1628" s="1"/>
      <c r="MYV1628" s="1"/>
      <c r="MYW1628" s="1"/>
      <c r="MYX1628" s="1"/>
      <c r="MYY1628" s="1"/>
      <c r="MYZ1628" s="1"/>
      <c r="MZA1628" s="1"/>
      <c r="MZB1628" s="1"/>
      <c r="MZC1628" s="1"/>
      <c r="MZD1628" s="1"/>
      <c r="MZE1628" s="1"/>
      <c r="MZF1628" s="1"/>
      <c r="MZG1628" s="1"/>
      <c r="MZH1628" s="1"/>
      <c r="MZI1628" s="1"/>
      <c r="MZJ1628" s="1"/>
      <c r="MZK1628" s="1"/>
      <c r="MZL1628" s="1"/>
      <c r="MZM1628" s="1"/>
      <c r="MZN1628" s="1"/>
      <c r="MZO1628" s="1"/>
      <c r="MZP1628" s="1"/>
      <c r="MZQ1628" s="1"/>
      <c r="MZR1628" s="1"/>
      <c r="MZS1628" s="1"/>
      <c r="MZT1628" s="1"/>
      <c r="MZU1628" s="1"/>
      <c r="MZV1628" s="1"/>
      <c r="MZW1628" s="1"/>
      <c r="MZX1628" s="1"/>
      <c r="MZY1628" s="1"/>
      <c r="MZZ1628" s="1"/>
      <c r="NAA1628" s="1"/>
      <c r="NAB1628" s="1"/>
      <c r="NAC1628" s="1"/>
      <c r="NAD1628" s="1"/>
      <c r="NAE1628" s="1"/>
      <c r="NAF1628" s="1"/>
      <c r="NAG1628" s="1"/>
      <c r="NAH1628" s="1"/>
      <c r="NAI1628" s="1"/>
      <c r="NAJ1628" s="1"/>
      <c r="NAK1628" s="1"/>
      <c r="NAL1628" s="1"/>
      <c r="NAM1628" s="1"/>
      <c r="NAN1628" s="1"/>
      <c r="NAO1628" s="1"/>
      <c r="NAP1628" s="1"/>
      <c r="NAQ1628" s="1"/>
      <c r="NAR1628" s="1"/>
      <c r="NAS1628" s="1"/>
      <c r="NAT1628" s="1"/>
      <c r="NAU1628" s="1"/>
      <c r="NAV1628" s="1"/>
      <c r="NAW1628" s="1"/>
      <c r="NAX1628" s="1"/>
      <c r="NAY1628" s="1"/>
      <c r="NAZ1628" s="1"/>
      <c r="NBA1628" s="1"/>
      <c r="NBB1628" s="1"/>
      <c r="NBC1628" s="1"/>
      <c r="NBD1628" s="1"/>
      <c r="NBE1628" s="1"/>
      <c r="NBF1628" s="1"/>
      <c r="NBG1628" s="1"/>
      <c r="NBH1628" s="1"/>
      <c r="NBI1628" s="1"/>
      <c r="NBJ1628" s="1"/>
      <c r="NBK1628" s="1"/>
      <c r="NBL1628" s="1"/>
      <c r="NBM1628" s="1"/>
      <c r="NBN1628" s="1"/>
      <c r="NBO1628" s="1"/>
      <c r="NBP1628" s="1"/>
      <c r="NBQ1628" s="1"/>
      <c r="NBR1628" s="1"/>
      <c r="NBS1628" s="1"/>
      <c r="NBT1628" s="1"/>
      <c r="NBU1628" s="1"/>
      <c r="NBV1628" s="1"/>
      <c r="NBW1628" s="1"/>
      <c r="NBX1628" s="1"/>
      <c r="NBY1628" s="1"/>
      <c r="NBZ1628" s="1"/>
      <c r="NCA1628" s="1"/>
      <c r="NCB1628" s="1"/>
      <c r="NCC1628" s="1"/>
      <c r="NCD1628" s="1"/>
      <c r="NCE1628" s="1"/>
      <c r="NCF1628" s="1"/>
      <c r="NCG1628" s="1"/>
      <c r="NCH1628" s="1"/>
      <c r="NCI1628" s="1"/>
      <c r="NCJ1628" s="1"/>
      <c r="NCK1628" s="1"/>
      <c r="NCL1628" s="1"/>
      <c r="NCM1628" s="1"/>
      <c r="NCN1628" s="1"/>
      <c r="NCO1628" s="1"/>
      <c r="NCP1628" s="1"/>
      <c r="NCQ1628" s="1"/>
      <c r="NCR1628" s="1"/>
      <c r="NCS1628" s="1"/>
      <c r="NCT1628" s="1"/>
      <c r="NCU1628" s="1"/>
      <c r="NCV1628" s="1"/>
      <c r="NCW1628" s="1"/>
      <c r="NCX1628" s="1"/>
      <c r="NCY1628" s="1"/>
      <c r="NCZ1628" s="1"/>
      <c r="NDA1628" s="1"/>
      <c r="NDB1628" s="1"/>
      <c r="NDC1628" s="1"/>
      <c r="NDD1628" s="1"/>
      <c r="NDE1628" s="1"/>
      <c r="NDF1628" s="1"/>
      <c r="NDG1628" s="1"/>
      <c r="NDH1628" s="1"/>
      <c r="NDI1628" s="1"/>
      <c r="NDJ1628" s="1"/>
      <c r="NDK1628" s="1"/>
      <c r="NDL1628" s="1"/>
      <c r="NDM1628" s="1"/>
      <c r="NDN1628" s="1"/>
      <c r="NDO1628" s="1"/>
      <c r="NDP1628" s="1"/>
      <c r="NDQ1628" s="1"/>
      <c r="NDR1628" s="1"/>
      <c r="NDS1628" s="1"/>
      <c r="NDT1628" s="1"/>
      <c r="NDU1628" s="1"/>
      <c r="NDV1628" s="1"/>
      <c r="NDW1628" s="1"/>
      <c r="NDX1628" s="1"/>
      <c r="NDY1628" s="1"/>
      <c r="NDZ1628" s="1"/>
      <c r="NEA1628" s="1"/>
      <c r="NEB1628" s="1"/>
      <c r="NEC1628" s="1"/>
      <c r="NED1628" s="1"/>
      <c r="NEE1628" s="1"/>
      <c r="NEF1628" s="1"/>
      <c r="NEG1628" s="1"/>
      <c r="NEH1628" s="1"/>
      <c r="NEI1628" s="1"/>
      <c r="NEJ1628" s="1"/>
      <c r="NEK1628" s="1"/>
      <c r="NEL1628" s="1"/>
      <c r="NEM1628" s="1"/>
      <c r="NEN1628" s="1"/>
      <c r="NEO1628" s="1"/>
      <c r="NEP1628" s="1"/>
      <c r="NEQ1628" s="1"/>
      <c r="NER1628" s="1"/>
      <c r="NES1628" s="1"/>
      <c r="NET1628" s="1"/>
      <c r="NEU1628" s="1"/>
      <c r="NEV1628" s="1"/>
      <c r="NEW1628" s="1"/>
      <c r="NEX1628" s="1"/>
      <c r="NEY1628" s="1"/>
      <c r="NEZ1628" s="1"/>
      <c r="NFA1628" s="1"/>
      <c r="NFB1628" s="1"/>
      <c r="NFC1628" s="1"/>
      <c r="NFD1628" s="1"/>
      <c r="NFE1628" s="1"/>
      <c r="NFF1628" s="1"/>
      <c r="NFG1628" s="1"/>
      <c r="NFH1628" s="1"/>
      <c r="NFI1628" s="1"/>
      <c r="NFJ1628" s="1"/>
      <c r="NFK1628" s="1"/>
      <c r="NFL1628" s="1"/>
      <c r="NFM1628" s="1"/>
      <c r="NFN1628" s="1"/>
      <c r="NFO1628" s="1"/>
      <c r="NFP1628" s="1"/>
      <c r="NFQ1628" s="1"/>
      <c r="NFR1628" s="1"/>
      <c r="NFS1628" s="1"/>
      <c r="NFT1628" s="1"/>
      <c r="NFU1628" s="1"/>
      <c r="NFV1628" s="1"/>
      <c r="NFW1628" s="1"/>
      <c r="NFX1628" s="1"/>
      <c r="NFY1628" s="1"/>
      <c r="NFZ1628" s="1"/>
      <c r="NGA1628" s="1"/>
      <c r="NGB1628" s="1"/>
      <c r="NGC1628" s="1"/>
      <c r="NGD1628" s="1"/>
      <c r="NGE1628" s="1"/>
      <c r="NGF1628" s="1"/>
      <c r="NGG1628" s="1"/>
      <c r="NGH1628" s="1"/>
      <c r="NGI1628" s="1"/>
      <c r="NGJ1628" s="1"/>
      <c r="NGK1628" s="1"/>
      <c r="NGL1628" s="1"/>
      <c r="NGM1628" s="1"/>
      <c r="NGN1628" s="1"/>
      <c r="NGO1628" s="1"/>
      <c r="NGP1628" s="1"/>
      <c r="NGQ1628" s="1"/>
      <c r="NGR1628" s="1"/>
      <c r="NGS1628" s="1"/>
      <c r="NGT1628" s="1"/>
      <c r="NGU1628" s="1"/>
      <c r="NGV1628" s="1"/>
      <c r="NGW1628" s="1"/>
      <c r="NGX1628" s="1"/>
      <c r="NGY1628" s="1"/>
      <c r="NGZ1628" s="1"/>
      <c r="NHA1628" s="1"/>
      <c r="NHB1628" s="1"/>
      <c r="NHC1628" s="1"/>
      <c r="NHD1628" s="1"/>
      <c r="NHE1628" s="1"/>
      <c r="NHF1628" s="1"/>
      <c r="NHG1628" s="1"/>
      <c r="NHH1628" s="1"/>
      <c r="NHI1628" s="1"/>
      <c r="NHJ1628" s="1"/>
      <c r="NHK1628" s="1"/>
      <c r="NHL1628" s="1"/>
      <c r="NHM1628" s="1"/>
      <c r="NHN1628" s="1"/>
      <c r="NHO1628" s="1"/>
      <c r="NHP1628" s="1"/>
      <c r="NHQ1628" s="1"/>
      <c r="NHR1628" s="1"/>
      <c r="NHS1628" s="1"/>
      <c r="NHT1628" s="1"/>
      <c r="NHU1628" s="1"/>
      <c r="NHV1628" s="1"/>
      <c r="NHW1628" s="1"/>
      <c r="NHX1628" s="1"/>
      <c r="NHY1628" s="1"/>
      <c r="NHZ1628" s="1"/>
      <c r="NIA1628" s="1"/>
      <c r="NIB1628" s="1"/>
      <c r="NIC1628" s="1"/>
      <c r="NID1628" s="1"/>
      <c r="NIE1628" s="1"/>
      <c r="NIF1628" s="1"/>
      <c r="NIG1628" s="1"/>
      <c r="NIH1628" s="1"/>
      <c r="NII1628" s="1"/>
      <c r="NIJ1628" s="1"/>
      <c r="NIK1628" s="1"/>
      <c r="NIL1628" s="1"/>
      <c r="NIM1628" s="1"/>
      <c r="NIN1628" s="1"/>
      <c r="NIO1628" s="1"/>
      <c r="NIP1628" s="1"/>
      <c r="NIQ1628" s="1"/>
      <c r="NIR1628" s="1"/>
      <c r="NIS1628" s="1"/>
      <c r="NIT1628" s="1"/>
      <c r="NIU1628" s="1"/>
      <c r="NIV1628" s="1"/>
      <c r="NIW1628" s="1"/>
      <c r="NIX1628" s="1"/>
      <c r="NIY1628" s="1"/>
      <c r="NIZ1628" s="1"/>
      <c r="NJA1628" s="1"/>
      <c r="NJB1628" s="1"/>
      <c r="NJC1628" s="1"/>
      <c r="NJD1628" s="1"/>
      <c r="NJE1628" s="1"/>
      <c r="NJF1628" s="1"/>
      <c r="NJG1628" s="1"/>
      <c r="NJH1628" s="1"/>
      <c r="NJI1628" s="1"/>
      <c r="NJJ1628" s="1"/>
      <c r="NJK1628" s="1"/>
      <c r="NJL1628" s="1"/>
      <c r="NJM1628" s="1"/>
      <c r="NJN1628" s="1"/>
      <c r="NJO1628" s="1"/>
      <c r="NJP1628" s="1"/>
      <c r="NJQ1628" s="1"/>
      <c r="NJR1628" s="1"/>
      <c r="NJS1628" s="1"/>
      <c r="NJT1628" s="1"/>
      <c r="NJU1628" s="1"/>
      <c r="NJV1628" s="1"/>
      <c r="NJW1628" s="1"/>
      <c r="NJX1628" s="1"/>
      <c r="NJY1628" s="1"/>
      <c r="NJZ1628" s="1"/>
      <c r="NKA1628" s="1"/>
      <c r="NKB1628" s="1"/>
      <c r="NKC1628" s="1"/>
      <c r="NKD1628" s="1"/>
      <c r="NKE1628" s="1"/>
      <c r="NKF1628" s="1"/>
      <c r="NKG1628" s="1"/>
      <c r="NKH1628" s="1"/>
      <c r="NKI1628" s="1"/>
      <c r="NKJ1628" s="1"/>
      <c r="NKK1628" s="1"/>
      <c r="NKL1628" s="1"/>
      <c r="NKM1628" s="1"/>
      <c r="NKN1628" s="1"/>
      <c r="NKO1628" s="1"/>
      <c r="NKP1628" s="1"/>
      <c r="NKQ1628" s="1"/>
      <c r="NKR1628" s="1"/>
      <c r="NKS1628" s="1"/>
      <c r="NKT1628" s="1"/>
      <c r="NKU1628" s="1"/>
      <c r="NKV1628" s="1"/>
      <c r="NKW1628" s="1"/>
      <c r="NKX1628" s="1"/>
      <c r="NKY1628" s="1"/>
      <c r="NKZ1628" s="1"/>
      <c r="NLA1628" s="1"/>
      <c r="NLB1628" s="1"/>
      <c r="NLC1628" s="1"/>
      <c r="NLD1628" s="1"/>
      <c r="NLE1628" s="1"/>
      <c r="NLF1628" s="1"/>
      <c r="NLG1628" s="1"/>
      <c r="NLH1628" s="1"/>
      <c r="NLI1628" s="1"/>
      <c r="NLJ1628" s="1"/>
      <c r="NLK1628" s="1"/>
      <c r="NLL1628" s="1"/>
      <c r="NLM1628" s="1"/>
      <c r="NLN1628" s="1"/>
      <c r="NLO1628" s="1"/>
      <c r="NLP1628" s="1"/>
      <c r="NLQ1628" s="1"/>
      <c r="NLR1628" s="1"/>
      <c r="NLS1628" s="1"/>
      <c r="NLT1628" s="1"/>
      <c r="NLU1628" s="1"/>
      <c r="NLV1628" s="1"/>
      <c r="NLW1628" s="1"/>
      <c r="NLX1628" s="1"/>
      <c r="NLY1628" s="1"/>
      <c r="NLZ1628" s="1"/>
      <c r="NMA1628" s="1"/>
      <c r="NMB1628" s="1"/>
      <c r="NMC1628" s="1"/>
      <c r="NMD1628" s="1"/>
      <c r="NME1628" s="1"/>
      <c r="NMF1628" s="1"/>
      <c r="NMG1628" s="1"/>
      <c r="NMH1628" s="1"/>
      <c r="NMI1628" s="1"/>
      <c r="NMJ1628" s="1"/>
      <c r="NMK1628" s="1"/>
      <c r="NML1628" s="1"/>
      <c r="NMM1628" s="1"/>
      <c r="NMN1628" s="1"/>
      <c r="NMO1628" s="1"/>
      <c r="NMP1628" s="1"/>
      <c r="NMQ1628" s="1"/>
      <c r="NMR1628" s="1"/>
      <c r="NMS1628" s="1"/>
      <c r="NMT1628" s="1"/>
      <c r="NMU1628" s="1"/>
      <c r="NMV1628" s="1"/>
      <c r="NMW1628" s="1"/>
      <c r="NMX1628" s="1"/>
      <c r="NMY1628" s="1"/>
      <c r="NMZ1628" s="1"/>
      <c r="NNA1628" s="1"/>
      <c r="NNB1628" s="1"/>
      <c r="NNC1628" s="1"/>
      <c r="NND1628" s="1"/>
      <c r="NNE1628" s="1"/>
      <c r="NNF1628" s="1"/>
      <c r="NNG1628" s="1"/>
      <c r="NNH1628" s="1"/>
      <c r="NNI1628" s="1"/>
      <c r="NNJ1628" s="1"/>
      <c r="NNK1628" s="1"/>
      <c r="NNL1628" s="1"/>
      <c r="NNM1628" s="1"/>
      <c r="NNN1628" s="1"/>
      <c r="NNO1628" s="1"/>
      <c r="NNP1628" s="1"/>
      <c r="NNQ1628" s="1"/>
      <c r="NNR1628" s="1"/>
      <c r="NNS1628" s="1"/>
      <c r="NNT1628" s="1"/>
      <c r="NNU1628" s="1"/>
      <c r="NNV1628" s="1"/>
      <c r="NNW1628" s="1"/>
      <c r="NNX1628" s="1"/>
      <c r="NNY1628" s="1"/>
      <c r="NNZ1628" s="1"/>
      <c r="NOA1628" s="1"/>
      <c r="NOB1628" s="1"/>
      <c r="NOC1628" s="1"/>
      <c r="NOD1628" s="1"/>
      <c r="NOE1628" s="1"/>
      <c r="NOF1628" s="1"/>
      <c r="NOG1628" s="1"/>
      <c r="NOH1628" s="1"/>
      <c r="NOI1628" s="1"/>
      <c r="NOJ1628" s="1"/>
      <c r="NOK1628" s="1"/>
      <c r="NOL1628" s="1"/>
      <c r="NOM1628" s="1"/>
      <c r="NON1628" s="1"/>
      <c r="NOO1628" s="1"/>
      <c r="NOP1628" s="1"/>
      <c r="NOQ1628" s="1"/>
      <c r="NOR1628" s="1"/>
      <c r="NOS1628" s="1"/>
      <c r="NOT1628" s="1"/>
      <c r="NOU1628" s="1"/>
      <c r="NOV1628" s="1"/>
      <c r="NOW1628" s="1"/>
      <c r="NOX1628" s="1"/>
      <c r="NOY1628" s="1"/>
      <c r="NOZ1628" s="1"/>
      <c r="NPA1628" s="1"/>
      <c r="NPB1628" s="1"/>
      <c r="NPC1628" s="1"/>
      <c r="NPD1628" s="1"/>
      <c r="NPE1628" s="1"/>
      <c r="NPF1628" s="1"/>
      <c r="NPG1628" s="1"/>
      <c r="NPH1628" s="1"/>
      <c r="NPI1628" s="1"/>
      <c r="NPJ1628" s="1"/>
      <c r="NPK1628" s="1"/>
      <c r="NPL1628" s="1"/>
      <c r="NPM1628" s="1"/>
      <c r="NPN1628" s="1"/>
      <c r="NPO1628" s="1"/>
      <c r="NPP1628" s="1"/>
      <c r="NPQ1628" s="1"/>
      <c r="NPR1628" s="1"/>
      <c r="NPS1628" s="1"/>
      <c r="NPT1628" s="1"/>
      <c r="NPU1628" s="1"/>
      <c r="NPV1628" s="1"/>
      <c r="NPW1628" s="1"/>
      <c r="NPX1628" s="1"/>
      <c r="NPY1628" s="1"/>
      <c r="NPZ1628" s="1"/>
      <c r="NQA1628" s="1"/>
      <c r="NQB1628" s="1"/>
      <c r="NQC1628" s="1"/>
      <c r="NQD1628" s="1"/>
      <c r="NQE1628" s="1"/>
      <c r="NQF1628" s="1"/>
      <c r="NQG1628" s="1"/>
      <c r="NQH1628" s="1"/>
      <c r="NQI1628" s="1"/>
      <c r="NQJ1628" s="1"/>
      <c r="NQK1628" s="1"/>
      <c r="NQL1628" s="1"/>
      <c r="NQM1628" s="1"/>
      <c r="NQN1628" s="1"/>
      <c r="NQO1628" s="1"/>
      <c r="NQP1628" s="1"/>
      <c r="NQQ1628" s="1"/>
      <c r="NQR1628" s="1"/>
      <c r="NQS1628" s="1"/>
      <c r="NQT1628" s="1"/>
      <c r="NQU1628" s="1"/>
      <c r="NQV1628" s="1"/>
      <c r="NQW1628" s="1"/>
      <c r="NQX1628" s="1"/>
      <c r="NQY1628" s="1"/>
      <c r="NQZ1628" s="1"/>
      <c r="NRA1628" s="1"/>
      <c r="NRB1628" s="1"/>
      <c r="NRC1628" s="1"/>
      <c r="NRD1628" s="1"/>
      <c r="NRE1628" s="1"/>
      <c r="NRF1628" s="1"/>
      <c r="NRG1628" s="1"/>
      <c r="NRH1628" s="1"/>
      <c r="NRI1628" s="1"/>
      <c r="NRJ1628" s="1"/>
      <c r="NRK1628" s="1"/>
      <c r="NRL1628" s="1"/>
      <c r="NRM1628" s="1"/>
      <c r="NRN1628" s="1"/>
      <c r="NRO1628" s="1"/>
      <c r="NRP1628" s="1"/>
      <c r="NRQ1628" s="1"/>
      <c r="NRR1628" s="1"/>
      <c r="NRS1628" s="1"/>
      <c r="NRT1628" s="1"/>
      <c r="NRU1628" s="1"/>
      <c r="NRV1628" s="1"/>
      <c r="NRW1628" s="1"/>
      <c r="NRX1628" s="1"/>
      <c r="NRY1628" s="1"/>
      <c r="NRZ1628" s="1"/>
      <c r="NSA1628" s="1"/>
      <c r="NSB1628" s="1"/>
      <c r="NSC1628" s="1"/>
      <c r="NSD1628" s="1"/>
      <c r="NSE1628" s="1"/>
      <c r="NSF1628" s="1"/>
      <c r="NSG1628" s="1"/>
      <c r="NSH1628" s="1"/>
      <c r="NSI1628" s="1"/>
      <c r="NSJ1628" s="1"/>
      <c r="NSK1628" s="1"/>
      <c r="NSL1628" s="1"/>
      <c r="NSM1628" s="1"/>
      <c r="NSN1628" s="1"/>
      <c r="NSO1628" s="1"/>
      <c r="NSP1628" s="1"/>
      <c r="NSQ1628" s="1"/>
      <c r="NSR1628" s="1"/>
      <c r="NSS1628" s="1"/>
      <c r="NST1628" s="1"/>
      <c r="NSU1628" s="1"/>
      <c r="NSV1628" s="1"/>
      <c r="NSW1628" s="1"/>
      <c r="NSX1628" s="1"/>
      <c r="NSY1628" s="1"/>
      <c r="NSZ1628" s="1"/>
      <c r="NTA1628" s="1"/>
      <c r="NTB1628" s="1"/>
      <c r="NTC1628" s="1"/>
      <c r="NTD1628" s="1"/>
      <c r="NTE1628" s="1"/>
      <c r="NTF1628" s="1"/>
      <c r="NTG1628" s="1"/>
      <c r="NTH1628" s="1"/>
      <c r="NTI1628" s="1"/>
      <c r="NTJ1628" s="1"/>
      <c r="NTK1628" s="1"/>
      <c r="NTL1628" s="1"/>
      <c r="NTM1628" s="1"/>
      <c r="NTN1628" s="1"/>
      <c r="NTO1628" s="1"/>
      <c r="NTP1628" s="1"/>
      <c r="NTQ1628" s="1"/>
      <c r="NTR1628" s="1"/>
      <c r="NTS1628" s="1"/>
      <c r="NTT1628" s="1"/>
      <c r="NTU1628" s="1"/>
      <c r="NTV1628" s="1"/>
      <c r="NTW1628" s="1"/>
      <c r="NTX1628" s="1"/>
      <c r="NTY1628" s="1"/>
      <c r="NTZ1628" s="1"/>
      <c r="NUA1628" s="1"/>
      <c r="NUB1628" s="1"/>
      <c r="NUC1628" s="1"/>
      <c r="NUD1628" s="1"/>
      <c r="NUE1628" s="1"/>
      <c r="NUF1628" s="1"/>
      <c r="NUG1628" s="1"/>
      <c r="NUH1628" s="1"/>
      <c r="NUI1628" s="1"/>
      <c r="NUJ1628" s="1"/>
      <c r="NUK1628" s="1"/>
      <c r="NUL1628" s="1"/>
      <c r="NUM1628" s="1"/>
      <c r="NUN1628" s="1"/>
      <c r="NUO1628" s="1"/>
      <c r="NUP1628" s="1"/>
      <c r="NUQ1628" s="1"/>
      <c r="NUR1628" s="1"/>
      <c r="NUS1628" s="1"/>
      <c r="NUT1628" s="1"/>
      <c r="NUU1628" s="1"/>
      <c r="NUV1628" s="1"/>
      <c r="NUW1628" s="1"/>
      <c r="NUX1628" s="1"/>
      <c r="NUY1628" s="1"/>
      <c r="NUZ1628" s="1"/>
      <c r="NVA1628" s="1"/>
      <c r="NVB1628" s="1"/>
      <c r="NVC1628" s="1"/>
      <c r="NVD1628" s="1"/>
      <c r="NVE1628" s="1"/>
      <c r="NVF1628" s="1"/>
      <c r="NVG1628" s="1"/>
      <c r="NVH1628" s="1"/>
      <c r="NVI1628" s="1"/>
      <c r="NVJ1628" s="1"/>
      <c r="NVK1628" s="1"/>
      <c r="NVL1628" s="1"/>
      <c r="NVM1628" s="1"/>
      <c r="NVN1628" s="1"/>
      <c r="NVO1628" s="1"/>
      <c r="NVP1628" s="1"/>
      <c r="NVQ1628" s="1"/>
      <c r="NVR1628" s="1"/>
      <c r="NVS1628" s="1"/>
      <c r="NVT1628" s="1"/>
      <c r="NVU1628" s="1"/>
      <c r="NVV1628" s="1"/>
      <c r="NVW1628" s="1"/>
      <c r="NVX1628" s="1"/>
      <c r="NVY1628" s="1"/>
      <c r="NVZ1628" s="1"/>
      <c r="NWA1628" s="1"/>
      <c r="NWB1628" s="1"/>
      <c r="NWC1628" s="1"/>
      <c r="NWD1628" s="1"/>
      <c r="NWE1628" s="1"/>
      <c r="NWF1628" s="1"/>
      <c r="NWG1628" s="1"/>
      <c r="NWH1628" s="1"/>
      <c r="NWI1628" s="1"/>
      <c r="NWJ1628" s="1"/>
      <c r="NWK1628" s="1"/>
      <c r="NWL1628" s="1"/>
      <c r="NWM1628" s="1"/>
      <c r="NWN1628" s="1"/>
      <c r="NWO1628" s="1"/>
      <c r="NWP1628" s="1"/>
      <c r="NWQ1628" s="1"/>
      <c r="NWR1628" s="1"/>
      <c r="NWS1628" s="1"/>
      <c r="NWT1628" s="1"/>
      <c r="NWU1628" s="1"/>
      <c r="NWV1628" s="1"/>
      <c r="NWW1628" s="1"/>
      <c r="NWX1628" s="1"/>
      <c r="NWY1628" s="1"/>
      <c r="NWZ1628" s="1"/>
      <c r="NXA1628" s="1"/>
      <c r="NXB1628" s="1"/>
      <c r="NXC1628" s="1"/>
      <c r="NXD1628" s="1"/>
      <c r="NXE1628" s="1"/>
      <c r="NXF1628" s="1"/>
      <c r="NXG1628" s="1"/>
      <c r="NXH1628" s="1"/>
      <c r="NXI1628" s="1"/>
      <c r="NXJ1628" s="1"/>
      <c r="NXK1628" s="1"/>
      <c r="NXL1628" s="1"/>
      <c r="NXM1628" s="1"/>
      <c r="NXN1628" s="1"/>
      <c r="NXO1628" s="1"/>
      <c r="NXP1628" s="1"/>
      <c r="NXQ1628" s="1"/>
      <c r="NXR1628" s="1"/>
      <c r="NXS1628" s="1"/>
      <c r="NXT1628" s="1"/>
      <c r="NXU1628" s="1"/>
      <c r="NXV1628" s="1"/>
      <c r="NXW1628" s="1"/>
      <c r="NXX1628" s="1"/>
      <c r="NXY1628" s="1"/>
      <c r="NXZ1628" s="1"/>
      <c r="NYA1628" s="1"/>
      <c r="NYB1628" s="1"/>
      <c r="NYC1628" s="1"/>
      <c r="NYD1628" s="1"/>
      <c r="NYE1628" s="1"/>
      <c r="NYF1628" s="1"/>
      <c r="NYG1628" s="1"/>
      <c r="NYH1628" s="1"/>
      <c r="NYI1628" s="1"/>
      <c r="NYJ1628" s="1"/>
      <c r="NYK1628" s="1"/>
      <c r="NYL1628" s="1"/>
      <c r="NYM1628" s="1"/>
      <c r="NYN1628" s="1"/>
      <c r="NYO1628" s="1"/>
      <c r="NYP1628" s="1"/>
      <c r="NYQ1628" s="1"/>
      <c r="NYR1628" s="1"/>
      <c r="NYS1628" s="1"/>
      <c r="NYT1628" s="1"/>
      <c r="NYU1628" s="1"/>
      <c r="NYV1628" s="1"/>
      <c r="NYW1628" s="1"/>
      <c r="NYX1628" s="1"/>
      <c r="NYY1628" s="1"/>
      <c r="NYZ1628" s="1"/>
      <c r="NZA1628" s="1"/>
      <c r="NZB1628" s="1"/>
      <c r="NZC1628" s="1"/>
      <c r="NZD1628" s="1"/>
      <c r="NZE1628" s="1"/>
      <c r="NZF1628" s="1"/>
      <c r="NZG1628" s="1"/>
      <c r="NZH1628" s="1"/>
      <c r="NZI1628" s="1"/>
      <c r="NZJ1628" s="1"/>
      <c r="NZK1628" s="1"/>
      <c r="NZL1628" s="1"/>
      <c r="NZM1628" s="1"/>
      <c r="NZN1628" s="1"/>
      <c r="NZO1628" s="1"/>
      <c r="NZP1628" s="1"/>
      <c r="NZQ1628" s="1"/>
      <c r="NZR1628" s="1"/>
      <c r="NZS1628" s="1"/>
      <c r="NZT1628" s="1"/>
      <c r="NZU1628" s="1"/>
      <c r="NZV1628" s="1"/>
      <c r="NZW1628" s="1"/>
      <c r="NZX1628" s="1"/>
      <c r="NZY1628" s="1"/>
      <c r="NZZ1628" s="1"/>
      <c r="OAA1628" s="1"/>
      <c r="OAB1628" s="1"/>
      <c r="OAC1628" s="1"/>
      <c r="OAD1628" s="1"/>
      <c r="OAE1628" s="1"/>
      <c r="OAF1628" s="1"/>
      <c r="OAG1628" s="1"/>
      <c r="OAH1628" s="1"/>
      <c r="OAI1628" s="1"/>
      <c r="OAJ1628" s="1"/>
      <c r="OAK1628" s="1"/>
      <c r="OAL1628" s="1"/>
      <c r="OAM1628" s="1"/>
      <c r="OAN1628" s="1"/>
      <c r="OAO1628" s="1"/>
      <c r="OAP1628" s="1"/>
      <c r="OAQ1628" s="1"/>
      <c r="OAR1628" s="1"/>
      <c r="OAS1628" s="1"/>
      <c r="OAT1628" s="1"/>
      <c r="OAU1628" s="1"/>
      <c r="OAV1628" s="1"/>
      <c r="OAW1628" s="1"/>
      <c r="OAX1628" s="1"/>
      <c r="OAY1628" s="1"/>
      <c r="OAZ1628" s="1"/>
      <c r="OBA1628" s="1"/>
      <c r="OBB1628" s="1"/>
      <c r="OBC1628" s="1"/>
      <c r="OBD1628" s="1"/>
      <c r="OBE1628" s="1"/>
      <c r="OBF1628" s="1"/>
      <c r="OBG1628" s="1"/>
      <c r="OBH1628" s="1"/>
      <c r="OBI1628" s="1"/>
      <c r="OBJ1628" s="1"/>
      <c r="OBK1628" s="1"/>
      <c r="OBL1628" s="1"/>
      <c r="OBM1628" s="1"/>
      <c r="OBN1628" s="1"/>
      <c r="OBO1628" s="1"/>
      <c r="OBP1628" s="1"/>
      <c r="OBQ1628" s="1"/>
      <c r="OBR1628" s="1"/>
      <c r="OBS1628" s="1"/>
      <c r="OBT1628" s="1"/>
      <c r="OBU1628" s="1"/>
      <c r="OBV1628" s="1"/>
      <c r="OBW1628" s="1"/>
      <c r="OBX1628" s="1"/>
      <c r="OBY1628" s="1"/>
      <c r="OBZ1628" s="1"/>
      <c r="OCA1628" s="1"/>
      <c r="OCB1628" s="1"/>
      <c r="OCC1628" s="1"/>
      <c r="OCD1628" s="1"/>
      <c r="OCE1628" s="1"/>
      <c r="OCF1628" s="1"/>
      <c r="OCG1628" s="1"/>
      <c r="OCH1628" s="1"/>
      <c r="OCI1628" s="1"/>
      <c r="OCJ1628" s="1"/>
      <c r="OCK1628" s="1"/>
      <c r="OCL1628" s="1"/>
      <c r="OCM1628" s="1"/>
      <c r="OCN1628" s="1"/>
      <c r="OCO1628" s="1"/>
      <c r="OCP1628" s="1"/>
      <c r="OCQ1628" s="1"/>
      <c r="OCR1628" s="1"/>
      <c r="OCS1628" s="1"/>
      <c r="OCT1628" s="1"/>
      <c r="OCU1628" s="1"/>
      <c r="OCV1628" s="1"/>
      <c r="OCW1628" s="1"/>
      <c r="OCX1628" s="1"/>
      <c r="OCY1628" s="1"/>
      <c r="OCZ1628" s="1"/>
      <c r="ODA1628" s="1"/>
      <c r="ODB1628" s="1"/>
      <c r="ODC1628" s="1"/>
      <c r="ODD1628" s="1"/>
      <c r="ODE1628" s="1"/>
      <c r="ODF1628" s="1"/>
      <c r="ODG1628" s="1"/>
      <c r="ODH1628" s="1"/>
      <c r="ODI1628" s="1"/>
      <c r="ODJ1628" s="1"/>
      <c r="ODK1628" s="1"/>
      <c r="ODL1628" s="1"/>
      <c r="ODM1628" s="1"/>
      <c r="ODN1628" s="1"/>
      <c r="ODO1628" s="1"/>
      <c r="ODP1628" s="1"/>
      <c r="ODQ1628" s="1"/>
      <c r="ODR1628" s="1"/>
      <c r="ODS1628" s="1"/>
      <c r="ODT1628" s="1"/>
      <c r="ODU1628" s="1"/>
      <c r="ODV1628" s="1"/>
      <c r="ODW1628" s="1"/>
      <c r="ODX1628" s="1"/>
      <c r="ODY1628" s="1"/>
      <c r="ODZ1628" s="1"/>
      <c r="OEA1628" s="1"/>
      <c r="OEB1628" s="1"/>
      <c r="OEC1628" s="1"/>
      <c r="OED1628" s="1"/>
      <c r="OEE1628" s="1"/>
      <c r="OEF1628" s="1"/>
      <c r="OEG1628" s="1"/>
      <c r="OEH1628" s="1"/>
      <c r="OEI1628" s="1"/>
      <c r="OEJ1628" s="1"/>
      <c r="OEK1628" s="1"/>
      <c r="OEL1628" s="1"/>
      <c r="OEM1628" s="1"/>
      <c r="OEN1628" s="1"/>
      <c r="OEO1628" s="1"/>
      <c r="OEP1628" s="1"/>
      <c r="OEQ1628" s="1"/>
      <c r="OER1628" s="1"/>
      <c r="OES1628" s="1"/>
      <c r="OET1628" s="1"/>
      <c r="OEU1628" s="1"/>
      <c r="OEV1628" s="1"/>
      <c r="OEW1628" s="1"/>
      <c r="OEX1628" s="1"/>
      <c r="OEY1628" s="1"/>
      <c r="OEZ1628" s="1"/>
      <c r="OFA1628" s="1"/>
      <c r="OFB1628" s="1"/>
      <c r="OFC1628" s="1"/>
      <c r="OFD1628" s="1"/>
      <c r="OFE1628" s="1"/>
      <c r="OFF1628" s="1"/>
      <c r="OFG1628" s="1"/>
      <c r="OFH1628" s="1"/>
      <c r="OFI1628" s="1"/>
      <c r="OFJ1628" s="1"/>
      <c r="OFK1628" s="1"/>
      <c r="OFL1628" s="1"/>
      <c r="OFM1628" s="1"/>
      <c r="OFN1628" s="1"/>
      <c r="OFO1628" s="1"/>
      <c r="OFP1628" s="1"/>
      <c r="OFQ1628" s="1"/>
      <c r="OFR1628" s="1"/>
      <c r="OFS1628" s="1"/>
      <c r="OFT1628" s="1"/>
      <c r="OFU1628" s="1"/>
      <c r="OFV1628" s="1"/>
      <c r="OFW1628" s="1"/>
      <c r="OFX1628" s="1"/>
      <c r="OFY1628" s="1"/>
      <c r="OFZ1628" s="1"/>
      <c r="OGA1628" s="1"/>
      <c r="OGB1628" s="1"/>
      <c r="OGC1628" s="1"/>
      <c r="OGD1628" s="1"/>
      <c r="OGE1628" s="1"/>
      <c r="OGF1628" s="1"/>
      <c r="OGG1628" s="1"/>
      <c r="OGH1628" s="1"/>
      <c r="OGI1628" s="1"/>
      <c r="OGJ1628" s="1"/>
      <c r="OGK1628" s="1"/>
      <c r="OGL1628" s="1"/>
      <c r="OGM1628" s="1"/>
      <c r="OGN1628" s="1"/>
      <c r="OGO1628" s="1"/>
      <c r="OGP1628" s="1"/>
      <c r="OGQ1628" s="1"/>
      <c r="OGR1628" s="1"/>
      <c r="OGS1628" s="1"/>
      <c r="OGT1628" s="1"/>
      <c r="OGU1628" s="1"/>
      <c r="OGV1628" s="1"/>
      <c r="OGW1628" s="1"/>
      <c r="OGX1628" s="1"/>
      <c r="OGY1628" s="1"/>
      <c r="OGZ1628" s="1"/>
      <c r="OHA1628" s="1"/>
      <c r="OHB1628" s="1"/>
      <c r="OHC1628" s="1"/>
      <c r="OHD1628" s="1"/>
      <c r="OHE1628" s="1"/>
      <c r="OHF1628" s="1"/>
      <c r="OHG1628" s="1"/>
      <c r="OHH1628" s="1"/>
      <c r="OHI1628" s="1"/>
      <c r="OHJ1628" s="1"/>
      <c r="OHK1628" s="1"/>
      <c r="OHL1628" s="1"/>
      <c r="OHM1628" s="1"/>
      <c r="OHN1628" s="1"/>
      <c r="OHO1628" s="1"/>
      <c r="OHP1628" s="1"/>
      <c r="OHQ1628" s="1"/>
      <c r="OHR1628" s="1"/>
      <c r="OHS1628" s="1"/>
      <c r="OHT1628" s="1"/>
      <c r="OHU1628" s="1"/>
      <c r="OHV1628" s="1"/>
      <c r="OHW1628" s="1"/>
      <c r="OHX1628" s="1"/>
      <c r="OHY1628" s="1"/>
      <c r="OHZ1628" s="1"/>
      <c r="OIA1628" s="1"/>
      <c r="OIB1628" s="1"/>
      <c r="OIC1628" s="1"/>
      <c r="OID1628" s="1"/>
      <c r="OIE1628" s="1"/>
      <c r="OIF1628" s="1"/>
      <c r="OIG1628" s="1"/>
      <c r="OIH1628" s="1"/>
      <c r="OII1628" s="1"/>
      <c r="OIJ1628" s="1"/>
      <c r="OIK1628" s="1"/>
      <c r="OIL1628" s="1"/>
      <c r="OIM1628" s="1"/>
      <c r="OIN1628" s="1"/>
      <c r="OIO1628" s="1"/>
      <c r="OIP1628" s="1"/>
      <c r="OIQ1628" s="1"/>
      <c r="OIR1628" s="1"/>
      <c r="OIS1628" s="1"/>
      <c r="OIT1628" s="1"/>
      <c r="OIU1628" s="1"/>
      <c r="OIV1628" s="1"/>
      <c r="OIW1628" s="1"/>
      <c r="OIX1628" s="1"/>
      <c r="OIY1628" s="1"/>
      <c r="OIZ1628" s="1"/>
      <c r="OJA1628" s="1"/>
      <c r="OJB1628" s="1"/>
      <c r="OJC1628" s="1"/>
      <c r="OJD1628" s="1"/>
      <c r="OJE1628" s="1"/>
      <c r="OJF1628" s="1"/>
      <c r="OJG1628" s="1"/>
      <c r="OJH1628" s="1"/>
      <c r="OJI1628" s="1"/>
      <c r="OJJ1628" s="1"/>
      <c r="OJK1628" s="1"/>
      <c r="OJL1628" s="1"/>
      <c r="OJM1628" s="1"/>
      <c r="OJN1628" s="1"/>
      <c r="OJO1628" s="1"/>
      <c r="OJP1628" s="1"/>
      <c r="OJQ1628" s="1"/>
      <c r="OJR1628" s="1"/>
      <c r="OJS1628" s="1"/>
      <c r="OJT1628" s="1"/>
      <c r="OJU1628" s="1"/>
      <c r="OJV1628" s="1"/>
      <c r="OJW1628" s="1"/>
      <c r="OJX1628" s="1"/>
      <c r="OJY1628" s="1"/>
      <c r="OJZ1628" s="1"/>
      <c r="OKA1628" s="1"/>
      <c r="OKB1628" s="1"/>
      <c r="OKC1628" s="1"/>
      <c r="OKD1628" s="1"/>
      <c r="OKE1628" s="1"/>
      <c r="OKF1628" s="1"/>
      <c r="OKG1628" s="1"/>
      <c r="OKH1628" s="1"/>
      <c r="OKI1628" s="1"/>
      <c r="OKJ1628" s="1"/>
      <c r="OKK1628" s="1"/>
      <c r="OKL1628" s="1"/>
      <c r="OKM1628" s="1"/>
      <c r="OKN1628" s="1"/>
      <c r="OKO1628" s="1"/>
      <c r="OKP1628" s="1"/>
      <c r="OKQ1628" s="1"/>
      <c r="OKR1628" s="1"/>
      <c r="OKS1628" s="1"/>
      <c r="OKT1628" s="1"/>
      <c r="OKU1628" s="1"/>
      <c r="OKV1628" s="1"/>
      <c r="OKW1628" s="1"/>
      <c r="OKX1628" s="1"/>
      <c r="OKY1628" s="1"/>
      <c r="OKZ1628" s="1"/>
      <c r="OLA1628" s="1"/>
      <c r="OLB1628" s="1"/>
      <c r="OLC1628" s="1"/>
      <c r="OLD1628" s="1"/>
      <c r="OLE1628" s="1"/>
      <c r="OLF1628" s="1"/>
      <c r="OLG1628" s="1"/>
      <c r="OLH1628" s="1"/>
      <c r="OLI1628" s="1"/>
      <c r="OLJ1628" s="1"/>
      <c r="OLK1628" s="1"/>
      <c r="OLL1628" s="1"/>
      <c r="OLM1628" s="1"/>
      <c r="OLN1628" s="1"/>
      <c r="OLO1628" s="1"/>
      <c r="OLP1628" s="1"/>
      <c r="OLQ1628" s="1"/>
      <c r="OLR1628" s="1"/>
      <c r="OLS1628" s="1"/>
      <c r="OLT1628" s="1"/>
      <c r="OLU1628" s="1"/>
      <c r="OLV1628" s="1"/>
      <c r="OLW1628" s="1"/>
      <c r="OLX1628" s="1"/>
      <c r="OLY1628" s="1"/>
      <c r="OLZ1628" s="1"/>
      <c r="OMA1628" s="1"/>
      <c r="OMB1628" s="1"/>
      <c r="OMC1628" s="1"/>
      <c r="OMD1628" s="1"/>
      <c r="OME1628" s="1"/>
      <c r="OMF1628" s="1"/>
      <c r="OMG1628" s="1"/>
      <c r="OMH1628" s="1"/>
      <c r="OMI1628" s="1"/>
      <c r="OMJ1628" s="1"/>
      <c r="OMK1628" s="1"/>
      <c r="OML1628" s="1"/>
      <c r="OMM1628" s="1"/>
      <c r="OMN1628" s="1"/>
      <c r="OMO1628" s="1"/>
      <c r="OMP1628" s="1"/>
      <c r="OMQ1628" s="1"/>
      <c r="OMR1628" s="1"/>
      <c r="OMS1628" s="1"/>
      <c r="OMT1628" s="1"/>
      <c r="OMU1628" s="1"/>
      <c r="OMV1628" s="1"/>
      <c r="OMW1628" s="1"/>
      <c r="OMX1628" s="1"/>
      <c r="OMY1628" s="1"/>
      <c r="OMZ1628" s="1"/>
      <c r="ONA1628" s="1"/>
      <c r="ONB1628" s="1"/>
      <c r="ONC1628" s="1"/>
      <c r="OND1628" s="1"/>
      <c r="ONE1628" s="1"/>
      <c r="ONF1628" s="1"/>
      <c r="ONG1628" s="1"/>
      <c r="ONH1628" s="1"/>
      <c r="ONI1628" s="1"/>
      <c r="ONJ1628" s="1"/>
      <c r="ONK1628" s="1"/>
      <c r="ONL1628" s="1"/>
      <c r="ONM1628" s="1"/>
      <c r="ONN1628" s="1"/>
      <c r="ONO1628" s="1"/>
      <c r="ONP1628" s="1"/>
      <c r="ONQ1628" s="1"/>
      <c r="ONR1628" s="1"/>
      <c r="ONS1628" s="1"/>
      <c r="ONT1628" s="1"/>
      <c r="ONU1628" s="1"/>
      <c r="ONV1628" s="1"/>
      <c r="ONW1628" s="1"/>
      <c r="ONX1628" s="1"/>
      <c r="ONY1628" s="1"/>
      <c r="ONZ1628" s="1"/>
      <c r="OOA1628" s="1"/>
      <c r="OOB1628" s="1"/>
      <c r="OOC1628" s="1"/>
      <c r="OOD1628" s="1"/>
      <c r="OOE1628" s="1"/>
      <c r="OOF1628" s="1"/>
      <c r="OOG1628" s="1"/>
      <c r="OOH1628" s="1"/>
      <c r="OOI1628" s="1"/>
      <c r="OOJ1628" s="1"/>
      <c r="OOK1628" s="1"/>
      <c r="OOL1628" s="1"/>
      <c r="OOM1628" s="1"/>
      <c r="OON1628" s="1"/>
      <c r="OOO1628" s="1"/>
      <c r="OOP1628" s="1"/>
      <c r="OOQ1628" s="1"/>
      <c r="OOR1628" s="1"/>
      <c r="OOS1628" s="1"/>
      <c r="OOT1628" s="1"/>
      <c r="OOU1628" s="1"/>
      <c r="OOV1628" s="1"/>
      <c r="OOW1628" s="1"/>
      <c r="OOX1628" s="1"/>
      <c r="OOY1628" s="1"/>
      <c r="OOZ1628" s="1"/>
      <c r="OPA1628" s="1"/>
      <c r="OPB1628" s="1"/>
      <c r="OPC1628" s="1"/>
      <c r="OPD1628" s="1"/>
      <c r="OPE1628" s="1"/>
      <c r="OPF1628" s="1"/>
      <c r="OPG1628" s="1"/>
      <c r="OPH1628" s="1"/>
      <c r="OPI1628" s="1"/>
      <c r="OPJ1628" s="1"/>
      <c r="OPK1628" s="1"/>
      <c r="OPL1628" s="1"/>
      <c r="OPM1628" s="1"/>
      <c r="OPN1628" s="1"/>
      <c r="OPO1628" s="1"/>
      <c r="OPP1628" s="1"/>
      <c r="OPQ1628" s="1"/>
      <c r="OPR1628" s="1"/>
      <c r="OPS1628" s="1"/>
      <c r="OPT1628" s="1"/>
      <c r="OPU1628" s="1"/>
      <c r="OPV1628" s="1"/>
      <c r="OPW1628" s="1"/>
      <c r="OPX1628" s="1"/>
      <c r="OPY1628" s="1"/>
      <c r="OPZ1628" s="1"/>
      <c r="OQA1628" s="1"/>
      <c r="OQB1628" s="1"/>
      <c r="OQC1628" s="1"/>
      <c r="OQD1628" s="1"/>
      <c r="OQE1628" s="1"/>
      <c r="OQF1628" s="1"/>
      <c r="OQG1628" s="1"/>
      <c r="OQH1628" s="1"/>
      <c r="OQI1628" s="1"/>
      <c r="OQJ1628" s="1"/>
      <c r="OQK1628" s="1"/>
      <c r="OQL1628" s="1"/>
      <c r="OQM1628" s="1"/>
      <c r="OQN1628" s="1"/>
      <c r="OQO1628" s="1"/>
      <c r="OQP1628" s="1"/>
      <c r="OQQ1628" s="1"/>
      <c r="OQR1628" s="1"/>
      <c r="OQS1628" s="1"/>
      <c r="OQT1628" s="1"/>
      <c r="OQU1628" s="1"/>
      <c r="OQV1628" s="1"/>
      <c r="OQW1628" s="1"/>
      <c r="OQX1628" s="1"/>
      <c r="OQY1628" s="1"/>
      <c r="OQZ1628" s="1"/>
      <c r="ORA1628" s="1"/>
      <c r="ORB1628" s="1"/>
      <c r="ORC1628" s="1"/>
      <c r="ORD1628" s="1"/>
      <c r="ORE1628" s="1"/>
      <c r="ORF1628" s="1"/>
      <c r="ORG1628" s="1"/>
      <c r="ORH1628" s="1"/>
      <c r="ORI1628" s="1"/>
      <c r="ORJ1628" s="1"/>
      <c r="ORK1628" s="1"/>
      <c r="ORL1628" s="1"/>
      <c r="ORM1628" s="1"/>
      <c r="ORN1628" s="1"/>
      <c r="ORO1628" s="1"/>
      <c r="ORP1628" s="1"/>
      <c r="ORQ1628" s="1"/>
      <c r="ORR1628" s="1"/>
      <c r="ORS1628" s="1"/>
      <c r="ORT1628" s="1"/>
      <c r="ORU1628" s="1"/>
      <c r="ORV1628" s="1"/>
      <c r="ORW1628" s="1"/>
      <c r="ORX1628" s="1"/>
      <c r="ORY1628" s="1"/>
      <c r="ORZ1628" s="1"/>
      <c r="OSA1628" s="1"/>
      <c r="OSB1628" s="1"/>
      <c r="OSC1628" s="1"/>
      <c r="OSD1628" s="1"/>
      <c r="OSE1628" s="1"/>
      <c r="OSF1628" s="1"/>
      <c r="OSG1628" s="1"/>
      <c r="OSH1628" s="1"/>
      <c r="OSI1628" s="1"/>
      <c r="OSJ1628" s="1"/>
      <c r="OSK1628" s="1"/>
      <c r="OSL1628" s="1"/>
      <c r="OSM1628" s="1"/>
      <c r="OSN1628" s="1"/>
      <c r="OSO1628" s="1"/>
      <c r="OSP1628" s="1"/>
      <c r="OSQ1628" s="1"/>
      <c r="OSR1628" s="1"/>
      <c r="OSS1628" s="1"/>
      <c r="OST1628" s="1"/>
      <c r="OSU1628" s="1"/>
      <c r="OSV1628" s="1"/>
      <c r="OSW1628" s="1"/>
      <c r="OSX1628" s="1"/>
      <c r="OSY1628" s="1"/>
      <c r="OSZ1628" s="1"/>
      <c r="OTA1628" s="1"/>
      <c r="OTB1628" s="1"/>
      <c r="OTC1628" s="1"/>
      <c r="OTD1628" s="1"/>
      <c r="OTE1628" s="1"/>
      <c r="OTF1628" s="1"/>
      <c r="OTG1628" s="1"/>
      <c r="OTH1628" s="1"/>
      <c r="OTI1628" s="1"/>
      <c r="OTJ1628" s="1"/>
      <c r="OTK1628" s="1"/>
      <c r="OTL1628" s="1"/>
      <c r="OTM1628" s="1"/>
      <c r="OTN1628" s="1"/>
      <c r="OTO1628" s="1"/>
      <c r="OTP1628" s="1"/>
      <c r="OTQ1628" s="1"/>
      <c r="OTR1628" s="1"/>
      <c r="OTS1628" s="1"/>
      <c r="OTT1628" s="1"/>
      <c r="OTU1628" s="1"/>
      <c r="OTV1628" s="1"/>
      <c r="OTW1628" s="1"/>
      <c r="OTX1628" s="1"/>
      <c r="OTY1628" s="1"/>
      <c r="OTZ1628" s="1"/>
      <c r="OUA1628" s="1"/>
      <c r="OUB1628" s="1"/>
      <c r="OUC1628" s="1"/>
      <c r="OUD1628" s="1"/>
      <c r="OUE1628" s="1"/>
      <c r="OUF1628" s="1"/>
      <c r="OUG1628" s="1"/>
      <c r="OUH1628" s="1"/>
      <c r="OUI1628" s="1"/>
      <c r="OUJ1628" s="1"/>
      <c r="OUK1628" s="1"/>
      <c r="OUL1628" s="1"/>
      <c r="OUM1628" s="1"/>
      <c r="OUN1628" s="1"/>
      <c r="OUO1628" s="1"/>
      <c r="OUP1628" s="1"/>
      <c r="OUQ1628" s="1"/>
      <c r="OUR1628" s="1"/>
      <c r="OUS1628" s="1"/>
      <c r="OUT1628" s="1"/>
      <c r="OUU1628" s="1"/>
      <c r="OUV1628" s="1"/>
      <c r="OUW1628" s="1"/>
      <c r="OUX1628" s="1"/>
      <c r="OUY1628" s="1"/>
      <c r="OUZ1628" s="1"/>
      <c r="OVA1628" s="1"/>
      <c r="OVB1628" s="1"/>
      <c r="OVC1628" s="1"/>
      <c r="OVD1628" s="1"/>
      <c r="OVE1628" s="1"/>
      <c r="OVF1628" s="1"/>
      <c r="OVG1628" s="1"/>
      <c r="OVH1628" s="1"/>
      <c r="OVI1628" s="1"/>
      <c r="OVJ1628" s="1"/>
      <c r="OVK1628" s="1"/>
      <c r="OVL1628" s="1"/>
      <c r="OVM1628" s="1"/>
      <c r="OVN1628" s="1"/>
      <c r="OVO1628" s="1"/>
      <c r="OVP1628" s="1"/>
      <c r="OVQ1628" s="1"/>
      <c r="OVR1628" s="1"/>
      <c r="OVS1628" s="1"/>
      <c r="OVT1628" s="1"/>
      <c r="OVU1628" s="1"/>
      <c r="OVV1628" s="1"/>
      <c r="OVW1628" s="1"/>
      <c r="OVX1628" s="1"/>
      <c r="OVY1628" s="1"/>
      <c r="OVZ1628" s="1"/>
      <c r="OWA1628" s="1"/>
      <c r="OWB1628" s="1"/>
      <c r="OWC1628" s="1"/>
      <c r="OWD1628" s="1"/>
      <c r="OWE1628" s="1"/>
      <c r="OWF1628" s="1"/>
      <c r="OWG1628" s="1"/>
      <c r="OWH1628" s="1"/>
      <c r="OWI1628" s="1"/>
      <c r="OWJ1628" s="1"/>
      <c r="OWK1628" s="1"/>
      <c r="OWL1628" s="1"/>
      <c r="OWM1628" s="1"/>
      <c r="OWN1628" s="1"/>
      <c r="OWO1628" s="1"/>
      <c r="OWP1628" s="1"/>
      <c r="OWQ1628" s="1"/>
      <c r="OWR1628" s="1"/>
      <c r="OWS1628" s="1"/>
      <c r="OWT1628" s="1"/>
      <c r="OWU1628" s="1"/>
      <c r="OWV1628" s="1"/>
      <c r="OWW1628" s="1"/>
      <c r="OWX1628" s="1"/>
      <c r="OWY1628" s="1"/>
      <c r="OWZ1628" s="1"/>
      <c r="OXA1628" s="1"/>
      <c r="OXB1628" s="1"/>
      <c r="OXC1628" s="1"/>
      <c r="OXD1628" s="1"/>
      <c r="OXE1628" s="1"/>
      <c r="OXF1628" s="1"/>
      <c r="OXG1628" s="1"/>
      <c r="OXH1628" s="1"/>
      <c r="OXI1628" s="1"/>
      <c r="OXJ1628" s="1"/>
      <c r="OXK1628" s="1"/>
      <c r="OXL1628" s="1"/>
      <c r="OXM1628" s="1"/>
      <c r="OXN1628" s="1"/>
      <c r="OXO1628" s="1"/>
      <c r="OXP1628" s="1"/>
      <c r="OXQ1628" s="1"/>
      <c r="OXR1628" s="1"/>
      <c r="OXS1628" s="1"/>
      <c r="OXT1628" s="1"/>
      <c r="OXU1628" s="1"/>
      <c r="OXV1628" s="1"/>
      <c r="OXW1628" s="1"/>
      <c r="OXX1628" s="1"/>
      <c r="OXY1628" s="1"/>
      <c r="OXZ1628" s="1"/>
      <c r="OYA1628" s="1"/>
      <c r="OYB1628" s="1"/>
      <c r="OYC1628" s="1"/>
      <c r="OYD1628" s="1"/>
      <c r="OYE1628" s="1"/>
      <c r="OYF1628" s="1"/>
      <c r="OYG1628" s="1"/>
      <c r="OYH1628" s="1"/>
      <c r="OYI1628" s="1"/>
      <c r="OYJ1628" s="1"/>
      <c r="OYK1628" s="1"/>
      <c r="OYL1628" s="1"/>
      <c r="OYM1628" s="1"/>
      <c r="OYN1628" s="1"/>
      <c r="OYO1628" s="1"/>
      <c r="OYP1628" s="1"/>
      <c r="OYQ1628" s="1"/>
      <c r="OYR1628" s="1"/>
      <c r="OYS1628" s="1"/>
      <c r="OYT1628" s="1"/>
      <c r="OYU1628" s="1"/>
      <c r="OYV1628" s="1"/>
      <c r="OYW1628" s="1"/>
      <c r="OYX1628" s="1"/>
      <c r="OYY1628" s="1"/>
      <c r="OYZ1628" s="1"/>
      <c r="OZA1628" s="1"/>
      <c r="OZB1628" s="1"/>
      <c r="OZC1628" s="1"/>
      <c r="OZD1628" s="1"/>
      <c r="OZE1628" s="1"/>
      <c r="OZF1628" s="1"/>
      <c r="OZG1628" s="1"/>
      <c r="OZH1628" s="1"/>
      <c r="OZI1628" s="1"/>
      <c r="OZJ1628" s="1"/>
      <c r="OZK1628" s="1"/>
      <c r="OZL1628" s="1"/>
      <c r="OZM1628" s="1"/>
      <c r="OZN1628" s="1"/>
      <c r="OZO1628" s="1"/>
      <c r="OZP1628" s="1"/>
      <c r="OZQ1628" s="1"/>
      <c r="OZR1628" s="1"/>
      <c r="OZS1628" s="1"/>
      <c r="OZT1628" s="1"/>
      <c r="OZU1628" s="1"/>
      <c r="OZV1628" s="1"/>
      <c r="OZW1628" s="1"/>
      <c r="OZX1628" s="1"/>
      <c r="OZY1628" s="1"/>
      <c r="OZZ1628" s="1"/>
      <c r="PAA1628" s="1"/>
      <c r="PAB1628" s="1"/>
      <c r="PAC1628" s="1"/>
      <c r="PAD1628" s="1"/>
      <c r="PAE1628" s="1"/>
      <c r="PAF1628" s="1"/>
      <c r="PAG1628" s="1"/>
      <c r="PAH1628" s="1"/>
      <c r="PAI1628" s="1"/>
      <c r="PAJ1628" s="1"/>
      <c r="PAK1628" s="1"/>
      <c r="PAL1628" s="1"/>
      <c r="PAM1628" s="1"/>
      <c r="PAN1628" s="1"/>
      <c r="PAO1628" s="1"/>
      <c r="PAP1628" s="1"/>
      <c r="PAQ1628" s="1"/>
      <c r="PAR1628" s="1"/>
      <c r="PAS1628" s="1"/>
      <c r="PAT1628" s="1"/>
      <c r="PAU1628" s="1"/>
      <c r="PAV1628" s="1"/>
      <c r="PAW1628" s="1"/>
      <c r="PAX1628" s="1"/>
      <c r="PAY1628" s="1"/>
      <c r="PAZ1628" s="1"/>
      <c r="PBA1628" s="1"/>
      <c r="PBB1628" s="1"/>
      <c r="PBC1628" s="1"/>
      <c r="PBD1628" s="1"/>
      <c r="PBE1628" s="1"/>
      <c r="PBF1628" s="1"/>
      <c r="PBG1628" s="1"/>
      <c r="PBH1628" s="1"/>
      <c r="PBI1628" s="1"/>
      <c r="PBJ1628" s="1"/>
      <c r="PBK1628" s="1"/>
      <c r="PBL1628" s="1"/>
      <c r="PBM1628" s="1"/>
      <c r="PBN1628" s="1"/>
      <c r="PBO1628" s="1"/>
      <c r="PBP1628" s="1"/>
      <c r="PBQ1628" s="1"/>
      <c r="PBR1628" s="1"/>
      <c r="PBS1628" s="1"/>
      <c r="PBT1628" s="1"/>
      <c r="PBU1628" s="1"/>
      <c r="PBV1628" s="1"/>
      <c r="PBW1628" s="1"/>
      <c r="PBX1628" s="1"/>
      <c r="PBY1628" s="1"/>
      <c r="PBZ1628" s="1"/>
      <c r="PCA1628" s="1"/>
      <c r="PCB1628" s="1"/>
      <c r="PCC1628" s="1"/>
      <c r="PCD1628" s="1"/>
      <c r="PCE1628" s="1"/>
      <c r="PCF1628" s="1"/>
      <c r="PCG1628" s="1"/>
      <c r="PCH1628" s="1"/>
      <c r="PCI1628" s="1"/>
      <c r="PCJ1628" s="1"/>
      <c r="PCK1628" s="1"/>
      <c r="PCL1628" s="1"/>
      <c r="PCM1628" s="1"/>
      <c r="PCN1628" s="1"/>
      <c r="PCO1628" s="1"/>
      <c r="PCP1628" s="1"/>
      <c r="PCQ1628" s="1"/>
      <c r="PCR1628" s="1"/>
      <c r="PCS1628" s="1"/>
      <c r="PCT1628" s="1"/>
      <c r="PCU1628" s="1"/>
      <c r="PCV1628" s="1"/>
      <c r="PCW1628" s="1"/>
      <c r="PCX1628" s="1"/>
      <c r="PCY1628" s="1"/>
      <c r="PCZ1628" s="1"/>
      <c r="PDA1628" s="1"/>
      <c r="PDB1628" s="1"/>
      <c r="PDC1628" s="1"/>
      <c r="PDD1628" s="1"/>
      <c r="PDE1628" s="1"/>
      <c r="PDF1628" s="1"/>
      <c r="PDG1628" s="1"/>
      <c r="PDH1628" s="1"/>
      <c r="PDI1628" s="1"/>
      <c r="PDJ1628" s="1"/>
      <c r="PDK1628" s="1"/>
      <c r="PDL1628" s="1"/>
      <c r="PDM1628" s="1"/>
      <c r="PDN1628" s="1"/>
      <c r="PDO1628" s="1"/>
      <c r="PDP1628" s="1"/>
      <c r="PDQ1628" s="1"/>
      <c r="PDR1628" s="1"/>
      <c r="PDS1628" s="1"/>
      <c r="PDT1628" s="1"/>
      <c r="PDU1628" s="1"/>
      <c r="PDV1628" s="1"/>
      <c r="PDW1628" s="1"/>
      <c r="PDX1628" s="1"/>
      <c r="PDY1628" s="1"/>
      <c r="PDZ1628" s="1"/>
      <c r="PEA1628" s="1"/>
      <c r="PEB1628" s="1"/>
      <c r="PEC1628" s="1"/>
      <c r="PED1628" s="1"/>
      <c r="PEE1628" s="1"/>
      <c r="PEF1628" s="1"/>
      <c r="PEG1628" s="1"/>
      <c r="PEH1628" s="1"/>
      <c r="PEI1628" s="1"/>
      <c r="PEJ1628" s="1"/>
      <c r="PEK1628" s="1"/>
      <c r="PEL1628" s="1"/>
      <c r="PEM1628" s="1"/>
      <c r="PEN1628" s="1"/>
      <c r="PEO1628" s="1"/>
      <c r="PEP1628" s="1"/>
      <c r="PEQ1628" s="1"/>
      <c r="PER1628" s="1"/>
      <c r="PES1628" s="1"/>
      <c r="PET1628" s="1"/>
      <c r="PEU1628" s="1"/>
      <c r="PEV1628" s="1"/>
      <c r="PEW1628" s="1"/>
      <c r="PEX1628" s="1"/>
      <c r="PEY1628" s="1"/>
      <c r="PEZ1628" s="1"/>
      <c r="PFA1628" s="1"/>
      <c r="PFB1628" s="1"/>
      <c r="PFC1628" s="1"/>
      <c r="PFD1628" s="1"/>
      <c r="PFE1628" s="1"/>
      <c r="PFF1628" s="1"/>
      <c r="PFG1628" s="1"/>
      <c r="PFH1628" s="1"/>
      <c r="PFI1628" s="1"/>
      <c r="PFJ1628" s="1"/>
      <c r="PFK1628" s="1"/>
      <c r="PFL1628" s="1"/>
      <c r="PFM1628" s="1"/>
      <c r="PFN1628" s="1"/>
      <c r="PFO1628" s="1"/>
      <c r="PFP1628" s="1"/>
      <c r="PFQ1628" s="1"/>
      <c r="PFR1628" s="1"/>
      <c r="PFS1628" s="1"/>
      <c r="PFT1628" s="1"/>
      <c r="PFU1628" s="1"/>
      <c r="PFV1628" s="1"/>
      <c r="PFW1628" s="1"/>
      <c r="PFX1628" s="1"/>
      <c r="PFY1628" s="1"/>
      <c r="PFZ1628" s="1"/>
      <c r="PGA1628" s="1"/>
      <c r="PGB1628" s="1"/>
      <c r="PGC1628" s="1"/>
      <c r="PGD1628" s="1"/>
      <c r="PGE1628" s="1"/>
      <c r="PGF1628" s="1"/>
      <c r="PGG1628" s="1"/>
      <c r="PGH1628" s="1"/>
      <c r="PGI1628" s="1"/>
      <c r="PGJ1628" s="1"/>
      <c r="PGK1628" s="1"/>
      <c r="PGL1628" s="1"/>
      <c r="PGM1628" s="1"/>
      <c r="PGN1628" s="1"/>
      <c r="PGO1628" s="1"/>
      <c r="PGP1628" s="1"/>
      <c r="PGQ1628" s="1"/>
      <c r="PGR1628" s="1"/>
      <c r="PGS1628" s="1"/>
      <c r="PGT1628" s="1"/>
      <c r="PGU1628" s="1"/>
      <c r="PGV1628" s="1"/>
      <c r="PGW1628" s="1"/>
      <c r="PGX1628" s="1"/>
      <c r="PGY1628" s="1"/>
      <c r="PGZ1628" s="1"/>
      <c r="PHA1628" s="1"/>
      <c r="PHB1628" s="1"/>
      <c r="PHC1628" s="1"/>
      <c r="PHD1628" s="1"/>
      <c r="PHE1628" s="1"/>
      <c r="PHF1628" s="1"/>
      <c r="PHG1628" s="1"/>
      <c r="PHH1628" s="1"/>
      <c r="PHI1628" s="1"/>
      <c r="PHJ1628" s="1"/>
      <c r="PHK1628" s="1"/>
      <c r="PHL1628" s="1"/>
      <c r="PHM1628" s="1"/>
      <c r="PHN1628" s="1"/>
      <c r="PHO1628" s="1"/>
      <c r="PHP1628" s="1"/>
      <c r="PHQ1628" s="1"/>
      <c r="PHR1628" s="1"/>
      <c r="PHS1628" s="1"/>
      <c r="PHT1628" s="1"/>
      <c r="PHU1628" s="1"/>
      <c r="PHV1628" s="1"/>
      <c r="PHW1628" s="1"/>
      <c r="PHX1628" s="1"/>
      <c r="PHY1628" s="1"/>
      <c r="PHZ1628" s="1"/>
      <c r="PIA1628" s="1"/>
      <c r="PIB1628" s="1"/>
      <c r="PIC1628" s="1"/>
      <c r="PID1628" s="1"/>
      <c r="PIE1628" s="1"/>
      <c r="PIF1628" s="1"/>
      <c r="PIG1628" s="1"/>
      <c r="PIH1628" s="1"/>
      <c r="PII1628" s="1"/>
      <c r="PIJ1628" s="1"/>
      <c r="PIK1628" s="1"/>
      <c r="PIL1628" s="1"/>
      <c r="PIM1628" s="1"/>
      <c r="PIN1628" s="1"/>
      <c r="PIO1628" s="1"/>
      <c r="PIP1628" s="1"/>
      <c r="PIQ1628" s="1"/>
      <c r="PIR1628" s="1"/>
      <c r="PIS1628" s="1"/>
      <c r="PIT1628" s="1"/>
      <c r="PIU1628" s="1"/>
      <c r="PIV1628" s="1"/>
      <c r="PIW1628" s="1"/>
      <c r="PIX1628" s="1"/>
      <c r="PIY1628" s="1"/>
      <c r="PIZ1628" s="1"/>
      <c r="PJA1628" s="1"/>
      <c r="PJB1628" s="1"/>
      <c r="PJC1628" s="1"/>
      <c r="PJD1628" s="1"/>
      <c r="PJE1628" s="1"/>
      <c r="PJF1628" s="1"/>
      <c r="PJG1628" s="1"/>
      <c r="PJH1628" s="1"/>
      <c r="PJI1628" s="1"/>
      <c r="PJJ1628" s="1"/>
      <c r="PJK1628" s="1"/>
      <c r="PJL1628" s="1"/>
      <c r="PJM1628" s="1"/>
      <c r="PJN1628" s="1"/>
      <c r="PJO1628" s="1"/>
      <c r="PJP1628" s="1"/>
      <c r="PJQ1628" s="1"/>
      <c r="PJR1628" s="1"/>
      <c r="PJS1628" s="1"/>
      <c r="PJT1628" s="1"/>
      <c r="PJU1628" s="1"/>
      <c r="PJV1628" s="1"/>
      <c r="PJW1628" s="1"/>
      <c r="PJX1628" s="1"/>
      <c r="PJY1628" s="1"/>
      <c r="PJZ1628" s="1"/>
      <c r="PKA1628" s="1"/>
      <c r="PKB1628" s="1"/>
      <c r="PKC1628" s="1"/>
      <c r="PKD1628" s="1"/>
      <c r="PKE1628" s="1"/>
      <c r="PKF1628" s="1"/>
      <c r="PKG1628" s="1"/>
      <c r="PKH1628" s="1"/>
      <c r="PKI1628" s="1"/>
      <c r="PKJ1628" s="1"/>
      <c r="PKK1628" s="1"/>
      <c r="PKL1628" s="1"/>
      <c r="PKM1628" s="1"/>
      <c r="PKN1628" s="1"/>
      <c r="PKO1628" s="1"/>
      <c r="PKP1628" s="1"/>
      <c r="PKQ1628" s="1"/>
      <c r="PKR1628" s="1"/>
      <c r="PKS1628" s="1"/>
      <c r="PKT1628" s="1"/>
      <c r="PKU1628" s="1"/>
      <c r="PKV1628" s="1"/>
      <c r="PKW1628" s="1"/>
      <c r="PKX1628" s="1"/>
      <c r="PKY1628" s="1"/>
      <c r="PKZ1628" s="1"/>
      <c r="PLA1628" s="1"/>
      <c r="PLB1628" s="1"/>
      <c r="PLC1628" s="1"/>
      <c r="PLD1628" s="1"/>
      <c r="PLE1628" s="1"/>
      <c r="PLF1628" s="1"/>
      <c r="PLG1628" s="1"/>
      <c r="PLH1628" s="1"/>
      <c r="PLI1628" s="1"/>
      <c r="PLJ1628" s="1"/>
      <c r="PLK1628" s="1"/>
      <c r="PLL1628" s="1"/>
      <c r="PLM1628" s="1"/>
      <c r="PLN1628" s="1"/>
      <c r="PLO1628" s="1"/>
      <c r="PLP1628" s="1"/>
      <c r="PLQ1628" s="1"/>
      <c r="PLR1628" s="1"/>
      <c r="PLS1628" s="1"/>
      <c r="PLT1628" s="1"/>
      <c r="PLU1628" s="1"/>
      <c r="PLV1628" s="1"/>
      <c r="PLW1628" s="1"/>
      <c r="PLX1628" s="1"/>
      <c r="PLY1628" s="1"/>
      <c r="PLZ1628" s="1"/>
      <c r="PMA1628" s="1"/>
      <c r="PMB1628" s="1"/>
      <c r="PMC1628" s="1"/>
      <c r="PMD1628" s="1"/>
      <c r="PME1628" s="1"/>
      <c r="PMF1628" s="1"/>
      <c r="PMG1628" s="1"/>
      <c r="PMH1628" s="1"/>
      <c r="PMI1628" s="1"/>
      <c r="PMJ1628" s="1"/>
      <c r="PMK1628" s="1"/>
      <c r="PML1628" s="1"/>
      <c r="PMM1628" s="1"/>
      <c r="PMN1628" s="1"/>
      <c r="PMO1628" s="1"/>
      <c r="PMP1628" s="1"/>
      <c r="PMQ1628" s="1"/>
      <c r="PMR1628" s="1"/>
      <c r="PMS1628" s="1"/>
      <c r="PMT1628" s="1"/>
      <c r="PMU1628" s="1"/>
      <c r="PMV1628" s="1"/>
      <c r="PMW1628" s="1"/>
      <c r="PMX1628" s="1"/>
      <c r="PMY1628" s="1"/>
      <c r="PMZ1628" s="1"/>
      <c r="PNA1628" s="1"/>
      <c r="PNB1628" s="1"/>
      <c r="PNC1628" s="1"/>
      <c r="PND1628" s="1"/>
      <c r="PNE1628" s="1"/>
      <c r="PNF1628" s="1"/>
      <c r="PNG1628" s="1"/>
      <c r="PNH1628" s="1"/>
      <c r="PNI1628" s="1"/>
      <c r="PNJ1628" s="1"/>
      <c r="PNK1628" s="1"/>
      <c r="PNL1628" s="1"/>
      <c r="PNM1628" s="1"/>
      <c r="PNN1628" s="1"/>
      <c r="PNO1628" s="1"/>
      <c r="PNP1628" s="1"/>
      <c r="PNQ1628" s="1"/>
      <c r="PNR1628" s="1"/>
      <c r="PNS1628" s="1"/>
      <c r="PNT1628" s="1"/>
      <c r="PNU1628" s="1"/>
      <c r="PNV1628" s="1"/>
      <c r="PNW1628" s="1"/>
      <c r="PNX1628" s="1"/>
      <c r="PNY1628" s="1"/>
      <c r="PNZ1628" s="1"/>
      <c r="POA1628" s="1"/>
      <c r="POB1628" s="1"/>
      <c r="POC1628" s="1"/>
      <c r="POD1628" s="1"/>
      <c r="POE1628" s="1"/>
      <c r="POF1628" s="1"/>
      <c r="POG1628" s="1"/>
      <c r="POH1628" s="1"/>
      <c r="POI1628" s="1"/>
      <c r="POJ1628" s="1"/>
      <c r="POK1628" s="1"/>
      <c r="POL1628" s="1"/>
      <c r="POM1628" s="1"/>
      <c r="PON1628" s="1"/>
      <c r="POO1628" s="1"/>
      <c r="POP1628" s="1"/>
      <c r="POQ1628" s="1"/>
      <c r="POR1628" s="1"/>
      <c r="POS1628" s="1"/>
      <c r="POT1628" s="1"/>
      <c r="POU1628" s="1"/>
      <c r="POV1628" s="1"/>
      <c r="POW1628" s="1"/>
      <c r="POX1628" s="1"/>
      <c r="POY1628" s="1"/>
      <c r="POZ1628" s="1"/>
      <c r="PPA1628" s="1"/>
      <c r="PPB1628" s="1"/>
      <c r="PPC1628" s="1"/>
      <c r="PPD1628" s="1"/>
      <c r="PPE1628" s="1"/>
      <c r="PPF1628" s="1"/>
      <c r="PPG1628" s="1"/>
      <c r="PPH1628" s="1"/>
      <c r="PPI1628" s="1"/>
      <c r="PPJ1628" s="1"/>
      <c r="PPK1628" s="1"/>
      <c r="PPL1628" s="1"/>
      <c r="PPM1628" s="1"/>
      <c r="PPN1628" s="1"/>
      <c r="PPO1628" s="1"/>
      <c r="PPP1628" s="1"/>
      <c r="PPQ1628" s="1"/>
      <c r="PPR1628" s="1"/>
      <c r="PPS1628" s="1"/>
      <c r="PPT1628" s="1"/>
      <c r="PPU1628" s="1"/>
      <c r="PPV1628" s="1"/>
      <c r="PPW1628" s="1"/>
      <c r="PPX1628" s="1"/>
      <c r="PPY1628" s="1"/>
      <c r="PPZ1628" s="1"/>
      <c r="PQA1628" s="1"/>
      <c r="PQB1628" s="1"/>
      <c r="PQC1628" s="1"/>
      <c r="PQD1628" s="1"/>
      <c r="PQE1628" s="1"/>
      <c r="PQF1628" s="1"/>
      <c r="PQG1628" s="1"/>
      <c r="PQH1628" s="1"/>
      <c r="PQI1628" s="1"/>
      <c r="PQJ1628" s="1"/>
      <c r="PQK1628" s="1"/>
      <c r="PQL1628" s="1"/>
      <c r="PQM1628" s="1"/>
      <c r="PQN1628" s="1"/>
      <c r="PQO1628" s="1"/>
      <c r="PQP1628" s="1"/>
      <c r="PQQ1628" s="1"/>
      <c r="PQR1628" s="1"/>
      <c r="PQS1628" s="1"/>
      <c r="PQT1628" s="1"/>
      <c r="PQU1628" s="1"/>
      <c r="PQV1628" s="1"/>
      <c r="PQW1628" s="1"/>
      <c r="PQX1628" s="1"/>
      <c r="PQY1628" s="1"/>
      <c r="PQZ1628" s="1"/>
      <c r="PRA1628" s="1"/>
      <c r="PRB1628" s="1"/>
      <c r="PRC1628" s="1"/>
      <c r="PRD1628" s="1"/>
      <c r="PRE1628" s="1"/>
      <c r="PRF1628" s="1"/>
      <c r="PRG1628" s="1"/>
      <c r="PRH1628" s="1"/>
      <c r="PRI1628" s="1"/>
      <c r="PRJ1628" s="1"/>
      <c r="PRK1628" s="1"/>
      <c r="PRL1628" s="1"/>
      <c r="PRM1628" s="1"/>
      <c r="PRN1628" s="1"/>
      <c r="PRO1628" s="1"/>
      <c r="PRP1628" s="1"/>
      <c r="PRQ1628" s="1"/>
      <c r="PRR1628" s="1"/>
      <c r="PRS1628" s="1"/>
      <c r="PRT1628" s="1"/>
      <c r="PRU1628" s="1"/>
      <c r="PRV1628" s="1"/>
      <c r="PRW1628" s="1"/>
      <c r="PRX1628" s="1"/>
      <c r="PRY1628" s="1"/>
      <c r="PRZ1628" s="1"/>
      <c r="PSA1628" s="1"/>
      <c r="PSB1628" s="1"/>
      <c r="PSC1628" s="1"/>
      <c r="PSD1628" s="1"/>
      <c r="PSE1628" s="1"/>
      <c r="PSF1628" s="1"/>
      <c r="PSG1628" s="1"/>
      <c r="PSH1628" s="1"/>
      <c r="PSI1628" s="1"/>
      <c r="PSJ1628" s="1"/>
      <c r="PSK1628" s="1"/>
      <c r="PSL1628" s="1"/>
      <c r="PSM1628" s="1"/>
      <c r="PSN1628" s="1"/>
      <c r="PSO1628" s="1"/>
      <c r="PSP1628" s="1"/>
      <c r="PSQ1628" s="1"/>
      <c r="PSR1628" s="1"/>
      <c r="PSS1628" s="1"/>
      <c r="PST1628" s="1"/>
      <c r="PSU1628" s="1"/>
      <c r="PSV1628" s="1"/>
      <c r="PSW1628" s="1"/>
      <c r="PSX1628" s="1"/>
      <c r="PSY1628" s="1"/>
      <c r="PSZ1628" s="1"/>
      <c r="PTA1628" s="1"/>
      <c r="PTB1628" s="1"/>
      <c r="PTC1628" s="1"/>
      <c r="PTD1628" s="1"/>
      <c r="PTE1628" s="1"/>
      <c r="PTF1628" s="1"/>
      <c r="PTG1628" s="1"/>
      <c r="PTH1628" s="1"/>
      <c r="PTI1628" s="1"/>
      <c r="PTJ1628" s="1"/>
      <c r="PTK1628" s="1"/>
      <c r="PTL1628" s="1"/>
      <c r="PTM1628" s="1"/>
      <c r="PTN1628" s="1"/>
      <c r="PTO1628" s="1"/>
      <c r="PTP1628" s="1"/>
      <c r="PTQ1628" s="1"/>
      <c r="PTR1628" s="1"/>
      <c r="PTS1628" s="1"/>
      <c r="PTT1628" s="1"/>
      <c r="PTU1628" s="1"/>
      <c r="PTV1628" s="1"/>
      <c r="PTW1628" s="1"/>
      <c r="PTX1628" s="1"/>
      <c r="PTY1628" s="1"/>
      <c r="PTZ1628" s="1"/>
      <c r="PUA1628" s="1"/>
      <c r="PUB1628" s="1"/>
      <c r="PUC1628" s="1"/>
      <c r="PUD1628" s="1"/>
      <c r="PUE1628" s="1"/>
      <c r="PUF1628" s="1"/>
      <c r="PUG1628" s="1"/>
      <c r="PUH1628" s="1"/>
      <c r="PUI1628" s="1"/>
      <c r="PUJ1628" s="1"/>
      <c r="PUK1628" s="1"/>
      <c r="PUL1628" s="1"/>
      <c r="PUM1628" s="1"/>
      <c r="PUN1628" s="1"/>
      <c r="PUO1628" s="1"/>
      <c r="PUP1628" s="1"/>
      <c r="PUQ1628" s="1"/>
      <c r="PUR1628" s="1"/>
      <c r="PUS1628" s="1"/>
      <c r="PUT1628" s="1"/>
      <c r="PUU1628" s="1"/>
      <c r="PUV1628" s="1"/>
      <c r="PUW1628" s="1"/>
      <c r="PUX1628" s="1"/>
      <c r="PUY1628" s="1"/>
      <c r="PUZ1628" s="1"/>
      <c r="PVA1628" s="1"/>
      <c r="PVB1628" s="1"/>
      <c r="PVC1628" s="1"/>
      <c r="PVD1628" s="1"/>
      <c r="PVE1628" s="1"/>
      <c r="PVF1628" s="1"/>
      <c r="PVG1628" s="1"/>
      <c r="PVH1628" s="1"/>
      <c r="PVI1628" s="1"/>
      <c r="PVJ1628" s="1"/>
      <c r="PVK1628" s="1"/>
      <c r="PVL1628" s="1"/>
      <c r="PVM1628" s="1"/>
      <c r="PVN1628" s="1"/>
      <c r="PVO1628" s="1"/>
      <c r="PVP1628" s="1"/>
      <c r="PVQ1628" s="1"/>
      <c r="PVR1628" s="1"/>
      <c r="PVS1628" s="1"/>
      <c r="PVT1628" s="1"/>
      <c r="PVU1628" s="1"/>
      <c r="PVV1628" s="1"/>
      <c r="PVW1628" s="1"/>
      <c r="PVX1628" s="1"/>
      <c r="PVY1628" s="1"/>
      <c r="PVZ1628" s="1"/>
      <c r="PWA1628" s="1"/>
      <c r="PWB1628" s="1"/>
      <c r="PWC1628" s="1"/>
      <c r="PWD1628" s="1"/>
      <c r="PWE1628" s="1"/>
      <c r="PWF1628" s="1"/>
      <c r="PWG1628" s="1"/>
      <c r="PWH1628" s="1"/>
      <c r="PWI1628" s="1"/>
      <c r="PWJ1628" s="1"/>
      <c r="PWK1628" s="1"/>
      <c r="PWL1628" s="1"/>
      <c r="PWM1628" s="1"/>
      <c r="PWN1628" s="1"/>
      <c r="PWO1628" s="1"/>
      <c r="PWP1628" s="1"/>
      <c r="PWQ1628" s="1"/>
      <c r="PWR1628" s="1"/>
      <c r="PWS1628" s="1"/>
      <c r="PWT1628" s="1"/>
      <c r="PWU1628" s="1"/>
      <c r="PWV1628" s="1"/>
      <c r="PWW1628" s="1"/>
      <c r="PWX1628" s="1"/>
      <c r="PWY1628" s="1"/>
      <c r="PWZ1628" s="1"/>
      <c r="PXA1628" s="1"/>
      <c r="PXB1628" s="1"/>
      <c r="PXC1628" s="1"/>
      <c r="PXD1628" s="1"/>
      <c r="PXE1628" s="1"/>
      <c r="PXF1628" s="1"/>
      <c r="PXG1628" s="1"/>
      <c r="PXH1628" s="1"/>
      <c r="PXI1628" s="1"/>
      <c r="PXJ1628" s="1"/>
      <c r="PXK1628" s="1"/>
      <c r="PXL1628" s="1"/>
      <c r="PXM1628" s="1"/>
      <c r="PXN1628" s="1"/>
      <c r="PXO1628" s="1"/>
      <c r="PXP1628" s="1"/>
      <c r="PXQ1628" s="1"/>
      <c r="PXR1628" s="1"/>
      <c r="PXS1628" s="1"/>
      <c r="PXT1628" s="1"/>
      <c r="PXU1628" s="1"/>
      <c r="PXV1628" s="1"/>
      <c r="PXW1628" s="1"/>
      <c r="PXX1628" s="1"/>
      <c r="PXY1628" s="1"/>
      <c r="PXZ1628" s="1"/>
      <c r="PYA1628" s="1"/>
      <c r="PYB1628" s="1"/>
      <c r="PYC1628" s="1"/>
      <c r="PYD1628" s="1"/>
      <c r="PYE1628" s="1"/>
      <c r="PYF1628" s="1"/>
      <c r="PYG1628" s="1"/>
      <c r="PYH1628" s="1"/>
      <c r="PYI1628" s="1"/>
      <c r="PYJ1628" s="1"/>
      <c r="PYK1628" s="1"/>
      <c r="PYL1628" s="1"/>
      <c r="PYM1628" s="1"/>
      <c r="PYN1628" s="1"/>
      <c r="PYO1628" s="1"/>
      <c r="PYP1628" s="1"/>
      <c r="PYQ1628" s="1"/>
      <c r="PYR1628" s="1"/>
      <c r="PYS1628" s="1"/>
      <c r="PYT1628" s="1"/>
      <c r="PYU1628" s="1"/>
      <c r="PYV1628" s="1"/>
      <c r="PYW1628" s="1"/>
      <c r="PYX1628" s="1"/>
      <c r="PYY1628" s="1"/>
      <c r="PYZ1628" s="1"/>
      <c r="PZA1628" s="1"/>
      <c r="PZB1628" s="1"/>
      <c r="PZC1628" s="1"/>
      <c r="PZD1628" s="1"/>
      <c r="PZE1628" s="1"/>
      <c r="PZF1628" s="1"/>
      <c r="PZG1628" s="1"/>
      <c r="PZH1628" s="1"/>
      <c r="PZI1628" s="1"/>
      <c r="PZJ1628" s="1"/>
      <c r="PZK1628" s="1"/>
      <c r="PZL1628" s="1"/>
      <c r="PZM1628" s="1"/>
      <c r="PZN1628" s="1"/>
      <c r="PZO1628" s="1"/>
      <c r="PZP1628" s="1"/>
      <c r="PZQ1628" s="1"/>
      <c r="PZR1628" s="1"/>
      <c r="PZS1628" s="1"/>
      <c r="PZT1628" s="1"/>
      <c r="PZU1628" s="1"/>
      <c r="PZV1628" s="1"/>
      <c r="PZW1628" s="1"/>
      <c r="PZX1628" s="1"/>
      <c r="PZY1628" s="1"/>
      <c r="PZZ1628" s="1"/>
      <c r="QAA1628" s="1"/>
      <c r="QAB1628" s="1"/>
      <c r="QAC1628" s="1"/>
      <c r="QAD1628" s="1"/>
      <c r="QAE1628" s="1"/>
      <c r="QAF1628" s="1"/>
      <c r="QAG1628" s="1"/>
      <c r="QAH1628" s="1"/>
      <c r="QAI1628" s="1"/>
      <c r="QAJ1628" s="1"/>
      <c r="QAK1628" s="1"/>
      <c r="QAL1628" s="1"/>
      <c r="QAM1628" s="1"/>
      <c r="QAN1628" s="1"/>
      <c r="QAO1628" s="1"/>
      <c r="QAP1628" s="1"/>
      <c r="QAQ1628" s="1"/>
      <c r="QAR1628" s="1"/>
      <c r="QAS1628" s="1"/>
      <c r="QAT1628" s="1"/>
      <c r="QAU1628" s="1"/>
      <c r="QAV1628" s="1"/>
      <c r="QAW1628" s="1"/>
      <c r="QAX1628" s="1"/>
      <c r="QAY1628" s="1"/>
      <c r="QAZ1628" s="1"/>
      <c r="QBA1628" s="1"/>
      <c r="QBB1628" s="1"/>
      <c r="QBC1628" s="1"/>
      <c r="QBD1628" s="1"/>
      <c r="QBE1628" s="1"/>
      <c r="QBF1628" s="1"/>
      <c r="QBG1628" s="1"/>
      <c r="QBH1628" s="1"/>
      <c r="QBI1628" s="1"/>
      <c r="QBJ1628" s="1"/>
      <c r="QBK1628" s="1"/>
      <c r="QBL1628" s="1"/>
      <c r="QBM1628" s="1"/>
      <c r="QBN1628" s="1"/>
      <c r="QBO1628" s="1"/>
      <c r="QBP1628" s="1"/>
      <c r="QBQ1628" s="1"/>
      <c r="QBR1628" s="1"/>
      <c r="QBS1628" s="1"/>
      <c r="QBT1628" s="1"/>
      <c r="QBU1628" s="1"/>
      <c r="QBV1628" s="1"/>
      <c r="QBW1628" s="1"/>
      <c r="QBX1628" s="1"/>
      <c r="QBY1628" s="1"/>
      <c r="QBZ1628" s="1"/>
      <c r="QCA1628" s="1"/>
      <c r="QCB1628" s="1"/>
      <c r="QCC1628" s="1"/>
      <c r="QCD1628" s="1"/>
      <c r="QCE1628" s="1"/>
      <c r="QCF1628" s="1"/>
      <c r="QCG1628" s="1"/>
      <c r="QCH1628" s="1"/>
      <c r="QCI1628" s="1"/>
      <c r="QCJ1628" s="1"/>
      <c r="QCK1628" s="1"/>
      <c r="QCL1628" s="1"/>
      <c r="QCM1628" s="1"/>
      <c r="QCN1628" s="1"/>
      <c r="QCO1628" s="1"/>
      <c r="QCP1628" s="1"/>
      <c r="QCQ1628" s="1"/>
      <c r="QCR1628" s="1"/>
      <c r="QCS1628" s="1"/>
      <c r="QCT1628" s="1"/>
      <c r="QCU1628" s="1"/>
      <c r="QCV1628" s="1"/>
      <c r="QCW1628" s="1"/>
      <c r="QCX1628" s="1"/>
      <c r="QCY1628" s="1"/>
      <c r="QCZ1628" s="1"/>
      <c r="QDA1628" s="1"/>
      <c r="QDB1628" s="1"/>
      <c r="QDC1628" s="1"/>
      <c r="QDD1628" s="1"/>
      <c r="QDE1628" s="1"/>
      <c r="QDF1628" s="1"/>
      <c r="QDG1628" s="1"/>
      <c r="QDH1628" s="1"/>
      <c r="QDI1628" s="1"/>
      <c r="QDJ1628" s="1"/>
      <c r="QDK1628" s="1"/>
      <c r="QDL1628" s="1"/>
      <c r="QDM1628" s="1"/>
      <c r="QDN1628" s="1"/>
      <c r="QDO1628" s="1"/>
      <c r="QDP1628" s="1"/>
      <c r="QDQ1628" s="1"/>
      <c r="QDR1628" s="1"/>
      <c r="QDS1628" s="1"/>
      <c r="QDT1628" s="1"/>
      <c r="QDU1628" s="1"/>
      <c r="QDV1628" s="1"/>
      <c r="QDW1628" s="1"/>
      <c r="QDX1628" s="1"/>
      <c r="QDY1628" s="1"/>
      <c r="QDZ1628" s="1"/>
      <c r="QEA1628" s="1"/>
      <c r="QEB1628" s="1"/>
      <c r="QEC1628" s="1"/>
      <c r="QED1628" s="1"/>
      <c r="QEE1628" s="1"/>
      <c r="QEF1628" s="1"/>
      <c r="QEG1628" s="1"/>
      <c r="QEH1628" s="1"/>
      <c r="QEI1628" s="1"/>
      <c r="QEJ1628" s="1"/>
      <c r="QEK1628" s="1"/>
      <c r="QEL1628" s="1"/>
      <c r="QEM1628" s="1"/>
      <c r="QEN1628" s="1"/>
      <c r="QEO1628" s="1"/>
      <c r="QEP1628" s="1"/>
      <c r="QEQ1628" s="1"/>
      <c r="QER1628" s="1"/>
      <c r="QES1628" s="1"/>
      <c r="QET1628" s="1"/>
      <c r="QEU1628" s="1"/>
      <c r="QEV1628" s="1"/>
      <c r="QEW1628" s="1"/>
      <c r="QEX1628" s="1"/>
      <c r="QEY1628" s="1"/>
      <c r="QEZ1628" s="1"/>
      <c r="QFA1628" s="1"/>
      <c r="QFB1628" s="1"/>
      <c r="QFC1628" s="1"/>
      <c r="QFD1628" s="1"/>
      <c r="QFE1628" s="1"/>
      <c r="QFF1628" s="1"/>
      <c r="QFG1628" s="1"/>
      <c r="QFH1628" s="1"/>
      <c r="QFI1628" s="1"/>
      <c r="QFJ1628" s="1"/>
      <c r="QFK1628" s="1"/>
      <c r="QFL1628" s="1"/>
      <c r="QFM1628" s="1"/>
      <c r="QFN1628" s="1"/>
      <c r="QFO1628" s="1"/>
      <c r="QFP1628" s="1"/>
      <c r="QFQ1628" s="1"/>
      <c r="QFR1628" s="1"/>
      <c r="QFS1628" s="1"/>
      <c r="QFT1628" s="1"/>
      <c r="QFU1628" s="1"/>
      <c r="QFV1628" s="1"/>
      <c r="QFW1628" s="1"/>
      <c r="QFX1628" s="1"/>
      <c r="QFY1628" s="1"/>
      <c r="QFZ1628" s="1"/>
      <c r="QGA1628" s="1"/>
      <c r="QGB1628" s="1"/>
      <c r="QGC1628" s="1"/>
      <c r="QGD1628" s="1"/>
      <c r="QGE1628" s="1"/>
      <c r="QGF1628" s="1"/>
      <c r="QGG1628" s="1"/>
      <c r="QGH1628" s="1"/>
      <c r="QGI1628" s="1"/>
      <c r="QGJ1628" s="1"/>
      <c r="QGK1628" s="1"/>
      <c r="QGL1628" s="1"/>
      <c r="QGM1628" s="1"/>
      <c r="QGN1628" s="1"/>
      <c r="QGO1628" s="1"/>
      <c r="QGP1628" s="1"/>
      <c r="QGQ1628" s="1"/>
      <c r="QGR1628" s="1"/>
      <c r="QGS1628" s="1"/>
      <c r="QGT1628" s="1"/>
      <c r="QGU1628" s="1"/>
      <c r="QGV1628" s="1"/>
      <c r="QGW1628" s="1"/>
      <c r="QGX1628" s="1"/>
      <c r="QGY1628" s="1"/>
      <c r="QGZ1628" s="1"/>
      <c r="QHA1628" s="1"/>
      <c r="QHB1628" s="1"/>
      <c r="QHC1628" s="1"/>
      <c r="QHD1628" s="1"/>
      <c r="QHE1628" s="1"/>
      <c r="QHF1628" s="1"/>
      <c r="QHG1628" s="1"/>
      <c r="QHH1628" s="1"/>
      <c r="QHI1628" s="1"/>
      <c r="QHJ1628" s="1"/>
      <c r="QHK1628" s="1"/>
      <c r="QHL1628" s="1"/>
      <c r="QHM1628" s="1"/>
      <c r="QHN1628" s="1"/>
      <c r="QHO1628" s="1"/>
      <c r="QHP1628" s="1"/>
      <c r="QHQ1628" s="1"/>
      <c r="QHR1628" s="1"/>
      <c r="QHS1628" s="1"/>
      <c r="QHT1628" s="1"/>
      <c r="QHU1628" s="1"/>
      <c r="QHV1628" s="1"/>
      <c r="QHW1628" s="1"/>
      <c r="QHX1628" s="1"/>
      <c r="QHY1628" s="1"/>
      <c r="QHZ1628" s="1"/>
      <c r="QIA1628" s="1"/>
      <c r="QIB1628" s="1"/>
      <c r="QIC1628" s="1"/>
      <c r="QID1628" s="1"/>
      <c r="QIE1628" s="1"/>
      <c r="QIF1628" s="1"/>
      <c r="QIG1628" s="1"/>
      <c r="QIH1628" s="1"/>
      <c r="QII1628" s="1"/>
      <c r="QIJ1628" s="1"/>
      <c r="QIK1628" s="1"/>
      <c r="QIL1628" s="1"/>
      <c r="QIM1628" s="1"/>
      <c r="QIN1628" s="1"/>
      <c r="QIO1628" s="1"/>
      <c r="QIP1628" s="1"/>
      <c r="QIQ1628" s="1"/>
      <c r="QIR1628" s="1"/>
      <c r="QIS1628" s="1"/>
      <c r="QIT1628" s="1"/>
      <c r="QIU1628" s="1"/>
      <c r="QIV1628" s="1"/>
      <c r="QIW1628" s="1"/>
      <c r="QIX1628" s="1"/>
      <c r="QIY1628" s="1"/>
      <c r="QIZ1628" s="1"/>
      <c r="QJA1628" s="1"/>
      <c r="QJB1628" s="1"/>
      <c r="QJC1628" s="1"/>
      <c r="QJD1628" s="1"/>
      <c r="QJE1628" s="1"/>
      <c r="QJF1628" s="1"/>
      <c r="QJG1628" s="1"/>
      <c r="QJH1628" s="1"/>
      <c r="QJI1628" s="1"/>
      <c r="QJJ1628" s="1"/>
      <c r="QJK1628" s="1"/>
      <c r="QJL1628" s="1"/>
      <c r="QJM1628" s="1"/>
      <c r="QJN1628" s="1"/>
      <c r="QJO1628" s="1"/>
      <c r="QJP1628" s="1"/>
      <c r="QJQ1628" s="1"/>
      <c r="QJR1628" s="1"/>
      <c r="QJS1628" s="1"/>
      <c r="QJT1628" s="1"/>
      <c r="QJU1628" s="1"/>
      <c r="QJV1628" s="1"/>
      <c r="QJW1628" s="1"/>
      <c r="QJX1628" s="1"/>
      <c r="QJY1628" s="1"/>
      <c r="QJZ1628" s="1"/>
      <c r="QKA1628" s="1"/>
      <c r="QKB1628" s="1"/>
      <c r="QKC1628" s="1"/>
      <c r="QKD1628" s="1"/>
      <c r="QKE1628" s="1"/>
      <c r="QKF1628" s="1"/>
      <c r="QKG1628" s="1"/>
      <c r="QKH1628" s="1"/>
      <c r="QKI1628" s="1"/>
      <c r="QKJ1628" s="1"/>
      <c r="QKK1628" s="1"/>
      <c r="QKL1628" s="1"/>
      <c r="QKM1628" s="1"/>
      <c r="QKN1628" s="1"/>
      <c r="QKO1628" s="1"/>
      <c r="QKP1628" s="1"/>
      <c r="QKQ1628" s="1"/>
      <c r="QKR1628" s="1"/>
      <c r="QKS1628" s="1"/>
      <c r="QKT1628" s="1"/>
      <c r="QKU1628" s="1"/>
      <c r="QKV1628" s="1"/>
      <c r="QKW1628" s="1"/>
      <c r="QKX1628" s="1"/>
      <c r="QKY1628" s="1"/>
      <c r="QKZ1628" s="1"/>
      <c r="QLA1628" s="1"/>
      <c r="QLB1628" s="1"/>
      <c r="QLC1628" s="1"/>
      <c r="QLD1628" s="1"/>
      <c r="QLE1628" s="1"/>
      <c r="QLF1628" s="1"/>
      <c r="QLG1628" s="1"/>
      <c r="QLH1628" s="1"/>
      <c r="QLI1628" s="1"/>
      <c r="QLJ1628" s="1"/>
      <c r="QLK1628" s="1"/>
      <c r="QLL1628" s="1"/>
      <c r="QLM1628" s="1"/>
      <c r="QLN1628" s="1"/>
      <c r="QLO1628" s="1"/>
      <c r="QLP1628" s="1"/>
      <c r="QLQ1628" s="1"/>
      <c r="QLR1628" s="1"/>
      <c r="QLS1628" s="1"/>
      <c r="QLT1628" s="1"/>
      <c r="QLU1628" s="1"/>
      <c r="QLV1628" s="1"/>
      <c r="QLW1628" s="1"/>
      <c r="QLX1628" s="1"/>
      <c r="QLY1628" s="1"/>
      <c r="QLZ1628" s="1"/>
      <c r="QMA1628" s="1"/>
      <c r="QMB1628" s="1"/>
      <c r="QMC1628" s="1"/>
      <c r="QMD1628" s="1"/>
      <c r="QME1628" s="1"/>
      <c r="QMF1628" s="1"/>
      <c r="QMG1628" s="1"/>
      <c r="QMH1628" s="1"/>
      <c r="QMI1628" s="1"/>
      <c r="QMJ1628" s="1"/>
      <c r="QMK1628" s="1"/>
      <c r="QML1628" s="1"/>
      <c r="QMM1628" s="1"/>
      <c r="QMN1628" s="1"/>
      <c r="QMO1628" s="1"/>
      <c r="QMP1628" s="1"/>
      <c r="QMQ1628" s="1"/>
      <c r="QMR1628" s="1"/>
      <c r="QMS1628" s="1"/>
      <c r="QMT1628" s="1"/>
      <c r="QMU1628" s="1"/>
      <c r="QMV1628" s="1"/>
      <c r="QMW1628" s="1"/>
      <c r="QMX1628" s="1"/>
      <c r="QMY1628" s="1"/>
      <c r="QMZ1628" s="1"/>
      <c r="QNA1628" s="1"/>
      <c r="QNB1628" s="1"/>
      <c r="QNC1628" s="1"/>
      <c r="QND1628" s="1"/>
      <c r="QNE1628" s="1"/>
      <c r="QNF1628" s="1"/>
      <c r="QNG1628" s="1"/>
      <c r="QNH1628" s="1"/>
      <c r="QNI1628" s="1"/>
      <c r="QNJ1628" s="1"/>
      <c r="QNK1628" s="1"/>
      <c r="QNL1628" s="1"/>
      <c r="QNM1628" s="1"/>
      <c r="QNN1628" s="1"/>
      <c r="QNO1628" s="1"/>
      <c r="QNP1628" s="1"/>
      <c r="QNQ1628" s="1"/>
      <c r="QNR1628" s="1"/>
      <c r="QNS1628" s="1"/>
      <c r="QNT1628" s="1"/>
      <c r="QNU1628" s="1"/>
      <c r="QNV1628" s="1"/>
      <c r="QNW1628" s="1"/>
      <c r="QNX1628" s="1"/>
      <c r="QNY1628" s="1"/>
      <c r="QNZ1628" s="1"/>
      <c r="QOA1628" s="1"/>
      <c r="QOB1628" s="1"/>
      <c r="QOC1628" s="1"/>
      <c r="QOD1628" s="1"/>
      <c r="QOE1628" s="1"/>
      <c r="QOF1628" s="1"/>
      <c r="QOG1628" s="1"/>
      <c r="QOH1628" s="1"/>
      <c r="QOI1628" s="1"/>
      <c r="QOJ1628" s="1"/>
      <c r="QOK1628" s="1"/>
      <c r="QOL1628" s="1"/>
      <c r="QOM1628" s="1"/>
      <c r="QON1628" s="1"/>
      <c r="QOO1628" s="1"/>
      <c r="QOP1628" s="1"/>
      <c r="QOQ1628" s="1"/>
      <c r="QOR1628" s="1"/>
      <c r="QOS1628" s="1"/>
      <c r="QOT1628" s="1"/>
      <c r="QOU1628" s="1"/>
      <c r="QOV1628" s="1"/>
      <c r="QOW1628" s="1"/>
      <c r="QOX1628" s="1"/>
      <c r="QOY1628" s="1"/>
      <c r="QOZ1628" s="1"/>
      <c r="QPA1628" s="1"/>
      <c r="QPB1628" s="1"/>
      <c r="QPC1628" s="1"/>
      <c r="QPD1628" s="1"/>
      <c r="QPE1628" s="1"/>
      <c r="QPF1628" s="1"/>
      <c r="QPG1628" s="1"/>
      <c r="QPH1628" s="1"/>
      <c r="QPI1628" s="1"/>
      <c r="QPJ1628" s="1"/>
      <c r="QPK1628" s="1"/>
      <c r="QPL1628" s="1"/>
      <c r="QPM1628" s="1"/>
      <c r="QPN1628" s="1"/>
      <c r="QPO1628" s="1"/>
      <c r="QPP1628" s="1"/>
      <c r="QPQ1628" s="1"/>
      <c r="QPR1628" s="1"/>
      <c r="QPS1628" s="1"/>
      <c r="QPT1628" s="1"/>
      <c r="QPU1628" s="1"/>
      <c r="QPV1628" s="1"/>
      <c r="QPW1628" s="1"/>
      <c r="QPX1628" s="1"/>
      <c r="QPY1628" s="1"/>
      <c r="QPZ1628" s="1"/>
      <c r="QQA1628" s="1"/>
      <c r="QQB1628" s="1"/>
      <c r="QQC1628" s="1"/>
      <c r="QQD1628" s="1"/>
      <c r="QQE1628" s="1"/>
      <c r="QQF1628" s="1"/>
      <c r="QQG1628" s="1"/>
      <c r="QQH1628" s="1"/>
      <c r="QQI1628" s="1"/>
      <c r="QQJ1628" s="1"/>
      <c r="QQK1628" s="1"/>
      <c r="QQL1628" s="1"/>
      <c r="QQM1628" s="1"/>
      <c r="QQN1628" s="1"/>
      <c r="QQO1628" s="1"/>
      <c r="QQP1628" s="1"/>
      <c r="QQQ1628" s="1"/>
      <c r="QQR1628" s="1"/>
      <c r="QQS1628" s="1"/>
      <c r="QQT1628" s="1"/>
      <c r="QQU1628" s="1"/>
      <c r="QQV1628" s="1"/>
      <c r="QQW1628" s="1"/>
      <c r="QQX1628" s="1"/>
      <c r="QQY1628" s="1"/>
      <c r="QQZ1628" s="1"/>
      <c r="QRA1628" s="1"/>
      <c r="QRB1628" s="1"/>
      <c r="QRC1628" s="1"/>
      <c r="QRD1628" s="1"/>
      <c r="QRE1628" s="1"/>
      <c r="QRF1628" s="1"/>
      <c r="QRG1628" s="1"/>
      <c r="QRH1628" s="1"/>
      <c r="QRI1628" s="1"/>
      <c r="QRJ1628" s="1"/>
      <c r="QRK1628" s="1"/>
      <c r="QRL1628" s="1"/>
      <c r="QRM1628" s="1"/>
      <c r="QRN1628" s="1"/>
      <c r="QRO1628" s="1"/>
      <c r="QRP1628" s="1"/>
      <c r="QRQ1628" s="1"/>
      <c r="QRR1628" s="1"/>
      <c r="QRS1628" s="1"/>
      <c r="QRT1628" s="1"/>
      <c r="QRU1628" s="1"/>
      <c r="QRV1628" s="1"/>
      <c r="QRW1628" s="1"/>
      <c r="QRX1628" s="1"/>
      <c r="QRY1628" s="1"/>
      <c r="QRZ1628" s="1"/>
      <c r="QSA1628" s="1"/>
      <c r="QSB1628" s="1"/>
      <c r="QSC1628" s="1"/>
      <c r="QSD1628" s="1"/>
      <c r="QSE1628" s="1"/>
      <c r="QSF1628" s="1"/>
      <c r="QSG1628" s="1"/>
      <c r="QSH1628" s="1"/>
      <c r="QSI1628" s="1"/>
      <c r="QSJ1628" s="1"/>
      <c r="QSK1628" s="1"/>
      <c r="QSL1628" s="1"/>
      <c r="QSM1628" s="1"/>
      <c r="QSN1628" s="1"/>
      <c r="QSO1628" s="1"/>
      <c r="QSP1628" s="1"/>
      <c r="QSQ1628" s="1"/>
      <c r="QSR1628" s="1"/>
      <c r="QSS1628" s="1"/>
      <c r="QST1628" s="1"/>
      <c r="QSU1628" s="1"/>
      <c r="QSV1628" s="1"/>
      <c r="QSW1628" s="1"/>
      <c r="QSX1628" s="1"/>
      <c r="QSY1628" s="1"/>
      <c r="QSZ1628" s="1"/>
      <c r="QTA1628" s="1"/>
      <c r="QTB1628" s="1"/>
      <c r="QTC1628" s="1"/>
      <c r="QTD1628" s="1"/>
      <c r="QTE1628" s="1"/>
      <c r="QTF1628" s="1"/>
      <c r="QTG1628" s="1"/>
      <c r="QTH1628" s="1"/>
      <c r="QTI1628" s="1"/>
      <c r="QTJ1628" s="1"/>
      <c r="QTK1628" s="1"/>
      <c r="QTL1628" s="1"/>
      <c r="QTM1628" s="1"/>
      <c r="QTN1628" s="1"/>
      <c r="QTO1628" s="1"/>
      <c r="QTP1628" s="1"/>
      <c r="QTQ1628" s="1"/>
      <c r="QTR1628" s="1"/>
      <c r="QTS1628" s="1"/>
      <c r="QTT1628" s="1"/>
      <c r="QTU1628" s="1"/>
      <c r="QTV1628" s="1"/>
      <c r="QTW1628" s="1"/>
      <c r="QTX1628" s="1"/>
      <c r="QTY1628" s="1"/>
      <c r="QTZ1628" s="1"/>
      <c r="QUA1628" s="1"/>
      <c r="QUB1628" s="1"/>
      <c r="QUC1628" s="1"/>
      <c r="QUD1628" s="1"/>
      <c r="QUE1628" s="1"/>
      <c r="QUF1628" s="1"/>
      <c r="QUG1628" s="1"/>
      <c r="QUH1628" s="1"/>
      <c r="QUI1628" s="1"/>
      <c r="QUJ1628" s="1"/>
      <c r="QUK1628" s="1"/>
      <c r="QUL1628" s="1"/>
      <c r="QUM1628" s="1"/>
      <c r="QUN1628" s="1"/>
      <c r="QUO1628" s="1"/>
      <c r="QUP1628" s="1"/>
      <c r="QUQ1628" s="1"/>
      <c r="QUR1628" s="1"/>
      <c r="QUS1628" s="1"/>
      <c r="QUT1628" s="1"/>
      <c r="QUU1628" s="1"/>
      <c r="QUV1628" s="1"/>
      <c r="QUW1628" s="1"/>
      <c r="QUX1628" s="1"/>
      <c r="QUY1628" s="1"/>
      <c r="QUZ1628" s="1"/>
      <c r="QVA1628" s="1"/>
      <c r="QVB1628" s="1"/>
      <c r="QVC1628" s="1"/>
      <c r="QVD1628" s="1"/>
      <c r="QVE1628" s="1"/>
      <c r="QVF1628" s="1"/>
      <c r="QVG1628" s="1"/>
      <c r="QVH1628" s="1"/>
      <c r="QVI1628" s="1"/>
      <c r="QVJ1628" s="1"/>
      <c r="QVK1628" s="1"/>
      <c r="QVL1628" s="1"/>
      <c r="QVM1628" s="1"/>
      <c r="QVN1628" s="1"/>
      <c r="QVO1628" s="1"/>
      <c r="QVP1628" s="1"/>
      <c r="QVQ1628" s="1"/>
      <c r="QVR1628" s="1"/>
      <c r="QVS1628" s="1"/>
      <c r="QVT1628" s="1"/>
      <c r="QVU1628" s="1"/>
      <c r="QVV1628" s="1"/>
      <c r="QVW1628" s="1"/>
      <c r="QVX1628" s="1"/>
      <c r="QVY1628" s="1"/>
      <c r="QVZ1628" s="1"/>
      <c r="QWA1628" s="1"/>
      <c r="QWB1628" s="1"/>
      <c r="QWC1628" s="1"/>
      <c r="QWD1628" s="1"/>
      <c r="QWE1628" s="1"/>
      <c r="QWF1628" s="1"/>
      <c r="QWG1628" s="1"/>
      <c r="QWH1628" s="1"/>
      <c r="QWI1628" s="1"/>
      <c r="QWJ1628" s="1"/>
      <c r="QWK1628" s="1"/>
      <c r="QWL1628" s="1"/>
      <c r="QWM1628" s="1"/>
      <c r="QWN1628" s="1"/>
      <c r="QWO1628" s="1"/>
      <c r="QWP1628" s="1"/>
      <c r="QWQ1628" s="1"/>
      <c r="QWR1628" s="1"/>
      <c r="QWS1628" s="1"/>
      <c r="QWT1628" s="1"/>
      <c r="QWU1628" s="1"/>
      <c r="QWV1628" s="1"/>
      <c r="QWW1628" s="1"/>
      <c r="QWX1628" s="1"/>
      <c r="QWY1628" s="1"/>
      <c r="QWZ1628" s="1"/>
      <c r="QXA1628" s="1"/>
      <c r="QXB1628" s="1"/>
      <c r="QXC1628" s="1"/>
      <c r="QXD1628" s="1"/>
      <c r="QXE1628" s="1"/>
      <c r="QXF1628" s="1"/>
      <c r="QXG1628" s="1"/>
      <c r="QXH1628" s="1"/>
      <c r="QXI1628" s="1"/>
      <c r="QXJ1628" s="1"/>
      <c r="QXK1628" s="1"/>
      <c r="QXL1628" s="1"/>
      <c r="QXM1628" s="1"/>
      <c r="QXN1628" s="1"/>
      <c r="QXO1628" s="1"/>
      <c r="QXP1628" s="1"/>
      <c r="QXQ1628" s="1"/>
      <c r="QXR1628" s="1"/>
      <c r="QXS1628" s="1"/>
      <c r="QXT1628" s="1"/>
      <c r="QXU1628" s="1"/>
      <c r="QXV1628" s="1"/>
      <c r="QXW1628" s="1"/>
      <c r="QXX1628" s="1"/>
      <c r="QXY1628" s="1"/>
      <c r="QXZ1628" s="1"/>
      <c r="QYA1628" s="1"/>
      <c r="QYB1628" s="1"/>
      <c r="QYC1628" s="1"/>
      <c r="QYD1628" s="1"/>
      <c r="QYE1628" s="1"/>
      <c r="QYF1628" s="1"/>
      <c r="QYG1628" s="1"/>
      <c r="QYH1628" s="1"/>
      <c r="QYI1628" s="1"/>
      <c r="QYJ1628" s="1"/>
      <c r="QYK1628" s="1"/>
      <c r="QYL1628" s="1"/>
      <c r="QYM1628" s="1"/>
      <c r="QYN1628" s="1"/>
      <c r="QYO1628" s="1"/>
      <c r="QYP1628" s="1"/>
      <c r="QYQ1628" s="1"/>
      <c r="QYR1628" s="1"/>
      <c r="QYS1628" s="1"/>
      <c r="QYT1628" s="1"/>
      <c r="QYU1628" s="1"/>
      <c r="QYV1628" s="1"/>
      <c r="QYW1628" s="1"/>
      <c r="QYX1628" s="1"/>
      <c r="QYY1628" s="1"/>
      <c r="QYZ1628" s="1"/>
      <c r="QZA1628" s="1"/>
      <c r="QZB1628" s="1"/>
      <c r="QZC1628" s="1"/>
      <c r="QZD1628" s="1"/>
      <c r="QZE1628" s="1"/>
      <c r="QZF1628" s="1"/>
      <c r="QZG1628" s="1"/>
      <c r="QZH1628" s="1"/>
      <c r="QZI1628" s="1"/>
      <c r="QZJ1628" s="1"/>
      <c r="QZK1628" s="1"/>
      <c r="QZL1628" s="1"/>
      <c r="QZM1628" s="1"/>
      <c r="QZN1628" s="1"/>
      <c r="QZO1628" s="1"/>
      <c r="QZP1628" s="1"/>
      <c r="QZQ1628" s="1"/>
      <c r="QZR1628" s="1"/>
      <c r="QZS1628" s="1"/>
      <c r="QZT1628" s="1"/>
      <c r="QZU1628" s="1"/>
      <c r="QZV1628" s="1"/>
      <c r="QZW1628" s="1"/>
      <c r="QZX1628" s="1"/>
      <c r="QZY1628" s="1"/>
      <c r="QZZ1628" s="1"/>
      <c r="RAA1628" s="1"/>
      <c r="RAB1628" s="1"/>
      <c r="RAC1628" s="1"/>
      <c r="RAD1628" s="1"/>
      <c r="RAE1628" s="1"/>
      <c r="RAF1628" s="1"/>
      <c r="RAG1628" s="1"/>
      <c r="RAH1628" s="1"/>
      <c r="RAI1628" s="1"/>
      <c r="RAJ1628" s="1"/>
      <c r="RAK1628" s="1"/>
      <c r="RAL1628" s="1"/>
      <c r="RAM1628" s="1"/>
      <c r="RAN1628" s="1"/>
      <c r="RAO1628" s="1"/>
      <c r="RAP1628" s="1"/>
      <c r="RAQ1628" s="1"/>
      <c r="RAR1628" s="1"/>
      <c r="RAS1628" s="1"/>
      <c r="RAT1628" s="1"/>
      <c r="RAU1628" s="1"/>
      <c r="RAV1628" s="1"/>
      <c r="RAW1628" s="1"/>
      <c r="RAX1628" s="1"/>
      <c r="RAY1628" s="1"/>
      <c r="RAZ1628" s="1"/>
      <c r="RBA1628" s="1"/>
      <c r="RBB1628" s="1"/>
      <c r="RBC1628" s="1"/>
      <c r="RBD1628" s="1"/>
      <c r="RBE1628" s="1"/>
      <c r="RBF1628" s="1"/>
      <c r="RBG1628" s="1"/>
      <c r="RBH1628" s="1"/>
      <c r="RBI1628" s="1"/>
      <c r="RBJ1628" s="1"/>
      <c r="RBK1628" s="1"/>
      <c r="RBL1628" s="1"/>
      <c r="RBM1628" s="1"/>
      <c r="RBN1628" s="1"/>
      <c r="RBO1628" s="1"/>
      <c r="RBP1628" s="1"/>
      <c r="RBQ1628" s="1"/>
      <c r="RBR1628" s="1"/>
      <c r="RBS1628" s="1"/>
      <c r="RBT1628" s="1"/>
      <c r="RBU1628" s="1"/>
      <c r="RBV1628" s="1"/>
      <c r="RBW1628" s="1"/>
      <c r="RBX1628" s="1"/>
      <c r="RBY1628" s="1"/>
      <c r="RBZ1628" s="1"/>
      <c r="RCA1628" s="1"/>
      <c r="RCB1628" s="1"/>
      <c r="RCC1628" s="1"/>
      <c r="RCD1628" s="1"/>
      <c r="RCE1628" s="1"/>
      <c r="RCF1628" s="1"/>
      <c r="RCG1628" s="1"/>
      <c r="RCH1628" s="1"/>
      <c r="RCI1628" s="1"/>
      <c r="RCJ1628" s="1"/>
      <c r="RCK1628" s="1"/>
      <c r="RCL1628" s="1"/>
      <c r="RCM1628" s="1"/>
      <c r="RCN1628" s="1"/>
      <c r="RCO1628" s="1"/>
      <c r="RCP1628" s="1"/>
      <c r="RCQ1628" s="1"/>
      <c r="RCR1628" s="1"/>
      <c r="RCS1628" s="1"/>
      <c r="RCT1628" s="1"/>
      <c r="RCU1628" s="1"/>
      <c r="RCV1628" s="1"/>
      <c r="RCW1628" s="1"/>
      <c r="RCX1628" s="1"/>
      <c r="RCY1628" s="1"/>
      <c r="RCZ1628" s="1"/>
      <c r="RDA1628" s="1"/>
      <c r="RDB1628" s="1"/>
      <c r="RDC1628" s="1"/>
      <c r="RDD1628" s="1"/>
      <c r="RDE1628" s="1"/>
      <c r="RDF1628" s="1"/>
      <c r="RDG1628" s="1"/>
      <c r="RDH1628" s="1"/>
      <c r="RDI1628" s="1"/>
      <c r="RDJ1628" s="1"/>
      <c r="RDK1628" s="1"/>
      <c r="RDL1628" s="1"/>
      <c r="RDM1628" s="1"/>
      <c r="RDN1628" s="1"/>
      <c r="RDO1628" s="1"/>
      <c r="RDP1628" s="1"/>
      <c r="RDQ1628" s="1"/>
      <c r="RDR1628" s="1"/>
      <c r="RDS1628" s="1"/>
      <c r="RDT1628" s="1"/>
      <c r="RDU1628" s="1"/>
      <c r="RDV1628" s="1"/>
      <c r="RDW1628" s="1"/>
      <c r="RDX1628" s="1"/>
      <c r="RDY1628" s="1"/>
      <c r="RDZ1628" s="1"/>
      <c r="REA1628" s="1"/>
      <c r="REB1628" s="1"/>
      <c r="REC1628" s="1"/>
      <c r="RED1628" s="1"/>
      <c r="REE1628" s="1"/>
      <c r="REF1628" s="1"/>
      <c r="REG1628" s="1"/>
      <c r="REH1628" s="1"/>
      <c r="REI1628" s="1"/>
      <c r="REJ1628" s="1"/>
      <c r="REK1628" s="1"/>
      <c r="REL1628" s="1"/>
      <c r="REM1628" s="1"/>
      <c r="REN1628" s="1"/>
      <c r="REO1628" s="1"/>
      <c r="REP1628" s="1"/>
      <c r="REQ1628" s="1"/>
      <c r="RER1628" s="1"/>
      <c r="RES1628" s="1"/>
      <c r="RET1628" s="1"/>
      <c r="REU1628" s="1"/>
      <c r="REV1628" s="1"/>
      <c r="REW1628" s="1"/>
      <c r="REX1628" s="1"/>
      <c r="REY1628" s="1"/>
      <c r="REZ1628" s="1"/>
      <c r="RFA1628" s="1"/>
      <c r="RFB1628" s="1"/>
      <c r="RFC1628" s="1"/>
      <c r="RFD1628" s="1"/>
      <c r="RFE1628" s="1"/>
      <c r="RFF1628" s="1"/>
      <c r="RFG1628" s="1"/>
      <c r="RFH1628" s="1"/>
      <c r="RFI1628" s="1"/>
      <c r="RFJ1628" s="1"/>
      <c r="RFK1628" s="1"/>
      <c r="RFL1628" s="1"/>
      <c r="RFM1628" s="1"/>
      <c r="RFN1628" s="1"/>
      <c r="RFO1628" s="1"/>
      <c r="RFP1628" s="1"/>
      <c r="RFQ1628" s="1"/>
      <c r="RFR1628" s="1"/>
      <c r="RFS1628" s="1"/>
      <c r="RFT1628" s="1"/>
      <c r="RFU1628" s="1"/>
      <c r="RFV1628" s="1"/>
      <c r="RFW1628" s="1"/>
      <c r="RFX1628" s="1"/>
      <c r="RFY1628" s="1"/>
      <c r="RFZ1628" s="1"/>
      <c r="RGA1628" s="1"/>
      <c r="RGB1628" s="1"/>
      <c r="RGC1628" s="1"/>
      <c r="RGD1628" s="1"/>
      <c r="RGE1628" s="1"/>
      <c r="RGF1628" s="1"/>
      <c r="RGG1628" s="1"/>
      <c r="RGH1628" s="1"/>
      <c r="RGI1628" s="1"/>
      <c r="RGJ1628" s="1"/>
      <c r="RGK1628" s="1"/>
      <c r="RGL1628" s="1"/>
      <c r="RGM1628" s="1"/>
      <c r="RGN1628" s="1"/>
      <c r="RGO1628" s="1"/>
      <c r="RGP1628" s="1"/>
      <c r="RGQ1628" s="1"/>
      <c r="RGR1628" s="1"/>
      <c r="RGS1628" s="1"/>
      <c r="RGT1628" s="1"/>
      <c r="RGU1628" s="1"/>
      <c r="RGV1628" s="1"/>
      <c r="RGW1628" s="1"/>
      <c r="RGX1628" s="1"/>
      <c r="RGY1628" s="1"/>
      <c r="RGZ1628" s="1"/>
      <c r="RHA1628" s="1"/>
      <c r="RHB1628" s="1"/>
      <c r="RHC1628" s="1"/>
      <c r="RHD1628" s="1"/>
      <c r="RHE1628" s="1"/>
      <c r="RHF1628" s="1"/>
      <c r="RHG1628" s="1"/>
      <c r="RHH1628" s="1"/>
      <c r="RHI1628" s="1"/>
      <c r="RHJ1628" s="1"/>
      <c r="RHK1628" s="1"/>
      <c r="RHL1628" s="1"/>
      <c r="RHM1628" s="1"/>
      <c r="RHN1628" s="1"/>
      <c r="RHO1628" s="1"/>
      <c r="RHP1628" s="1"/>
      <c r="RHQ1628" s="1"/>
      <c r="RHR1628" s="1"/>
      <c r="RHS1628" s="1"/>
      <c r="RHT1628" s="1"/>
      <c r="RHU1628" s="1"/>
      <c r="RHV1628" s="1"/>
      <c r="RHW1628" s="1"/>
      <c r="RHX1628" s="1"/>
      <c r="RHY1628" s="1"/>
      <c r="RHZ1628" s="1"/>
      <c r="RIA1628" s="1"/>
      <c r="RIB1628" s="1"/>
      <c r="RIC1628" s="1"/>
      <c r="RID1628" s="1"/>
      <c r="RIE1628" s="1"/>
      <c r="RIF1628" s="1"/>
      <c r="RIG1628" s="1"/>
      <c r="RIH1628" s="1"/>
      <c r="RII1628" s="1"/>
      <c r="RIJ1628" s="1"/>
      <c r="RIK1628" s="1"/>
      <c r="RIL1628" s="1"/>
      <c r="RIM1628" s="1"/>
      <c r="RIN1628" s="1"/>
      <c r="RIO1628" s="1"/>
      <c r="RIP1628" s="1"/>
      <c r="RIQ1628" s="1"/>
      <c r="RIR1628" s="1"/>
      <c r="RIS1628" s="1"/>
      <c r="RIT1628" s="1"/>
      <c r="RIU1628" s="1"/>
      <c r="RIV1628" s="1"/>
      <c r="RIW1628" s="1"/>
      <c r="RIX1628" s="1"/>
      <c r="RIY1628" s="1"/>
      <c r="RIZ1628" s="1"/>
      <c r="RJA1628" s="1"/>
      <c r="RJB1628" s="1"/>
      <c r="RJC1628" s="1"/>
      <c r="RJD1628" s="1"/>
      <c r="RJE1628" s="1"/>
      <c r="RJF1628" s="1"/>
      <c r="RJG1628" s="1"/>
      <c r="RJH1628" s="1"/>
      <c r="RJI1628" s="1"/>
      <c r="RJJ1628" s="1"/>
      <c r="RJK1628" s="1"/>
      <c r="RJL1628" s="1"/>
      <c r="RJM1628" s="1"/>
      <c r="RJN1628" s="1"/>
      <c r="RJO1628" s="1"/>
      <c r="RJP1628" s="1"/>
      <c r="RJQ1628" s="1"/>
      <c r="RJR1628" s="1"/>
      <c r="RJS1628" s="1"/>
      <c r="RJT1628" s="1"/>
      <c r="RJU1628" s="1"/>
      <c r="RJV1628" s="1"/>
      <c r="RJW1628" s="1"/>
      <c r="RJX1628" s="1"/>
      <c r="RJY1628" s="1"/>
      <c r="RJZ1628" s="1"/>
      <c r="RKA1628" s="1"/>
      <c r="RKB1628" s="1"/>
      <c r="RKC1628" s="1"/>
      <c r="RKD1628" s="1"/>
      <c r="RKE1628" s="1"/>
      <c r="RKF1628" s="1"/>
      <c r="RKG1628" s="1"/>
      <c r="RKH1628" s="1"/>
      <c r="RKI1628" s="1"/>
      <c r="RKJ1628" s="1"/>
      <c r="RKK1628" s="1"/>
      <c r="RKL1628" s="1"/>
      <c r="RKM1628" s="1"/>
      <c r="RKN1628" s="1"/>
      <c r="RKO1628" s="1"/>
      <c r="RKP1628" s="1"/>
      <c r="RKQ1628" s="1"/>
      <c r="RKR1628" s="1"/>
      <c r="RKS1628" s="1"/>
      <c r="RKT1628" s="1"/>
      <c r="RKU1628" s="1"/>
      <c r="RKV1628" s="1"/>
      <c r="RKW1628" s="1"/>
      <c r="RKX1628" s="1"/>
      <c r="RKY1628" s="1"/>
      <c r="RKZ1628" s="1"/>
      <c r="RLA1628" s="1"/>
      <c r="RLB1628" s="1"/>
      <c r="RLC1628" s="1"/>
      <c r="RLD1628" s="1"/>
      <c r="RLE1628" s="1"/>
      <c r="RLF1628" s="1"/>
      <c r="RLG1628" s="1"/>
      <c r="RLH1628" s="1"/>
      <c r="RLI1628" s="1"/>
      <c r="RLJ1628" s="1"/>
      <c r="RLK1628" s="1"/>
      <c r="RLL1628" s="1"/>
      <c r="RLM1628" s="1"/>
      <c r="RLN1628" s="1"/>
      <c r="RLO1628" s="1"/>
      <c r="RLP1628" s="1"/>
      <c r="RLQ1628" s="1"/>
      <c r="RLR1628" s="1"/>
      <c r="RLS1628" s="1"/>
      <c r="RLT1628" s="1"/>
      <c r="RLU1628" s="1"/>
      <c r="RLV1628" s="1"/>
      <c r="RLW1628" s="1"/>
      <c r="RLX1628" s="1"/>
      <c r="RLY1628" s="1"/>
      <c r="RLZ1628" s="1"/>
      <c r="RMA1628" s="1"/>
      <c r="RMB1628" s="1"/>
      <c r="RMC1628" s="1"/>
      <c r="RMD1628" s="1"/>
      <c r="RME1628" s="1"/>
      <c r="RMF1628" s="1"/>
      <c r="RMG1628" s="1"/>
      <c r="RMH1628" s="1"/>
      <c r="RMI1628" s="1"/>
      <c r="RMJ1628" s="1"/>
      <c r="RMK1628" s="1"/>
      <c r="RML1628" s="1"/>
      <c r="RMM1628" s="1"/>
      <c r="RMN1628" s="1"/>
      <c r="RMO1628" s="1"/>
      <c r="RMP1628" s="1"/>
      <c r="RMQ1628" s="1"/>
      <c r="RMR1628" s="1"/>
      <c r="RMS1628" s="1"/>
      <c r="RMT1628" s="1"/>
      <c r="RMU1628" s="1"/>
      <c r="RMV1628" s="1"/>
      <c r="RMW1628" s="1"/>
      <c r="RMX1628" s="1"/>
      <c r="RMY1628" s="1"/>
      <c r="RMZ1628" s="1"/>
      <c r="RNA1628" s="1"/>
      <c r="RNB1628" s="1"/>
      <c r="RNC1628" s="1"/>
      <c r="RND1628" s="1"/>
      <c r="RNE1628" s="1"/>
      <c r="RNF1628" s="1"/>
      <c r="RNG1628" s="1"/>
      <c r="RNH1628" s="1"/>
      <c r="RNI1628" s="1"/>
      <c r="RNJ1628" s="1"/>
      <c r="RNK1628" s="1"/>
      <c r="RNL1628" s="1"/>
      <c r="RNM1628" s="1"/>
      <c r="RNN1628" s="1"/>
      <c r="RNO1628" s="1"/>
      <c r="RNP1628" s="1"/>
      <c r="RNQ1628" s="1"/>
      <c r="RNR1628" s="1"/>
      <c r="RNS1628" s="1"/>
      <c r="RNT1628" s="1"/>
      <c r="RNU1628" s="1"/>
      <c r="RNV1628" s="1"/>
      <c r="RNW1628" s="1"/>
      <c r="RNX1628" s="1"/>
      <c r="RNY1628" s="1"/>
      <c r="RNZ1628" s="1"/>
      <c r="ROA1628" s="1"/>
      <c r="ROB1628" s="1"/>
      <c r="ROC1628" s="1"/>
      <c r="ROD1628" s="1"/>
      <c r="ROE1628" s="1"/>
      <c r="ROF1628" s="1"/>
      <c r="ROG1628" s="1"/>
      <c r="ROH1628" s="1"/>
      <c r="ROI1628" s="1"/>
      <c r="ROJ1628" s="1"/>
      <c r="ROK1628" s="1"/>
      <c r="ROL1628" s="1"/>
      <c r="ROM1628" s="1"/>
      <c r="RON1628" s="1"/>
      <c r="ROO1628" s="1"/>
      <c r="ROP1628" s="1"/>
      <c r="ROQ1628" s="1"/>
      <c r="ROR1628" s="1"/>
      <c r="ROS1628" s="1"/>
      <c r="ROT1628" s="1"/>
      <c r="ROU1628" s="1"/>
      <c r="ROV1628" s="1"/>
      <c r="ROW1628" s="1"/>
      <c r="ROX1628" s="1"/>
      <c r="ROY1628" s="1"/>
      <c r="ROZ1628" s="1"/>
      <c r="RPA1628" s="1"/>
      <c r="RPB1628" s="1"/>
      <c r="RPC1628" s="1"/>
      <c r="RPD1628" s="1"/>
      <c r="RPE1628" s="1"/>
      <c r="RPF1628" s="1"/>
      <c r="RPG1628" s="1"/>
      <c r="RPH1628" s="1"/>
      <c r="RPI1628" s="1"/>
      <c r="RPJ1628" s="1"/>
      <c r="RPK1628" s="1"/>
      <c r="RPL1628" s="1"/>
      <c r="RPM1628" s="1"/>
      <c r="RPN1628" s="1"/>
      <c r="RPO1628" s="1"/>
      <c r="RPP1628" s="1"/>
      <c r="RPQ1628" s="1"/>
      <c r="RPR1628" s="1"/>
      <c r="RPS1628" s="1"/>
      <c r="RPT1628" s="1"/>
      <c r="RPU1628" s="1"/>
      <c r="RPV1628" s="1"/>
      <c r="RPW1628" s="1"/>
      <c r="RPX1628" s="1"/>
      <c r="RPY1628" s="1"/>
      <c r="RPZ1628" s="1"/>
      <c r="RQA1628" s="1"/>
      <c r="RQB1628" s="1"/>
      <c r="RQC1628" s="1"/>
      <c r="RQD1628" s="1"/>
      <c r="RQE1628" s="1"/>
      <c r="RQF1628" s="1"/>
      <c r="RQG1628" s="1"/>
      <c r="RQH1628" s="1"/>
      <c r="RQI1628" s="1"/>
      <c r="RQJ1628" s="1"/>
      <c r="RQK1628" s="1"/>
      <c r="RQL1628" s="1"/>
      <c r="RQM1628" s="1"/>
      <c r="RQN1628" s="1"/>
      <c r="RQO1628" s="1"/>
      <c r="RQP1628" s="1"/>
      <c r="RQQ1628" s="1"/>
      <c r="RQR1628" s="1"/>
      <c r="RQS1628" s="1"/>
      <c r="RQT1628" s="1"/>
      <c r="RQU1628" s="1"/>
      <c r="RQV1628" s="1"/>
      <c r="RQW1628" s="1"/>
      <c r="RQX1628" s="1"/>
      <c r="RQY1628" s="1"/>
      <c r="RQZ1628" s="1"/>
      <c r="RRA1628" s="1"/>
      <c r="RRB1628" s="1"/>
      <c r="RRC1628" s="1"/>
      <c r="RRD1628" s="1"/>
      <c r="RRE1628" s="1"/>
      <c r="RRF1628" s="1"/>
      <c r="RRG1628" s="1"/>
      <c r="RRH1628" s="1"/>
      <c r="RRI1628" s="1"/>
      <c r="RRJ1628" s="1"/>
      <c r="RRK1628" s="1"/>
      <c r="RRL1628" s="1"/>
      <c r="RRM1628" s="1"/>
      <c r="RRN1628" s="1"/>
      <c r="RRO1628" s="1"/>
      <c r="RRP1628" s="1"/>
      <c r="RRQ1628" s="1"/>
      <c r="RRR1628" s="1"/>
      <c r="RRS1628" s="1"/>
      <c r="RRT1628" s="1"/>
      <c r="RRU1628" s="1"/>
      <c r="RRV1628" s="1"/>
      <c r="RRW1628" s="1"/>
      <c r="RRX1628" s="1"/>
      <c r="RRY1628" s="1"/>
      <c r="RRZ1628" s="1"/>
      <c r="RSA1628" s="1"/>
      <c r="RSB1628" s="1"/>
      <c r="RSC1628" s="1"/>
      <c r="RSD1628" s="1"/>
      <c r="RSE1628" s="1"/>
      <c r="RSF1628" s="1"/>
      <c r="RSG1628" s="1"/>
      <c r="RSH1628" s="1"/>
      <c r="RSI1628" s="1"/>
      <c r="RSJ1628" s="1"/>
      <c r="RSK1628" s="1"/>
      <c r="RSL1628" s="1"/>
      <c r="RSM1628" s="1"/>
      <c r="RSN1628" s="1"/>
      <c r="RSO1628" s="1"/>
      <c r="RSP1628" s="1"/>
      <c r="RSQ1628" s="1"/>
      <c r="RSR1628" s="1"/>
      <c r="RSS1628" s="1"/>
      <c r="RST1628" s="1"/>
      <c r="RSU1628" s="1"/>
      <c r="RSV1628" s="1"/>
      <c r="RSW1628" s="1"/>
      <c r="RSX1628" s="1"/>
      <c r="RSY1628" s="1"/>
      <c r="RSZ1628" s="1"/>
      <c r="RTA1628" s="1"/>
      <c r="RTB1628" s="1"/>
      <c r="RTC1628" s="1"/>
      <c r="RTD1628" s="1"/>
      <c r="RTE1628" s="1"/>
      <c r="RTF1628" s="1"/>
      <c r="RTG1628" s="1"/>
      <c r="RTH1628" s="1"/>
      <c r="RTI1628" s="1"/>
      <c r="RTJ1628" s="1"/>
      <c r="RTK1628" s="1"/>
      <c r="RTL1628" s="1"/>
      <c r="RTM1628" s="1"/>
      <c r="RTN1628" s="1"/>
      <c r="RTO1628" s="1"/>
      <c r="RTP1628" s="1"/>
      <c r="RTQ1628" s="1"/>
      <c r="RTR1628" s="1"/>
      <c r="RTS1628" s="1"/>
      <c r="RTT1628" s="1"/>
      <c r="RTU1628" s="1"/>
      <c r="RTV1628" s="1"/>
      <c r="RTW1628" s="1"/>
      <c r="RTX1628" s="1"/>
      <c r="RTY1628" s="1"/>
      <c r="RTZ1628" s="1"/>
      <c r="RUA1628" s="1"/>
      <c r="RUB1628" s="1"/>
      <c r="RUC1628" s="1"/>
      <c r="RUD1628" s="1"/>
      <c r="RUE1628" s="1"/>
      <c r="RUF1628" s="1"/>
      <c r="RUG1628" s="1"/>
      <c r="RUH1628" s="1"/>
      <c r="RUI1628" s="1"/>
      <c r="RUJ1628" s="1"/>
      <c r="RUK1628" s="1"/>
      <c r="RUL1628" s="1"/>
      <c r="RUM1628" s="1"/>
      <c r="RUN1628" s="1"/>
      <c r="RUO1628" s="1"/>
      <c r="RUP1628" s="1"/>
      <c r="RUQ1628" s="1"/>
      <c r="RUR1628" s="1"/>
      <c r="RUS1628" s="1"/>
      <c r="RUT1628" s="1"/>
      <c r="RUU1628" s="1"/>
      <c r="RUV1628" s="1"/>
      <c r="RUW1628" s="1"/>
      <c r="RUX1628" s="1"/>
      <c r="RUY1628" s="1"/>
      <c r="RUZ1628" s="1"/>
      <c r="RVA1628" s="1"/>
      <c r="RVB1628" s="1"/>
      <c r="RVC1628" s="1"/>
      <c r="RVD1628" s="1"/>
      <c r="RVE1628" s="1"/>
      <c r="RVF1628" s="1"/>
      <c r="RVG1628" s="1"/>
      <c r="RVH1628" s="1"/>
      <c r="RVI1628" s="1"/>
      <c r="RVJ1628" s="1"/>
      <c r="RVK1628" s="1"/>
      <c r="RVL1628" s="1"/>
      <c r="RVM1628" s="1"/>
      <c r="RVN1628" s="1"/>
      <c r="RVO1628" s="1"/>
      <c r="RVP1628" s="1"/>
      <c r="RVQ1628" s="1"/>
      <c r="RVR1628" s="1"/>
      <c r="RVS1628" s="1"/>
      <c r="RVT1628" s="1"/>
      <c r="RVU1628" s="1"/>
      <c r="RVV1628" s="1"/>
      <c r="RVW1628" s="1"/>
      <c r="RVX1628" s="1"/>
      <c r="RVY1628" s="1"/>
      <c r="RVZ1628" s="1"/>
      <c r="RWA1628" s="1"/>
      <c r="RWB1628" s="1"/>
      <c r="RWC1628" s="1"/>
      <c r="RWD1628" s="1"/>
      <c r="RWE1628" s="1"/>
      <c r="RWF1628" s="1"/>
      <c r="RWG1628" s="1"/>
      <c r="RWH1628" s="1"/>
      <c r="RWI1628" s="1"/>
      <c r="RWJ1628" s="1"/>
      <c r="RWK1628" s="1"/>
      <c r="RWL1628" s="1"/>
      <c r="RWM1628" s="1"/>
      <c r="RWN1628" s="1"/>
      <c r="RWO1628" s="1"/>
      <c r="RWP1628" s="1"/>
      <c r="RWQ1628" s="1"/>
      <c r="RWR1628" s="1"/>
      <c r="RWS1628" s="1"/>
      <c r="RWT1628" s="1"/>
      <c r="RWU1628" s="1"/>
      <c r="RWV1628" s="1"/>
      <c r="RWW1628" s="1"/>
      <c r="RWX1628" s="1"/>
      <c r="RWY1628" s="1"/>
      <c r="RWZ1628" s="1"/>
      <c r="RXA1628" s="1"/>
      <c r="RXB1628" s="1"/>
      <c r="RXC1628" s="1"/>
      <c r="RXD1628" s="1"/>
      <c r="RXE1628" s="1"/>
      <c r="RXF1628" s="1"/>
      <c r="RXG1628" s="1"/>
      <c r="RXH1628" s="1"/>
      <c r="RXI1628" s="1"/>
      <c r="RXJ1628" s="1"/>
      <c r="RXK1628" s="1"/>
      <c r="RXL1628" s="1"/>
      <c r="RXM1628" s="1"/>
      <c r="RXN1628" s="1"/>
      <c r="RXO1628" s="1"/>
      <c r="RXP1628" s="1"/>
      <c r="RXQ1628" s="1"/>
      <c r="RXR1628" s="1"/>
      <c r="RXS1628" s="1"/>
      <c r="RXT1628" s="1"/>
      <c r="RXU1628" s="1"/>
      <c r="RXV1628" s="1"/>
      <c r="RXW1628" s="1"/>
      <c r="RXX1628" s="1"/>
      <c r="RXY1628" s="1"/>
      <c r="RXZ1628" s="1"/>
      <c r="RYA1628" s="1"/>
      <c r="RYB1628" s="1"/>
      <c r="RYC1628" s="1"/>
      <c r="RYD1628" s="1"/>
      <c r="RYE1628" s="1"/>
      <c r="RYF1628" s="1"/>
      <c r="RYG1628" s="1"/>
      <c r="RYH1628" s="1"/>
      <c r="RYI1628" s="1"/>
      <c r="RYJ1628" s="1"/>
      <c r="RYK1628" s="1"/>
      <c r="RYL1628" s="1"/>
      <c r="RYM1628" s="1"/>
      <c r="RYN1628" s="1"/>
      <c r="RYO1628" s="1"/>
      <c r="RYP1628" s="1"/>
      <c r="RYQ1628" s="1"/>
      <c r="RYR1628" s="1"/>
      <c r="RYS1628" s="1"/>
      <c r="RYT1628" s="1"/>
      <c r="RYU1628" s="1"/>
      <c r="RYV1628" s="1"/>
      <c r="RYW1628" s="1"/>
      <c r="RYX1628" s="1"/>
      <c r="RYY1628" s="1"/>
      <c r="RYZ1628" s="1"/>
      <c r="RZA1628" s="1"/>
      <c r="RZB1628" s="1"/>
      <c r="RZC1628" s="1"/>
      <c r="RZD1628" s="1"/>
      <c r="RZE1628" s="1"/>
      <c r="RZF1628" s="1"/>
      <c r="RZG1628" s="1"/>
      <c r="RZH1628" s="1"/>
      <c r="RZI1628" s="1"/>
      <c r="RZJ1628" s="1"/>
      <c r="RZK1628" s="1"/>
      <c r="RZL1628" s="1"/>
      <c r="RZM1628" s="1"/>
      <c r="RZN1628" s="1"/>
      <c r="RZO1628" s="1"/>
      <c r="RZP1628" s="1"/>
      <c r="RZQ1628" s="1"/>
      <c r="RZR1628" s="1"/>
      <c r="RZS1628" s="1"/>
      <c r="RZT1628" s="1"/>
      <c r="RZU1628" s="1"/>
      <c r="RZV1628" s="1"/>
      <c r="RZW1628" s="1"/>
      <c r="RZX1628" s="1"/>
      <c r="RZY1628" s="1"/>
      <c r="RZZ1628" s="1"/>
      <c r="SAA1628" s="1"/>
      <c r="SAB1628" s="1"/>
      <c r="SAC1628" s="1"/>
      <c r="SAD1628" s="1"/>
      <c r="SAE1628" s="1"/>
      <c r="SAF1628" s="1"/>
      <c r="SAG1628" s="1"/>
      <c r="SAH1628" s="1"/>
      <c r="SAI1628" s="1"/>
      <c r="SAJ1628" s="1"/>
      <c r="SAK1628" s="1"/>
      <c r="SAL1628" s="1"/>
      <c r="SAM1628" s="1"/>
      <c r="SAN1628" s="1"/>
      <c r="SAO1628" s="1"/>
      <c r="SAP1628" s="1"/>
      <c r="SAQ1628" s="1"/>
      <c r="SAR1628" s="1"/>
      <c r="SAS1628" s="1"/>
      <c r="SAT1628" s="1"/>
      <c r="SAU1628" s="1"/>
      <c r="SAV1628" s="1"/>
      <c r="SAW1628" s="1"/>
      <c r="SAX1628" s="1"/>
      <c r="SAY1628" s="1"/>
      <c r="SAZ1628" s="1"/>
      <c r="SBA1628" s="1"/>
      <c r="SBB1628" s="1"/>
      <c r="SBC1628" s="1"/>
      <c r="SBD1628" s="1"/>
      <c r="SBE1628" s="1"/>
      <c r="SBF1628" s="1"/>
      <c r="SBG1628" s="1"/>
      <c r="SBH1628" s="1"/>
      <c r="SBI1628" s="1"/>
      <c r="SBJ1628" s="1"/>
      <c r="SBK1628" s="1"/>
      <c r="SBL1628" s="1"/>
      <c r="SBM1628" s="1"/>
      <c r="SBN1628" s="1"/>
      <c r="SBO1628" s="1"/>
      <c r="SBP1628" s="1"/>
      <c r="SBQ1628" s="1"/>
      <c r="SBR1628" s="1"/>
      <c r="SBS1628" s="1"/>
      <c r="SBT1628" s="1"/>
      <c r="SBU1628" s="1"/>
      <c r="SBV1628" s="1"/>
      <c r="SBW1628" s="1"/>
      <c r="SBX1628" s="1"/>
      <c r="SBY1628" s="1"/>
      <c r="SBZ1628" s="1"/>
      <c r="SCA1628" s="1"/>
      <c r="SCB1628" s="1"/>
      <c r="SCC1628" s="1"/>
      <c r="SCD1628" s="1"/>
      <c r="SCE1628" s="1"/>
      <c r="SCF1628" s="1"/>
      <c r="SCG1628" s="1"/>
      <c r="SCH1628" s="1"/>
      <c r="SCI1628" s="1"/>
      <c r="SCJ1628" s="1"/>
      <c r="SCK1628" s="1"/>
      <c r="SCL1628" s="1"/>
      <c r="SCM1628" s="1"/>
      <c r="SCN1628" s="1"/>
      <c r="SCO1628" s="1"/>
      <c r="SCP1628" s="1"/>
      <c r="SCQ1628" s="1"/>
      <c r="SCR1628" s="1"/>
      <c r="SCS1628" s="1"/>
      <c r="SCT1628" s="1"/>
      <c r="SCU1628" s="1"/>
      <c r="SCV1628" s="1"/>
      <c r="SCW1628" s="1"/>
      <c r="SCX1628" s="1"/>
      <c r="SCY1628" s="1"/>
      <c r="SCZ1628" s="1"/>
      <c r="SDA1628" s="1"/>
      <c r="SDB1628" s="1"/>
      <c r="SDC1628" s="1"/>
      <c r="SDD1628" s="1"/>
      <c r="SDE1628" s="1"/>
      <c r="SDF1628" s="1"/>
      <c r="SDG1628" s="1"/>
      <c r="SDH1628" s="1"/>
      <c r="SDI1628" s="1"/>
      <c r="SDJ1628" s="1"/>
      <c r="SDK1628" s="1"/>
      <c r="SDL1628" s="1"/>
      <c r="SDM1628" s="1"/>
      <c r="SDN1628" s="1"/>
      <c r="SDO1628" s="1"/>
      <c r="SDP1628" s="1"/>
      <c r="SDQ1628" s="1"/>
      <c r="SDR1628" s="1"/>
      <c r="SDS1628" s="1"/>
      <c r="SDT1628" s="1"/>
      <c r="SDU1628" s="1"/>
      <c r="SDV1628" s="1"/>
      <c r="SDW1628" s="1"/>
      <c r="SDX1628" s="1"/>
      <c r="SDY1628" s="1"/>
      <c r="SDZ1628" s="1"/>
      <c r="SEA1628" s="1"/>
      <c r="SEB1628" s="1"/>
      <c r="SEC1628" s="1"/>
      <c r="SED1628" s="1"/>
      <c r="SEE1628" s="1"/>
      <c r="SEF1628" s="1"/>
      <c r="SEG1628" s="1"/>
      <c r="SEH1628" s="1"/>
      <c r="SEI1628" s="1"/>
      <c r="SEJ1628" s="1"/>
      <c r="SEK1628" s="1"/>
      <c r="SEL1628" s="1"/>
      <c r="SEM1628" s="1"/>
      <c r="SEN1628" s="1"/>
      <c r="SEO1628" s="1"/>
      <c r="SEP1628" s="1"/>
      <c r="SEQ1628" s="1"/>
      <c r="SER1628" s="1"/>
      <c r="SES1628" s="1"/>
      <c r="SET1628" s="1"/>
      <c r="SEU1628" s="1"/>
      <c r="SEV1628" s="1"/>
      <c r="SEW1628" s="1"/>
      <c r="SEX1628" s="1"/>
      <c r="SEY1628" s="1"/>
      <c r="SEZ1628" s="1"/>
      <c r="SFA1628" s="1"/>
      <c r="SFB1628" s="1"/>
      <c r="SFC1628" s="1"/>
      <c r="SFD1628" s="1"/>
      <c r="SFE1628" s="1"/>
      <c r="SFF1628" s="1"/>
      <c r="SFG1628" s="1"/>
      <c r="SFH1628" s="1"/>
      <c r="SFI1628" s="1"/>
      <c r="SFJ1628" s="1"/>
      <c r="SFK1628" s="1"/>
      <c r="SFL1628" s="1"/>
      <c r="SFM1628" s="1"/>
      <c r="SFN1628" s="1"/>
      <c r="SFO1628" s="1"/>
      <c r="SFP1628" s="1"/>
      <c r="SFQ1628" s="1"/>
      <c r="SFR1628" s="1"/>
      <c r="SFS1628" s="1"/>
      <c r="SFT1628" s="1"/>
      <c r="SFU1628" s="1"/>
      <c r="SFV1628" s="1"/>
      <c r="SFW1628" s="1"/>
      <c r="SFX1628" s="1"/>
      <c r="SFY1628" s="1"/>
      <c r="SFZ1628" s="1"/>
      <c r="SGA1628" s="1"/>
      <c r="SGB1628" s="1"/>
      <c r="SGC1628" s="1"/>
      <c r="SGD1628" s="1"/>
      <c r="SGE1628" s="1"/>
      <c r="SGF1628" s="1"/>
      <c r="SGG1628" s="1"/>
      <c r="SGH1628" s="1"/>
      <c r="SGI1628" s="1"/>
      <c r="SGJ1628" s="1"/>
      <c r="SGK1628" s="1"/>
      <c r="SGL1628" s="1"/>
      <c r="SGM1628" s="1"/>
      <c r="SGN1628" s="1"/>
      <c r="SGO1628" s="1"/>
      <c r="SGP1628" s="1"/>
      <c r="SGQ1628" s="1"/>
      <c r="SGR1628" s="1"/>
      <c r="SGS1628" s="1"/>
      <c r="SGT1628" s="1"/>
      <c r="SGU1628" s="1"/>
      <c r="SGV1628" s="1"/>
      <c r="SGW1628" s="1"/>
      <c r="SGX1628" s="1"/>
      <c r="SGY1628" s="1"/>
      <c r="SGZ1628" s="1"/>
      <c r="SHA1628" s="1"/>
      <c r="SHB1628" s="1"/>
      <c r="SHC1628" s="1"/>
      <c r="SHD1628" s="1"/>
      <c r="SHE1628" s="1"/>
      <c r="SHF1628" s="1"/>
      <c r="SHG1628" s="1"/>
      <c r="SHH1628" s="1"/>
      <c r="SHI1628" s="1"/>
      <c r="SHJ1628" s="1"/>
      <c r="SHK1628" s="1"/>
      <c r="SHL1628" s="1"/>
      <c r="SHM1628" s="1"/>
      <c r="SHN1628" s="1"/>
      <c r="SHO1628" s="1"/>
      <c r="SHP1628" s="1"/>
      <c r="SHQ1628" s="1"/>
      <c r="SHR1628" s="1"/>
      <c r="SHS1628" s="1"/>
      <c r="SHT1628" s="1"/>
      <c r="SHU1628" s="1"/>
      <c r="SHV1628" s="1"/>
      <c r="SHW1628" s="1"/>
      <c r="SHX1628" s="1"/>
      <c r="SHY1628" s="1"/>
      <c r="SHZ1628" s="1"/>
      <c r="SIA1628" s="1"/>
      <c r="SIB1628" s="1"/>
      <c r="SIC1628" s="1"/>
      <c r="SID1628" s="1"/>
      <c r="SIE1628" s="1"/>
      <c r="SIF1628" s="1"/>
      <c r="SIG1628" s="1"/>
      <c r="SIH1628" s="1"/>
      <c r="SII1628" s="1"/>
      <c r="SIJ1628" s="1"/>
      <c r="SIK1628" s="1"/>
      <c r="SIL1628" s="1"/>
      <c r="SIM1628" s="1"/>
      <c r="SIN1628" s="1"/>
      <c r="SIO1628" s="1"/>
      <c r="SIP1628" s="1"/>
      <c r="SIQ1628" s="1"/>
      <c r="SIR1628" s="1"/>
      <c r="SIS1628" s="1"/>
      <c r="SIT1628" s="1"/>
      <c r="SIU1628" s="1"/>
      <c r="SIV1628" s="1"/>
      <c r="SIW1628" s="1"/>
      <c r="SIX1628" s="1"/>
      <c r="SIY1628" s="1"/>
      <c r="SIZ1628" s="1"/>
      <c r="SJA1628" s="1"/>
      <c r="SJB1628" s="1"/>
      <c r="SJC1628" s="1"/>
      <c r="SJD1628" s="1"/>
      <c r="SJE1628" s="1"/>
      <c r="SJF1628" s="1"/>
      <c r="SJG1628" s="1"/>
      <c r="SJH1628" s="1"/>
      <c r="SJI1628" s="1"/>
      <c r="SJJ1628" s="1"/>
      <c r="SJK1628" s="1"/>
      <c r="SJL1628" s="1"/>
      <c r="SJM1628" s="1"/>
      <c r="SJN1628" s="1"/>
      <c r="SJO1628" s="1"/>
      <c r="SJP1628" s="1"/>
      <c r="SJQ1628" s="1"/>
      <c r="SJR1628" s="1"/>
      <c r="SJS1628" s="1"/>
      <c r="SJT1628" s="1"/>
      <c r="SJU1628" s="1"/>
      <c r="SJV1628" s="1"/>
      <c r="SJW1628" s="1"/>
      <c r="SJX1628" s="1"/>
      <c r="SJY1628" s="1"/>
      <c r="SJZ1628" s="1"/>
      <c r="SKA1628" s="1"/>
      <c r="SKB1628" s="1"/>
      <c r="SKC1628" s="1"/>
      <c r="SKD1628" s="1"/>
      <c r="SKE1628" s="1"/>
      <c r="SKF1628" s="1"/>
      <c r="SKG1628" s="1"/>
      <c r="SKH1628" s="1"/>
      <c r="SKI1628" s="1"/>
      <c r="SKJ1628" s="1"/>
      <c r="SKK1628" s="1"/>
      <c r="SKL1628" s="1"/>
      <c r="SKM1628" s="1"/>
      <c r="SKN1628" s="1"/>
      <c r="SKO1628" s="1"/>
      <c r="SKP1628" s="1"/>
      <c r="SKQ1628" s="1"/>
      <c r="SKR1628" s="1"/>
      <c r="SKS1628" s="1"/>
      <c r="SKT1628" s="1"/>
      <c r="SKU1628" s="1"/>
      <c r="SKV1628" s="1"/>
      <c r="SKW1628" s="1"/>
      <c r="SKX1628" s="1"/>
      <c r="SKY1628" s="1"/>
      <c r="SKZ1628" s="1"/>
      <c r="SLA1628" s="1"/>
      <c r="SLB1628" s="1"/>
      <c r="SLC1628" s="1"/>
      <c r="SLD1628" s="1"/>
      <c r="SLE1628" s="1"/>
      <c r="SLF1628" s="1"/>
      <c r="SLG1628" s="1"/>
      <c r="SLH1628" s="1"/>
      <c r="SLI1628" s="1"/>
      <c r="SLJ1628" s="1"/>
      <c r="SLK1628" s="1"/>
      <c r="SLL1628" s="1"/>
      <c r="SLM1628" s="1"/>
      <c r="SLN1628" s="1"/>
      <c r="SLO1628" s="1"/>
      <c r="SLP1628" s="1"/>
      <c r="SLQ1628" s="1"/>
      <c r="SLR1628" s="1"/>
      <c r="SLS1628" s="1"/>
      <c r="SLT1628" s="1"/>
      <c r="SLU1628" s="1"/>
      <c r="SLV1628" s="1"/>
      <c r="SLW1628" s="1"/>
      <c r="SLX1628" s="1"/>
      <c r="SLY1628" s="1"/>
      <c r="SLZ1628" s="1"/>
      <c r="SMA1628" s="1"/>
      <c r="SMB1628" s="1"/>
      <c r="SMC1628" s="1"/>
      <c r="SMD1628" s="1"/>
      <c r="SME1628" s="1"/>
      <c r="SMF1628" s="1"/>
      <c r="SMG1628" s="1"/>
      <c r="SMH1628" s="1"/>
      <c r="SMI1628" s="1"/>
      <c r="SMJ1628" s="1"/>
      <c r="SMK1628" s="1"/>
      <c r="SML1628" s="1"/>
      <c r="SMM1628" s="1"/>
      <c r="SMN1628" s="1"/>
      <c r="SMO1628" s="1"/>
      <c r="SMP1628" s="1"/>
      <c r="SMQ1628" s="1"/>
      <c r="SMR1628" s="1"/>
      <c r="SMS1628" s="1"/>
      <c r="SMT1628" s="1"/>
      <c r="SMU1628" s="1"/>
      <c r="SMV1628" s="1"/>
      <c r="SMW1628" s="1"/>
      <c r="SMX1628" s="1"/>
      <c r="SMY1628" s="1"/>
      <c r="SMZ1628" s="1"/>
      <c r="SNA1628" s="1"/>
      <c r="SNB1628" s="1"/>
      <c r="SNC1628" s="1"/>
      <c r="SND1628" s="1"/>
      <c r="SNE1628" s="1"/>
      <c r="SNF1628" s="1"/>
      <c r="SNG1628" s="1"/>
      <c r="SNH1628" s="1"/>
      <c r="SNI1628" s="1"/>
      <c r="SNJ1628" s="1"/>
      <c r="SNK1628" s="1"/>
      <c r="SNL1628" s="1"/>
      <c r="SNM1628" s="1"/>
      <c r="SNN1628" s="1"/>
      <c r="SNO1628" s="1"/>
      <c r="SNP1628" s="1"/>
      <c r="SNQ1628" s="1"/>
      <c r="SNR1628" s="1"/>
      <c r="SNS1628" s="1"/>
      <c r="SNT1628" s="1"/>
      <c r="SNU1628" s="1"/>
      <c r="SNV1628" s="1"/>
      <c r="SNW1628" s="1"/>
      <c r="SNX1628" s="1"/>
      <c r="SNY1628" s="1"/>
      <c r="SNZ1628" s="1"/>
      <c r="SOA1628" s="1"/>
      <c r="SOB1628" s="1"/>
      <c r="SOC1628" s="1"/>
      <c r="SOD1628" s="1"/>
      <c r="SOE1628" s="1"/>
      <c r="SOF1628" s="1"/>
      <c r="SOG1628" s="1"/>
      <c r="SOH1628" s="1"/>
      <c r="SOI1628" s="1"/>
      <c r="SOJ1628" s="1"/>
      <c r="SOK1628" s="1"/>
      <c r="SOL1628" s="1"/>
      <c r="SOM1628" s="1"/>
      <c r="SON1628" s="1"/>
      <c r="SOO1628" s="1"/>
      <c r="SOP1628" s="1"/>
      <c r="SOQ1628" s="1"/>
      <c r="SOR1628" s="1"/>
      <c r="SOS1628" s="1"/>
      <c r="SOT1628" s="1"/>
      <c r="SOU1628" s="1"/>
      <c r="SOV1628" s="1"/>
      <c r="SOW1628" s="1"/>
      <c r="SOX1628" s="1"/>
      <c r="SOY1628" s="1"/>
      <c r="SOZ1628" s="1"/>
      <c r="SPA1628" s="1"/>
      <c r="SPB1628" s="1"/>
      <c r="SPC1628" s="1"/>
      <c r="SPD1628" s="1"/>
      <c r="SPE1628" s="1"/>
      <c r="SPF1628" s="1"/>
      <c r="SPG1628" s="1"/>
      <c r="SPH1628" s="1"/>
      <c r="SPI1628" s="1"/>
      <c r="SPJ1628" s="1"/>
      <c r="SPK1628" s="1"/>
      <c r="SPL1628" s="1"/>
      <c r="SPM1628" s="1"/>
      <c r="SPN1628" s="1"/>
      <c r="SPO1628" s="1"/>
      <c r="SPP1628" s="1"/>
      <c r="SPQ1628" s="1"/>
      <c r="SPR1628" s="1"/>
      <c r="SPS1628" s="1"/>
      <c r="SPT1628" s="1"/>
      <c r="SPU1628" s="1"/>
      <c r="SPV1628" s="1"/>
      <c r="SPW1628" s="1"/>
      <c r="SPX1628" s="1"/>
      <c r="SPY1628" s="1"/>
      <c r="SPZ1628" s="1"/>
      <c r="SQA1628" s="1"/>
      <c r="SQB1628" s="1"/>
      <c r="SQC1628" s="1"/>
      <c r="SQD1628" s="1"/>
      <c r="SQE1628" s="1"/>
      <c r="SQF1628" s="1"/>
      <c r="SQG1628" s="1"/>
      <c r="SQH1628" s="1"/>
      <c r="SQI1628" s="1"/>
      <c r="SQJ1628" s="1"/>
      <c r="SQK1628" s="1"/>
      <c r="SQL1628" s="1"/>
      <c r="SQM1628" s="1"/>
      <c r="SQN1628" s="1"/>
      <c r="SQO1628" s="1"/>
      <c r="SQP1628" s="1"/>
      <c r="SQQ1628" s="1"/>
      <c r="SQR1628" s="1"/>
      <c r="SQS1628" s="1"/>
      <c r="SQT1628" s="1"/>
      <c r="SQU1628" s="1"/>
      <c r="SQV1628" s="1"/>
      <c r="SQW1628" s="1"/>
      <c r="SQX1628" s="1"/>
      <c r="SQY1628" s="1"/>
      <c r="SQZ1628" s="1"/>
      <c r="SRA1628" s="1"/>
      <c r="SRB1628" s="1"/>
      <c r="SRC1628" s="1"/>
      <c r="SRD1628" s="1"/>
      <c r="SRE1628" s="1"/>
      <c r="SRF1628" s="1"/>
      <c r="SRG1628" s="1"/>
      <c r="SRH1628" s="1"/>
      <c r="SRI1628" s="1"/>
      <c r="SRJ1628" s="1"/>
      <c r="SRK1628" s="1"/>
      <c r="SRL1628" s="1"/>
      <c r="SRM1628" s="1"/>
      <c r="SRN1628" s="1"/>
      <c r="SRO1628" s="1"/>
      <c r="SRP1628" s="1"/>
      <c r="SRQ1628" s="1"/>
      <c r="SRR1628" s="1"/>
      <c r="SRS1628" s="1"/>
      <c r="SRT1628" s="1"/>
      <c r="SRU1628" s="1"/>
      <c r="SRV1628" s="1"/>
      <c r="SRW1628" s="1"/>
      <c r="SRX1628" s="1"/>
      <c r="SRY1628" s="1"/>
      <c r="SRZ1628" s="1"/>
      <c r="SSA1628" s="1"/>
      <c r="SSB1628" s="1"/>
      <c r="SSC1628" s="1"/>
      <c r="SSD1628" s="1"/>
      <c r="SSE1628" s="1"/>
      <c r="SSF1628" s="1"/>
      <c r="SSG1628" s="1"/>
      <c r="SSH1628" s="1"/>
      <c r="SSI1628" s="1"/>
      <c r="SSJ1628" s="1"/>
      <c r="SSK1628" s="1"/>
      <c r="SSL1628" s="1"/>
      <c r="SSM1628" s="1"/>
      <c r="SSN1628" s="1"/>
      <c r="SSO1628" s="1"/>
      <c r="SSP1628" s="1"/>
      <c r="SSQ1628" s="1"/>
      <c r="SSR1628" s="1"/>
      <c r="SSS1628" s="1"/>
      <c r="SST1628" s="1"/>
      <c r="SSU1628" s="1"/>
      <c r="SSV1628" s="1"/>
      <c r="SSW1628" s="1"/>
      <c r="SSX1628" s="1"/>
      <c r="SSY1628" s="1"/>
      <c r="SSZ1628" s="1"/>
      <c r="STA1628" s="1"/>
      <c r="STB1628" s="1"/>
      <c r="STC1628" s="1"/>
      <c r="STD1628" s="1"/>
      <c r="STE1628" s="1"/>
      <c r="STF1628" s="1"/>
      <c r="STG1628" s="1"/>
      <c r="STH1628" s="1"/>
      <c r="STI1628" s="1"/>
      <c r="STJ1628" s="1"/>
      <c r="STK1628" s="1"/>
      <c r="STL1628" s="1"/>
      <c r="STM1628" s="1"/>
      <c r="STN1628" s="1"/>
      <c r="STO1628" s="1"/>
      <c r="STP1628" s="1"/>
      <c r="STQ1628" s="1"/>
      <c r="STR1628" s="1"/>
      <c r="STS1628" s="1"/>
      <c r="STT1628" s="1"/>
      <c r="STU1628" s="1"/>
      <c r="STV1628" s="1"/>
      <c r="STW1628" s="1"/>
      <c r="STX1628" s="1"/>
      <c r="STY1628" s="1"/>
      <c r="STZ1628" s="1"/>
      <c r="SUA1628" s="1"/>
      <c r="SUB1628" s="1"/>
      <c r="SUC1628" s="1"/>
      <c r="SUD1628" s="1"/>
      <c r="SUE1628" s="1"/>
      <c r="SUF1628" s="1"/>
      <c r="SUG1628" s="1"/>
      <c r="SUH1628" s="1"/>
      <c r="SUI1628" s="1"/>
      <c r="SUJ1628" s="1"/>
      <c r="SUK1628" s="1"/>
      <c r="SUL1628" s="1"/>
      <c r="SUM1628" s="1"/>
      <c r="SUN1628" s="1"/>
      <c r="SUO1628" s="1"/>
      <c r="SUP1628" s="1"/>
      <c r="SUQ1628" s="1"/>
      <c r="SUR1628" s="1"/>
      <c r="SUS1628" s="1"/>
      <c r="SUT1628" s="1"/>
      <c r="SUU1628" s="1"/>
      <c r="SUV1628" s="1"/>
      <c r="SUW1628" s="1"/>
      <c r="SUX1628" s="1"/>
      <c r="SUY1628" s="1"/>
      <c r="SUZ1628" s="1"/>
      <c r="SVA1628" s="1"/>
      <c r="SVB1628" s="1"/>
      <c r="SVC1628" s="1"/>
      <c r="SVD1628" s="1"/>
      <c r="SVE1628" s="1"/>
      <c r="SVF1628" s="1"/>
      <c r="SVG1628" s="1"/>
      <c r="SVH1628" s="1"/>
      <c r="SVI1628" s="1"/>
      <c r="SVJ1628" s="1"/>
      <c r="SVK1628" s="1"/>
      <c r="SVL1628" s="1"/>
      <c r="SVM1628" s="1"/>
      <c r="SVN1628" s="1"/>
      <c r="SVO1628" s="1"/>
      <c r="SVP1628" s="1"/>
      <c r="SVQ1628" s="1"/>
      <c r="SVR1628" s="1"/>
      <c r="SVS1628" s="1"/>
      <c r="SVT1628" s="1"/>
      <c r="SVU1628" s="1"/>
      <c r="SVV1628" s="1"/>
      <c r="SVW1628" s="1"/>
      <c r="SVX1628" s="1"/>
      <c r="SVY1628" s="1"/>
      <c r="SVZ1628" s="1"/>
      <c r="SWA1628" s="1"/>
      <c r="SWB1628" s="1"/>
      <c r="SWC1628" s="1"/>
      <c r="SWD1628" s="1"/>
      <c r="SWE1628" s="1"/>
      <c r="SWF1628" s="1"/>
      <c r="SWG1628" s="1"/>
      <c r="SWH1628" s="1"/>
      <c r="SWI1628" s="1"/>
      <c r="SWJ1628" s="1"/>
      <c r="SWK1628" s="1"/>
      <c r="SWL1628" s="1"/>
      <c r="SWM1628" s="1"/>
      <c r="SWN1628" s="1"/>
      <c r="SWO1628" s="1"/>
      <c r="SWP1628" s="1"/>
      <c r="SWQ1628" s="1"/>
      <c r="SWR1628" s="1"/>
      <c r="SWS1628" s="1"/>
      <c r="SWT1628" s="1"/>
      <c r="SWU1628" s="1"/>
      <c r="SWV1628" s="1"/>
      <c r="SWW1628" s="1"/>
      <c r="SWX1628" s="1"/>
      <c r="SWY1628" s="1"/>
      <c r="SWZ1628" s="1"/>
      <c r="SXA1628" s="1"/>
      <c r="SXB1628" s="1"/>
      <c r="SXC1628" s="1"/>
      <c r="SXD1628" s="1"/>
      <c r="SXE1628" s="1"/>
      <c r="SXF1628" s="1"/>
      <c r="SXG1628" s="1"/>
      <c r="SXH1628" s="1"/>
      <c r="SXI1628" s="1"/>
      <c r="SXJ1628" s="1"/>
      <c r="SXK1628" s="1"/>
      <c r="SXL1628" s="1"/>
      <c r="SXM1628" s="1"/>
      <c r="SXN1628" s="1"/>
      <c r="SXO1628" s="1"/>
      <c r="SXP1628" s="1"/>
      <c r="SXQ1628" s="1"/>
      <c r="SXR1628" s="1"/>
      <c r="SXS1628" s="1"/>
      <c r="SXT1628" s="1"/>
      <c r="SXU1628" s="1"/>
      <c r="SXV1628" s="1"/>
      <c r="SXW1628" s="1"/>
      <c r="SXX1628" s="1"/>
      <c r="SXY1628" s="1"/>
      <c r="SXZ1628" s="1"/>
      <c r="SYA1628" s="1"/>
      <c r="SYB1628" s="1"/>
      <c r="SYC1628" s="1"/>
      <c r="SYD1628" s="1"/>
      <c r="SYE1628" s="1"/>
      <c r="SYF1628" s="1"/>
      <c r="SYG1628" s="1"/>
      <c r="SYH1628" s="1"/>
      <c r="SYI1628" s="1"/>
      <c r="SYJ1628" s="1"/>
      <c r="SYK1628" s="1"/>
      <c r="SYL1628" s="1"/>
      <c r="SYM1628" s="1"/>
      <c r="SYN1628" s="1"/>
      <c r="SYO1628" s="1"/>
      <c r="SYP1628" s="1"/>
      <c r="SYQ1628" s="1"/>
      <c r="SYR1628" s="1"/>
      <c r="SYS1628" s="1"/>
      <c r="SYT1628" s="1"/>
      <c r="SYU1628" s="1"/>
      <c r="SYV1628" s="1"/>
      <c r="SYW1628" s="1"/>
      <c r="SYX1628" s="1"/>
      <c r="SYY1628" s="1"/>
      <c r="SYZ1628" s="1"/>
      <c r="SZA1628" s="1"/>
      <c r="SZB1628" s="1"/>
      <c r="SZC1628" s="1"/>
      <c r="SZD1628" s="1"/>
      <c r="SZE1628" s="1"/>
      <c r="SZF1628" s="1"/>
      <c r="SZG1628" s="1"/>
      <c r="SZH1628" s="1"/>
      <c r="SZI1628" s="1"/>
      <c r="SZJ1628" s="1"/>
      <c r="SZK1628" s="1"/>
      <c r="SZL1628" s="1"/>
      <c r="SZM1628" s="1"/>
      <c r="SZN1628" s="1"/>
      <c r="SZO1628" s="1"/>
      <c r="SZP1628" s="1"/>
      <c r="SZQ1628" s="1"/>
      <c r="SZR1628" s="1"/>
      <c r="SZS1628" s="1"/>
      <c r="SZT1628" s="1"/>
      <c r="SZU1628" s="1"/>
      <c r="SZV1628" s="1"/>
      <c r="SZW1628" s="1"/>
      <c r="SZX1628" s="1"/>
      <c r="SZY1628" s="1"/>
      <c r="SZZ1628" s="1"/>
      <c r="TAA1628" s="1"/>
      <c r="TAB1628" s="1"/>
      <c r="TAC1628" s="1"/>
      <c r="TAD1628" s="1"/>
      <c r="TAE1628" s="1"/>
      <c r="TAF1628" s="1"/>
      <c r="TAG1628" s="1"/>
      <c r="TAH1628" s="1"/>
      <c r="TAI1628" s="1"/>
      <c r="TAJ1628" s="1"/>
      <c r="TAK1628" s="1"/>
      <c r="TAL1628" s="1"/>
      <c r="TAM1628" s="1"/>
      <c r="TAN1628" s="1"/>
      <c r="TAO1628" s="1"/>
      <c r="TAP1628" s="1"/>
      <c r="TAQ1628" s="1"/>
      <c r="TAR1628" s="1"/>
      <c r="TAS1628" s="1"/>
      <c r="TAT1628" s="1"/>
      <c r="TAU1628" s="1"/>
      <c r="TAV1628" s="1"/>
      <c r="TAW1628" s="1"/>
      <c r="TAX1628" s="1"/>
      <c r="TAY1628" s="1"/>
      <c r="TAZ1628" s="1"/>
      <c r="TBA1628" s="1"/>
      <c r="TBB1628" s="1"/>
      <c r="TBC1628" s="1"/>
      <c r="TBD1628" s="1"/>
      <c r="TBE1628" s="1"/>
      <c r="TBF1628" s="1"/>
      <c r="TBG1628" s="1"/>
      <c r="TBH1628" s="1"/>
      <c r="TBI1628" s="1"/>
      <c r="TBJ1628" s="1"/>
      <c r="TBK1628" s="1"/>
      <c r="TBL1628" s="1"/>
      <c r="TBM1628" s="1"/>
      <c r="TBN1628" s="1"/>
      <c r="TBO1628" s="1"/>
      <c r="TBP1628" s="1"/>
      <c r="TBQ1628" s="1"/>
      <c r="TBR1628" s="1"/>
      <c r="TBS1628" s="1"/>
      <c r="TBT1628" s="1"/>
      <c r="TBU1628" s="1"/>
      <c r="TBV1628" s="1"/>
      <c r="TBW1628" s="1"/>
      <c r="TBX1628" s="1"/>
      <c r="TBY1628" s="1"/>
      <c r="TBZ1628" s="1"/>
      <c r="TCA1628" s="1"/>
      <c r="TCB1628" s="1"/>
      <c r="TCC1628" s="1"/>
      <c r="TCD1628" s="1"/>
      <c r="TCE1628" s="1"/>
      <c r="TCF1628" s="1"/>
      <c r="TCG1628" s="1"/>
      <c r="TCH1628" s="1"/>
      <c r="TCI1628" s="1"/>
      <c r="TCJ1628" s="1"/>
      <c r="TCK1628" s="1"/>
      <c r="TCL1628" s="1"/>
      <c r="TCM1628" s="1"/>
      <c r="TCN1628" s="1"/>
      <c r="TCO1628" s="1"/>
      <c r="TCP1628" s="1"/>
      <c r="TCQ1628" s="1"/>
      <c r="TCR1628" s="1"/>
      <c r="TCS1628" s="1"/>
      <c r="TCT1628" s="1"/>
      <c r="TCU1628" s="1"/>
      <c r="TCV1628" s="1"/>
      <c r="TCW1628" s="1"/>
      <c r="TCX1628" s="1"/>
      <c r="TCY1628" s="1"/>
      <c r="TCZ1628" s="1"/>
      <c r="TDA1628" s="1"/>
      <c r="TDB1628" s="1"/>
      <c r="TDC1628" s="1"/>
      <c r="TDD1628" s="1"/>
      <c r="TDE1628" s="1"/>
      <c r="TDF1628" s="1"/>
      <c r="TDG1628" s="1"/>
      <c r="TDH1628" s="1"/>
      <c r="TDI1628" s="1"/>
      <c r="TDJ1628" s="1"/>
      <c r="TDK1628" s="1"/>
      <c r="TDL1628" s="1"/>
      <c r="TDM1628" s="1"/>
      <c r="TDN1628" s="1"/>
      <c r="TDO1628" s="1"/>
      <c r="TDP1628" s="1"/>
      <c r="TDQ1628" s="1"/>
      <c r="TDR1628" s="1"/>
      <c r="TDS1628" s="1"/>
      <c r="TDT1628" s="1"/>
      <c r="TDU1628" s="1"/>
      <c r="TDV1628" s="1"/>
      <c r="TDW1628" s="1"/>
      <c r="TDX1628" s="1"/>
      <c r="TDY1628" s="1"/>
      <c r="TDZ1628" s="1"/>
      <c r="TEA1628" s="1"/>
      <c r="TEB1628" s="1"/>
      <c r="TEC1628" s="1"/>
      <c r="TED1628" s="1"/>
      <c r="TEE1628" s="1"/>
      <c r="TEF1628" s="1"/>
      <c r="TEG1628" s="1"/>
      <c r="TEH1628" s="1"/>
      <c r="TEI1628" s="1"/>
      <c r="TEJ1628" s="1"/>
      <c r="TEK1628" s="1"/>
      <c r="TEL1628" s="1"/>
      <c r="TEM1628" s="1"/>
      <c r="TEN1628" s="1"/>
      <c r="TEO1628" s="1"/>
      <c r="TEP1628" s="1"/>
      <c r="TEQ1628" s="1"/>
      <c r="TER1628" s="1"/>
      <c r="TES1628" s="1"/>
      <c r="TET1628" s="1"/>
      <c r="TEU1628" s="1"/>
      <c r="TEV1628" s="1"/>
      <c r="TEW1628" s="1"/>
      <c r="TEX1628" s="1"/>
      <c r="TEY1628" s="1"/>
      <c r="TEZ1628" s="1"/>
      <c r="TFA1628" s="1"/>
      <c r="TFB1628" s="1"/>
      <c r="TFC1628" s="1"/>
      <c r="TFD1628" s="1"/>
      <c r="TFE1628" s="1"/>
      <c r="TFF1628" s="1"/>
      <c r="TFG1628" s="1"/>
      <c r="TFH1628" s="1"/>
      <c r="TFI1628" s="1"/>
      <c r="TFJ1628" s="1"/>
      <c r="TFK1628" s="1"/>
      <c r="TFL1628" s="1"/>
      <c r="TFM1628" s="1"/>
      <c r="TFN1628" s="1"/>
      <c r="TFO1628" s="1"/>
      <c r="TFP1628" s="1"/>
      <c r="TFQ1628" s="1"/>
      <c r="TFR1628" s="1"/>
      <c r="TFS1628" s="1"/>
      <c r="TFT1628" s="1"/>
      <c r="TFU1628" s="1"/>
      <c r="TFV1628" s="1"/>
      <c r="TFW1628" s="1"/>
      <c r="TFX1628" s="1"/>
      <c r="TFY1628" s="1"/>
      <c r="TFZ1628" s="1"/>
      <c r="TGA1628" s="1"/>
      <c r="TGB1628" s="1"/>
      <c r="TGC1628" s="1"/>
      <c r="TGD1628" s="1"/>
      <c r="TGE1628" s="1"/>
      <c r="TGF1628" s="1"/>
      <c r="TGG1628" s="1"/>
      <c r="TGH1628" s="1"/>
      <c r="TGI1628" s="1"/>
      <c r="TGJ1628" s="1"/>
      <c r="TGK1628" s="1"/>
      <c r="TGL1628" s="1"/>
      <c r="TGM1628" s="1"/>
      <c r="TGN1628" s="1"/>
      <c r="TGO1628" s="1"/>
      <c r="TGP1628" s="1"/>
      <c r="TGQ1628" s="1"/>
      <c r="TGR1628" s="1"/>
      <c r="TGS1628" s="1"/>
      <c r="TGT1628" s="1"/>
      <c r="TGU1628" s="1"/>
      <c r="TGV1628" s="1"/>
      <c r="TGW1628" s="1"/>
      <c r="TGX1628" s="1"/>
      <c r="TGY1628" s="1"/>
      <c r="TGZ1628" s="1"/>
      <c r="THA1628" s="1"/>
      <c r="THB1628" s="1"/>
      <c r="THC1628" s="1"/>
      <c r="THD1628" s="1"/>
      <c r="THE1628" s="1"/>
      <c r="THF1628" s="1"/>
      <c r="THG1628" s="1"/>
      <c r="THH1628" s="1"/>
      <c r="THI1628" s="1"/>
      <c r="THJ1628" s="1"/>
      <c r="THK1628" s="1"/>
      <c r="THL1628" s="1"/>
      <c r="THM1628" s="1"/>
      <c r="THN1628" s="1"/>
      <c r="THO1628" s="1"/>
      <c r="THP1628" s="1"/>
      <c r="THQ1628" s="1"/>
      <c r="THR1628" s="1"/>
      <c r="THS1628" s="1"/>
      <c r="THT1628" s="1"/>
      <c r="THU1628" s="1"/>
      <c r="THV1628" s="1"/>
      <c r="THW1628" s="1"/>
      <c r="THX1628" s="1"/>
      <c r="THY1628" s="1"/>
      <c r="THZ1628" s="1"/>
      <c r="TIA1628" s="1"/>
      <c r="TIB1628" s="1"/>
      <c r="TIC1628" s="1"/>
      <c r="TID1628" s="1"/>
      <c r="TIE1628" s="1"/>
      <c r="TIF1628" s="1"/>
      <c r="TIG1628" s="1"/>
      <c r="TIH1628" s="1"/>
      <c r="TII1628" s="1"/>
      <c r="TIJ1628" s="1"/>
      <c r="TIK1628" s="1"/>
      <c r="TIL1628" s="1"/>
      <c r="TIM1628" s="1"/>
      <c r="TIN1628" s="1"/>
      <c r="TIO1628" s="1"/>
      <c r="TIP1628" s="1"/>
      <c r="TIQ1628" s="1"/>
      <c r="TIR1628" s="1"/>
      <c r="TIS1628" s="1"/>
      <c r="TIT1628" s="1"/>
      <c r="TIU1628" s="1"/>
      <c r="TIV1628" s="1"/>
      <c r="TIW1628" s="1"/>
      <c r="TIX1628" s="1"/>
      <c r="TIY1628" s="1"/>
      <c r="TIZ1628" s="1"/>
      <c r="TJA1628" s="1"/>
      <c r="TJB1628" s="1"/>
      <c r="TJC1628" s="1"/>
      <c r="TJD1628" s="1"/>
      <c r="TJE1628" s="1"/>
      <c r="TJF1628" s="1"/>
      <c r="TJG1628" s="1"/>
      <c r="TJH1628" s="1"/>
      <c r="TJI1628" s="1"/>
      <c r="TJJ1628" s="1"/>
      <c r="TJK1628" s="1"/>
      <c r="TJL1628" s="1"/>
      <c r="TJM1628" s="1"/>
      <c r="TJN1628" s="1"/>
      <c r="TJO1628" s="1"/>
      <c r="TJP1628" s="1"/>
      <c r="TJQ1628" s="1"/>
      <c r="TJR1628" s="1"/>
      <c r="TJS1628" s="1"/>
      <c r="TJT1628" s="1"/>
      <c r="TJU1628" s="1"/>
      <c r="TJV1628" s="1"/>
      <c r="TJW1628" s="1"/>
      <c r="TJX1628" s="1"/>
      <c r="TJY1628" s="1"/>
      <c r="TJZ1628" s="1"/>
      <c r="TKA1628" s="1"/>
      <c r="TKB1628" s="1"/>
      <c r="TKC1628" s="1"/>
      <c r="TKD1628" s="1"/>
      <c r="TKE1628" s="1"/>
      <c r="TKF1628" s="1"/>
      <c r="TKG1628" s="1"/>
      <c r="TKH1628" s="1"/>
      <c r="TKI1628" s="1"/>
      <c r="TKJ1628" s="1"/>
      <c r="TKK1628" s="1"/>
      <c r="TKL1628" s="1"/>
      <c r="TKM1628" s="1"/>
      <c r="TKN1628" s="1"/>
      <c r="TKO1628" s="1"/>
      <c r="TKP1628" s="1"/>
      <c r="TKQ1628" s="1"/>
      <c r="TKR1628" s="1"/>
      <c r="TKS1628" s="1"/>
      <c r="TKT1628" s="1"/>
      <c r="TKU1628" s="1"/>
      <c r="TKV1628" s="1"/>
      <c r="TKW1628" s="1"/>
      <c r="TKX1628" s="1"/>
      <c r="TKY1628" s="1"/>
      <c r="TKZ1628" s="1"/>
      <c r="TLA1628" s="1"/>
      <c r="TLB1628" s="1"/>
      <c r="TLC1628" s="1"/>
      <c r="TLD1628" s="1"/>
      <c r="TLE1628" s="1"/>
      <c r="TLF1628" s="1"/>
      <c r="TLG1628" s="1"/>
      <c r="TLH1628" s="1"/>
      <c r="TLI1628" s="1"/>
      <c r="TLJ1628" s="1"/>
      <c r="TLK1628" s="1"/>
      <c r="TLL1628" s="1"/>
      <c r="TLM1628" s="1"/>
      <c r="TLN1628" s="1"/>
      <c r="TLO1628" s="1"/>
      <c r="TLP1628" s="1"/>
      <c r="TLQ1628" s="1"/>
      <c r="TLR1628" s="1"/>
      <c r="TLS1628" s="1"/>
      <c r="TLT1628" s="1"/>
      <c r="TLU1628" s="1"/>
      <c r="TLV1628" s="1"/>
      <c r="TLW1628" s="1"/>
      <c r="TLX1628" s="1"/>
      <c r="TLY1628" s="1"/>
      <c r="TLZ1628" s="1"/>
      <c r="TMA1628" s="1"/>
      <c r="TMB1628" s="1"/>
      <c r="TMC1628" s="1"/>
      <c r="TMD1628" s="1"/>
      <c r="TME1628" s="1"/>
      <c r="TMF1628" s="1"/>
      <c r="TMG1628" s="1"/>
      <c r="TMH1628" s="1"/>
      <c r="TMI1628" s="1"/>
      <c r="TMJ1628" s="1"/>
      <c r="TMK1628" s="1"/>
      <c r="TML1628" s="1"/>
      <c r="TMM1628" s="1"/>
      <c r="TMN1628" s="1"/>
      <c r="TMO1628" s="1"/>
      <c r="TMP1628" s="1"/>
      <c r="TMQ1628" s="1"/>
      <c r="TMR1628" s="1"/>
      <c r="TMS1628" s="1"/>
      <c r="TMT1628" s="1"/>
      <c r="TMU1628" s="1"/>
      <c r="TMV1628" s="1"/>
      <c r="TMW1628" s="1"/>
      <c r="TMX1628" s="1"/>
      <c r="TMY1628" s="1"/>
      <c r="TMZ1628" s="1"/>
      <c r="TNA1628" s="1"/>
      <c r="TNB1628" s="1"/>
      <c r="TNC1628" s="1"/>
      <c r="TND1628" s="1"/>
      <c r="TNE1628" s="1"/>
      <c r="TNF1628" s="1"/>
      <c r="TNG1628" s="1"/>
      <c r="TNH1628" s="1"/>
      <c r="TNI1628" s="1"/>
      <c r="TNJ1628" s="1"/>
      <c r="TNK1628" s="1"/>
      <c r="TNL1628" s="1"/>
      <c r="TNM1628" s="1"/>
      <c r="TNN1628" s="1"/>
      <c r="TNO1628" s="1"/>
      <c r="TNP1628" s="1"/>
      <c r="TNQ1628" s="1"/>
      <c r="TNR1628" s="1"/>
      <c r="TNS1628" s="1"/>
      <c r="TNT1628" s="1"/>
      <c r="TNU1628" s="1"/>
      <c r="TNV1628" s="1"/>
      <c r="TNW1628" s="1"/>
      <c r="TNX1628" s="1"/>
      <c r="TNY1628" s="1"/>
      <c r="TNZ1628" s="1"/>
      <c r="TOA1628" s="1"/>
      <c r="TOB1628" s="1"/>
      <c r="TOC1628" s="1"/>
      <c r="TOD1628" s="1"/>
      <c r="TOE1628" s="1"/>
      <c r="TOF1628" s="1"/>
      <c r="TOG1628" s="1"/>
      <c r="TOH1628" s="1"/>
      <c r="TOI1628" s="1"/>
      <c r="TOJ1628" s="1"/>
      <c r="TOK1628" s="1"/>
      <c r="TOL1628" s="1"/>
      <c r="TOM1628" s="1"/>
      <c r="TON1628" s="1"/>
      <c r="TOO1628" s="1"/>
      <c r="TOP1628" s="1"/>
      <c r="TOQ1628" s="1"/>
      <c r="TOR1628" s="1"/>
      <c r="TOS1628" s="1"/>
      <c r="TOT1628" s="1"/>
      <c r="TOU1628" s="1"/>
      <c r="TOV1628" s="1"/>
      <c r="TOW1628" s="1"/>
      <c r="TOX1628" s="1"/>
      <c r="TOY1628" s="1"/>
      <c r="TOZ1628" s="1"/>
      <c r="TPA1628" s="1"/>
      <c r="TPB1628" s="1"/>
      <c r="TPC1628" s="1"/>
      <c r="TPD1628" s="1"/>
      <c r="TPE1628" s="1"/>
      <c r="TPF1628" s="1"/>
      <c r="TPG1628" s="1"/>
      <c r="TPH1628" s="1"/>
      <c r="TPI1628" s="1"/>
      <c r="TPJ1628" s="1"/>
      <c r="TPK1628" s="1"/>
      <c r="TPL1628" s="1"/>
      <c r="TPM1628" s="1"/>
      <c r="TPN1628" s="1"/>
      <c r="TPO1628" s="1"/>
      <c r="TPP1628" s="1"/>
      <c r="TPQ1628" s="1"/>
      <c r="TPR1628" s="1"/>
      <c r="TPS1628" s="1"/>
      <c r="TPT1628" s="1"/>
      <c r="TPU1628" s="1"/>
      <c r="TPV1628" s="1"/>
      <c r="TPW1628" s="1"/>
      <c r="TPX1628" s="1"/>
      <c r="TPY1628" s="1"/>
      <c r="TPZ1628" s="1"/>
      <c r="TQA1628" s="1"/>
      <c r="TQB1628" s="1"/>
      <c r="TQC1628" s="1"/>
      <c r="TQD1628" s="1"/>
      <c r="TQE1628" s="1"/>
      <c r="TQF1628" s="1"/>
      <c r="TQG1628" s="1"/>
      <c r="TQH1628" s="1"/>
      <c r="TQI1628" s="1"/>
      <c r="TQJ1628" s="1"/>
      <c r="TQK1628" s="1"/>
      <c r="TQL1628" s="1"/>
      <c r="TQM1628" s="1"/>
      <c r="TQN1628" s="1"/>
      <c r="TQO1628" s="1"/>
      <c r="TQP1628" s="1"/>
      <c r="TQQ1628" s="1"/>
      <c r="TQR1628" s="1"/>
      <c r="TQS1628" s="1"/>
      <c r="TQT1628" s="1"/>
      <c r="TQU1628" s="1"/>
      <c r="TQV1628" s="1"/>
      <c r="TQW1628" s="1"/>
      <c r="TQX1628" s="1"/>
      <c r="TQY1628" s="1"/>
      <c r="TQZ1628" s="1"/>
      <c r="TRA1628" s="1"/>
      <c r="TRB1628" s="1"/>
      <c r="TRC1628" s="1"/>
      <c r="TRD1628" s="1"/>
      <c r="TRE1628" s="1"/>
      <c r="TRF1628" s="1"/>
      <c r="TRG1628" s="1"/>
      <c r="TRH1628" s="1"/>
      <c r="TRI1628" s="1"/>
      <c r="TRJ1628" s="1"/>
      <c r="TRK1628" s="1"/>
      <c r="TRL1628" s="1"/>
      <c r="TRM1628" s="1"/>
      <c r="TRN1628" s="1"/>
      <c r="TRO1628" s="1"/>
      <c r="TRP1628" s="1"/>
      <c r="TRQ1628" s="1"/>
      <c r="TRR1628" s="1"/>
      <c r="TRS1628" s="1"/>
      <c r="TRT1628" s="1"/>
      <c r="TRU1628" s="1"/>
      <c r="TRV1628" s="1"/>
      <c r="TRW1628" s="1"/>
      <c r="TRX1628" s="1"/>
      <c r="TRY1628" s="1"/>
      <c r="TRZ1628" s="1"/>
      <c r="TSA1628" s="1"/>
      <c r="TSB1628" s="1"/>
      <c r="TSC1628" s="1"/>
      <c r="TSD1628" s="1"/>
      <c r="TSE1628" s="1"/>
      <c r="TSF1628" s="1"/>
      <c r="TSG1628" s="1"/>
      <c r="TSH1628" s="1"/>
      <c r="TSI1628" s="1"/>
      <c r="TSJ1628" s="1"/>
      <c r="TSK1628" s="1"/>
      <c r="TSL1628" s="1"/>
      <c r="TSM1628" s="1"/>
      <c r="TSN1628" s="1"/>
      <c r="TSO1628" s="1"/>
      <c r="TSP1628" s="1"/>
      <c r="TSQ1628" s="1"/>
      <c r="TSR1628" s="1"/>
      <c r="TSS1628" s="1"/>
      <c r="TST1628" s="1"/>
      <c r="TSU1628" s="1"/>
      <c r="TSV1628" s="1"/>
      <c r="TSW1628" s="1"/>
      <c r="TSX1628" s="1"/>
      <c r="TSY1628" s="1"/>
      <c r="TSZ1628" s="1"/>
      <c r="TTA1628" s="1"/>
      <c r="TTB1628" s="1"/>
      <c r="TTC1628" s="1"/>
      <c r="TTD1628" s="1"/>
      <c r="TTE1628" s="1"/>
      <c r="TTF1628" s="1"/>
      <c r="TTG1628" s="1"/>
      <c r="TTH1628" s="1"/>
      <c r="TTI1628" s="1"/>
      <c r="TTJ1628" s="1"/>
      <c r="TTK1628" s="1"/>
      <c r="TTL1628" s="1"/>
      <c r="TTM1628" s="1"/>
      <c r="TTN1628" s="1"/>
      <c r="TTO1628" s="1"/>
      <c r="TTP1628" s="1"/>
      <c r="TTQ1628" s="1"/>
      <c r="TTR1628" s="1"/>
      <c r="TTS1628" s="1"/>
      <c r="TTT1628" s="1"/>
      <c r="TTU1628" s="1"/>
      <c r="TTV1628" s="1"/>
      <c r="TTW1628" s="1"/>
      <c r="TTX1628" s="1"/>
      <c r="TTY1628" s="1"/>
      <c r="TTZ1628" s="1"/>
      <c r="TUA1628" s="1"/>
      <c r="TUB1628" s="1"/>
      <c r="TUC1628" s="1"/>
      <c r="TUD1628" s="1"/>
      <c r="TUE1628" s="1"/>
      <c r="TUF1628" s="1"/>
      <c r="TUG1628" s="1"/>
      <c r="TUH1628" s="1"/>
      <c r="TUI1628" s="1"/>
      <c r="TUJ1628" s="1"/>
      <c r="TUK1628" s="1"/>
      <c r="TUL1628" s="1"/>
      <c r="TUM1628" s="1"/>
      <c r="TUN1628" s="1"/>
      <c r="TUO1628" s="1"/>
      <c r="TUP1628" s="1"/>
      <c r="TUQ1628" s="1"/>
      <c r="TUR1628" s="1"/>
      <c r="TUS1628" s="1"/>
      <c r="TUT1628" s="1"/>
      <c r="TUU1628" s="1"/>
      <c r="TUV1628" s="1"/>
      <c r="TUW1628" s="1"/>
      <c r="TUX1628" s="1"/>
      <c r="TUY1628" s="1"/>
      <c r="TUZ1628" s="1"/>
      <c r="TVA1628" s="1"/>
      <c r="TVB1628" s="1"/>
      <c r="TVC1628" s="1"/>
      <c r="TVD1628" s="1"/>
      <c r="TVE1628" s="1"/>
      <c r="TVF1628" s="1"/>
      <c r="TVG1628" s="1"/>
      <c r="TVH1628" s="1"/>
      <c r="TVI1628" s="1"/>
      <c r="TVJ1628" s="1"/>
      <c r="TVK1628" s="1"/>
      <c r="TVL1628" s="1"/>
      <c r="TVM1628" s="1"/>
      <c r="TVN1628" s="1"/>
      <c r="TVO1628" s="1"/>
      <c r="TVP1628" s="1"/>
      <c r="TVQ1628" s="1"/>
      <c r="TVR1628" s="1"/>
      <c r="TVS1628" s="1"/>
      <c r="TVT1628" s="1"/>
      <c r="TVU1628" s="1"/>
      <c r="TVV1628" s="1"/>
      <c r="TVW1628" s="1"/>
      <c r="TVX1628" s="1"/>
      <c r="TVY1628" s="1"/>
      <c r="TVZ1628" s="1"/>
      <c r="TWA1628" s="1"/>
      <c r="TWB1628" s="1"/>
      <c r="TWC1628" s="1"/>
      <c r="TWD1628" s="1"/>
      <c r="TWE1628" s="1"/>
      <c r="TWF1628" s="1"/>
      <c r="TWG1628" s="1"/>
      <c r="TWH1628" s="1"/>
      <c r="TWI1628" s="1"/>
      <c r="TWJ1628" s="1"/>
      <c r="TWK1628" s="1"/>
      <c r="TWL1628" s="1"/>
      <c r="TWM1628" s="1"/>
      <c r="TWN1628" s="1"/>
      <c r="TWO1628" s="1"/>
      <c r="TWP1628" s="1"/>
      <c r="TWQ1628" s="1"/>
      <c r="TWR1628" s="1"/>
      <c r="TWS1628" s="1"/>
      <c r="TWT1628" s="1"/>
      <c r="TWU1628" s="1"/>
      <c r="TWV1628" s="1"/>
      <c r="TWW1628" s="1"/>
      <c r="TWX1628" s="1"/>
      <c r="TWY1628" s="1"/>
      <c r="TWZ1628" s="1"/>
      <c r="TXA1628" s="1"/>
      <c r="TXB1628" s="1"/>
      <c r="TXC1628" s="1"/>
      <c r="TXD1628" s="1"/>
      <c r="TXE1628" s="1"/>
      <c r="TXF1628" s="1"/>
      <c r="TXG1628" s="1"/>
      <c r="TXH1628" s="1"/>
      <c r="TXI1628" s="1"/>
      <c r="TXJ1628" s="1"/>
      <c r="TXK1628" s="1"/>
      <c r="TXL1628" s="1"/>
      <c r="TXM1628" s="1"/>
      <c r="TXN1628" s="1"/>
      <c r="TXO1628" s="1"/>
      <c r="TXP1628" s="1"/>
      <c r="TXQ1628" s="1"/>
      <c r="TXR1628" s="1"/>
      <c r="TXS1628" s="1"/>
      <c r="TXT1628" s="1"/>
      <c r="TXU1628" s="1"/>
      <c r="TXV1628" s="1"/>
      <c r="TXW1628" s="1"/>
      <c r="TXX1628" s="1"/>
      <c r="TXY1628" s="1"/>
      <c r="TXZ1628" s="1"/>
      <c r="TYA1628" s="1"/>
      <c r="TYB1628" s="1"/>
      <c r="TYC1628" s="1"/>
      <c r="TYD1628" s="1"/>
      <c r="TYE1628" s="1"/>
      <c r="TYF1628" s="1"/>
      <c r="TYG1628" s="1"/>
      <c r="TYH1628" s="1"/>
      <c r="TYI1628" s="1"/>
      <c r="TYJ1628" s="1"/>
      <c r="TYK1628" s="1"/>
      <c r="TYL1628" s="1"/>
      <c r="TYM1628" s="1"/>
      <c r="TYN1628" s="1"/>
      <c r="TYO1628" s="1"/>
      <c r="TYP1628" s="1"/>
      <c r="TYQ1628" s="1"/>
      <c r="TYR1628" s="1"/>
      <c r="TYS1628" s="1"/>
      <c r="TYT1628" s="1"/>
      <c r="TYU1628" s="1"/>
      <c r="TYV1628" s="1"/>
      <c r="TYW1628" s="1"/>
      <c r="TYX1628" s="1"/>
      <c r="TYY1628" s="1"/>
      <c r="TYZ1628" s="1"/>
      <c r="TZA1628" s="1"/>
      <c r="TZB1628" s="1"/>
      <c r="TZC1628" s="1"/>
      <c r="TZD1628" s="1"/>
      <c r="TZE1628" s="1"/>
      <c r="TZF1628" s="1"/>
      <c r="TZG1628" s="1"/>
      <c r="TZH1628" s="1"/>
      <c r="TZI1628" s="1"/>
      <c r="TZJ1628" s="1"/>
      <c r="TZK1628" s="1"/>
      <c r="TZL1628" s="1"/>
      <c r="TZM1628" s="1"/>
      <c r="TZN1628" s="1"/>
      <c r="TZO1628" s="1"/>
      <c r="TZP1628" s="1"/>
      <c r="TZQ1628" s="1"/>
      <c r="TZR1628" s="1"/>
      <c r="TZS1628" s="1"/>
      <c r="TZT1628" s="1"/>
      <c r="TZU1628" s="1"/>
      <c r="TZV1628" s="1"/>
      <c r="TZW1628" s="1"/>
      <c r="TZX1628" s="1"/>
      <c r="TZY1628" s="1"/>
      <c r="TZZ1628" s="1"/>
      <c r="UAA1628" s="1"/>
      <c r="UAB1628" s="1"/>
      <c r="UAC1628" s="1"/>
      <c r="UAD1628" s="1"/>
      <c r="UAE1628" s="1"/>
      <c r="UAF1628" s="1"/>
      <c r="UAG1628" s="1"/>
      <c r="UAH1628" s="1"/>
      <c r="UAI1628" s="1"/>
      <c r="UAJ1628" s="1"/>
      <c r="UAK1628" s="1"/>
      <c r="UAL1628" s="1"/>
      <c r="UAM1628" s="1"/>
      <c r="UAN1628" s="1"/>
      <c r="UAO1628" s="1"/>
      <c r="UAP1628" s="1"/>
      <c r="UAQ1628" s="1"/>
      <c r="UAR1628" s="1"/>
      <c r="UAS1628" s="1"/>
      <c r="UAT1628" s="1"/>
      <c r="UAU1628" s="1"/>
      <c r="UAV1628" s="1"/>
      <c r="UAW1628" s="1"/>
      <c r="UAX1628" s="1"/>
      <c r="UAY1628" s="1"/>
      <c r="UAZ1628" s="1"/>
      <c r="UBA1628" s="1"/>
      <c r="UBB1628" s="1"/>
      <c r="UBC1628" s="1"/>
      <c r="UBD1628" s="1"/>
      <c r="UBE1628" s="1"/>
      <c r="UBF1628" s="1"/>
      <c r="UBG1628" s="1"/>
      <c r="UBH1628" s="1"/>
      <c r="UBI1628" s="1"/>
      <c r="UBJ1628" s="1"/>
      <c r="UBK1628" s="1"/>
      <c r="UBL1628" s="1"/>
      <c r="UBM1628" s="1"/>
      <c r="UBN1628" s="1"/>
      <c r="UBO1628" s="1"/>
      <c r="UBP1628" s="1"/>
      <c r="UBQ1628" s="1"/>
      <c r="UBR1628" s="1"/>
      <c r="UBS1628" s="1"/>
      <c r="UBT1628" s="1"/>
      <c r="UBU1628" s="1"/>
      <c r="UBV1628" s="1"/>
      <c r="UBW1628" s="1"/>
      <c r="UBX1628" s="1"/>
      <c r="UBY1628" s="1"/>
      <c r="UBZ1628" s="1"/>
      <c r="UCA1628" s="1"/>
      <c r="UCB1628" s="1"/>
      <c r="UCC1628" s="1"/>
      <c r="UCD1628" s="1"/>
      <c r="UCE1628" s="1"/>
      <c r="UCF1628" s="1"/>
      <c r="UCG1628" s="1"/>
      <c r="UCH1628" s="1"/>
      <c r="UCI1628" s="1"/>
      <c r="UCJ1628" s="1"/>
      <c r="UCK1628" s="1"/>
      <c r="UCL1628" s="1"/>
      <c r="UCM1628" s="1"/>
      <c r="UCN1628" s="1"/>
      <c r="UCO1628" s="1"/>
      <c r="UCP1628" s="1"/>
      <c r="UCQ1628" s="1"/>
      <c r="UCR1628" s="1"/>
      <c r="UCS1628" s="1"/>
      <c r="UCT1628" s="1"/>
      <c r="UCU1628" s="1"/>
      <c r="UCV1628" s="1"/>
      <c r="UCW1628" s="1"/>
      <c r="UCX1628" s="1"/>
      <c r="UCY1628" s="1"/>
      <c r="UCZ1628" s="1"/>
      <c r="UDA1628" s="1"/>
      <c r="UDB1628" s="1"/>
      <c r="UDC1628" s="1"/>
      <c r="UDD1628" s="1"/>
      <c r="UDE1628" s="1"/>
      <c r="UDF1628" s="1"/>
      <c r="UDG1628" s="1"/>
      <c r="UDH1628" s="1"/>
      <c r="UDI1628" s="1"/>
      <c r="UDJ1628" s="1"/>
      <c r="UDK1628" s="1"/>
      <c r="UDL1628" s="1"/>
      <c r="UDM1628" s="1"/>
      <c r="UDN1628" s="1"/>
      <c r="UDO1628" s="1"/>
      <c r="UDP1628" s="1"/>
      <c r="UDQ1628" s="1"/>
      <c r="UDR1628" s="1"/>
      <c r="UDS1628" s="1"/>
      <c r="UDT1628" s="1"/>
      <c r="UDU1628" s="1"/>
      <c r="UDV1628" s="1"/>
      <c r="UDW1628" s="1"/>
      <c r="UDX1628" s="1"/>
      <c r="UDY1628" s="1"/>
      <c r="UDZ1628" s="1"/>
      <c r="UEA1628" s="1"/>
      <c r="UEB1628" s="1"/>
      <c r="UEC1628" s="1"/>
      <c r="UED1628" s="1"/>
      <c r="UEE1628" s="1"/>
      <c r="UEF1628" s="1"/>
      <c r="UEG1628" s="1"/>
      <c r="UEH1628" s="1"/>
      <c r="UEI1628" s="1"/>
      <c r="UEJ1628" s="1"/>
      <c r="UEK1628" s="1"/>
      <c r="UEL1628" s="1"/>
      <c r="UEM1628" s="1"/>
      <c r="UEN1628" s="1"/>
      <c r="UEO1628" s="1"/>
      <c r="UEP1628" s="1"/>
      <c r="UEQ1628" s="1"/>
      <c r="UER1628" s="1"/>
      <c r="UES1628" s="1"/>
      <c r="UET1628" s="1"/>
      <c r="UEU1628" s="1"/>
      <c r="UEV1628" s="1"/>
      <c r="UEW1628" s="1"/>
      <c r="UEX1628" s="1"/>
      <c r="UEY1628" s="1"/>
      <c r="UEZ1628" s="1"/>
      <c r="UFA1628" s="1"/>
      <c r="UFB1628" s="1"/>
      <c r="UFC1628" s="1"/>
      <c r="UFD1628" s="1"/>
      <c r="UFE1628" s="1"/>
      <c r="UFF1628" s="1"/>
      <c r="UFG1628" s="1"/>
      <c r="UFH1628" s="1"/>
      <c r="UFI1628" s="1"/>
      <c r="UFJ1628" s="1"/>
      <c r="UFK1628" s="1"/>
      <c r="UFL1628" s="1"/>
      <c r="UFM1628" s="1"/>
      <c r="UFN1628" s="1"/>
      <c r="UFO1628" s="1"/>
      <c r="UFP1628" s="1"/>
      <c r="UFQ1628" s="1"/>
      <c r="UFR1628" s="1"/>
      <c r="UFS1628" s="1"/>
      <c r="UFT1628" s="1"/>
      <c r="UFU1628" s="1"/>
      <c r="UFV1628" s="1"/>
      <c r="UFW1628" s="1"/>
      <c r="UFX1628" s="1"/>
      <c r="UFY1628" s="1"/>
      <c r="UFZ1628" s="1"/>
      <c r="UGA1628" s="1"/>
      <c r="UGB1628" s="1"/>
      <c r="UGC1628" s="1"/>
      <c r="UGD1628" s="1"/>
      <c r="UGE1628" s="1"/>
      <c r="UGF1628" s="1"/>
      <c r="UGG1628" s="1"/>
      <c r="UGH1628" s="1"/>
      <c r="UGI1628" s="1"/>
      <c r="UGJ1628" s="1"/>
      <c r="UGK1628" s="1"/>
      <c r="UGL1628" s="1"/>
      <c r="UGM1628" s="1"/>
      <c r="UGN1628" s="1"/>
      <c r="UGO1628" s="1"/>
      <c r="UGP1628" s="1"/>
      <c r="UGQ1628" s="1"/>
      <c r="UGR1628" s="1"/>
      <c r="UGS1628" s="1"/>
      <c r="UGT1628" s="1"/>
      <c r="UGU1628" s="1"/>
      <c r="UGV1628" s="1"/>
      <c r="UGW1628" s="1"/>
      <c r="UGX1628" s="1"/>
      <c r="UGY1628" s="1"/>
      <c r="UGZ1628" s="1"/>
      <c r="UHA1628" s="1"/>
      <c r="UHB1628" s="1"/>
      <c r="UHC1628" s="1"/>
      <c r="UHD1628" s="1"/>
      <c r="UHE1628" s="1"/>
      <c r="UHF1628" s="1"/>
      <c r="UHG1628" s="1"/>
      <c r="UHH1628" s="1"/>
      <c r="UHI1628" s="1"/>
      <c r="UHJ1628" s="1"/>
      <c r="UHK1628" s="1"/>
      <c r="UHL1628" s="1"/>
      <c r="UHM1628" s="1"/>
      <c r="UHN1628" s="1"/>
      <c r="UHO1628" s="1"/>
      <c r="UHP1628" s="1"/>
      <c r="UHQ1628" s="1"/>
      <c r="UHR1628" s="1"/>
      <c r="UHS1628" s="1"/>
      <c r="UHT1628" s="1"/>
      <c r="UHU1628" s="1"/>
      <c r="UHV1628" s="1"/>
      <c r="UHW1628" s="1"/>
      <c r="UHX1628" s="1"/>
      <c r="UHY1628" s="1"/>
      <c r="UHZ1628" s="1"/>
      <c r="UIA1628" s="1"/>
      <c r="UIB1628" s="1"/>
      <c r="UIC1628" s="1"/>
      <c r="UID1628" s="1"/>
      <c r="UIE1628" s="1"/>
      <c r="UIF1628" s="1"/>
      <c r="UIG1628" s="1"/>
      <c r="UIH1628" s="1"/>
      <c r="UII1628" s="1"/>
      <c r="UIJ1628" s="1"/>
      <c r="UIK1628" s="1"/>
      <c r="UIL1628" s="1"/>
      <c r="UIM1628" s="1"/>
      <c r="UIN1628" s="1"/>
      <c r="UIO1628" s="1"/>
      <c r="UIP1628" s="1"/>
      <c r="UIQ1628" s="1"/>
      <c r="UIR1628" s="1"/>
      <c r="UIS1628" s="1"/>
      <c r="UIT1628" s="1"/>
      <c r="UIU1628" s="1"/>
      <c r="UIV1628" s="1"/>
      <c r="UIW1628" s="1"/>
      <c r="UIX1628" s="1"/>
      <c r="UIY1628" s="1"/>
      <c r="UIZ1628" s="1"/>
      <c r="UJA1628" s="1"/>
      <c r="UJB1628" s="1"/>
      <c r="UJC1628" s="1"/>
      <c r="UJD1628" s="1"/>
      <c r="UJE1628" s="1"/>
      <c r="UJF1628" s="1"/>
      <c r="UJG1628" s="1"/>
      <c r="UJH1628" s="1"/>
      <c r="UJI1628" s="1"/>
      <c r="UJJ1628" s="1"/>
      <c r="UJK1628" s="1"/>
      <c r="UJL1628" s="1"/>
      <c r="UJM1628" s="1"/>
      <c r="UJN1628" s="1"/>
      <c r="UJO1628" s="1"/>
      <c r="UJP1628" s="1"/>
      <c r="UJQ1628" s="1"/>
      <c r="UJR1628" s="1"/>
      <c r="UJS1628" s="1"/>
      <c r="UJT1628" s="1"/>
      <c r="UJU1628" s="1"/>
      <c r="UJV1628" s="1"/>
      <c r="UJW1628" s="1"/>
      <c r="UJX1628" s="1"/>
      <c r="UJY1628" s="1"/>
      <c r="UJZ1628" s="1"/>
      <c r="UKA1628" s="1"/>
      <c r="UKB1628" s="1"/>
      <c r="UKC1628" s="1"/>
      <c r="UKD1628" s="1"/>
      <c r="UKE1628" s="1"/>
      <c r="UKF1628" s="1"/>
      <c r="UKG1628" s="1"/>
      <c r="UKH1628" s="1"/>
      <c r="UKI1628" s="1"/>
      <c r="UKJ1628" s="1"/>
      <c r="UKK1628" s="1"/>
      <c r="UKL1628" s="1"/>
      <c r="UKM1628" s="1"/>
      <c r="UKN1628" s="1"/>
      <c r="UKO1628" s="1"/>
      <c r="UKP1628" s="1"/>
      <c r="UKQ1628" s="1"/>
      <c r="UKR1628" s="1"/>
      <c r="UKS1628" s="1"/>
      <c r="UKT1628" s="1"/>
      <c r="UKU1628" s="1"/>
      <c r="UKV1628" s="1"/>
      <c r="UKW1628" s="1"/>
      <c r="UKX1628" s="1"/>
      <c r="UKY1628" s="1"/>
      <c r="UKZ1628" s="1"/>
      <c r="ULA1628" s="1"/>
      <c r="ULB1628" s="1"/>
      <c r="ULC1628" s="1"/>
      <c r="ULD1628" s="1"/>
      <c r="ULE1628" s="1"/>
      <c r="ULF1628" s="1"/>
      <c r="ULG1628" s="1"/>
      <c r="ULH1628" s="1"/>
      <c r="ULI1628" s="1"/>
      <c r="ULJ1628" s="1"/>
      <c r="ULK1628" s="1"/>
      <c r="ULL1628" s="1"/>
      <c r="ULM1628" s="1"/>
      <c r="ULN1628" s="1"/>
      <c r="ULO1628" s="1"/>
      <c r="ULP1628" s="1"/>
      <c r="ULQ1628" s="1"/>
      <c r="ULR1628" s="1"/>
      <c r="ULS1628" s="1"/>
      <c r="ULT1628" s="1"/>
      <c r="ULU1628" s="1"/>
      <c r="ULV1628" s="1"/>
      <c r="ULW1628" s="1"/>
      <c r="ULX1628" s="1"/>
      <c r="ULY1628" s="1"/>
      <c r="ULZ1628" s="1"/>
      <c r="UMA1628" s="1"/>
      <c r="UMB1628" s="1"/>
      <c r="UMC1628" s="1"/>
      <c r="UMD1628" s="1"/>
      <c r="UME1628" s="1"/>
      <c r="UMF1628" s="1"/>
      <c r="UMG1628" s="1"/>
      <c r="UMH1628" s="1"/>
      <c r="UMI1628" s="1"/>
      <c r="UMJ1628" s="1"/>
      <c r="UMK1628" s="1"/>
      <c r="UML1628" s="1"/>
      <c r="UMM1628" s="1"/>
      <c r="UMN1628" s="1"/>
      <c r="UMO1628" s="1"/>
      <c r="UMP1628" s="1"/>
      <c r="UMQ1628" s="1"/>
      <c r="UMR1628" s="1"/>
      <c r="UMS1628" s="1"/>
      <c r="UMT1628" s="1"/>
      <c r="UMU1628" s="1"/>
      <c r="UMV1628" s="1"/>
      <c r="UMW1628" s="1"/>
      <c r="UMX1628" s="1"/>
      <c r="UMY1628" s="1"/>
      <c r="UMZ1628" s="1"/>
      <c r="UNA1628" s="1"/>
      <c r="UNB1628" s="1"/>
      <c r="UNC1628" s="1"/>
      <c r="UND1628" s="1"/>
      <c r="UNE1628" s="1"/>
      <c r="UNF1628" s="1"/>
      <c r="UNG1628" s="1"/>
      <c r="UNH1628" s="1"/>
      <c r="UNI1628" s="1"/>
      <c r="UNJ1628" s="1"/>
      <c r="UNK1628" s="1"/>
      <c r="UNL1628" s="1"/>
      <c r="UNM1628" s="1"/>
      <c r="UNN1628" s="1"/>
      <c r="UNO1628" s="1"/>
      <c r="UNP1628" s="1"/>
      <c r="UNQ1628" s="1"/>
      <c r="UNR1628" s="1"/>
      <c r="UNS1628" s="1"/>
      <c r="UNT1628" s="1"/>
      <c r="UNU1628" s="1"/>
      <c r="UNV1628" s="1"/>
      <c r="UNW1628" s="1"/>
      <c r="UNX1628" s="1"/>
      <c r="UNY1628" s="1"/>
      <c r="UNZ1628" s="1"/>
      <c r="UOA1628" s="1"/>
      <c r="UOB1628" s="1"/>
      <c r="UOC1628" s="1"/>
      <c r="UOD1628" s="1"/>
      <c r="UOE1628" s="1"/>
      <c r="UOF1628" s="1"/>
      <c r="UOG1628" s="1"/>
      <c r="UOH1628" s="1"/>
      <c r="UOI1628" s="1"/>
      <c r="UOJ1628" s="1"/>
      <c r="UOK1628" s="1"/>
      <c r="UOL1628" s="1"/>
      <c r="UOM1628" s="1"/>
      <c r="UON1628" s="1"/>
      <c r="UOO1628" s="1"/>
      <c r="UOP1628" s="1"/>
      <c r="UOQ1628" s="1"/>
      <c r="UOR1628" s="1"/>
      <c r="UOS1628" s="1"/>
      <c r="UOT1628" s="1"/>
      <c r="UOU1628" s="1"/>
      <c r="UOV1628" s="1"/>
      <c r="UOW1628" s="1"/>
      <c r="UOX1628" s="1"/>
      <c r="UOY1628" s="1"/>
      <c r="UOZ1628" s="1"/>
      <c r="UPA1628" s="1"/>
      <c r="UPB1628" s="1"/>
      <c r="UPC1628" s="1"/>
      <c r="UPD1628" s="1"/>
      <c r="UPE1628" s="1"/>
      <c r="UPF1628" s="1"/>
      <c r="UPG1628" s="1"/>
      <c r="UPH1628" s="1"/>
      <c r="UPI1628" s="1"/>
      <c r="UPJ1628" s="1"/>
      <c r="UPK1628" s="1"/>
      <c r="UPL1628" s="1"/>
      <c r="UPM1628" s="1"/>
      <c r="UPN1628" s="1"/>
      <c r="UPO1628" s="1"/>
      <c r="UPP1628" s="1"/>
      <c r="UPQ1628" s="1"/>
      <c r="UPR1628" s="1"/>
      <c r="UPS1628" s="1"/>
      <c r="UPT1628" s="1"/>
      <c r="UPU1628" s="1"/>
      <c r="UPV1628" s="1"/>
      <c r="UPW1628" s="1"/>
      <c r="UPX1628" s="1"/>
      <c r="UPY1628" s="1"/>
      <c r="UPZ1628" s="1"/>
      <c r="UQA1628" s="1"/>
      <c r="UQB1628" s="1"/>
      <c r="UQC1628" s="1"/>
      <c r="UQD1628" s="1"/>
      <c r="UQE1628" s="1"/>
      <c r="UQF1628" s="1"/>
      <c r="UQG1628" s="1"/>
      <c r="UQH1628" s="1"/>
      <c r="UQI1628" s="1"/>
      <c r="UQJ1628" s="1"/>
      <c r="UQK1628" s="1"/>
      <c r="UQL1628" s="1"/>
      <c r="UQM1628" s="1"/>
      <c r="UQN1628" s="1"/>
      <c r="UQO1628" s="1"/>
      <c r="UQP1628" s="1"/>
      <c r="UQQ1628" s="1"/>
      <c r="UQR1628" s="1"/>
      <c r="UQS1628" s="1"/>
      <c r="UQT1628" s="1"/>
      <c r="UQU1628" s="1"/>
      <c r="UQV1628" s="1"/>
      <c r="UQW1628" s="1"/>
      <c r="UQX1628" s="1"/>
      <c r="UQY1628" s="1"/>
      <c r="UQZ1628" s="1"/>
      <c r="URA1628" s="1"/>
      <c r="URB1628" s="1"/>
      <c r="URC1628" s="1"/>
      <c r="URD1628" s="1"/>
      <c r="URE1628" s="1"/>
      <c r="URF1628" s="1"/>
      <c r="URG1628" s="1"/>
      <c r="URH1628" s="1"/>
      <c r="URI1628" s="1"/>
      <c r="URJ1628" s="1"/>
      <c r="URK1628" s="1"/>
      <c r="URL1628" s="1"/>
      <c r="URM1628" s="1"/>
      <c r="URN1628" s="1"/>
      <c r="URO1628" s="1"/>
      <c r="URP1628" s="1"/>
      <c r="URQ1628" s="1"/>
      <c r="URR1628" s="1"/>
      <c r="URS1628" s="1"/>
      <c r="URT1628" s="1"/>
      <c r="URU1628" s="1"/>
      <c r="URV1628" s="1"/>
      <c r="URW1628" s="1"/>
      <c r="URX1628" s="1"/>
      <c r="URY1628" s="1"/>
      <c r="URZ1628" s="1"/>
      <c r="USA1628" s="1"/>
      <c r="USB1628" s="1"/>
      <c r="USC1628" s="1"/>
      <c r="USD1628" s="1"/>
      <c r="USE1628" s="1"/>
      <c r="USF1628" s="1"/>
      <c r="USG1628" s="1"/>
      <c r="USH1628" s="1"/>
      <c r="USI1628" s="1"/>
      <c r="USJ1628" s="1"/>
      <c r="USK1628" s="1"/>
      <c r="USL1628" s="1"/>
      <c r="USM1628" s="1"/>
      <c r="USN1628" s="1"/>
      <c r="USO1628" s="1"/>
      <c r="USP1628" s="1"/>
      <c r="USQ1628" s="1"/>
      <c r="USR1628" s="1"/>
      <c r="USS1628" s="1"/>
      <c r="UST1628" s="1"/>
      <c r="USU1628" s="1"/>
      <c r="USV1628" s="1"/>
      <c r="USW1628" s="1"/>
      <c r="USX1628" s="1"/>
      <c r="USY1628" s="1"/>
      <c r="USZ1628" s="1"/>
      <c r="UTA1628" s="1"/>
      <c r="UTB1628" s="1"/>
      <c r="UTC1628" s="1"/>
      <c r="UTD1628" s="1"/>
      <c r="UTE1628" s="1"/>
      <c r="UTF1628" s="1"/>
      <c r="UTG1628" s="1"/>
      <c r="UTH1628" s="1"/>
      <c r="UTI1628" s="1"/>
      <c r="UTJ1628" s="1"/>
      <c r="UTK1628" s="1"/>
      <c r="UTL1628" s="1"/>
      <c r="UTM1628" s="1"/>
      <c r="UTN1628" s="1"/>
      <c r="UTO1628" s="1"/>
      <c r="UTP1628" s="1"/>
      <c r="UTQ1628" s="1"/>
      <c r="UTR1628" s="1"/>
      <c r="UTS1628" s="1"/>
      <c r="UTT1628" s="1"/>
      <c r="UTU1628" s="1"/>
      <c r="UTV1628" s="1"/>
      <c r="UTW1628" s="1"/>
      <c r="UTX1628" s="1"/>
      <c r="UTY1628" s="1"/>
      <c r="UTZ1628" s="1"/>
      <c r="UUA1628" s="1"/>
      <c r="UUB1628" s="1"/>
      <c r="UUC1628" s="1"/>
      <c r="UUD1628" s="1"/>
      <c r="UUE1628" s="1"/>
      <c r="UUF1628" s="1"/>
      <c r="UUG1628" s="1"/>
      <c r="UUH1628" s="1"/>
      <c r="UUI1628" s="1"/>
      <c r="UUJ1628" s="1"/>
      <c r="UUK1628" s="1"/>
      <c r="UUL1628" s="1"/>
      <c r="UUM1628" s="1"/>
      <c r="UUN1628" s="1"/>
      <c r="UUO1628" s="1"/>
      <c r="UUP1628" s="1"/>
      <c r="UUQ1628" s="1"/>
      <c r="UUR1628" s="1"/>
      <c r="UUS1628" s="1"/>
      <c r="UUT1628" s="1"/>
      <c r="UUU1628" s="1"/>
      <c r="UUV1628" s="1"/>
      <c r="UUW1628" s="1"/>
      <c r="UUX1628" s="1"/>
      <c r="UUY1628" s="1"/>
      <c r="UUZ1628" s="1"/>
      <c r="UVA1628" s="1"/>
      <c r="UVB1628" s="1"/>
      <c r="UVC1628" s="1"/>
      <c r="UVD1628" s="1"/>
      <c r="UVE1628" s="1"/>
      <c r="UVF1628" s="1"/>
      <c r="UVG1628" s="1"/>
      <c r="UVH1628" s="1"/>
      <c r="UVI1628" s="1"/>
      <c r="UVJ1628" s="1"/>
      <c r="UVK1628" s="1"/>
      <c r="UVL1628" s="1"/>
      <c r="UVM1628" s="1"/>
      <c r="UVN1628" s="1"/>
      <c r="UVO1628" s="1"/>
      <c r="UVP1628" s="1"/>
      <c r="UVQ1628" s="1"/>
      <c r="UVR1628" s="1"/>
      <c r="UVS1628" s="1"/>
      <c r="UVT1628" s="1"/>
      <c r="UVU1628" s="1"/>
      <c r="UVV1628" s="1"/>
      <c r="UVW1628" s="1"/>
      <c r="UVX1628" s="1"/>
      <c r="UVY1628" s="1"/>
      <c r="UVZ1628" s="1"/>
      <c r="UWA1628" s="1"/>
      <c r="UWB1628" s="1"/>
      <c r="UWC1628" s="1"/>
      <c r="UWD1628" s="1"/>
      <c r="UWE1628" s="1"/>
      <c r="UWF1628" s="1"/>
      <c r="UWG1628" s="1"/>
      <c r="UWH1628" s="1"/>
      <c r="UWI1628" s="1"/>
      <c r="UWJ1628" s="1"/>
      <c r="UWK1628" s="1"/>
      <c r="UWL1628" s="1"/>
      <c r="UWM1628" s="1"/>
      <c r="UWN1628" s="1"/>
      <c r="UWO1628" s="1"/>
      <c r="UWP1628" s="1"/>
      <c r="UWQ1628" s="1"/>
      <c r="UWR1628" s="1"/>
      <c r="UWS1628" s="1"/>
      <c r="UWT1628" s="1"/>
      <c r="UWU1628" s="1"/>
      <c r="UWV1628" s="1"/>
      <c r="UWW1628" s="1"/>
      <c r="UWX1628" s="1"/>
      <c r="UWY1628" s="1"/>
      <c r="UWZ1628" s="1"/>
      <c r="UXA1628" s="1"/>
      <c r="UXB1628" s="1"/>
      <c r="UXC1628" s="1"/>
      <c r="UXD1628" s="1"/>
      <c r="UXE1628" s="1"/>
      <c r="UXF1628" s="1"/>
      <c r="UXG1628" s="1"/>
      <c r="UXH1628" s="1"/>
      <c r="UXI1628" s="1"/>
      <c r="UXJ1628" s="1"/>
      <c r="UXK1628" s="1"/>
      <c r="UXL1628" s="1"/>
      <c r="UXM1628" s="1"/>
      <c r="UXN1628" s="1"/>
      <c r="UXO1628" s="1"/>
      <c r="UXP1628" s="1"/>
      <c r="UXQ1628" s="1"/>
      <c r="UXR1628" s="1"/>
      <c r="UXS1628" s="1"/>
      <c r="UXT1628" s="1"/>
      <c r="UXU1628" s="1"/>
      <c r="UXV1628" s="1"/>
      <c r="UXW1628" s="1"/>
      <c r="UXX1628" s="1"/>
      <c r="UXY1628" s="1"/>
      <c r="UXZ1628" s="1"/>
      <c r="UYA1628" s="1"/>
      <c r="UYB1628" s="1"/>
      <c r="UYC1628" s="1"/>
      <c r="UYD1628" s="1"/>
      <c r="UYE1628" s="1"/>
      <c r="UYF1628" s="1"/>
      <c r="UYG1628" s="1"/>
      <c r="UYH1628" s="1"/>
      <c r="UYI1628" s="1"/>
      <c r="UYJ1628" s="1"/>
      <c r="UYK1628" s="1"/>
      <c r="UYL1628" s="1"/>
      <c r="UYM1628" s="1"/>
      <c r="UYN1628" s="1"/>
      <c r="UYO1628" s="1"/>
      <c r="UYP1628" s="1"/>
      <c r="UYQ1628" s="1"/>
      <c r="UYR1628" s="1"/>
      <c r="UYS1628" s="1"/>
      <c r="UYT1628" s="1"/>
      <c r="UYU1628" s="1"/>
      <c r="UYV1628" s="1"/>
      <c r="UYW1628" s="1"/>
      <c r="UYX1628" s="1"/>
      <c r="UYY1628" s="1"/>
      <c r="UYZ1628" s="1"/>
      <c r="UZA1628" s="1"/>
      <c r="UZB1628" s="1"/>
      <c r="UZC1628" s="1"/>
      <c r="UZD1628" s="1"/>
      <c r="UZE1628" s="1"/>
      <c r="UZF1628" s="1"/>
      <c r="UZG1628" s="1"/>
      <c r="UZH1628" s="1"/>
      <c r="UZI1628" s="1"/>
      <c r="UZJ1628" s="1"/>
      <c r="UZK1628" s="1"/>
      <c r="UZL1628" s="1"/>
      <c r="UZM1628" s="1"/>
      <c r="UZN1628" s="1"/>
      <c r="UZO1628" s="1"/>
      <c r="UZP1628" s="1"/>
      <c r="UZQ1628" s="1"/>
      <c r="UZR1628" s="1"/>
      <c r="UZS1628" s="1"/>
      <c r="UZT1628" s="1"/>
      <c r="UZU1628" s="1"/>
      <c r="UZV1628" s="1"/>
      <c r="UZW1628" s="1"/>
      <c r="UZX1628" s="1"/>
      <c r="UZY1628" s="1"/>
      <c r="UZZ1628" s="1"/>
      <c r="VAA1628" s="1"/>
      <c r="VAB1628" s="1"/>
      <c r="VAC1628" s="1"/>
      <c r="VAD1628" s="1"/>
      <c r="VAE1628" s="1"/>
      <c r="VAF1628" s="1"/>
      <c r="VAG1628" s="1"/>
      <c r="VAH1628" s="1"/>
      <c r="VAI1628" s="1"/>
      <c r="VAJ1628" s="1"/>
      <c r="VAK1628" s="1"/>
      <c r="VAL1628" s="1"/>
      <c r="VAM1628" s="1"/>
      <c r="VAN1628" s="1"/>
      <c r="VAO1628" s="1"/>
      <c r="VAP1628" s="1"/>
      <c r="VAQ1628" s="1"/>
      <c r="VAR1628" s="1"/>
      <c r="VAS1628" s="1"/>
      <c r="VAT1628" s="1"/>
      <c r="VAU1628" s="1"/>
      <c r="VAV1628" s="1"/>
      <c r="VAW1628" s="1"/>
      <c r="VAX1628" s="1"/>
      <c r="VAY1628" s="1"/>
      <c r="VAZ1628" s="1"/>
      <c r="VBA1628" s="1"/>
      <c r="VBB1628" s="1"/>
      <c r="VBC1628" s="1"/>
      <c r="VBD1628" s="1"/>
      <c r="VBE1628" s="1"/>
      <c r="VBF1628" s="1"/>
      <c r="VBG1628" s="1"/>
      <c r="VBH1628" s="1"/>
      <c r="VBI1628" s="1"/>
      <c r="VBJ1628" s="1"/>
      <c r="VBK1628" s="1"/>
      <c r="VBL1628" s="1"/>
      <c r="VBM1628" s="1"/>
      <c r="VBN1628" s="1"/>
      <c r="VBO1628" s="1"/>
      <c r="VBP1628" s="1"/>
      <c r="VBQ1628" s="1"/>
      <c r="VBR1628" s="1"/>
      <c r="VBS1628" s="1"/>
      <c r="VBT1628" s="1"/>
      <c r="VBU1628" s="1"/>
      <c r="VBV1628" s="1"/>
      <c r="VBW1628" s="1"/>
      <c r="VBX1628" s="1"/>
      <c r="VBY1628" s="1"/>
      <c r="VBZ1628" s="1"/>
      <c r="VCA1628" s="1"/>
      <c r="VCB1628" s="1"/>
      <c r="VCC1628" s="1"/>
      <c r="VCD1628" s="1"/>
      <c r="VCE1628" s="1"/>
      <c r="VCF1628" s="1"/>
      <c r="VCG1628" s="1"/>
      <c r="VCH1628" s="1"/>
      <c r="VCI1628" s="1"/>
      <c r="VCJ1628" s="1"/>
      <c r="VCK1628" s="1"/>
      <c r="VCL1628" s="1"/>
      <c r="VCM1628" s="1"/>
      <c r="VCN1628" s="1"/>
      <c r="VCO1628" s="1"/>
      <c r="VCP1628" s="1"/>
      <c r="VCQ1628" s="1"/>
      <c r="VCR1628" s="1"/>
      <c r="VCS1628" s="1"/>
      <c r="VCT1628" s="1"/>
      <c r="VCU1628" s="1"/>
      <c r="VCV1628" s="1"/>
      <c r="VCW1628" s="1"/>
      <c r="VCX1628" s="1"/>
      <c r="VCY1628" s="1"/>
      <c r="VCZ1628" s="1"/>
      <c r="VDA1628" s="1"/>
      <c r="VDB1628" s="1"/>
      <c r="VDC1628" s="1"/>
      <c r="VDD1628" s="1"/>
      <c r="VDE1628" s="1"/>
      <c r="VDF1628" s="1"/>
      <c r="VDG1628" s="1"/>
      <c r="VDH1628" s="1"/>
      <c r="VDI1628" s="1"/>
      <c r="VDJ1628" s="1"/>
      <c r="VDK1628" s="1"/>
      <c r="VDL1628" s="1"/>
      <c r="VDM1628" s="1"/>
      <c r="VDN1628" s="1"/>
      <c r="VDO1628" s="1"/>
      <c r="VDP1628" s="1"/>
      <c r="VDQ1628" s="1"/>
      <c r="VDR1628" s="1"/>
      <c r="VDS1628" s="1"/>
      <c r="VDT1628" s="1"/>
      <c r="VDU1628" s="1"/>
      <c r="VDV1628" s="1"/>
      <c r="VDW1628" s="1"/>
      <c r="VDX1628" s="1"/>
      <c r="VDY1628" s="1"/>
      <c r="VDZ1628" s="1"/>
      <c r="VEA1628" s="1"/>
      <c r="VEB1628" s="1"/>
      <c r="VEC1628" s="1"/>
      <c r="VED1628" s="1"/>
      <c r="VEE1628" s="1"/>
      <c r="VEF1628" s="1"/>
      <c r="VEG1628" s="1"/>
      <c r="VEH1628" s="1"/>
      <c r="VEI1628" s="1"/>
      <c r="VEJ1628" s="1"/>
      <c r="VEK1628" s="1"/>
      <c r="VEL1628" s="1"/>
      <c r="VEM1628" s="1"/>
      <c r="VEN1628" s="1"/>
      <c r="VEO1628" s="1"/>
      <c r="VEP1628" s="1"/>
      <c r="VEQ1628" s="1"/>
      <c r="VER1628" s="1"/>
      <c r="VES1628" s="1"/>
      <c r="VET1628" s="1"/>
      <c r="VEU1628" s="1"/>
      <c r="VEV1628" s="1"/>
      <c r="VEW1628" s="1"/>
      <c r="VEX1628" s="1"/>
      <c r="VEY1628" s="1"/>
      <c r="VEZ1628" s="1"/>
      <c r="VFA1628" s="1"/>
      <c r="VFB1628" s="1"/>
      <c r="VFC1628" s="1"/>
      <c r="VFD1628" s="1"/>
      <c r="VFE1628" s="1"/>
      <c r="VFF1628" s="1"/>
      <c r="VFG1628" s="1"/>
      <c r="VFH1628" s="1"/>
      <c r="VFI1628" s="1"/>
      <c r="VFJ1628" s="1"/>
      <c r="VFK1628" s="1"/>
      <c r="VFL1628" s="1"/>
      <c r="VFM1628" s="1"/>
      <c r="VFN1628" s="1"/>
      <c r="VFO1628" s="1"/>
      <c r="VFP1628" s="1"/>
      <c r="VFQ1628" s="1"/>
      <c r="VFR1628" s="1"/>
      <c r="VFS1628" s="1"/>
      <c r="VFT1628" s="1"/>
      <c r="VFU1628" s="1"/>
      <c r="VFV1628" s="1"/>
      <c r="VFW1628" s="1"/>
      <c r="VFX1628" s="1"/>
      <c r="VFY1628" s="1"/>
      <c r="VFZ1628" s="1"/>
      <c r="VGA1628" s="1"/>
      <c r="VGB1628" s="1"/>
      <c r="VGC1628" s="1"/>
      <c r="VGD1628" s="1"/>
      <c r="VGE1628" s="1"/>
      <c r="VGF1628" s="1"/>
      <c r="VGG1628" s="1"/>
      <c r="VGH1628" s="1"/>
      <c r="VGI1628" s="1"/>
      <c r="VGJ1628" s="1"/>
      <c r="VGK1628" s="1"/>
      <c r="VGL1628" s="1"/>
      <c r="VGM1628" s="1"/>
      <c r="VGN1628" s="1"/>
      <c r="VGO1628" s="1"/>
      <c r="VGP1628" s="1"/>
      <c r="VGQ1628" s="1"/>
      <c r="VGR1628" s="1"/>
      <c r="VGS1628" s="1"/>
      <c r="VGT1628" s="1"/>
      <c r="VGU1628" s="1"/>
      <c r="VGV1628" s="1"/>
      <c r="VGW1628" s="1"/>
      <c r="VGX1628" s="1"/>
      <c r="VGY1628" s="1"/>
      <c r="VGZ1628" s="1"/>
      <c r="VHA1628" s="1"/>
      <c r="VHB1628" s="1"/>
      <c r="VHC1628" s="1"/>
      <c r="VHD1628" s="1"/>
      <c r="VHE1628" s="1"/>
      <c r="VHF1628" s="1"/>
      <c r="VHG1628" s="1"/>
      <c r="VHH1628" s="1"/>
      <c r="VHI1628" s="1"/>
      <c r="VHJ1628" s="1"/>
      <c r="VHK1628" s="1"/>
      <c r="VHL1628" s="1"/>
      <c r="VHM1628" s="1"/>
      <c r="VHN1628" s="1"/>
      <c r="VHO1628" s="1"/>
      <c r="VHP1628" s="1"/>
      <c r="VHQ1628" s="1"/>
      <c r="VHR1628" s="1"/>
      <c r="VHS1628" s="1"/>
      <c r="VHT1628" s="1"/>
      <c r="VHU1628" s="1"/>
      <c r="VHV1628" s="1"/>
      <c r="VHW1628" s="1"/>
      <c r="VHX1628" s="1"/>
      <c r="VHY1628" s="1"/>
      <c r="VHZ1628" s="1"/>
      <c r="VIA1628" s="1"/>
      <c r="VIB1628" s="1"/>
      <c r="VIC1628" s="1"/>
      <c r="VID1628" s="1"/>
      <c r="VIE1628" s="1"/>
      <c r="VIF1628" s="1"/>
      <c r="VIG1628" s="1"/>
      <c r="VIH1628" s="1"/>
      <c r="VII1628" s="1"/>
      <c r="VIJ1628" s="1"/>
      <c r="VIK1628" s="1"/>
      <c r="VIL1628" s="1"/>
      <c r="VIM1628" s="1"/>
      <c r="VIN1628" s="1"/>
      <c r="VIO1628" s="1"/>
      <c r="VIP1628" s="1"/>
      <c r="VIQ1628" s="1"/>
      <c r="VIR1628" s="1"/>
      <c r="VIS1628" s="1"/>
      <c r="VIT1628" s="1"/>
      <c r="VIU1628" s="1"/>
      <c r="VIV1628" s="1"/>
      <c r="VIW1628" s="1"/>
      <c r="VIX1628" s="1"/>
      <c r="VIY1628" s="1"/>
      <c r="VIZ1628" s="1"/>
      <c r="VJA1628" s="1"/>
      <c r="VJB1628" s="1"/>
      <c r="VJC1628" s="1"/>
      <c r="VJD1628" s="1"/>
      <c r="VJE1628" s="1"/>
      <c r="VJF1628" s="1"/>
      <c r="VJG1628" s="1"/>
      <c r="VJH1628" s="1"/>
      <c r="VJI1628" s="1"/>
      <c r="VJJ1628" s="1"/>
      <c r="VJK1628" s="1"/>
      <c r="VJL1628" s="1"/>
      <c r="VJM1628" s="1"/>
      <c r="VJN1628" s="1"/>
      <c r="VJO1628" s="1"/>
      <c r="VJP1628" s="1"/>
      <c r="VJQ1628" s="1"/>
      <c r="VJR1628" s="1"/>
      <c r="VJS1628" s="1"/>
      <c r="VJT1628" s="1"/>
      <c r="VJU1628" s="1"/>
      <c r="VJV1628" s="1"/>
      <c r="VJW1628" s="1"/>
      <c r="VJX1628" s="1"/>
      <c r="VJY1628" s="1"/>
      <c r="VJZ1628" s="1"/>
      <c r="VKA1628" s="1"/>
      <c r="VKB1628" s="1"/>
      <c r="VKC1628" s="1"/>
      <c r="VKD1628" s="1"/>
      <c r="VKE1628" s="1"/>
      <c r="VKF1628" s="1"/>
      <c r="VKG1628" s="1"/>
      <c r="VKH1628" s="1"/>
      <c r="VKI1628" s="1"/>
      <c r="VKJ1628" s="1"/>
      <c r="VKK1628" s="1"/>
      <c r="VKL1628" s="1"/>
      <c r="VKM1628" s="1"/>
      <c r="VKN1628" s="1"/>
      <c r="VKO1628" s="1"/>
      <c r="VKP1628" s="1"/>
      <c r="VKQ1628" s="1"/>
      <c r="VKR1628" s="1"/>
      <c r="VKS1628" s="1"/>
      <c r="VKT1628" s="1"/>
      <c r="VKU1628" s="1"/>
      <c r="VKV1628" s="1"/>
      <c r="VKW1628" s="1"/>
      <c r="VKX1628" s="1"/>
      <c r="VKY1628" s="1"/>
      <c r="VKZ1628" s="1"/>
      <c r="VLA1628" s="1"/>
      <c r="VLB1628" s="1"/>
      <c r="VLC1628" s="1"/>
      <c r="VLD1628" s="1"/>
      <c r="VLE1628" s="1"/>
      <c r="VLF1628" s="1"/>
      <c r="VLG1628" s="1"/>
      <c r="VLH1628" s="1"/>
      <c r="VLI1628" s="1"/>
      <c r="VLJ1628" s="1"/>
      <c r="VLK1628" s="1"/>
      <c r="VLL1628" s="1"/>
      <c r="VLM1628" s="1"/>
      <c r="VLN1628" s="1"/>
      <c r="VLO1628" s="1"/>
      <c r="VLP1628" s="1"/>
      <c r="VLQ1628" s="1"/>
      <c r="VLR1628" s="1"/>
      <c r="VLS1628" s="1"/>
      <c r="VLT1628" s="1"/>
      <c r="VLU1628" s="1"/>
      <c r="VLV1628" s="1"/>
      <c r="VLW1628" s="1"/>
      <c r="VLX1628" s="1"/>
      <c r="VLY1628" s="1"/>
      <c r="VLZ1628" s="1"/>
      <c r="VMA1628" s="1"/>
      <c r="VMB1628" s="1"/>
      <c r="VMC1628" s="1"/>
      <c r="VMD1628" s="1"/>
      <c r="VME1628" s="1"/>
      <c r="VMF1628" s="1"/>
      <c r="VMG1628" s="1"/>
      <c r="VMH1628" s="1"/>
      <c r="VMI1628" s="1"/>
      <c r="VMJ1628" s="1"/>
      <c r="VMK1628" s="1"/>
      <c r="VML1628" s="1"/>
      <c r="VMM1628" s="1"/>
      <c r="VMN1628" s="1"/>
      <c r="VMO1628" s="1"/>
      <c r="VMP1628" s="1"/>
      <c r="VMQ1628" s="1"/>
      <c r="VMR1628" s="1"/>
      <c r="VMS1628" s="1"/>
      <c r="VMT1628" s="1"/>
      <c r="VMU1628" s="1"/>
      <c r="VMV1628" s="1"/>
      <c r="VMW1628" s="1"/>
      <c r="VMX1628" s="1"/>
      <c r="VMY1628" s="1"/>
      <c r="VMZ1628" s="1"/>
      <c r="VNA1628" s="1"/>
      <c r="VNB1628" s="1"/>
      <c r="VNC1628" s="1"/>
      <c r="VND1628" s="1"/>
      <c r="VNE1628" s="1"/>
      <c r="VNF1628" s="1"/>
      <c r="VNG1628" s="1"/>
      <c r="VNH1628" s="1"/>
      <c r="VNI1628" s="1"/>
      <c r="VNJ1628" s="1"/>
      <c r="VNK1628" s="1"/>
      <c r="VNL1628" s="1"/>
      <c r="VNM1628" s="1"/>
      <c r="VNN1628" s="1"/>
      <c r="VNO1628" s="1"/>
      <c r="VNP1628" s="1"/>
      <c r="VNQ1628" s="1"/>
      <c r="VNR1628" s="1"/>
      <c r="VNS1628" s="1"/>
      <c r="VNT1628" s="1"/>
      <c r="VNU1628" s="1"/>
      <c r="VNV1628" s="1"/>
      <c r="VNW1628" s="1"/>
      <c r="VNX1628" s="1"/>
      <c r="VNY1628" s="1"/>
      <c r="VNZ1628" s="1"/>
      <c r="VOA1628" s="1"/>
      <c r="VOB1628" s="1"/>
      <c r="VOC1628" s="1"/>
      <c r="VOD1628" s="1"/>
      <c r="VOE1628" s="1"/>
      <c r="VOF1628" s="1"/>
      <c r="VOG1628" s="1"/>
      <c r="VOH1628" s="1"/>
      <c r="VOI1628" s="1"/>
      <c r="VOJ1628" s="1"/>
      <c r="VOK1628" s="1"/>
      <c r="VOL1628" s="1"/>
      <c r="VOM1628" s="1"/>
      <c r="VON1628" s="1"/>
      <c r="VOO1628" s="1"/>
      <c r="VOP1628" s="1"/>
      <c r="VOQ1628" s="1"/>
      <c r="VOR1628" s="1"/>
      <c r="VOS1628" s="1"/>
      <c r="VOT1628" s="1"/>
      <c r="VOU1628" s="1"/>
      <c r="VOV1628" s="1"/>
      <c r="VOW1628" s="1"/>
      <c r="VOX1628" s="1"/>
      <c r="VOY1628" s="1"/>
      <c r="VOZ1628" s="1"/>
      <c r="VPA1628" s="1"/>
      <c r="VPB1628" s="1"/>
      <c r="VPC1628" s="1"/>
      <c r="VPD1628" s="1"/>
      <c r="VPE1628" s="1"/>
      <c r="VPF1628" s="1"/>
      <c r="VPG1628" s="1"/>
      <c r="VPH1628" s="1"/>
      <c r="VPI1628" s="1"/>
      <c r="VPJ1628" s="1"/>
      <c r="VPK1628" s="1"/>
      <c r="VPL1628" s="1"/>
      <c r="VPM1628" s="1"/>
      <c r="VPN1628" s="1"/>
      <c r="VPO1628" s="1"/>
      <c r="VPP1628" s="1"/>
      <c r="VPQ1628" s="1"/>
      <c r="VPR1628" s="1"/>
      <c r="VPS1628" s="1"/>
      <c r="VPT1628" s="1"/>
      <c r="VPU1628" s="1"/>
      <c r="VPV1628" s="1"/>
      <c r="VPW1628" s="1"/>
      <c r="VPX1628" s="1"/>
      <c r="VPY1628" s="1"/>
      <c r="VPZ1628" s="1"/>
      <c r="VQA1628" s="1"/>
      <c r="VQB1628" s="1"/>
      <c r="VQC1628" s="1"/>
      <c r="VQD1628" s="1"/>
      <c r="VQE1628" s="1"/>
      <c r="VQF1628" s="1"/>
      <c r="VQG1628" s="1"/>
      <c r="VQH1628" s="1"/>
      <c r="VQI1628" s="1"/>
      <c r="VQJ1628" s="1"/>
      <c r="VQK1628" s="1"/>
      <c r="VQL1628" s="1"/>
      <c r="VQM1628" s="1"/>
      <c r="VQN1628" s="1"/>
      <c r="VQO1628" s="1"/>
      <c r="VQP1628" s="1"/>
      <c r="VQQ1628" s="1"/>
      <c r="VQR1628" s="1"/>
      <c r="VQS1628" s="1"/>
      <c r="VQT1628" s="1"/>
      <c r="VQU1628" s="1"/>
      <c r="VQV1628" s="1"/>
      <c r="VQW1628" s="1"/>
      <c r="VQX1628" s="1"/>
      <c r="VQY1628" s="1"/>
      <c r="VQZ1628" s="1"/>
      <c r="VRA1628" s="1"/>
      <c r="VRB1628" s="1"/>
      <c r="VRC1628" s="1"/>
      <c r="VRD1628" s="1"/>
      <c r="VRE1628" s="1"/>
      <c r="VRF1628" s="1"/>
      <c r="VRG1628" s="1"/>
      <c r="VRH1628" s="1"/>
      <c r="VRI1628" s="1"/>
      <c r="VRJ1628" s="1"/>
      <c r="VRK1628" s="1"/>
      <c r="VRL1628" s="1"/>
      <c r="VRM1628" s="1"/>
      <c r="VRN1628" s="1"/>
      <c r="VRO1628" s="1"/>
      <c r="VRP1628" s="1"/>
      <c r="VRQ1628" s="1"/>
      <c r="VRR1628" s="1"/>
      <c r="VRS1628" s="1"/>
      <c r="VRT1628" s="1"/>
      <c r="VRU1628" s="1"/>
      <c r="VRV1628" s="1"/>
      <c r="VRW1628" s="1"/>
      <c r="VRX1628" s="1"/>
      <c r="VRY1628" s="1"/>
      <c r="VRZ1628" s="1"/>
      <c r="VSA1628" s="1"/>
      <c r="VSB1628" s="1"/>
      <c r="VSC1628" s="1"/>
      <c r="VSD1628" s="1"/>
      <c r="VSE1628" s="1"/>
      <c r="VSF1628" s="1"/>
      <c r="VSG1628" s="1"/>
      <c r="VSH1628" s="1"/>
      <c r="VSI1628" s="1"/>
      <c r="VSJ1628" s="1"/>
      <c r="VSK1628" s="1"/>
      <c r="VSL1628" s="1"/>
      <c r="VSM1628" s="1"/>
      <c r="VSN1628" s="1"/>
      <c r="VSO1628" s="1"/>
      <c r="VSP1628" s="1"/>
      <c r="VSQ1628" s="1"/>
      <c r="VSR1628" s="1"/>
      <c r="VSS1628" s="1"/>
      <c r="VST1628" s="1"/>
      <c r="VSU1628" s="1"/>
      <c r="VSV1628" s="1"/>
      <c r="VSW1628" s="1"/>
      <c r="VSX1628" s="1"/>
      <c r="VSY1628" s="1"/>
      <c r="VSZ1628" s="1"/>
      <c r="VTA1628" s="1"/>
      <c r="VTB1628" s="1"/>
      <c r="VTC1628" s="1"/>
      <c r="VTD1628" s="1"/>
      <c r="VTE1628" s="1"/>
      <c r="VTF1628" s="1"/>
      <c r="VTG1628" s="1"/>
      <c r="VTH1628" s="1"/>
      <c r="VTI1628" s="1"/>
      <c r="VTJ1628" s="1"/>
      <c r="VTK1628" s="1"/>
      <c r="VTL1628" s="1"/>
      <c r="VTM1628" s="1"/>
      <c r="VTN1628" s="1"/>
      <c r="VTO1628" s="1"/>
      <c r="VTP1628" s="1"/>
      <c r="VTQ1628" s="1"/>
      <c r="VTR1628" s="1"/>
      <c r="VTS1628" s="1"/>
      <c r="VTT1628" s="1"/>
      <c r="VTU1628" s="1"/>
      <c r="VTV1628" s="1"/>
      <c r="VTW1628" s="1"/>
      <c r="VTX1628" s="1"/>
      <c r="VTY1628" s="1"/>
      <c r="VTZ1628" s="1"/>
      <c r="VUA1628" s="1"/>
      <c r="VUB1628" s="1"/>
      <c r="VUC1628" s="1"/>
      <c r="VUD1628" s="1"/>
      <c r="VUE1628" s="1"/>
      <c r="VUF1628" s="1"/>
      <c r="VUG1628" s="1"/>
      <c r="VUH1628" s="1"/>
      <c r="VUI1628" s="1"/>
      <c r="VUJ1628" s="1"/>
      <c r="VUK1628" s="1"/>
      <c r="VUL1628" s="1"/>
      <c r="VUM1628" s="1"/>
      <c r="VUN1628" s="1"/>
      <c r="VUO1628" s="1"/>
      <c r="VUP1628" s="1"/>
      <c r="VUQ1628" s="1"/>
      <c r="VUR1628" s="1"/>
      <c r="VUS1628" s="1"/>
      <c r="VUT1628" s="1"/>
      <c r="VUU1628" s="1"/>
      <c r="VUV1628" s="1"/>
      <c r="VUW1628" s="1"/>
      <c r="VUX1628" s="1"/>
      <c r="VUY1628" s="1"/>
      <c r="VUZ1628" s="1"/>
      <c r="VVA1628" s="1"/>
      <c r="VVB1628" s="1"/>
      <c r="VVC1628" s="1"/>
      <c r="VVD1628" s="1"/>
      <c r="VVE1628" s="1"/>
      <c r="VVF1628" s="1"/>
      <c r="VVG1628" s="1"/>
      <c r="VVH1628" s="1"/>
      <c r="VVI1628" s="1"/>
      <c r="VVJ1628" s="1"/>
      <c r="VVK1628" s="1"/>
      <c r="VVL1628" s="1"/>
      <c r="VVM1628" s="1"/>
      <c r="VVN1628" s="1"/>
      <c r="VVO1628" s="1"/>
      <c r="VVP1628" s="1"/>
      <c r="VVQ1628" s="1"/>
      <c r="VVR1628" s="1"/>
      <c r="VVS1628" s="1"/>
      <c r="VVT1628" s="1"/>
      <c r="VVU1628" s="1"/>
      <c r="VVV1628" s="1"/>
      <c r="VVW1628" s="1"/>
      <c r="VVX1628" s="1"/>
      <c r="VVY1628" s="1"/>
      <c r="VVZ1628" s="1"/>
      <c r="VWA1628" s="1"/>
      <c r="VWB1628" s="1"/>
      <c r="VWC1628" s="1"/>
      <c r="VWD1628" s="1"/>
      <c r="VWE1628" s="1"/>
      <c r="VWF1628" s="1"/>
      <c r="VWG1628" s="1"/>
      <c r="VWH1628" s="1"/>
      <c r="VWI1628" s="1"/>
      <c r="VWJ1628" s="1"/>
      <c r="VWK1628" s="1"/>
      <c r="VWL1628" s="1"/>
      <c r="VWM1628" s="1"/>
      <c r="VWN1628" s="1"/>
      <c r="VWO1628" s="1"/>
      <c r="VWP1628" s="1"/>
      <c r="VWQ1628" s="1"/>
      <c r="VWR1628" s="1"/>
      <c r="VWS1628" s="1"/>
      <c r="VWT1628" s="1"/>
      <c r="VWU1628" s="1"/>
      <c r="VWV1628" s="1"/>
      <c r="VWW1628" s="1"/>
      <c r="VWX1628" s="1"/>
      <c r="VWY1628" s="1"/>
      <c r="VWZ1628" s="1"/>
      <c r="VXA1628" s="1"/>
      <c r="VXB1628" s="1"/>
      <c r="VXC1628" s="1"/>
      <c r="VXD1628" s="1"/>
      <c r="VXE1628" s="1"/>
      <c r="VXF1628" s="1"/>
      <c r="VXG1628" s="1"/>
      <c r="VXH1628" s="1"/>
      <c r="VXI1628" s="1"/>
      <c r="VXJ1628" s="1"/>
      <c r="VXK1628" s="1"/>
      <c r="VXL1628" s="1"/>
      <c r="VXM1628" s="1"/>
      <c r="VXN1628" s="1"/>
      <c r="VXO1628" s="1"/>
      <c r="VXP1628" s="1"/>
      <c r="VXQ1628" s="1"/>
      <c r="VXR1628" s="1"/>
      <c r="VXS1628" s="1"/>
      <c r="VXT1628" s="1"/>
      <c r="VXU1628" s="1"/>
      <c r="VXV1628" s="1"/>
      <c r="VXW1628" s="1"/>
      <c r="VXX1628" s="1"/>
      <c r="VXY1628" s="1"/>
      <c r="VXZ1628" s="1"/>
      <c r="VYA1628" s="1"/>
      <c r="VYB1628" s="1"/>
      <c r="VYC1628" s="1"/>
      <c r="VYD1628" s="1"/>
      <c r="VYE1628" s="1"/>
      <c r="VYF1628" s="1"/>
      <c r="VYG1628" s="1"/>
      <c r="VYH1628" s="1"/>
      <c r="VYI1628" s="1"/>
      <c r="VYJ1628" s="1"/>
      <c r="VYK1628" s="1"/>
      <c r="VYL1628" s="1"/>
      <c r="VYM1628" s="1"/>
      <c r="VYN1628" s="1"/>
      <c r="VYO1628" s="1"/>
      <c r="VYP1628" s="1"/>
      <c r="VYQ1628" s="1"/>
      <c r="VYR1628" s="1"/>
      <c r="VYS1628" s="1"/>
      <c r="VYT1628" s="1"/>
      <c r="VYU1628" s="1"/>
      <c r="VYV1628" s="1"/>
      <c r="VYW1628" s="1"/>
      <c r="VYX1628" s="1"/>
      <c r="VYY1628" s="1"/>
      <c r="VYZ1628" s="1"/>
      <c r="VZA1628" s="1"/>
      <c r="VZB1628" s="1"/>
      <c r="VZC1628" s="1"/>
      <c r="VZD1628" s="1"/>
      <c r="VZE1628" s="1"/>
      <c r="VZF1628" s="1"/>
      <c r="VZG1628" s="1"/>
      <c r="VZH1628" s="1"/>
      <c r="VZI1628" s="1"/>
      <c r="VZJ1628" s="1"/>
      <c r="VZK1628" s="1"/>
      <c r="VZL1628" s="1"/>
      <c r="VZM1628" s="1"/>
      <c r="VZN1628" s="1"/>
      <c r="VZO1628" s="1"/>
      <c r="VZP1628" s="1"/>
      <c r="VZQ1628" s="1"/>
      <c r="VZR1628" s="1"/>
      <c r="VZS1628" s="1"/>
      <c r="VZT1628" s="1"/>
      <c r="VZU1628" s="1"/>
      <c r="VZV1628" s="1"/>
      <c r="VZW1628" s="1"/>
      <c r="VZX1628" s="1"/>
      <c r="VZY1628" s="1"/>
      <c r="VZZ1628" s="1"/>
      <c r="WAA1628" s="1"/>
      <c r="WAB1628" s="1"/>
      <c r="WAC1628" s="1"/>
      <c r="WAD1628" s="1"/>
      <c r="WAE1628" s="1"/>
      <c r="WAF1628" s="1"/>
      <c r="WAG1628" s="1"/>
      <c r="WAH1628" s="1"/>
      <c r="WAI1628" s="1"/>
      <c r="WAJ1628" s="1"/>
      <c r="WAK1628" s="1"/>
      <c r="WAL1628" s="1"/>
      <c r="WAM1628" s="1"/>
      <c r="WAN1628" s="1"/>
      <c r="WAO1628" s="1"/>
      <c r="WAP1628" s="1"/>
      <c r="WAQ1628" s="1"/>
      <c r="WAR1628" s="1"/>
      <c r="WAS1628" s="1"/>
      <c r="WAT1628" s="1"/>
      <c r="WAU1628" s="1"/>
      <c r="WAV1628" s="1"/>
      <c r="WAW1628" s="1"/>
      <c r="WAX1628" s="1"/>
      <c r="WAY1628" s="1"/>
      <c r="WAZ1628" s="1"/>
      <c r="WBA1628" s="1"/>
      <c r="WBB1628" s="1"/>
      <c r="WBC1628" s="1"/>
      <c r="WBD1628" s="1"/>
      <c r="WBE1628" s="1"/>
      <c r="WBF1628" s="1"/>
      <c r="WBG1628" s="1"/>
      <c r="WBH1628" s="1"/>
      <c r="WBI1628" s="1"/>
      <c r="WBJ1628" s="1"/>
      <c r="WBK1628" s="1"/>
      <c r="WBL1628" s="1"/>
      <c r="WBM1628" s="1"/>
      <c r="WBN1628" s="1"/>
      <c r="WBO1628" s="1"/>
      <c r="WBP1628" s="1"/>
      <c r="WBQ1628" s="1"/>
      <c r="WBR1628" s="1"/>
      <c r="WBS1628" s="1"/>
      <c r="WBT1628" s="1"/>
      <c r="WBU1628" s="1"/>
      <c r="WBV1628" s="1"/>
      <c r="WBW1628" s="1"/>
      <c r="WBX1628" s="1"/>
      <c r="WBY1628" s="1"/>
      <c r="WBZ1628" s="1"/>
      <c r="WCA1628" s="1"/>
      <c r="WCB1628" s="1"/>
      <c r="WCC1628" s="1"/>
      <c r="WCD1628" s="1"/>
      <c r="WCE1628" s="1"/>
      <c r="WCF1628" s="1"/>
      <c r="WCG1628" s="1"/>
      <c r="WCH1628" s="1"/>
      <c r="WCI1628" s="1"/>
      <c r="WCJ1628" s="1"/>
      <c r="WCK1628" s="1"/>
      <c r="WCL1628" s="1"/>
      <c r="WCM1628" s="1"/>
      <c r="WCN1628" s="1"/>
      <c r="WCO1628" s="1"/>
      <c r="WCP1628" s="1"/>
      <c r="WCQ1628" s="1"/>
      <c r="WCR1628" s="1"/>
      <c r="WCS1628" s="1"/>
      <c r="WCT1628" s="1"/>
      <c r="WCU1628" s="1"/>
      <c r="WCV1628" s="1"/>
      <c r="WCW1628" s="1"/>
      <c r="WCX1628" s="1"/>
      <c r="WCY1628" s="1"/>
      <c r="WCZ1628" s="1"/>
      <c r="WDA1628" s="1"/>
      <c r="WDB1628" s="1"/>
      <c r="WDC1628" s="1"/>
      <c r="WDD1628" s="1"/>
      <c r="WDE1628" s="1"/>
      <c r="WDF1628" s="1"/>
      <c r="WDG1628" s="1"/>
      <c r="WDH1628" s="1"/>
      <c r="WDI1628" s="1"/>
      <c r="WDJ1628" s="1"/>
      <c r="WDK1628" s="1"/>
      <c r="WDL1628" s="1"/>
      <c r="WDM1628" s="1"/>
      <c r="WDN1628" s="1"/>
      <c r="WDO1628" s="1"/>
      <c r="WDP1628" s="1"/>
      <c r="WDQ1628" s="1"/>
      <c r="WDR1628" s="1"/>
      <c r="WDS1628" s="1"/>
      <c r="WDT1628" s="1"/>
      <c r="WDU1628" s="1"/>
      <c r="WDV1628" s="1"/>
      <c r="WDW1628" s="1"/>
      <c r="WDX1628" s="1"/>
      <c r="WDY1628" s="1"/>
      <c r="WDZ1628" s="1"/>
      <c r="WEA1628" s="1"/>
      <c r="WEB1628" s="1"/>
      <c r="WEC1628" s="1"/>
      <c r="WED1628" s="1"/>
      <c r="WEE1628" s="1"/>
      <c r="WEF1628" s="1"/>
      <c r="WEG1628" s="1"/>
      <c r="WEH1628" s="1"/>
      <c r="WEI1628" s="1"/>
      <c r="WEJ1628" s="1"/>
      <c r="WEK1628" s="1"/>
      <c r="WEL1628" s="1"/>
      <c r="WEM1628" s="1"/>
      <c r="WEN1628" s="1"/>
      <c r="WEO1628" s="1"/>
      <c r="WEP1628" s="1"/>
      <c r="WEQ1628" s="1"/>
      <c r="WER1628" s="1"/>
      <c r="WES1628" s="1"/>
      <c r="WET1628" s="1"/>
      <c r="WEU1628" s="1"/>
      <c r="WEV1628" s="1"/>
      <c r="WEW1628" s="1"/>
      <c r="WEX1628" s="1"/>
      <c r="WEY1628" s="1"/>
      <c r="WEZ1628" s="1"/>
      <c r="WFA1628" s="1"/>
      <c r="WFB1628" s="1"/>
      <c r="WFC1628" s="1"/>
      <c r="WFD1628" s="1"/>
      <c r="WFE1628" s="1"/>
      <c r="WFF1628" s="1"/>
      <c r="WFG1628" s="1"/>
      <c r="WFH1628" s="1"/>
      <c r="WFI1628" s="1"/>
      <c r="WFJ1628" s="1"/>
      <c r="WFK1628" s="1"/>
      <c r="WFL1628" s="1"/>
      <c r="WFM1628" s="1"/>
      <c r="WFN1628" s="1"/>
      <c r="WFO1628" s="1"/>
      <c r="WFP1628" s="1"/>
      <c r="WFQ1628" s="1"/>
      <c r="WFR1628" s="1"/>
      <c r="WFS1628" s="1"/>
      <c r="WFT1628" s="1"/>
      <c r="WFU1628" s="1"/>
      <c r="WFV1628" s="1"/>
      <c r="WFW1628" s="1"/>
      <c r="WFX1628" s="1"/>
      <c r="WFY1628" s="1"/>
      <c r="WFZ1628" s="1"/>
      <c r="WGA1628" s="1"/>
      <c r="WGB1628" s="1"/>
      <c r="WGC1628" s="1"/>
      <c r="WGD1628" s="1"/>
      <c r="WGE1628" s="1"/>
      <c r="WGF1628" s="1"/>
      <c r="WGG1628" s="1"/>
      <c r="WGH1628" s="1"/>
      <c r="WGI1628" s="1"/>
      <c r="WGJ1628" s="1"/>
      <c r="WGK1628" s="1"/>
      <c r="WGL1628" s="1"/>
      <c r="WGM1628" s="1"/>
      <c r="WGN1628" s="1"/>
      <c r="WGO1628" s="1"/>
      <c r="WGP1628" s="1"/>
      <c r="WGQ1628" s="1"/>
      <c r="WGR1628" s="1"/>
      <c r="WGS1628" s="1"/>
      <c r="WGT1628" s="1"/>
      <c r="WGU1628" s="1"/>
      <c r="WGV1628" s="1"/>
      <c r="WGW1628" s="1"/>
      <c r="WGX1628" s="1"/>
      <c r="WGY1628" s="1"/>
      <c r="WGZ1628" s="1"/>
      <c r="WHA1628" s="1"/>
      <c r="WHB1628" s="1"/>
      <c r="WHC1628" s="1"/>
      <c r="WHD1628" s="1"/>
      <c r="WHE1628" s="1"/>
      <c r="WHF1628" s="1"/>
      <c r="WHG1628" s="1"/>
      <c r="WHH1628" s="1"/>
      <c r="WHI1628" s="1"/>
      <c r="WHJ1628" s="1"/>
      <c r="WHK1628" s="1"/>
      <c r="WHL1628" s="1"/>
      <c r="WHM1628" s="1"/>
      <c r="WHN1628" s="1"/>
      <c r="WHO1628" s="1"/>
      <c r="WHP1628" s="1"/>
      <c r="WHQ1628" s="1"/>
      <c r="WHR1628" s="1"/>
      <c r="WHS1628" s="1"/>
      <c r="WHT1628" s="1"/>
      <c r="WHU1628" s="1"/>
      <c r="WHV1628" s="1"/>
      <c r="WHW1628" s="1"/>
      <c r="WHX1628" s="1"/>
      <c r="WHY1628" s="1"/>
      <c r="WHZ1628" s="1"/>
      <c r="WIA1628" s="1"/>
      <c r="WIB1628" s="1"/>
      <c r="WIC1628" s="1"/>
      <c r="WID1628" s="1"/>
      <c r="WIE1628" s="1"/>
      <c r="WIF1628" s="1"/>
      <c r="WIG1628" s="1"/>
      <c r="WIH1628" s="1"/>
      <c r="WII1628" s="1"/>
      <c r="WIJ1628" s="1"/>
      <c r="WIK1628" s="1"/>
      <c r="WIL1628" s="1"/>
      <c r="WIM1628" s="1"/>
      <c r="WIN1628" s="1"/>
      <c r="WIO1628" s="1"/>
      <c r="WIP1628" s="1"/>
      <c r="WIQ1628" s="1"/>
      <c r="WIR1628" s="1"/>
      <c r="WIS1628" s="1"/>
      <c r="WIT1628" s="1"/>
      <c r="WIU1628" s="1"/>
      <c r="WIV1628" s="1"/>
      <c r="WIW1628" s="1"/>
      <c r="WIX1628" s="1"/>
      <c r="WIY1628" s="1"/>
      <c r="WIZ1628" s="1"/>
      <c r="WJA1628" s="1"/>
      <c r="WJB1628" s="1"/>
      <c r="WJC1628" s="1"/>
      <c r="WJD1628" s="1"/>
      <c r="WJE1628" s="1"/>
      <c r="WJF1628" s="1"/>
      <c r="WJG1628" s="1"/>
      <c r="WJH1628" s="1"/>
      <c r="WJI1628" s="1"/>
      <c r="WJJ1628" s="1"/>
      <c r="WJK1628" s="1"/>
      <c r="WJL1628" s="1"/>
      <c r="WJM1628" s="1"/>
      <c r="WJN1628" s="1"/>
      <c r="WJO1628" s="1"/>
      <c r="WJP1628" s="1"/>
      <c r="WJQ1628" s="1"/>
      <c r="WJR1628" s="1"/>
      <c r="WJS1628" s="1"/>
      <c r="WJT1628" s="1"/>
      <c r="WJU1628" s="1"/>
      <c r="WJV1628" s="1"/>
      <c r="WJW1628" s="1"/>
      <c r="WJX1628" s="1"/>
      <c r="WJY1628" s="1"/>
      <c r="WJZ1628" s="1"/>
      <c r="WKA1628" s="1"/>
      <c r="WKB1628" s="1"/>
      <c r="WKC1628" s="1"/>
      <c r="WKD1628" s="1"/>
      <c r="WKE1628" s="1"/>
      <c r="WKF1628" s="1"/>
      <c r="WKG1628" s="1"/>
      <c r="WKH1628" s="1"/>
      <c r="WKI1628" s="1"/>
      <c r="WKJ1628" s="1"/>
      <c r="WKK1628" s="1"/>
      <c r="WKL1628" s="1"/>
      <c r="WKM1628" s="1"/>
      <c r="WKN1628" s="1"/>
      <c r="WKO1628" s="1"/>
      <c r="WKP1628" s="1"/>
      <c r="WKQ1628" s="1"/>
      <c r="WKR1628" s="1"/>
      <c r="WKS1628" s="1"/>
      <c r="WKT1628" s="1"/>
      <c r="WKU1628" s="1"/>
      <c r="WKV1628" s="1"/>
      <c r="WKW1628" s="1"/>
      <c r="WKX1628" s="1"/>
      <c r="WKY1628" s="1"/>
      <c r="WKZ1628" s="1"/>
      <c r="WLA1628" s="1"/>
      <c r="WLB1628" s="1"/>
      <c r="WLC1628" s="1"/>
      <c r="WLD1628" s="1"/>
      <c r="WLE1628" s="1"/>
      <c r="WLF1628" s="1"/>
      <c r="WLG1628" s="1"/>
      <c r="WLH1628" s="1"/>
      <c r="WLI1628" s="1"/>
      <c r="WLJ1628" s="1"/>
      <c r="WLK1628" s="1"/>
      <c r="WLL1628" s="1"/>
      <c r="WLM1628" s="1"/>
      <c r="WLN1628" s="1"/>
      <c r="WLO1628" s="1"/>
      <c r="WLP1628" s="1"/>
      <c r="WLQ1628" s="1"/>
      <c r="WLR1628" s="1"/>
      <c r="WLS1628" s="1"/>
      <c r="WLT1628" s="1"/>
      <c r="WLU1628" s="1"/>
      <c r="WLV1628" s="1"/>
      <c r="WLW1628" s="1"/>
      <c r="WLX1628" s="1"/>
      <c r="WLY1628" s="1"/>
      <c r="WLZ1628" s="1"/>
      <c r="WMA1628" s="1"/>
      <c r="WMB1628" s="1"/>
      <c r="WMC1628" s="1"/>
      <c r="WMD1628" s="1"/>
      <c r="WME1628" s="1"/>
      <c r="WMF1628" s="1"/>
      <c r="WMG1628" s="1"/>
      <c r="WMH1628" s="1"/>
      <c r="WMI1628" s="1"/>
      <c r="WMJ1628" s="1"/>
      <c r="WMK1628" s="1"/>
      <c r="WML1628" s="1"/>
      <c r="WMM1628" s="1"/>
      <c r="WMN1628" s="1"/>
      <c r="WMO1628" s="1"/>
      <c r="WMP1628" s="1"/>
      <c r="WMQ1628" s="1"/>
      <c r="WMR1628" s="1"/>
      <c r="WMS1628" s="1"/>
      <c r="WMT1628" s="1"/>
      <c r="WMU1628" s="1"/>
      <c r="WMV1628" s="1"/>
      <c r="WMW1628" s="1"/>
      <c r="WMX1628" s="1"/>
      <c r="WMY1628" s="1"/>
      <c r="WMZ1628" s="1"/>
      <c r="WNA1628" s="1"/>
      <c r="WNB1628" s="1"/>
      <c r="WNC1628" s="1"/>
      <c r="WND1628" s="1"/>
      <c r="WNE1628" s="1"/>
      <c r="WNF1628" s="1"/>
      <c r="WNG1628" s="1"/>
      <c r="WNH1628" s="1"/>
      <c r="WNI1628" s="1"/>
      <c r="WNJ1628" s="1"/>
      <c r="WNK1628" s="1"/>
      <c r="WNL1628" s="1"/>
      <c r="WNM1628" s="1"/>
      <c r="WNN1628" s="1"/>
      <c r="WNO1628" s="1"/>
      <c r="WNP1628" s="1"/>
      <c r="WNQ1628" s="1"/>
      <c r="WNR1628" s="1"/>
      <c r="WNS1628" s="1"/>
      <c r="WNT1628" s="1"/>
      <c r="WNU1628" s="1"/>
      <c r="WNV1628" s="1"/>
      <c r="WNW1628" s="1"/>
      <c r="WNX1628" s="1"/>
      <c r="WNY1628" s="1"/>
      <c r="WNZ1628" s="1"/>
      <c r="WOA1628" s="1"/>
      <c r="WOB1628" s="1"/>
      <c r="WOC1628" s="1"/>
      <c r="WOD1628" s="1"/>
      <c r="WOE1628" s="1"/>
      <c r="WOF1628" s="1"/>
      <c r="WOG1628" s="1"/>
      <c r="WOH1628" s="1"/>
      <c r="WOI1628" s="1"/>
      <c r="WOJ1628" s="1"/>
      <c r="WOK1628" s="1"/>
      <c r="WOL1628" s="1"/>
      <c r="WOM1628" s="1"/>
      <c r="WON1628" s="1"/>
      <c r="WOO1628" s="1"/>
      <c r="WOP1628" s="1"/>
      <c r="WOQ1628" s="1"/>
      <c r="WOR1628" s="1"/>
      <c r="WOS1628" s="1"/>
      <c r="WOT1628" s="1"/>
      <c r="WOU1628" s="1"/>
      <c r="WOV1628" s="1"/>
      <c r="WOW1628" s="1"/>
      <c r="WOX1628" s="1"/>
      <c r="WOY1628" s="1"/>
      <c r="WOZ1628" s="1"/>
      <c r="WPA1628" s="1"/>
      <c r="WPB1628" s="1"/>
      <c r="WPC1628" s="1"/>
      <c r="WPD1628" s="1"/>
      <c r="WPE1628" s="1"/>
      <c r="WPF1628" s="1"/>
      <c r="WPG1628" s="1"/>
      <c r="WPH1628" s="1"/>
      <c r="WPI1628" s="1"/>
      <c r="WPJ1628" s="1"/>
      <c r="WPK1628" s="1"/>
      <c r="WPL1628" s="1"/>
      <c r="WPM1628" s="1"/>
      <c r="WPN1628" s="1"/>
      <c r="WPO1628" s="1"/>
      <c r="WPP1628" s="1"/>
      <c r="WPQ1628" s="1"/>
      <c r="WPR1628" s="1"/>
      <c r="WPS1628" s="1"/>
      <c r="WPT1628" s="1"/>
      <c r="WPU1628" s="1"/>
      <c r="WPV1628" s="1"/>
      <c r="WPW1628" s="1"/>
      <c r="WPX1628" s="1"/>
      <c r="WPY1628" s="1"/>
      <c r="WPZ1628" s="1"/>
      <c r="WQA1628" s="1"/>
      <c r="WQB1628" s="1"/>
      <c r="WQC1628" s="1"/>
      <c r="WQD1628" s="1"/>
      <c r="WQE1628" s="1"/>
      <c r="WQF1628" s="1"/>
      <c r="WQG1628" s="1"/>
      <c r="WQH1628" s="1"/>
      <c r="WQI1628" s="1"/>
      <c r="WQJ1628" s="1"/>
      <c r="WQK1628" s="1"/>
      <c r="WQL1628" s="1"/>
      <c r="WQM1628" s="1"/>
      <c r="WQN1628" s="1"/>
      <c r="WQO1628" s="1"/>
      <c r="WQP1628" s="1"/>
      <c r="WQQ1628" s="1"/>
      <c r="WQR1628" s="1"/>
      <c r="WQS1628" s="1"/>
      <c r="WQT1628" s="1"/>
      <c r="WQU1628" s="1"/>
      <c r="WQV1628" s="1"/>
      <c r="WQW1628" s="1"/>
      <c r="WQX1628" s="1"/>
      <c r="WQY1628" s="1"/>
      <c r="WQZ1628" s="1"/>
      <c r="WRA1628" s="1"/>
      <c r="WRB1628" s="1"/>
      <c r="WRC1628" s="1"/>
      <c r="WRD1628" s="1"/>
      <c r="WRE1628" s="1"/>
      <c r="WRF1628" s="1"/>
      <c r="WRG1628" s="1"/>
      <c r="WRH1628" s="1"/>
      <c r="WRI1628" s="1"/>
      <c r="WRJ1628" s="1"/>
      <c r="WRK1628" s="1"/>
      <c r="WRL1628" s="1"/>
      <c r="WRM1628" s="1"/>
      <c r="WRN1628" s="1"/>
      <c r="WRO1628" s="1"/>
      <c r="WRP1628" s="1"/>
      <c r="WRQ1628" s="1"/>
      <c r="WRR1628" s="1"/>
      <c r="WRS1628" s="1"/>
      <c r="WRT1628" s="1"/>
      <c r="WRU1628" s="1"/>
      <c r="WRV1628" s="1"/>
      <c r="WRW1628" s="1"/>
      <c r="WRX1628" s="1"/>
      <c r="WRY1628" s="1"/>
      <c r="WRZ1628" s="1"/>
      <c r="WSA1628" s="1"/>
      <c r="WSB1628" s="1"/>
      <c r="WSC1628" s="1"/>
      <c r="WSD1628" s="1"/>
      <c r="WSE1628" s="1"/>
      <c r="WSF1628" s="1"/>
      <c r="WSG1628" s="1"/>
      <c r="WSH1628" s="1"/>
      <c r="WSI1628" s="1"/>
      <c r="WSJ1628" s="1"/>
      <c r="WSK1628" s="1"/>
      <c r="WSL1628" s="1"/>
      <c r="WSM1628" s="1"/>
      <c r="WSN1628" s="1"/>
      <c r="WSO1628" s="1"/>
      <c r="WSP1628" s="1"/>
      <c r="WSQ1628" s="1"/>
      <c r="WSR1628" s="1"/>
      <c r="WSS1628" s="1"/>
      <c r="WST1628" s="1"/>
      <c r="WSU1628" s="1"/>
      <c r="WSV1628" s="1"/>
      <c r="WSW1628" s="1"/>
      <c r="WSX1628" s="1"/>
      <c r="WSY1628" s="1"/>
      <c r="WSZ1628" s="1"/>
      <c r="WTA1628" s="1"/>
      <c r="WTB1628" s="1"/>
      <c r="WTC1628" s="1"/>
      <c r="WTD1628" s="1"/>
      <c r="WTE1628" s="1"/>
      <c r="WTF1628" s="1"/>
      <c r="WTG1628" s="1"/>
      <c r="WTH1628" s="1"/>
      <c r="WTI1628" s="1"/>
      <c r="WTJ1628" s="1"/>
      <c r="WTK1628" s="1"/>
      <c r="WTL1628" s="1"/>
      <c r="WTM1628" s="1"/>
      <c r="WTN1628" s="1"/>
      <c r="WTO1628" s="1"/>
      <c r="WTP1628" s="1"/>
      <c r="WTQ1628" s="1"/>
      <c r="WTR1628" s="1"/>
      <c r="WTS1628" s="1"/>
      <c r="WTT1628" s="1"/>
      <c r="WTU1628" s="1"/>
      <c r="WTV1628" s="1"/>
      <c r="WTW1628" s="1"/>
      <c r="WTX1628" s="1"/>
      <c r="WTY1628" s="1"/>
      <c r="WTZ1628" s="1"/>
      <c r="WUA1628" s="1"/>
      <c r="WUB1628" s="1"/>
      <c r="WUC1628" s="1"/>
      <c r="WUD1628" s="1"/>
      <c r="WUE1628" s="1"/>
      <c r="WUF1628" s="1"/>
      <c r="WUG1628" s="1"/>
      <c r="WUH1628" s="1"/>
      <c r="WUI1628" s="1"/>
      <c r="WUJ1628" s="1"/>
      <c r="WUK1628" s="1"/>
      <c r="WUL1628" s="1"/>
      <c r="WUM1628" s="1"/>
      <c r="WUN1628" s="1"/>
      <c r="WUO1628" s="1"/>
      <c r="WUP1628" s="1"/>
      <c r="WUQ1628" s="1"/>
      <c r="WUR1628" s="1"/>
      <c r="WUS1628" s="1"/>
      <c r="WUT1628" s="1"/>
      <c r="WUU1628" s="1"/>
      <c r="WUV1628" s="1"/>
      <c r="WUW1628" s="1"/>
      <c r="WUX1628" s="1"/>
      <c r="WUY1628" s="1"/>
      <c r="WUZ1628" s="1"/>
      <c r="WVA1628" s="1"/>
      <c r="WVB1628" s="1"/>
      <c r="WVC1628" s="1"/>
      <c r="WVD1628" s="1"/>
      <c r="WVE1628" s="1"/>
      <c r="WVF1628" s="1"/>
      <c r="WVG1628" s="1"/>
      <c r="WVH1628" s="1"/>
      <c r="WVI1628" s="1"/>
      <c r="WVJ1628" s="1"/>
      <c r="WVK1628" s="1"/>
      <c r="WVL1628" s="1"/>
      <c r="WVM1628" s="1"/>
      <c r="WVN1628" s="1"/>
      <c r="WVO1628" s="1"/>
      <c r="WVP1628" s="1"/>
      <c r="WVQ1628" s="1"/>
      <c r="WVR1628" s="1"/>
      <c r="WVS1628" s="1"/>
      <c r="WVT1628" s="1"/>
      <c r="WVU1628" s="1"/>
      <c r="WVV1628" s="1"/>
      <c r="WVW1628" s="1"/>
      <c r="WVX1628" s="1"/>
      <c r="WVY1628" s="1"/>
      <c r="WVZ1628" s="1"/>
      <c r="WWA1628" s="1"/>
      <c r="WWB1628" s="1"/>
      <c r="WWC1628" s="1"/>
      <c r="WWD1628" s="1"/>
      <c r="WWE1628" s="1"/>
      <c r="WWF1628" s="1"/>
      <c r="WWG1628" s="1"/>
      <c r="WWH1628" s="1"/>
      <c r="WWI1628" s="1"/>
      <c r="WWJ1628" s="1"/>
      <c r="WWK1628" s="1"/>
      <c r="WWL1628" s="1"/>
      <c r="WWM1628" s="1"/>
      <c r="WWN1628" s="1"/>
      <c r="WWO1628" s="1"/>
      <c r="WWP1628" s="1"/>
      <c r="WWQ1628" s="1"/>
      <c r="WWR1628" s="1"/>
      <c r="WWS1628" s="1"/>
      <c r="WWT1628" s="1"/>
      <c r="WWU1628" s="1"/>
      <c r="WWV1628" s="1"/>
      <c r="WWW1628" s="1"/>
      <c r="WWX1628" s="1"/>
      <c r="WWY1628" s="1"/>
      <c r="WWZ1628" s="1"/>
      <c r="WXA1628" s="1"/>
      <c r="WXB1628" s="1"/>
      <c r="WXC1628" s="1"/>
      <c r="WXD1628" s="1"/>
      <c r="WXE1628" s="1"/>
      <c r="WXF1628" s="1"/>
      <c r="WXG1628" s="1"/>
      <c r="WXH1628" s="1"/>
      <c r="WXI1628" s="1"/>
      <c r="WXJ1628" s="1"/>
      <c r="WXK1628" s="1"/>
      <c r="WXL1628" s="1"/>
      <c r="WXM1628" s="1"/>
      <c r="WXN1628" s="1"/>
      <c r="WXO1628" s="1"/>
      <c r="WXP1628" s="1"/>
      <c r="WXQ1628" s="1"/>
      <c r="WXR1628" s="1"/>
      <c r="WXS1628" s="1"/>
      <c r="WXT1628" s="1"/>
      <c r="WXU1628" s="1"/>
      <c r="WXV1628" s="1"/>
      <c r="WXW1628" s="1"/>
      <c r="WXX1628" s="1"/>
      <c r="WXY1628" s="1"/>
      <c r="WXZ1628" s="1"/>
      <c r="WYA1628" s="1"/>
      <c r="WYB1628" s="1"/>
      <c r="WYC1628" s="1"/>
      <c r="WYD1628" s="1"/>
      <c r="WYE1628" s="1"/>
      <c r="WYF1628" s="1"/>
      <c r="WYG1628" s="1"/>
      <c r="WYH1628" s="1"/>
      <c r="WYI1628" s="1"/>
      <c r="WYJ1628" s="1"/>
      <c r="WYK1628" s="1"/>
      <c r="WYL1628" s="1"/>
      <c r="WYM1628" s="1"/>
      <c r="WYN1628" s="1"/>
      <c r="WYO1628" s="1"/>
      <c r="WYP1628" s="1"/>
      <c r="WYQ1628" s="1"/>
      <c r="WYR1628" s="1"/>
      <c r="WYS1628" s="1"/>
      <c r="WYT1628" s="1"/>
      <c r="WYU1628" s="1"/>
      <c r="WYV1628" s="1"/>
      <c r="WYW1628" s="1"/>
      <c r="WYX1628" s="1"/>
      <c r="WYY1628" s="1"/>
      <c r="WYZ1628" s="1"/>
      <c r="WZA1628" s="1"/>
      <c r="WZB1628" s="1"/>
      <c r="WZC1628" s="1"/>
      <c r="WZD1628" s="1"/>
      <c r="WZE1628" s="1"/>
      <c r="WZF1628" s="1"/>
      <c r="WZG1628" s="1"/>
      <c r="WZH1628" s="1"/>
      <c r="WZI1628" s="1"/>
      <c r="WZJ1628" s="1"/>
      <c r="WZK1628" s="1"/>
      <c r="WZL1628" s="1"/>
      <c r="WZM1628" s="1"/>
      <c r="WZN1628" s="1"/>
      <c r="WZO1628" s="1"/>
      <c r="WZP1628" s="1"/>
      <c r="WZQ1628" s="1"/>
      <c r="WZR1628" s="1"/>
      <c r="WZS1628" s="1"/>
      <c r="WZT1628" s="1"/>
      <c r="WZU1628" s="1"/>
      <c r="WZV1628" s="1"/>
      <c r="WZW1628" s="1"/>
      <c r="WZX1628" s="1"/>
      <c r="WZY1628" s="1"/>
      <c r="WZZ1628" s="1"/>
      <c r="XAA1628" s="1"/>
      <c r="XAB1628" s="1"/>
      <c r="XAC1628" s="1"/>
      <c r="XAD1628" s="1"/>
      <c r="XAE1628" s="1"/>
      <c r="XAF1628" s="1"/>
      <c r="XAG1628" s="1"/>
      <c r="XAH1628" s="1"/>
      <c r="XAI1628" s="1"/>
      <c r="XAJ1628" s="1"/>
      <c r="XAK1628" s="1"/>
      <c r="XAL1628" s="1"/>
      <c r="XAM1628" s="1"/>
      <c r="XAN1628" s="1"/>
      <c r="XAO1628" s="1"/>
      <c r="XAP1628" s="1"/>
      <c r="XAQ1628" s="1"/>
      <c r="XAR1628" s="1"/>
      <c r="XAS1628" s="1"/>
      <c r="XAT1628" s="1"/>
      <c r="XAU1628" s="1"/>
      <c r="XAV1628" s="1"/>
      <c r="XAW1628" s="1"/>
      <c r="XAX1628" s="1"/>
      <c r="XAY1628" s="1"/>
      <c r="XAZ1628" s="1"/>
      <c r="XBA1628" s="1"/>
      <c r="XBB1628" s="1"/>
      <c r="XBC1628" s="1"/>
      <c r="XBD1628" s="1"/>
      <c r="XBE1628" s="1"/>
      <c r="XBF1628" s="1"/>
      <c r="XBG1628" s="1"/>
      <c r="XBH1628" s="1"/>
      <c r="XBI1628" s="1"/>
      <c r="XBJ1628" s="1"/>
      <c r="XBK1628" s="1"/>
      <c r="XBL1628" s="1"/>
      <c r="XBM1628" s="1"/>
      <c r="XBN1628" s="1"/>
      <c r="XBO1628" s="1"/>
      <c r="XBP1628" s="1"/>
      <c r="XBQ1628" s="1"/>
      <c r="XBR1628" s="1"/>
      <c r="XBS1628" s="1"/>
      <c r="XBT1628" s="1"/>
      <c r="XBU1628" s="1"/>
      <c r="XBV1628" s="1"/>
      <c r="XBW1628" s="1"/>
      <c r="XBX1628" s="1"/>
      <c r="XBY1628" s="1"/>
      <c r="XBZ1628" s="1"/>
      <c r="XCA1628" s="1"/>
      <c r="XCB1628" s="1"/>
      <c r="XCC1628" s="1"/>
      <c r="XCD1628" s="1"/>
      <c r="XCE1628" s="1"/>
      <c r="XCF1628" s="1"/>
      <c r="XCG1628" s="1"/>
      <c r="XCH1628" s="1"/>
      <c r="XCI1628" s="1"/>
      <c r="XCJ1628" s="1"/>
      <c r="XCK1628" s="1"/>
      <c r="XCL1628" s="1"/>
      <c r="XCM1628" s="1"/>
      <c r="XCN1628" s="1"/>
      <c r="XCO1628" s="1"/>
      <c r="XCP1628" s="1"/>
      <c r="XCQ1628" s="1"/>
      <c r="XCR1628" s="1"/>
      <c r="XCS1628" s="1"/>
      <c r="XCT1628" s="1"/>
      <c r="XCU1628" s="1"/>
      <c r="XCV1628" s="1"/>
      <c r="XCW1628" s="1"/>
      <c r="XCX1628" s="1"/>
      <c r="XCY1628" s="1"/>
      <c r="XCZ1628" s="1"/>
      <c r="XDA1628" s="1"/>
      <c r="XDB1628" s="1"/>
      <c r="XDC1628" s="1"/>
      <c r="XDD1628" s="1"/>
      <c r="XDE1628" s="1"/>
      <c r="XDF1628" s="1"/>
      <c r="XDG1628" s="1"/>
      <c r="XDH1628" s="1"/>
      <c r="XDI1628" s="1"/>
      <c r="XDJ1628" s="1"/>
      <c r="XDK1628" s="1"/>
      <c r="XDL1628" s="1"/>
      <c r="XDM1628" s="1"/>
      <c r="XDN1628" s="1"/>
      <c r="XDO1628" s="1"/>
      <c r="XDP1628" s="1"/>
      <c r="XDQ1628" s="1"/>
      <c r="XDR1628" s="1"/>
      <c r="XDS1628" s="1"/>
    </row>
    <row r="1629" spans="1:16347" s="26" customFormat="1" x14ac:dyDescent="0.25">
      <c r="A1629" s="1" t="s">
        <v>1014</v>
      </c>
      <c r="B1629" s="1" t="s">
        <v>1468</v>
      </c>
      <c r="C1629" s="1">
        <v>907</v>
      </c>
      <c r="D1629" s="1">
        <v>0.5</v>
      </c>
      <c r="E1629" s="3">
        <f t="shared" si="104"/>
        <v>453.5</v>
      </c>
      <c r="F1629" s="1">
        <f t="shared" si="105"/>
        <v>544.19999999999993</v>
      </c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  <c r="BF1629" s="1"/>
      <c r="BG1629" s="1"/>
      <c r="BH1629" s="1"/>
      <c r="BI1629" s="1"/>
      <c r="BJ1629" s="1"/>
      <c r="BK1629" s="1"/>
      <c r="BL1629" s="1"/>
      <c r="BM1629" s="1"/>
      <c r="BN1629" s="1"/>
      <c r="BO1629" s="1"/>
      <c r="BP1629" s="1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  <c r="CC1629" s="1"/>
      <c r="CD1629" s="1"/>
      <c r="CE1629" s="1"/>
      <c r="CF1629" s="1"/>
      <c r="CG1629" s="1"/>
      <c r="CH1629" s="1"/>
      <c r="CI1629" s="1"/>
      <c r="CJ1629" s="1"/>
      <c r="CK1629" s="1"/>
      <c r="CL1629" s="1"/>
      <c r="CM1629" s="1"/>
      <c r="CN1629" s="1"/>
      <c r="CO1629" s="1"/>
      <c r="CP1629" s="1"/>
      <c r="CQ1629" s="1"/>
      <c r="CR1629" s="1"/>
      <c r="CS1629" s="1"/>
      <c r="CT1629" s="1"/>
      <c r="CU1629" s="1"/>
      <c r="CV1629" s="1"/>
      <c r="CW1629" s="1"/>
      <c r="CX1629" s="1"/>
      <c r="CY1629" s="1"/>
      <c r="CZ1629" s="1"/>
      <c r="DA1629" s="1"/>
      <c r="DB1629" s="1"/>
      <c r="DC1629" s="1"/>
      <c r="DD1629" s="1"/>
      <c r="DE1629" s="1"/>
      <c r="DF1629" s="1"/>
      <c r="DG1629" s="1"/>
      <c r="DH1629" s="1"/>
      <c r="DI1629" s="1"/>
      <c r="DJ1629" s="1"/>
      <c r="DK1629" s="1"/>
      <c r="DL1629" s="1"/>
      <c r="DM1629" s="1"/>
      <c r="DN1629" s="1"/>
      <c r="DO1629" s="1"/>
      <c r="DP1629" s="1"/>
      <c r="DQ1629" s="1"/>
      <c r="DR1629" s="1"/>
      <c r="DS1629" s="1"/>
      <c r="DT1629" s="1"/>
      <c r="DU1629" s="1"/>
      <c r="DV1629" s="1"/>
      <c r="DW1629" s="1"/>
      <c r="DX1629" s="1"/>
      <c r="DY1629" s="1"/>
      <c r="DZ1629" s="1"/>
      <c r="EA1629" s="1"/>
      <c r="EB1629" s="1"/>
      <c r="EC1629" s="1"/>
      <c r="ED1629" s="1"/>
      <c r="EE1629" s="1"/>
      <c r="EF1629" s="1"/>
      <c r="EG1629" s="1"/>
      <c r="EH1629" s="1"/>
      <c r="EI1629" s="1"/>
      <c r="EJ1629" s="1"/>
      <c r="EK1629" s="1"/>
      <c r="EL1629" s="1"/>
      <c r="EM1629" s="1"/>
      <c r="EN1629" s="1"/>
      <c r="EO1629" s="1"/>
      <c r="EP1629" s="1"/>
      <c r="EQ1629" s="1"/>
      <c r="ER1629" s="1"/>
      <c r="ES1629" s="1"/>
      <c r="ET1629" s="1"/>
      <c r="EU1629" s="1"/>
      <c r="EV1629" s="1"/>
      <c r="EW1629" s="1"/>
      <c r="EX1629" s="1"/>
      <c r="EY1629" s="1"/>
      <c r="EZ1629" s="1"/>
      <c r="FA1629" s="1"/>
      <c r="FB1629" s="1"/>
      <c r="FC1629" s="1"/>
      <c r="FD1629" s="1"/>
      <c r="FE1629" s="1"/>
      <c r="FF1629" s="1"/>
      <c r="FG1629" s="1"/>
      <c r="FH1629" s="1"/>
      <c r="FI1629" s="1"/>
      <c r="FJ1629" s="1"/>
      <c r="FK1629" s="1"/>
      <c r="FL1629" s="1"/>
      <c r="FM1629" s="1"/>
      <c r="FN1629" s="1"/>
      <c r="FO1629" s="1"/>
      <c r="FP1629" s="1"/>
      <c r="FQ1629" s="1"/>
      <c r="FR1629" s="1"/>
      <c r="FS1629" s="1"/>
      <c r="FT1629" s="1"/>
      <c r="FU1629" s="1"/>
      <c r="FV1629" s="1"/>
      <c r="FW1629" s="1"/>
      <c r="FX1629" s="1"/>
      <c r="FY1629" s="1"/>
      <c r="FZ1629" s="1"/>
      <c r="GA1629" s="1"/>
      <c r="GB1629" s="1"/>
      <c r="GC1629" s="1"/>
      <c r="GD1629" s="1"/>
      <c r="GE1629" s="1"/>
      <c r="GF1629" s="1"/>
      <c r="GG1629" s="1"/>
      <c r="GH1629" s="1"/>
      <c r="GI1629" s="1"/>
      <c r="GJ1629" s="1"/>
      <c r="GK1629" s="1"/>
      <c r="GL1629" s="1"/>
      <c r="GM1629" s="1"/>
      <c r="GN1629" s="1"/>
      <c r="GO1629" s="1"/>
      <c r="GP1629" s="1"/>
      <c r="GQ1629" s="1"/>
      <c r="GR1629" s="1"/>
      <c r="GS1629" s="1"/>
      <c r="GT1629" s="1"/>
      <c r="GU1629" s="1"/>
      <c r="GV1629" s="1"/>
      <c r="GW1629" s="1"/>
      <c r="GX1629" s="1"/>
      <c r="GY1629" s="1"/>
      <c r="GZ1629" s="1"/>
      <c r="HA1629" s="1"/>
      <c r="HB1629" s="1"/>
      <c r="HC1629" s="1"/>
      <c r="HD1629" s="1"/>
      <c r="HE1629" s="1"/>
      <c r="HF1629" s="1"/>
      <c r="HG1629" s="1"/>
      <c r="HH1629" s="1"/>
      <c r="HI1629" s="1"/>
      <c r="HJ1629" s="1"/>
      <c r="HK1629" s="1"/>
      <c r="HL1629" s="1"/>
      <c r="HM1629" s="1"/>
      <c r="HN1629" s="1"/>
      <c r="HO1629" s="1"/>
      <c r="HP1629" s="1"/>
      <c r="HQ1629" s="1"/>
      <c r="HR1629" s="1"/>
      <c r="HS1629" s="1"/>
      <c r="HT1629" s="1"/>
      <c r="HU1629" s="1"/>
      <c r="HV1629" s="1"/>
      <c r="HW1629" s="1"/>
      <c r="HX1629" s="1"/>
      <c r="HY1629" s="1"/>
      <c r="HZ1629" s="1"/>
      <c r="IA1629" s="1"/>
      <c r="IB1629" s="1"/>
      <c r="IC1629" s="1"/>
      <c r="ID1629" s="1"/>
      <c r="IE1629" s="1"/>
      <c r="IF1629" s="1"/>
      <c r="IG1629" s="1"/>
      <c r="IH1629" s="1"/>
      <c r="II1629" s="1"/>
      <c r="IJ1629" s="1"/>
      <c r="IK1629" s="1"/>
      <c r="IL1629" s="1"/>
      <c r="IM1629" s="1"/>
      <c r="IN1629" s="1"/>
      <c r="IO1629" s="1"/>
      <c r="IP1629" s="1"/>
      <c r="IQ1629" s="1"/>
      <c r="IR1629" s="1"/>
      <c r="IS1629" s="1"/>
      <c r="IT1629" s="1"/>
      <c r="IU1629" s="1"/>
      <c r="IV1629" s="1"/>
      <c r="IW1629" s="1"/>
      <c r="IX1629" s="1"/>
      <c r="IY1629" s="1"/>
      <c r="IZ1629" s="1"/>
      <c r="JA1629" s="1"/>
      <c r="JB1629" s="1"/>
      <c r="JC1629" s="1"/>
      <c r="JD1629" s="1"/>
      <c r="JE1629" s="1"/>
      <c r="JF1629" s="1"/>
      <c r="JG1629" s="1"/>
      <c r="JH1629" s="1"/>
      <c r="JI1629" s="1"/>
      <c r="JJ1629" s="1"/>
      <c r="JK1629" s="1"/>
      <c r="JL1629" s="1"/>
      <c r="JM1629" s="1"/>
      <c r="JN1629" s="1"/>
      <c r="JO1629" s="1"/>
      <c r="JP1629" s="1"/>
      <c r="JQ1629" s="1"/>
      <c r="JR1629" s="1"/>
      <c r="JS1629" s="1"/>
      <c r="JT1629" s="1"/>
      <c r="JU1629" s="1"/>
      <c r="JV1629" s="1"/>
      <c r="JW1629" s="1"/>
      <c r="JX1629" s="1"/>
      <c r="JY1629" s="1"/>
      <c r="JZ1629" s="1"/>
      <c r="KA1629" s="1"/>
      <c r="KB1629" s="1"/>
      <c r="KC1629" s="1"/>
      <c r="KD1629" s="1"/>
      <c r="KE1629" s="1"/>
      <c r="KF1629" s="1"/>
      <c r="KG1629" s="1"/>
      <c r="KH1629" s="1"/>
      <c r="KI1629" s="1"/>
      <c r="KJ1629" s="1"/>
      <c r="KK1629" s="1"/>
      <c r="KL1629" s="1"/>
      <c r="KM1629" s="1"/>
      <c r="KN1629" s="1"/>
      <c r="KO1629" s="1"/>
      <c r="KP1629" s="1"/>
      <c r="KQ1629" s="1"/>
      <c r="KR1629" s="1"/>
      <c r="KS1629" s="1"/>
      <c r="KT1629" s="1"/>
      <c r="KU1629" s="1"/>
      <c r="KV1629" s="1"/>
      <c r="KW1629" s="1"/>
      <c r="KX1629" s="1"/>
      <c r="KY1629" s="1"/>
      <c r="KZ1629" s="1"/>
      <c r="LA1629" s="1"/>
      <c r="LB1629" s="1"/>
      <c r="LC1629" s="1"/>
      <c r="LD1629" s="1"/>
      <c r="LE1629" s="1"/>
      <c r="LF1629" s="1"/>
      <c r="LG1629" s="1"/>
      <c r="LH1629" s="1"/>
      <c r="LI1629" s="1"/>
      <c r="LJ1629" s="1"/>
      <c r="LK1629" s="1"/>
      <c r="LL1629" s="1"/>
      <c r="LM1629" s="1"/>
      <c r="LN1629" s="1"/>
      <c r="LO1629" s="1"/>
      <c r="LP1629" s="1"/>
      <c r="LQ1629" s="1"/>
      <c r="LR1629" s="1"/>
      <c r="LS1629" s="1"/>
      <c r="LT1629" s="1"/>
      <c r="LU1629" s="1"/>
      <c r="LV1629" s="1"/>
      <c r="LW1629" s="1"/>
      <c r="LX1629" s="1"/>
      <c r="LY1629" s="1"/>
      <c r="LZ1629" s="1"/>
      <c r="MA1629" s="1"/>
      <c r="MB1629" s="1"/>
      <c r="MC1629" s="1"/>
      <c r="MD1629" s="1"/>
      <c r="ME1629" s="1"/>
      <c r="MF1629" s="1"/>
      <c r="MG1629" s="1"/>
      <c r="MH1629" s="1"/>
      <c r="MI1629" s="1"/>
      <c r="MJ1629" s="1"/>
      <c r="MK1629" s="1"/>
      <c r="ML1629" s="1"/>
      <c r="MM1629" s="1"/>
      <c r="MN1629" s="1"/>
      <c r="MO1629" s="1"/>
      <c r="MP1629" s="1"/>
      <c r="MQ1629" s="1"/>
      <c r="MR1629" s="1"/>
      <c r="MS1629" s="1"/>
      <c r="MT1629" s="1"/>
      <c r="MU1629" s="1"/>
      <c r="MV1629" s="1"/>
      <c r="MW1629" s="1"/>
      <c r="MX1629" s="1"/>
      <c r="MY1629" s="1"/>
      <c r="MZ1629" s="1"/>
      <c r="NA1629" s="1"/>
      <c r="NB1629" s="1"/>
      <c r="NC1629" s="1"/>
      <c r="ND1629" s="1"/>
      <c r="NE1629" s="1"/>
      <c r="NF1629" s="1"/>
      <c r="NG1629" s="1"/>
      <c r="NH1629" s="1"/>
      <c r="NI1629" s="1"/>
      <c r="NJ1629" s="1"/>
      <c r="NK1629" s="1"/>
      <c r="NL1629" s="1"/>
      <c r="NM1629" s="1"/>
      <c r="NN1629" s="1"/>
      <c r="NO1629" s="1"/>
      <c r="NP1629" s="1"/>
      <c r="NQ1629" s="1"/>
      <c r="NR1629" s="1"/>
      <c r="NS1629" s="1"/>
      <c r="NT1629" s="1"/>
      <c r="NU1629" s="1"/>
      <c r="NV1629" s="1"/>
      <c r="NW1629" s="1"/>
      <c r="NX1629" s="1"/>
      <c r="NY1629" s="1"/>
      <c r="NZ1629" s="1"/>
      <c r="OA1629" s="1"/>
      <c r="OB1629" s="1"/>
      <c r="OC1629" s="1"/>
      <c r="OD1629" s="1"/>
      <c r="OE1629" s="1"/>
      <c r="OF1629" s="1"/>
      <c r="OG1629" s="1"/>
      <c r="OH1629" s="1"/>
      <c r="OI1629" s="1"/>
      <c r="OJ1629" s="1"/>
      <c r="OK1629" s="1"/>
      <c r="OL1629" s="1"/>
      <c r="OM1629" s="1"/>
      <c r="ON1629" s="1"/>
      <c r="OO1629" s="1"/>
      <c r="OP1629" s="1"/>
      <c r="OQ1629" s="1"/>
      <c r="OR1629" s="1"/>
      <c r="OS1629" s="1"/>
      <c r="OT1629" s="1"/>
      <c r="OU1629" s="1"/>
      <c r="OV1629" s="1"/>
      <c r="OW1629" s="1"/>
      <c r="OX1629" s="1"/>
      <c r="OY1629" s="1"/>
      <c r="OZ1629" s="1"/>
      <c r="PA1629" s="1"/>
      <c r="PB1629" s="1"/>
      <c r="PC1629" s="1"/>
      <c r="PD1629" s="1"/>
      <c r="PE1629" s="1"/>
      <c r="PF1629" s="1"/>
      <c r="PG1629" s="1"/>
      <c r="PH1629" s="1"/>
      <c r="PI1629" s="1"/>
      <c r="PJ1629" s="1"/>
      <c r="PK1629" s="1"/>
      <c r="PL1629" s="1"/>
      <c r="PM1629" s="1"/>
      <c r="PN1629" s="1"/>
      <c r="PO1629" s="1"/>
      <c r="PP1629" s="1"/>
      <c r="PQ1629" s="1"/>
      <c r="PR1629" s="1"/>
      <c r="PS1629" s="1"/>
      <c r="PT1629" s="1"/>
      <c r="PU1629" s="1"/>
      <c r="PV1629" s="1"/>
      <c r="PW1629" s="1"/>
      <c r="PX1629" s="1"/>
      <c r="PY1629" s="1"/>
      <c r="PZ1629" s="1"/>
      <c r="QA1629" s="1"/>
      <c r="QB1629" s="1"/>
      <c r="QC1629" s="1"/>
      <c r="QD1629" s="1"/>
      <c r="QE1629" s="1"/>
      <c r="QF1629" s="1"/>
      <c r="QG1629" s="1"/>
      <c r="QH1629" s="1"/>
      <c r="QI1629" s="1"/>
      <c r="QJ1629" s="1"/>
      <c r="QK1629" s="1"/>
      <c r="QL1629" s="1"/>
      <c r="QM1629" s="1"/>
      <c r="QN1629" s="1"/>
      <c r="QO1629" s="1"/>
      <c r="QP1629" s="1"/>
      <c r="QQ1629" s="1"/>
      <c r="QR1629" s="1"/>
      <c r="QS1629" s="1"/>
      <c r="QT1629" s="1"/>
      <c r="QU1629" s="1"/>
      <c r="QV1629" s="1"/>
      <c r="QW1629" s="1"/>
      <c r="QX1629" s="1"/>
      <c r="QY1629" s="1"/>
      <c r="QZ1629" s="1"/>
      <c r="RA1629" s="1"/>
      <c r="RB1629" s="1"/>
      <c r="RC1629" s="1"/>
      <c r="RD1629" s="1"/>
      <c r="RE1629" s="1"/>
      <c r="RF1629" s="1"/>
      <c r="RG1629" s="1"/>
      <c r="RH1629" s="1"/>
      <c r="RI1629" s="1"/>
      <c r="RJ1629" s="1"/>
      <c r="RK1629" s="1"/>
      <c r="RL1629" s="1"/>
      <c r="RM1629" s="1"/>
      <c r="RN1629" s="1"/>
      <c r="RO1629" s="1"/>
      <c r="RP1629" s="1"/>
      <c r="RQ1629" s="1"/>
      <c r="RR1629" s="1"/>
      <c r="RS1629" s="1"/>
      <c r="RT1629" s="1"/>
      <c r="RU1629" s="1"/>
      <c r="RV1629" s="1"/>
      <c r="RW1629" s="1"/>
      <c r="RX1629" s="1"/>
      <c r="RY1629" s="1"/>
      <c r="RZ1629" s="1"/>
      <c r="SA1629" s="1"/>
      <c r="SB1629" s="1"/>
      <c r="SC1629" s="1"/>
      <c r="SD1629" s="1"/>
      <c r="SE1629" s="1"/>
      <c r="SF1629" s="1"/>
      <c r="SG1629" s="1"/>
      <c r="SH1629" s="1"/>
      <c r="SI1629" s="1"/>
      <c r="SJ1629" s="1"/>
      <c r="SK1629" s="1"/>
      <c r="SL1629" s="1"/>
      <c r="SM1629" s="1"/>
      <c r="SN1629" s="1"/>
      <c r="SO1629" s="1"/>
      <c r="SP1629" s="1"/>
      <c r="SQ1629" s="1"/>
      <c r="SR1629" s="1"/>
      <c r="SS1629" s="1"/>
      <c r="ST1629" s="1"/>
      <c r="SU1629" s="1"/>
      <c r="SV1629" s="1"/>
      <c r="SW1629" s="1"/>
      <c r="SX1629" s="1"/>
      <c r="SY1629" s="1"/>
      <c r="SZ1629" s="1"/>
      <c r="TA1629" s="1"/>
      <c r="TB1629" s="1"/>
      <c r="TC1629" s="1"/>
      <c r="TD1629" s="1"/>
      <c r="TE1629" s="1"/>
      <c r="TF1629" s="1"/>
      <c r="TG1629" s="1"/>
      <c r="TH1629" s="1"/>
      <c r="TI1629" s="1"/>
      <c r="TJ1629" s="1"/>
      <c r="TK1629" s="1"/>
      <c r="TL1629" s="1"/>
      <c r="TM1629" s="1"/>
      <c r="TN1629" s="1"/>
      <c r="TO1629" s="1"/>
      <c r="TP1629" s="1"/>
      <c r="TQ1629" s="1"/>
      <c r="TR1629" s="1"/>
      <c r="TS1629" s="1"/>
      <c r="TT1629" s="1"/>
      <c r="TU1629" s="1"/>
      <c r="TV1629" s="1"/>
      <c r="TW1629" s="1"/>
      <c r="TX1629" s="1"/>
      <c r="TY1629" s="1"/>
      <c r="TZ1629" s="1"/>
      <c r="UA1629" s="1"/>
      <c r="UB1629" s="1"/>
      <c r="UC1629" s="1"/>
      <c r="UD1629" s="1"/>
      <c r="UE1629" s="1"/>
      <c r="UF1629" s="1"/>
      <c r="UG1629" s="1"/>
      <c r="UH1629" s="1"/>
      <c r="UI1629" s="1"/>
      <c r="UJ1629" s="1"/>
      <c r="UK1629" s="1"/>
      <c r="UL1629" s="1"/>
      <c r="UM1629" s="1"/>
      <c r="UN1629" s="1"/>
      <c r="UO1629" s="1"/>
      <c r="UP1629" s="1"/>
      <c r="UQ1629" s="1"/>
      <c r="UR1629" s="1"/>
      <c r="US1629" s="1"/>
      <c r="UT1629" s="1"/>
      <c r="UU1629" s="1"/>
      <c r="UV1629" s="1"/>
      <c r="UW1629" s="1"/>
      <c r="UX1629" s="1"/>
      <c r="UY1629" s="1"/>
      <c r="UZ1629" s="1"/>
      <c r="VA1629" s="1"/>
      <c r="VB1629" s="1"/>
      <c r="VC1629" s="1"/>
      <c r="VD1629" s="1"/>
      <c r="VE1629" s="1"/>
      <c r="VF1629" s="1"/>
      <c r="VG1629" s="1"/>
      <c r="VH1629" s="1"/>
      <c r="VI1629" s="1"/>
      <c r="VJ1629" s="1"/>
      <c r="VK1629" s="1"/>
      <c r="VL1629" s="1"/>
      <c r="VM1629" s="1"/>
      <c r="VN1629" s="1"/>
      <c r="VO1629" s="1"/>
      <c r="VP1629" s="1"/>
      <c r="VQ1629" s="1"/>
      <c r="VR1629" s="1"/>
      <c r="VS1629" s="1"/>
      <c r="VT1629" s="1"/>
      <c r="VU1629" s="1"/>
      <c r="VV1629" s="1"/>
      <c r="VW1629" s="1"/>
      <c r="VX1629" s="1"/>
      <c r="VY1629" s="1"/>
      <c r="VZ1629" s="1"/>
      <c r="WA1629" s="1"/>
      <c r="WB1629" s="1"/>
      <c r="WC1629" s="1"/>
      <c r="WD1629" s="1"/>
      <c r="WE1629" s="1"/>
      <c r="WF1629" s="1"/>
      <c r="WG1629" s="1"/>
      <c r="WH1629" s="1"/>
      <c r="WI1629" s="1"/>
      <c r="WJ1629" s="1"/>
      <c r="WK1629" s="1"/>
      <c r="WL1629" s="1"/>
      <c r="WM1629" s="1"/>
      <c r="WN1629" s="1"/>
      <c r="WO1629" s="1"/>
      <c r="WP1629" s="1"/>
      <c r="WQ1629" s="1"/>
      <c r="WR1629" s="1"/>
      <c r="WS1629" s="1"/>
      <c r="WT1629" s="1"/>
      <c r="WU1629" s="1"/>
      <c r="WV1629" s="1"/>
      <c r="WW1629" s="1"/>
      <c r="WX1629" s="1"/>
      <c r="WY1629" s="1"/>
      <c r="WZ1629" s="1"/>
      <c r="XA1629" s="1"/>
      <c r="XB1629" s="1"/>
      <c r="XC1629" s="1"/>
      <c r="XD1629" s="1"/>
      <c r="XE1629" s="1"/>
      <c r="XF1629" s="1"/>
      <c r="XG1629" s="1"/>
      <c r="XH1629" s="1"/>
      <c r="XI1629" s="1"/>
      <c r="XJ1629" s="1"/>
      <c r="XK1629" s="1"/>
      <c r="XL1629" s="1"/>
      <c r="XM1629" s="1"/>
      <c r="XN1629" s="1"/>
      <c r="XO1629" s="1"/>
      <c r="XP1629" s="1"/>
      <c r="XQ1629" s="1"/>
      <c r="XR1629" s="1"/>
      <c r="XS1629" s="1"/>
      <c r="XT1629" s="1"/>
      <c r="XU1629" s="1"/>
      <c r="XV1629" s="1"/>
      <c r="XW1629" s="1"/>
      <c r="XX1629" s="1"/>
      <c r="XY1629" s="1"/>
      <c r="XZ1629" s="1"/>
      <c r="YA1629" s="1"/>
      <c r="YB1629" s="1"/>
      <c r="YC1629" s="1"/>
      <c r="YD1629" s="1"/>
      <c r="YE1629" s="1"/>
      <c r="YF1629" s="1"/>
      <c r="YG1629" s="1"/>
      <c r="YH1629" s="1"/>
      <c r="YI1629" s="1"/>
      <c r="YJ1629" s="1"/>
      <c r="YK1629" s="1"/>
      <c r="YL1629" s="1"/>
      <c r="YM1629" s="1"/>
      <c r="YN1629" s="1"/>
      <c r="YO1629" s="1"/>
      <c r="YP1629" s="1"/>
      <c r="YQ1629" s="1"/>
      <c r="YR1629" s="1"/>
      <c r="YS1629" s="1"/>
      <c r="YT1629" s="1"/>
      <c r="YU1629" s="1"/>
      <c r="YV1629" s="1"/>
      <c r="YW1629" s="1"/>
      <c r="YX1629" s="1"/>
      <c r="YY1629" s="1"/>
      <c r="YZ1629" s="1"/>
      <c r="ZA1629" s="1"/>
      <c r="ZB1629" s="1"/>
      <c r="ZC1629" s="1"/>
      <c r="ZD1629" s="1"/>
      <c r="ZE1629" s="1"/>
      <c r="ZF1629" s="1"/>
      <c r="ZG1629" s="1"/>
      <c r="ZH1629" s="1"/>
      <c r="ZI1629" s="1"/>
      <c r="ZJ1629" s="1"/>
      <c r="ZK1629" s="1"/>
      <c r="ZL1629" s="1"/>
      <c r="ZM1629" s="1"/>
      <c r="ZN1629" s="1"/>
      <c r="ZO1629" s="1"/>
      <c r="ZP1629" s="1"/>
      <c r="ZQ1629" s="1"/>
      <c r="ZR1629" s="1"/>
      <c r="ZS1629" s="1"/>
      <c r="ZT1629" s="1"/>
      <c r="ZU1629" s="1"/>
      <c r="ZV1629" s="1"/>
      <c r="ZW1629" s="1"/>
      <c r="ZX1629" s="1"/>
      <c r="ZY1629" s="1"/>
      <c r="ZZ1629" s="1"/>
      <c r="AAA1629" s="1"/>
      <c r="AAB1629" s="1"/>
      <c r="AAC1629" s="1"/>
      <c r="AAD1629" s="1"/>
      <c r="AAE1629" s="1"/>
      <c r="AAF1629" s="1"/>
      <c r="AAG1629" s="1"/>
      <c r="AAH1629" s="1"/>
      <c r="AAI1629" s="1"/>
      <c r="AAJ1629" s="1"/>
      <c r="AAK1629" s="1"/>
      <c r="AAL1629" s="1"/>
      <c r="AAM1629" s="1"/>
      <c r="AAN1629" s="1"/>
      <c r="AAO1629" s="1"/>
      <c r="AAP1629" s="1"/>
      <c r="AAQ1629" s="1"/>
      <c r="AAR1629" s="1"/>
      <c r="AAS1629" s="1"/>
      <c r="AAT1629" s="1"/>
      <c r="AAU1629" s="1"/>
      <c r="AAV1629" s="1"/>
      <c r="AAW1629" s="1"/>
      <c r="AAX1629" s="1"/>
      <c r="AAY1629" s="1"/>
      <c r="AAZ1629" s="1"/>
      <c r="ABA1629" s="1"/>
      <c r="ABB1629" s="1"/>
      <c r="ABC1629" s="1"/>
      <c r="ABD1629" s="1"/>
      <c r="ABE1629" s="1"/>
      <c r="ABF1629" s="1"/>
      <c r="ABG1629" s="1"/>
      <c r="ABH1629" s="1"/>
      <c r="ABI1629" s="1"/>
      <c r="ABJ1629" s="1"/>
      <c r="ABK1629" s="1"/>
      <c r="ABL1629" s="1"/>
      <c r="ABM1629" s="1"/>
      <c r="ABN1629" s="1"/>
      <c r="ABO1629" s="1"/>
      <c r="ABP1629" s="1"/>
      <c r="ABQ1629" s="1"/>
      <c r="ABR1629" s="1"/>
      <c r="ABS1629" s="1"/>
      <c r="ABT1629" s="1"/>
      <c r="ABU1629" s="1"/>
      <c r="ABV1629" s="1"/>
      <c r="ABW1629" s="1"/>
      <c r="ABX1629" s="1"/>
      <c r="ABY1629" s="1"/>
      <c r="ABZ1629" s="1"/>
      <c r="ACA1629" s="1"/>
      <c r="ACB1629" s="1"/>
      <c r="ACC1629" s="1"/>
      <c r="ACD1629" s="1"/>
      <c r="ACE1629" s="1"/>
      <c r="ACF1629" s="1"/>
      <c r="ACG1629" s="1"/>
      <c r="ACH1629" s="1"/>
      <c r="ACI1629" s="1"/>
      <c r="ACJ1629" s="1"/>
      <c r="ACK1629" s="1"/>
      <c r="ACL1629" s="1"/>
      <c r="ACM1629" s="1"/>
      <c r="ACN1629" s="1"/>
      <c r="ACO1629" s="1"/>
      <c r="ACP1629" s="1"/>
      <c r="ACQ1629" s="1"/>
      <c r="ACR1629" s="1"/>
      <c r="ACS1629" s="1"/>
      <c r="ACT1629" s="1"/>
      <c r="ACU1629" s="1"/>
      <c r="ACV1629" s="1"/>
      <c r="ACW1629" s="1"/>
      <c r="ACX1629" s="1"/>
      <c r="ACY1629" s="1"/>
      <c r="ACZ1629" s="1"/>
      <c r="ADA1629" s="1"/>
      <c r="ADB1629" s="1"/>
      <c r="ADC1629" s="1"/>
      <c r="ADD1629" s="1"/>
      <c r="ADE1629" s="1"/>
      <c r="ADF1629" s="1"/>
      <c r="ADG1629" s="1"/>
      <c r="ADH1629" s="1"/>
      <c r="ADI1629" s="1"/>
      <c r="ADJ1629" s="1"/>
      <c r="ADK1629" s="1"/>
      <c r="ADL1629" s="1"/>
      <c r="ADM1629" s="1"/>
      <c r="ADN1629" s="1"/>
      <c r="ADO1629" s="1"/>
      <c r="ADP1629" s="1"/>
      <c r="ADQ1629" s="1"/>
      <c r="ADR1629" s="1"/>
      <c r="ADS1629" s="1"/>
      <c r="ADT1629" s="1"/>
      <c r="ADU1629" s="1"/>
      <c r="ADV1629" s="1"/>
      <c r="ADW1629" s="1"/>
      <c r="ADX1629" s="1"/>
      <c r="ADY1629" s="1"/>
      <c r="ADZ1629" s="1"/>
      <c r="AEA1629" s="1"/>
      <c r="AEB1629" s="1"/>
      <c r="AEC1629" s="1"/>
      <c r="AED1629" s="1"/>
      <c r="AEE1629" s="1"/>
      <c r="AEF1629" s="1"/>
      <c r="AEG1629" s="1"/>
      <c r="AEH1629" s="1"/>
      <c r="AEI1629" s="1"/>
      <c r="AEJ1629" s="1"/>
      <c r="AEK1629" s="1"/>
      <c r="AEL1629" s="1"/>
      <c r="AEM1629" s="1"/>
      <c r="AEN1629" s="1"/>
      <c r="AEO1629" s="1"/>
      <c r="AEP1629" s="1"/>
      <c r="AEQ1629" s="1"/>
      <c r="AER1629" s="1"/>
      <c r="AES1629" s="1"/>
      <c r="AET1629" s="1"/>
      <c r="AEU1629" s="1"/>
      <c r="AEV1629" s="1"/>
      <c r="AEW1629" s="1"/>
      <c r="AEX1629" s="1"/>
      <c r="AEY1629" s="1"/>
      <c r="AEZ1629" s="1"/>
      <c r="AFA1629" s="1"/>
      <c r="AFB1629" s="1"/>
      <c r="AFC1629" s="1"/>
      <c r="AFD1629" s="1"/>
      <c r="AFE1629" s="1"/>
      <c r="AFF1629" s="1"/>
      <c r="AFG1629" s="1"/>
      <c r="AFH1629" s="1"/>
      <c r="AFI1629" s="1"/>
      <c r="AFJ1629" s="1"/>
      <c r="AFK1629" s="1"/>
      <c r="AFL1629" s="1"/>
      <c r="AFM1629" s="1"/>
      <c r="AFN1629" s="1"/>
      <c r="AFO1629" s="1"/>
      <c r="AFP1629" s="1"/>
      <c r="AFQ1629" s="1"/>
      <c r="AFR1629" s="1"/>
      <c r="AFS1629" s="1"/>
      <c r="AFT1629" s="1"/>
      <c r="AFU1629" s="1"/>
      <c r="AFV1629" s="1"/>
      <c r="AFW1629" s="1"/>
      <c r="AFX1629" s="1"/>
      <c r="AFY1629" s="1"/>
      <c r="AFZ1629" s="1"/>
      <c r="AGA1629" s="1"/>
      <c r="AGB1629" s="1"/>
      <c r="AGC1629" s="1"/>
      <c r="AGD1629" s="1"/>
      <c r="AGE1629" s="1"/>
      <c r="AGF1629" s="1"/>
      <c r="AGG1629" s="1"/>
      <c r="AGH1629" s="1"/>
      <c r="AGI1629" s="1"/>
      <c r="AGJ1629" s="1"/>
      <c r="AGK1629" s="1"/>
      <c r="AGL1629" s="1"/>
      <c r="AGM1629" s="1"/>
      <c r="AGN1629" s="1"/>
      <c r="AGO1629" s="1"/>
      <c r="AGP1629" s="1"/>
      <c r="AGQ1629" s="1"/>
      <c r="AGR1629" s="1"/>
      <c r="AGS1629" s="1"/>
      <c r="AGT1629" s="1"/>
      <c r="AGU1629" s="1"/>
      <c r="AGV1629" s="1"/>
      <c r="AGW1629" s="1"/>
      <c r="AGX1629" s="1"/>
      <c r="AGY1629" s="1"/>
      <c r="AGZ1629" s="1"/>
      <c r="AHA1629" s="1"/>
      <c r="AHB1629" s="1"/>
      <c r="AHC1629" s="1"/>
      <c r="AHD1629" s="1"/>
      <c r="AHE1629" s="1"/>
      <c r="AHF1629" s="1"/>
      <c r="AHG1629" s="1"/>
      <c r="AHH1629" s="1"/>
      <c r="AHI1629" s="1"/>
      <c r="AHJ1629" s="1"/>
      <c r="AHK1629" s="1"/>
      <c r="AHL1629" s="1"/>
      <c r="AHM1629" s="1"/>
      <c r="AHN1629" s="1"/>
      <c r="AHO1629" s="1"/>
      <c r="AHP1629" s="1"/>
      <c r="AHQ1629" s="1"/>
      <c r="AHR1629" s="1"/>
      <c r="AHS1629" s="1"/>
      <c r="AHT1629" s="1"/>
      <c r="AHU1629" s="1"/>
      <c r="AHV1629" s="1"/>
      <c r="AHW1629" s="1"/>
      <c r="AHX1629" s="1"/>
      <c r="AHY1629" s="1"/>
      <c r="AHZ1629" s="1"/>
      <c r="AIA1629" s="1"/>
      <c r="AIB1629" s="1"/>
      <c r="AIC1629" s="1"/>
      <c r="AID1629" s="1"/>
      <c r="AIE1629" s="1"/>
      <c r="AIF1629" s="1"/>
      <c r="AIG1629" s="1"/>
      <c r="AIH1629" s="1"/>
      <c r="AII1629" s="1"/>
      <c r="AIJ1629" s="1"/>
      <c r="AIK1629" s="1"/>
      <c r="AIL1629" s="1"/>
      <c r="AIM1629" s="1"/>
      <c r="AIN1629" s="1"/>
      <c r="AIO1629" s="1"/>
      <c r="AIP1629" s="1"/>
      <c r="AIQ1629" s="1"/>
      <c r="AIR1629" s="1"/>
      <c r="AIS1629" s="1"/>
      <c r="AIT1629" s="1"/>
      <c r="AIU1629" s="1"/>
      <c r="AIV1629" s="1"/>
      <c r="AIW1629" s="1"/>
      <c r="AIX1629" s="1"/>
      <c r="AIY1629" s="1"/>
      <c r="AIZ1629" s="1"/>
      <c r="AJA1629" s="1"/>
      <c r="AJB1629" s="1"/>
      <c r="AJC1629" s="1"/>
      <c r="AJD1629" s="1"/>
      <c r="AJE1629" s="1"/>
      <c r="AJF1629" s="1"/>
      <c r="AJG1629" s="1"/>
      <c r="AJH1629" s="1"/>
      <c r="AJI1629" s="1"/>
      <c r="AJJ1629" s="1"/>
      <c r="AJK1629" s="1"/>
      <c r="AJL1629" s="1"/>
      <c r="AJM1629" s="1"/>
      <c r="AJN1629" s="1"/>
      <c r="AJO1629" s="1"/>
      <c r="AJP1629" s="1"/>
      <c r="AJQ1629" s="1"/>
      <c r="AJR1629" s="1"/>
      <c r="AJS1629" s="1"/>
      <c r="AJT1629" s="1"/>
      <c r="AJU1629" s="1"/>
      <c r="AJV1629" s="1"/>
      <c r="AJW1629" s="1"/>
      <c r="AJX1629" s="1"/>
      <c r="AJY1629" s="1"/>
      <c r="AJZ1629" s="1"/>
      <c r="AKA1629" s="1"/>
      <c r="AKB1629" s="1"/>
      <c r="AKC1629" s="1"/>
      <c r="AKD1629" s="1"/>
      <c r="AKE1629" s="1"/>
      <c r="AKF1629" s="1"/>
      <c r="AKG1629" s="1"/>
      <c r="AKH1629" s="1"/>
      <c r="AKI1629" s="1"/>
      <c r="AKJ1629" s="1"/>
      <c r="AKK1629" s="1"/>
      <c r="AKL1629" s="1"/>
      <c r="AKM1629" s="1"/>
      <c r="AKN1629" s="1"/>
      <c r="AKO1629" s="1"/>
      <c r="AKP1629" s="1"/>
      <c r="AKQ1629" s="1"/>
      <c r="AKR1629" s="1"/>
      <c r="AKS1629" s="1"/>
      <c r="AKT1629" s="1"/>
      <c r="AKU1629" s="1"/>
      <c r="AKV1629" s="1"/>
      <c r="AKW1629" s="1"/>
      <c r="AKX1629" s="1"/>
      <c r="AKY1629" s="1"/>
      <c r="AKZ1629" s="1"/>
      <c r="ALA1629" s="1"/>
      <c r="ALB1629" s="1"/>
      <c r="ALC1629" s="1"/>
      <c r="ALD1629" s="1"/>
      <c r="ALE1629" s="1"/>
      <c r="ALF1629" s="1"/>
      <c r="ALG1629" s="1"/>
      <c r="ALH1629" s="1"/>
      <c r="ALI1629" s="1"/>
      <c r="ALJ1629" s="1"/>
      <c r="ALK1629" s="1"/>
      <c r="ALL1629" s="1"/>
      <c r="ALM1629" s="1"/>
      <c r="ALN1629" s="1"/>
      <c r="ALO1629" s="1"/>
      <c r="ALP1629" s="1"/>
      <c r="ALQ1629" s="1"/>
      <c r="ALR1629" s="1"/>
      <c r="ALS1629" s="1"/>
      <c r="ALT1629" s="1"/>
      <c r="ALU1629" s="1"/>
      <c r="ALV1629" s="1"/>
      <c r="ALW1629" s="1"/>
      <c r="ALX1629" s="1"/>
      <c r="ALY1629" s="1"/>
      <c r="ALZ1629" s="1"/>
      <c r="AMA1629" s="1"/>
      <c r="AMB1629" s="1"/>
      <c r="AMC1629" s="1"/>
      <c r="AMD1629" s="1"/>
      <c r="AME1629" s="1"/>
      <c r="AMF1629" s="1"/>
      <c r="AMG1629" s="1"/>
      <c r="AMH1629" s="1"/>
      <c r="AMI1629" s="1"/>
      <c r="AMJ1629" s="1"/>
      <c r="AMK1629" s="1"/>
      <c r="AML1629" s="1"/>
      <c r="AMM1629" s="1"/>
      <c r="AMN1629" s="1"/>
      <c r="AMO1629" s="1"/>
      <c r="AMP1629" s="1"/>
      <c r="AMQ1629" s="1"/>
      <c r="AMR1629" s="1"/>
      <c r="AMS1629" s="1"/>
      <c r="AMT1629" s="1"/>
      <c r="AMU1629" s="1"/>
      <c r="AMV1629" s="1"/>
      <c r="AMW1629" s="1"/>
      <c r="AMX1629" s="1"/>
      <c r="AMY1629" s="1"/>
      <c r="AMZ1629" s="1"/>
      <c r="ANA1629" s="1"/>
      <c r="ANB1629" s="1"/>
      <c r="ANC1629" s="1"/>
      <c r="AND1629" s="1"/>
      <c r="ANE1629" s="1"/>
      <c r="ANF1629" s="1"/>
      <c r="ANG1629" s="1"/>
      <c r="ANH1629" s="1"/>
      <c r="ANI1629" s="1"/>
      <c r="ANJ1629" s="1"/>
      <c r="ANK1629" s="1"/>
      <c r="ANL1629" s="1"/>
      <c r="ANM1629" s="1"/>
      <c r="ANN1629" s="1"/>
      <c r="ANO1629" s="1"/>
      <c r="ANP1629" s="1"/>
      <c r="ANQ1629" s="1"/>
      <c r="ANR1629" s="1"/>
      <c r="ANS1629" s="1"/>
      <c r="ANT1629" s="1"/>
      <c r="ANU1629" s="1"/>
      <c r="ANV1629" s="1"/>
      <c r="ANW1629" s="1"/>
      <c r="ANX1629" s="1"/>
      <c r="ANY1629" s="1"/>
      <c r="ANZ1629" s="1"/>
      <c r="AOA1629" s="1"/>
      <c r="AOB1629" s="1"/>
      <c r="AOC1629" s="1"/>
      <c r="AOD1629" s="1"/>
      <c r="AOE1629" s="1"/>
      <c r="AOF1629" s="1"/>
      <c r="AOG1629" s="1"/>
      <c r="AOH1629" s="1"/>
      <c r="AOI1629" s="1"/>
      <c r="AOJ1629" s="1"/>
      <c r="AOK1629" s="1"/>
      <c r="AOL1629" s="1"/>
      <c r="AOM1629" s="1"/>
      <c r="AON1629" s="1"/>
      <c r="AOO1629" s="1"/>
      <c r="AOP1629" s="1"/>
      <c r="AOQ1629" s="1"/>
      <c r="AOR1629" s="1"/>
      <c r="AOS1629" s="1"/>
      <c r="AOT1629" s="1"/>
      <c r="AOU1629" s="1"/>
      <c r="AOV1629" s="1"/>
      <c r="AOW1629" s="1"/>
      <c r="AOX1629" s="1"/>
      <c r="AOY1629" s="1"/>
      <c r="AOZ1629" s="1"/>
      <c r="APA1629" s="1"/>
      <c r="APB1629" s="1"/>
      <c r="APC1629" s="1"/>
      <c r="APD1629" s="1"/>
      <c r="APE1629" s="1"/>
      <c r="APF1629" s="1"/>
      <c r="APG1629" s="1"/>
      <c r="APH1629" s="1"/>
      <c r="API1629" s="1"/>
      <c r="APJ1629" s="1"/>
      <c r="APK1629" s="1"/>
      <c r="APL1629" s="1"/>
      <c r="APM1629" s="1"/>
      <c r="APN1629" s="1"/>
      <c r="APO1629" s="1"/>
      <c r="APP1629" s="1"/>
      <c r="APQ1629" s="1"/>
      <c r="APR1629" s="1"/>
      <c r="APS1629" s="1"/>
      <c r="APT1629" s="1"/>
      <c r="APU1629" s="1"/>
      <c r="APV1629" s="1"/>
      <c r="APW1629" s="1"/>
      <c r="APX1629" s="1"/>
      <c r="APY1629" s="1"/>
      <c r="APZ1629" s="1"/>
      <c r="AQA1629" s="1"/>
      <c r="AQB1629" s="1"/>
      <c r="AQC1629" s="1"/>
      <c r="AQD1629" s="1"/>
      <c r="AQE1629" s="1"/>
      <c r="AQF1629" s="1"/>
      <c r="AQG1629" s="1"/>
      <c r="AQH1629" s="1"/>
      <c r="AQI1629" s="1"/>
      <c r="AQJ1629" s="1"/>
      <c r="AQK1629" s="1"/>
      <c r="AQL1629" s="1"/>
      <c r="AQM1629" s="1"/>
      <c r="AQN1629" s="1"/>
      <c r="AQO1629" s="1"/>
      <c r="AQP1629" s="1"/>
      <c r="AQQ1629" s="1"/>
      <c r="AQR1629" s="1"/>
      <c r="AQS1629" s="1"/>
      <c r="AQT1629" s="1"/>
      <c r="AQU1629" s="1"/>
      <c r="AQV1629" s="1"/>
      <c r="AQW1629" s="1"/>
      <c r="AQX1629" s="1"/>
      <c r="AQY1629" s="1"/>
      <c r="AQZ1629" s="1"/>
      <c r="ARA1629" s="1"/>
      <c r="ARB1629" s="1"/>
      <c r="ARC1629" s="1"/>
      <c r="ARD1629" s="1"/>
      <c r="ARE1629" s="1"/>
      <c r="ARF1629" s="1"/>
      <c r="ARG1629" s="1"/>
      <c r="ARH1629" s="1"/>
      <c r="ARI1629" s="1"/>
      <c r="ARJ1629" s="1"/>
      <c r="ARK1629" s="1"/>
      <c r="ARL1629" s="1"/>
      <c r="ARM1629" s="1"/>
      <c r="ARN1629" s="1"/>
      <c r="ARO1629" s="1"/>
      <c r="ARP1629" s="1"/>
      <c r="ARQ1629" s="1"/>
      <c r="ARR1629" s="1"/>
      <c r="ARS1629" s="1"/>
      <c r="ART1629" s="1"/>
      <c r="ARU1629" s="1"/>
      <c r="ARV1629" s="1"/>
      <c r="ARW1629" s="1"/>
      <c r="ARX1629" s="1"/>
      <c r="ARY1629" s="1"/>
      <c r="ARZ1629" s="1"/>
      <c r="ASA1629" s="1"/>
      <c r="ASB1629" s="1"/>
      <c r="ASC1629" s="1"/>
      <c r="ASD1629" s="1"/>
      <c r="ASE1629" s="1"/>
      <c r="ASF1629" s="1"/>
      <c r="ASG1629" s="1"/>
      <c r="ASH1629" s="1"/>
      <c r="ASI1629" s="1"/>
      <c r="ASJ1629" s="1"/>
      <c r="ASK1629" s="1"/>
      <c r="ASL1629" s="1"/>
      <c r="ASM1629" s="1"/>
      <c r="ASN1629" s="1"/>
      <c r="ASO1629" s="1"/>
      <c r="ASP1629" s="1"/>
      <c r="ASQ1629" s="1"/>
      <c r="ASR1629" s="1"/>
      <c r="ASS1629" s="1"/>
      <c r="AST1629" s="1"/>
      <c r="ASU1629" s="1"/>
      <c r="ASV1629" s="1"/>
      <c r="ASW1629" s="1"/>
      <c r="ASX1629" s="1"/>
      <c r="ASY1629" s="1"/>
      <c r="ASZ1629" s="1"/>
      <c r="ATA1629" s="1"/>
      <c r="ATB1629" s="1"/>
      <c r="ATC1629" s="1"/>
      <c r="ATD1629" s="1"/>
      <c r="ATE1629" s="1"/>
      <c r="ATF1629" s="1"/>
      <c r="ATG1629" s="1"/>
      <c r="ATH1629" s="1"/>
      <c r="ATI1629" s="1"/>
      <c r="ATJ1629" s="1"/>
      <c r="ATK1629" s="1"/>
      <c r="ATL1629" s="1"/>
      <c r="ATM1629" s="1"/>
      <c r="ATN1629" s="1"/>
      <c r="ATO1629" s="1"/>
      <c r="ATP1629" s="1"/>
      <c r="ATQ1629" s="1"/>
      <c r="ATR1629" s="1"/>
      <c r="ATS1629" s="1"/>
      <c r="ATT1629" s="1"/>
      <c r="ATU1629" s="1"/>
      <c r="ATV1629" s="1"/>
      <c r="ATW1629" s="1"/>
      <c r="ATX1629" s="1"/>
      <c r="ATY1629" s="1"/>
      <c r="ATZ1629" s="1"/>
      <c r="AUA1629" s="1"/>
      <c r="AUB1629" s="1"/>
      <c r="AUC1629" s="1"/>
      <c r="AUD1629" s="1"/>
      <c r="AUE1629" s="1"/>
      <c r="AUF1629" s="1"/>
      <c r="AUG1629" s="1"/>
      <c r="AUH1629" s="1"/>
      <c r="AUI1629" s="1"/>
      <c r="AUJ1629" s="1"/>
      <c r="AUK1629" s="1"/>
      <c r="AUL1629" s="1"/>
      <c r="AUM1629" s="1"/>
      <c r="AUN1629" s="1"/>
      <c r="AUO1629" s="1"/>
      <c r="AUP1629" s="1"/>
      <c r="AUQ1629" s="1"/>
      <c r="AUR1629" s="1"/>
      <c r="AUS1629" s="1"/>
      <c r="AUT1629" s="1"/>
      <c r="AUU1629" s="1"/>
      <c r="AUV1629" s="1"/>
      <c r="AUW1629" s="1"/>
      <c r="AUX1629" s="1"/>
      <c r="AUY1629" s="1"/>
      <c r="AUZ1629" s="1"/>
      <c r="AVA1629" s="1"/>
      <c r="AVB1629" s="1"/>
      <c r="AVC1629" s="1"/>
      <c r="AVD1629" s="1"/>
      <c r="AVE1629" s="1"/>
      <c r="AVF1629" s="1"/>
      <c r="AVG1629" s="1"/>
      <c r="AVH1629" s="1"/>
      <c r="AVI1629" s="1"/>
      <c r="AVJ1629" s="1"/>
      <c r="AVK1629" s="1"/>
      <c r="AVL1629" s="1"/>
      <c r="AVM1629" s="1"/>
      <c r="AVN1629" s="1"/>
      <c r="AVO1629" s="1"/>
      <c r="AVP1629" s="1"/>
      <c r="AVQ1629" s="1"/>
      <c r="AVR1629" s="1"/>
      <c r="AVS1629" s="1"/>
      <c r="AVT1629" s="1"/>
      <c r="AVU1629" s="1"/>
      <c r="AVV1629" s="1"/>
      <c r="AVW1629" s="1"/>
      <c r="AVX1629" s="1"/>
      <c r="AVY1629" s="1"/>
      <c r="AVZ1629" s="1"/>
      <c r="AWA1629" s="1"/>
      <c r="AWB1629" s="1"/>
      <c r="AWC1629" s="1"/>
      <c r="AWD1629" s="1"/>
      <c r="AWE1629" s="1"/>
      <c r="AWF1629" s="1"/>
      <c r="AWG1629" s="1"/>
      <c r="AWH1629" s="1"/>
      <c r="AWI1629" s="1"/>
      <c r="AWJ1629" s="1"/>
      <c r="AWK1629" s="1"/>
      <c r="AWL1629" s="1"/>
      <c r="AWM1629" s="1"/>
      <c r="AWN1629" s="1"/>
      <c r="AWO1629" s="1"/>
      <c r="AWP1629" s="1"/>
      <c r="AWQ1629" s="1"/>
      <c r="AWR1629" s="1"/>
      <c r="AWS1629" s="1"/>
      <c r="AWT1629" s="1"/>
      <c r="AWU1629" s="1"/>
      <c r="AWV1629" s="1"/>
      <c r="AWW1629" s="1"/>
      <c r="AWX1629" s="1"/>
      <c r="AWY1629" s="1"/>
      <c r="AWZ1629" s="1"/>
      <c r="AXA1629" s="1"/>
      <c r="AXB1629" s="1"/>
      <c r="AXC1629" s="1"/>
      <c r="AXD1629" s="1"/>
      <c r="AXE1629" s="1"/>
      <c r="AXF1629" s="1"/>
      <c r="AXG1629" s="1"/>
      <c r="AXH1629" s="1"/>
      <c r="AXI1629" s="1"/>
      <c r="AXJ1629" s="1"/>
      <c r="AXK1629" s="1"/>
      <c r="AXL1629" s="1"/>
      <c r="AXM1629" s="1"/>
      <c r="AXN1629" s="1"/>
      <c r="AXO1629" s="1"/>
      <c r="AXP1629" s="1"/>
      <c r="AXQ1629" s="1"/>
      <c r="AXR1629" s="1"/>
      <c r="AXS1629" s="1"/>
      <c r="AXT1629" s="1"/>
      <c r="AXU1629" s="1"/>
      <c r="AXV1629" s="1"/>
      <c r="AXW1629" s="1"/>
      <c r="AXX1629" s="1"/>
      <c r="AXY1629" s="1"/>
      <c r="AXZ1629" s="1"/>
      <c r="AYA1629" s="1"/>
      <c r="AYB1629" s="1"/>
      <c r="AYC1629" s="1"/>
      <c r="AYD1629" s="1"/>
      <c r="AYE1629" s="1"/>
      <c r="AYF1629" s="1"/>
      <c r="AYG1629" s="1"/>
      <c r="AYH1629" s="1"/>
      <c r="AYI1629" s="1"/>
      <c r="AYJ1629" s="1"/>
      <c r="AYK1629" s="1"/>
      <c r="AYL1629" s="1"/>
      <c r="AYM1629" s="1"/>
      <c r="AYN1629" s="1"/>
      <c r="AYO1629" s="1"/>
      <c r="AYP1629" s="1"/>
      <c r="AYQ1629" s="1"/>
      <c r="AYR1629" s="1"/>
      <c r="AYS1629" s="1"/>
      <c r="AYT1629" s="1"/>
      <c r="AYU1629" s="1"/>
      <c r="AYV1629" s="1"/>
      <c r="AYW1629" s="1"/>
      <c r="AYX1629" s="1"/>
      <c r="AYY1629" s="1"/>
      <c r="AYZ1629" s="1"/>
      <c r="AZA1629" s="1"/>
      <c r="AZB1629" s="1"/>
      <c r="AZC1629" s="1"/>
      <c r="AZD1629" s="1"/>
      <c r="AZE1629" s="1"/>
      <c r="AZF1629" s="1"/>
      <c r="AZG1629" s="1"/>
      <c r="AZH1629" s="1"/>
      <c r="AZI1629" s="1"/>
      <c r="AZJ1629" s="1"/>
      <c r="AZK1629" s="1"/>
      <c r="AZL1629" s="1"/>
      <c r="AZM1629" s="1"/>
      <c r="AZN1629" s="1"/>
      <c r="AZO1629" s="1"/>
      <c r="AZP1629" s="1"/>
      <c r="AZQ1629" s="1"/>
      <c r="AZR1629" s="1"/>
      <c r="AZS1629" s="1"/>
      <c r="AZT1629" s="1"/>
      <c r="AZU1629" s="1"/>
      <c r="AZV1629" s="1"/>
      <c r="AZW1629" s="1"/>
      <c r="AZX1629" s="1"/>
      <c r="AZY1629" s="1"/>
      <c r="AZZ1629" s="1"/>
      <c r="BAA1629" s="1"/>
      <c r="BAB1629" s="1"/>
      <c r="BAC1629" s="1"/>
      <c r="BAD1629" s="1"/>
      <c r="BAE1629" s="1"/>
      <c r="BAF1629" s="1"/>
      <c r="BAG1629" s="1"/>
      <c r="BAH1629" s="1"/>
      <c r="BAI1629" s="1"/>
      <c r="BAJ1629" s="1"/>
      <c r="BAK1629" s="1"/>
      <c r="BAL1629" s="1"/>
      <c r="BAM1629" s="1"/>
      <c r="BAN1629" s="1"/>
      <c r="BAO1629" s="1"/>
      <c r="BAP1629" s="1"/>
      <c r="BAQ1629" s="1"/>
      <c r="BAR1629" s="1"/>
      <c r="BAS1629" s="1"/>
      <c r="BAT1629" s="1"/>
      <c r="BAU1629" s="1"/>
      <c r="BAV1629" s="1"/>
      <c r="BAW1629" s="1"/>
      <c r="BAX1629" s="1"/>
      <c r="BAY1629" s="1"/>
      <c r="BAZ1629" s="1"/>
      <c r="BBA1629" s="1"/>
      <c r="BBB1629" s="1"/>
      <c r="BBC1629" s="1"/>
      <c r="BBD1629" s="1"/>
      <c r="BBE1629" s="1"/>
      <c r="BBF1629" s="1"/>
      <c r="BBG1629" s="1"/>
      <c r="BBH1629" s="1"/>
      <c r="BBI1629" s="1"/>
      <c r="BBJ1629" s="1"/>
      <c r="BBK1629" s="1"/>
      <c r="BBL1629" s="1"/>
      <c r="BBM1629" s="1"/>
      <c r="BBN1629" s="1"/>
      <c r="BBO1629" s="1"/>
      <c r="BBP1629" s="1"/>
      <c r="BBQ1629" s="1"/>
      <c r="BBR1629" s="1"/>
      <c r="BBS1629" s="1"/>
      <c r="BBT1629" s="1"/>
      <c r="BBU1629" s="1"/>
      <c r="BBV1629" s="1"/>
      <c r="BBW1629" s="1"/>
      <c r="BBX1629" s="1"/>
      <c r="BBY1629" s="1"/>
      <c r="BBZ1629" s="1"/>
      <c r="BCA1629" s="1"/>
      <c r="BCB1629" s="1"/>
      <c r="BCC1629" s="1"/>
      <c r="BCD1629" s="1"/>
      <c r="BCE1629" s="1"/>
      <c r="BCF1629" s="1"/>
      <c r="BCG1629" s="1"/>
      <c r="BCH1629" s="1"/>
      <c r="BCI1629" s="1"/>
      <c r="BCJ1629" s="1"/>
      <c r="BCK1629" s="1"/>
      <c r="BCL1629" s="1"/>
      <c r="BCM1629" s="1"/>
      <c r="BCN1629" s="1"/>
      <c r="BCO1629" s="1"/>
      <c r="BCP1629" s="1"/>
      <c r="BCQ1629" s="1"/>
      <c r="BCR1629" s="1"/>
      <c r="BCS1629" s="1"/>
      <c r="BCT1629" s="1"/>
      <c r="BCU1629" s="1"/>
      <c r="BCV1629" s="1"/>
      <c r="BCW1629" s="1"/>
      <c r="BCX1629" s="1"/>
      <c r="BCY1629" s="1"/>
      <c r="BCZ1629" s="1"/>
      <c r="BDA1629" s="1"/>
      <c r="BDB1629" s="1"/>
      <c r="BDC1629" s="1"/>
      <c r="BDD1629" s="1"/>
      <c r="BDE1629" s="1"/>
      <c r="BDF1629" s="1"/>
      <c r="BDG1629" s="1"/>
      <c r="BDH1629" s="1"/>
      <c r="BDI1629" s="1"/>
      <c r="BDJ1629" s="1"/>
      <c r="BDK1629" s="1"/>
      <c r="BDL1629" s="1"/>
      <c r="BDM1629" s="1"/>
      <c r="BDN1629" s="1"/>
      <c r="BDO1629" s="1"/>
      <c r="BDP1629" s="1"/>
      <c r="BDQ1629" s="1"/>
      <c r="BDR1629" s="1"/>
      <c r="BDS1629" s="1"/>
      <c r="BDT1629" s="1"/>
      <c r="BDU1629" s="1"/>
      <c r="BDV1629" s="1"/>
      <c r="BDW1629" s="1"/>
      <c r="BDX1629" s="1"/>
      <c r="BDY1629" s="1"/>
      <c r="BDZ1629" s="1"/>
      <c r="BEA1629" s="1"/>
      <c r="BEB1629" s="1"/>
      <c r="BEC1629" s="1"/>
      <c r="BED1629" s="1"/>
      <c r="BEE1629" s="1"/>
      <c r="BEF1629" s="1"/>
      <c r="BEG1629" s="1"/>
      <c r="BEH1629" s="1"/>
      <c r="BEI1629" s="1"/>
      <c r="BEJ1629" s="1"/>
      <c r="BEK1629" s="1"/>
      <c r="BEL1629" s="1"/>
      <c r="BEM1629" s="1"/>
      <c r="BEN1629" s="1"/>
      <c r="BEO1629" s="1"/>
      <c r="BEP1629" s="1"/>
      <c r="BEQ1629" s="1"/>
      <c r="BER1629" s="1"/>
      <c r="BES1629" s="1"/>
      <c r="BET1629" s="1"/>
      <c r="BEU1629" s="1"/>
      <c r="BEV1629" s="1"/>
      <c r="BEW1629" s="1"/>
      <c r="BEX1629" s="1"/>
      <c r="BEY1629" s="1"/>
      <c r="BEZ1629" s="1"/>
      <c r="BFA1629" s="1"/>
      <c r="BFB1629" s="1"/>
      <c r="BFC1629" s="1"/>
      <c r="BFD1629" s="1"/>
      <c r="BFE1629" s="1"/>
      <c r="BFF1629" s="1"/>
      <c r="BFG1629" s="1"/>
      <c r="BFH1629" s="1"/>
      <c r="BFI1629" s="1"/>
      <c r="BFJ1629" s="1"/>
      <c r="BFK1629" s="1"/>
      <c r="BFL1629" s="1"/>
      <c r="BFM1629" s="1"/>
      <c r="BFN1629" s="1"/>
      <c r="BFO1629" s="1"/>
      <c r="BFP1629" s="1"/>
      <c r="BFQ1629" s="1"/>
      <c r="BFR1629" s="1"/>
      <c r="BFS1629" s="1"/>
      <c r="BFT1629" s="1"/>
      <c r="BFU1629" s="1"/>
      <c r="BFV1629" s="1"/>
      <c r="BFW1629" s="1"/>
      <c r="BFX1629" s="1"/>
      <c r="BFY1629" s="1"/>
      <c r="BFZ1629" s="1"/>
      <c r="BGA1629" s="1"/>
      <c r="BGB1629" s="1"/>
      <c r="BGC1629" s="1"/>
      <c r="BGD1629" s="1"/>
      <c r="BGE1629" s="1"/>
      <c r="BGF1629" s="1"/>
      <c r="BGG1629" s="1"/>
      <c r="BGH1629" s="1"/>
      <c r="BGI1629" s="1"/>
      <c r="BGJ1629" s="1"/>
      <c r="BGK1629" s="1"/>
      <c r="BGL1629" s="1"/>
      <c r="BGM1629" s="1"/>
      <c r="BGN1629" s="1"/>
      <c r="BGO1629" s="1"/>
      <c r="BGP1629" s="1"/>
      <c r="BGQ1629" s="1"/>
      <c r="BGR1629" s="1"/>
      <c r="BGS1629" s="1"/>
      <c r="BGT1629" s="1"/>
      <c r="BGU1629" s="1"/>
      <c r="BGV1629" s="1"/>
      <c r="BGW1629" s="1"/>
      <c r="BGX1629" s="1"/>
      <c r="BGY1629" s="1"/>
      <c r="BGZ1629" s="1"/>
      <c r="BHA1629" s="1"/>
      <c r="BHB1629" s="1"/>
      <c r="BHC1629" s="1"/>
      <c r="BHD1629" s="1"/>
      <c r="BHE1629" s="1"/>
      <c r="BHF1629" s="1"/>
      <c r="BHG1629" s="1"/>
      <c r="BHH1629" s="1"/>
      <c r="BHI1629" s="1"/>
      <c r="BHJ1629" s="1"/>
      <c r="BHK1629" s="1"/>
      <c r="BHL1629" s="1"/>
      <c r="BHM1629" s="1"/>
      <c r="BHN1629" s="1"/>
      <c r="BHO1629" s="1"/>
      <c r="BHP1629" s="1"/>
      <c r="BHQ1629" s="1"/>
      <c r="BHR1629" s="1"/>
      <c r="BHS1629" s="1"/>
      <c r="BHT1629" s="1"/>
      <c r="BHU1629" s="1"/>
      <c r="BHV1629" s="1"/>
      <c r="BHW1629" s="1"/>
      <c r="BHX1629" s="1"/>
      <c r="BHY1629" s="1"/>
      <c r="BHZ1629" s="1"/>
      <c r="BIA1629" s="1"/>
      <c r="BIB1629" s="1"/>
      <c r="BIC1629" s="1"/>
      <c r="BID1629" s="1"/>
      <c r="BIE1629" s="1"/>
      <c r="BIF1629" s="1"/>
      <c r="BIG1629" s="1"/>
      <c r="BIH1629" s="1"/>
      <c r="BII1629" s="1"/>
      <c r="BIJ1629" s="1"/>
      <c r="BIK1629" s="1"/>
      <c r="BIL1629" s="1"/>
      <c r="BIM1629" s="1"/>
      <c r="BIN1629" s="1"/>
      <c r="BIO1629" s="1"/>
      <c r="BIP1629" s="1"/>
      <c r="BIQ1629" s="1"/>
      <c r="BIR1629" s="1"/>
      <c r="BIS1629" s="1"/>
      <c r="BIT1629" s="1"/>
      <c r="BIU1629" s="1"/>
      <c r="BIV1629" s="1"/>
      <c r="BIW1629" s="1"/>
      <c r="BIX1629" s="1"/>
      <c r="BIY1629" s="1"/>
      <c r="BIZ1629" s="1"/>
      <c r="BJA1629" s="1"/>
      <c r="BJB1629" s="1"/>
      <c r="BJC1629" s="1"/>
      <c r="BJD1629" s="1"/>
      <c r="BJE1629" s="1"/>
      <c r="BJF1629" s="1"/>
      <c r="BJG1629" s="1"/>
      <c r="BJH1629" s="1"/>
      <c r="BJI1629" s="1"/>
      <c r="BJJ1629" s="1"/>
      <c r="BJK1629" s="1"/>
      <c r="BJL1629" s="1"/>
      <c r="BJM1629" s="1"/>
      <c r="BJN1629" s="1"/>
      <c r="BJO1629" s="1"/>
      <c r="BJP1629" s="1"/>
      <c r="BJQ1629" s="1"/>
      <c r="BJR1629" s="1"/>
      <c r="BJS1629" s="1"/>
      <c r="BJT1629" s="1"/>
      <c r="BJU1629" s="1"/>
      <c r="BJV1629" s="1"/>
      <c r="BJW1629" s="1"/>
      <c r="BJX1629" s="1"/>
      <c r="BJY1629" s="1"/>
      <c r="BJZ1629" s="1"/>
      <c r="BKA1629" s="1"/>
      <c r="BKB1629" s="1"/>
      <c r="BKC1629" s="1"/>
      <c r="BKD1629" s="1"/>
      <c r="BKE1629" s="1"/>
      <c r="BKF1629" s="1"/>
      <c r="BKG1629" s="1"/>
      <c r="BKH1629" s="1"/>
      <c r="BKI1629" s="1"/>
      <c r="BKJ1629" s="1"/>
      <c r="BKK1629" s="1"/>
      <c r="BKL1629" s="1"/>
      <c r="BKM1629" s="1"/>
      <c r="BKN1629" s="1"/>
      <c r="BKO1629" s="1"/>
      <c r="BKP1629" s="1"/>
      <c r="BKQ1629" s="1"/>
      <c r="BKR1629" s="1"/>
      <c r="BKS1629" s="1"/>
      <c r="BKT1629" s="1"/>
      <c r="BKU1629" s="1"/>
      <c r="BKV1629" s="1"/>
      <c r="BKW1629" s="1"/>
      <c r="BKX1629" s="1"/>
      <c r="BKY1629" s="1"/>
      <c r="BKZ1629" s="1"/>
      <c r="BLA1629" s="1"/>
      <c r="BLB1629" s="1"/>
      <c r="BLC1629" s="1"/>
      <c r="BLD1629" s="1"/>
      <c r="BLE1629" s="1"/>
      <c r="BLF1629" s="1"/>
      <c r="BLG1629" s="1"/>
      <c r="BLH1629" s="1"/>
      <c r="BLI1629" s="1"/>
      <c r="BLJ1629" s="1"/>
      <c r="BLK1629" s="1"/>
      <c r="BLL1629" s="1"/>
      <c r="BLM1629" s="1"/>
      <c r="BLN1629" s="1"/>
      <c r="BLO1629" s="1"/>
      <c r="BLP1629" s="1"/>
      <c r="BLQ1629" s="1"/>
      <c r="BLR1629" s="1"/>
      <c r="BLS1629" s="1"/>
      <c r="BLT1629" s="1"/>
      <c r="BLU1629" s="1"/>
      <c r="BLV1629" s="1"/>
      <c r="BLW1629" s="1"/>
      <c r="BLX1629" s="1"/>
      <c r="BLY1629" s="1"/>
      <c r="BLZ1629" s="1"/>
      <c r="BMA1629" s="1"/>
      <c r="BMB1629" s="1"/>
      <c r="BMC1629" s="1"/>
      <c r="BMD1629" s="1"/>
      <c r="BME1629" s="1"/>
      <c r="BMF1629" s="1"/>
      <c r="BMG1629" s="1"/>
      <c r="BMH1629" s="1"/>
      <c r="BMI1629" s="1"/>
      <c r="BMJ1629" s="1"/>
      <c r="BMK1629" s="1"/>
      <c r="BML1629" s="1"/>
      <c r="BMM1629" s="1"/>
      <c r="BMN1629" s="1"/>
      <c r="BMO1629" s="1"/>
      <c r="BMP1629" s="1"/>
      <c r="BMQ1629" s="1"/>
      <c r="BMR1629" s="1"/>
      <c r="BMS1629" s="1"/>
      <c r="BMT1629" s="1"/>
      <c r="BMU1629" s="1"/>
      <c r="BMV1629" s="1"/>
      <c r="BMW1629" s="1"/>
      <c r="BMX1629" s="1"/>
      <c r="BMY1629" s="1"/>
      <c r="BMZ1629" s="1"/>
      <c r="BNA1629" s="1"/>
      <c r="BNB1629" s="1"/>
      <c r="BNC1629" s="1"/>
      <c r="BND1629" s="1"/>
      <c r="BNE1629" s="1"/>
      <c r="BNF1629" s="1"/>
      <c r="BNG1629" s="1"/>
      <c r="BNH1629" s="1"/>
      <c r="BNI1629" s="1"/>
      <c r="BNJ1629" s="1"/>
      <c r="BNK1629" s="1"/>
      <c r="BNL1629" s="1"/>
      <c r="BNM1629" s="1"/>
      <c r="BNN1629" s="1"/>
      <c r="BNO1629" s="1"/>
      <c r="BNP1629" s="1"/>
      <c r="BNQ1629" s="1"/>
      <c r="BNR1629" s="1"/>
      <c r="BNS1629" s="1"/>
      <c r="BNT1629" s="1"/>
      <c r="BNU1629" s="1"/>
      <c r="BNV1629" s="1"/>
      <c r="BNW1629" s="1"/>
      <c r="BNX1629" s="1"/>
      <c r="BNY1629" s="1"/>
      <c r="BNZ1629" s="1"/>
      <c r="BOA1629" s="1"/>
      <c r="BOB1629" s="1"/>
      <c r="BOC1629" s="1"/>
      <c r="BOD1629" s="1"/>
      <c r="BOE1629" s="1"/>
      <c r="BOF1629" s="1"/>
      <c r="BOG1629" s="1"/>
      <c r="BOH1629" s="1"/>
      <c r="BOI1629" s="1"/>
      <c r="BOJ1629" s="1"/>
      <c r="BOK1629" s="1"/>
      <c r="BOL1629" s="1"/>
      <c r="BOM1629" s="1"/>
      <c r="BON1629" s="1"/>
      <c r="BOO1629" s="1"/>
      <c r="BOP1629" s="1"/>
      <c r="BOQ1629" s="1"/>
      <c r="BOR1629" s="1"/>
      <c r="BOS1629" s="1"/>
      <c r="BOT1629" s="1"/>
      <c r="BOU1629" s="1"/>
      <c r="BOV1629" s="1"/>
      <c r="BOW1629" s="1"/>
      <c r="BOX1629" s="1"/>
      <c r="BOY1629" s="1"/>
      <c r="BOZ1629" s="1"/>
      <c r="BPA1629" s="1"/>
      <c r="BPB1629" s="1"/>
      <c r="BPC1629" s="1"/>
      <c r="BPD1629" s="1"/>
      <c r="BPE1629" s="1"/>
      <c r="BPF1629" s="1"/>
      <c r="BPG1629" s="1"/>
      <c r="BPH1629" s="1"/>
      <c r="BPI1629" s="1"/>
      <c r="BPJ1629" s="1"/>
      <c r="BPK1629" s="1"/>
      <c r="BPL1629" s="1"/>
      <c r="BPM1629" s="1"/>
      <c r="BPN1629" s="1"/>
      <c r="BPO1629" s="1"/>
      <c r="BPP1629" s="1"/>
      <c r="BPQ1629" s="1"/>
      <c r="BPR1629" s="1"/>
      <c r="BPS1629" s="1"/>
      <c r="BPT1629" s="1"/>
      <c r="BPU1629" s="1"/>
      <c r="BPV1629" s="1"/>
      <c r="BPW1629" s="1"/>
      <c r="BPX1629" s="1"/>
      <c r="BPY1629" s="1"/>
      <c r="BPZ1629" s="1"/>
      <c r="BQA1629" s="1"/>
      <c r="BQB1629" s="1"/>
      <c r="BQC1629" s="1"/>
      <c r="BQD1629" s="1"/>
      <c r="BQE1629" s="1"/>
      <c r="BQF1629" s="1"/>
      <c r="BQG1629" s="1"/>
      <c r="BQH1629" s="1"/>
      <c r="BQI1629" s="1"/>
      <c r="BQJ1629" s="1"/>
      <c r="BQK1629" s="1"/>
      <c r="BQL1629" s="1"/>
      <c r="BQM1629" s="1"/>
      <c r="BQN1629" s="1"/>
      <c r="BQO1629" s="1"/>
      <c r="BQP1629" s="1"/>
      <c r="BQQ1629" s="1"/>
      <c r="BQR1629" s="1"/>
      <c r="BQS1629" s="1"/>
      <c r="BQT1629" s="1"/>
      <c r="BQU1629" s="1"/>
      <c r="BQV1629" s="1"/>
      <c r="BQW1629" s="1"/>
      <c r="BQX1629" s="1"/>
      <c r="BQY1629" s="1"/>
      <c r="BQZ1629" s="1"/>
      <c r="BRA1629" s="1"/>
      <c r="BRB1629" s="1"/>
      <c r="BRC1629" s="1"/>
      <c r="BRD1629" s="1"/>
      <c r="BRE1629" s="1"/>
      <c r="BRF1629" s="1"/>
      <c r="BRG1629" s="1"/>
      <c r="BRH1629" s="1"/>
      <c r="BRI1629" s="1"/>
      <c r="BRJ1629" s="1"/>
      <c r="BRK1629" s="1"/>
      <c r="BRL1629" s="1"/>
      <c r="BRM1629" s="1"/>
      <c r="BRN1629" s="1"/>
      <c r="BRO1629" s="1"/>
      <c r="BRP1629" s="1"/>
      <c r="BRQ1629" s="1"/>
      <c r="BRR1629" s="1"/>
      <c r="BRS1629" s="1"/>
      <c r="BRT1629" s="1"/>
      <c r="BRU1629" s="1"/>
      <c r="BRV1629" s="1"/>
      <c r="BRW1629" s="1"/>
      <c r="BRX1629" s="1"/>
      <c r="BRY1629" s="1"/>
      <c r="BRZ1629" s="1"/>
      <c r="BSA1629" s="1"/>
      <c r="BSB1629" s="1"/>
      <c r="BSC1629" s="1"/>
      <c r="BSD1629" s="1"/>
      <c r="BSE1629" s="1"/>
      <c r="BSF1629" s="1"/>
      <c r="BSG1629" s="1"/>
      <c r="BSH1629" s="1"/>
      <c r="BSI1629" s="1"/>
      <c r="BSJ1629" s="1"/>
      <c r="BSK1629" s="1"/>
      <c r="BSL1629" s="1"/>
      <c r="BSM1629" s="1"/>
      <c r="BSN1629" s="1"/>
      <c r="BSO1629" s="1"/>
      <c r="BSP1629" s="1"/>
      <c r="BSQ1629" s="1"/>
      <c r="BSR1629" s="1"/>
      <c r="BSS1629" s="1"/>
      <c r="BST1629" s="1"/>
      <c r="BSU1629" s="1"/>
      <c r="BSV1629" s="1"/>
      <c r="BSW1629" s="1"/>
      <c r="BSX1629" s="1"/>
      <c r="BSY1629" s="1"/>
      <c r="BSZ1629" s="1"/>
      <c r="BTA1629" s="1"/>
      <c r="BTB1629" s="1"/>
      <c r="BTC1629" s="1"/>
      <c r="BTD1629" s="1"/>
      <c r="BTE1629" s="1"/>
      <c r="BTF1629" s="1"/>
      <c r="BTG1629" s="1"/>
      <c r="BTH1629" s="1"/>
      <c r="BTI1629" s="1"/>
      <c r="BTJ1629" s="1"/>
      <c r="BTK1629" s="1"/>
      <c r="BTL1629" s="1"/>
      <c r="BTM1629" s="1"/>
      <c r="BTN1629" s="1"/>
      <c r="BTO1629" s="1"/>
      <c r="BTP1629" s="1"/>
      <c r="BTQ1629" s="1"/>
      <c r="BTR1629" s="1"/>
      <c r="BTS1629" s="1"/>
      <c r="BTT1629" s="1"/>
      <c r="BTU1629" s="1"/>
      <c r="BTV1629" s="1"/>
      <c r="BTW1629" s="1"/>
      <c r="BTX1629" s="1"/>
      <c r="BTY1629" s="1"/>
      <c r="BTZ1629" s="1"/>
      <c r="BUA1629" s="1"/>
      <c r="BUB1629" s="1"/>
      <c r="BUC1629" s="1"/>
      <c r="BUD1629" s="1"/>
      <c r="BUE1629" s="1"/>
      <c r="BUF1629" s="1"/>
      <c r="BUG1629" s="1"/>
      <c r="BUH1629" s="1"/>
      <c r="BUI1629" s="1"/>
      <c r="BUJ1629" s="1"/>
      <c r="BUK1629" s="1"/>
      <c r="BUL1629" s="1"/>
      <c r="BUM1629" s="1"/>
      <c r="BUN1629" s="1"/>
      <c r="BUO1629" s="1"/>
      <c r="BUP1629" s="1"/>
      <c r="BUQ1629" s="1"/>
      <c r="BUR1629" s="1"/>
      <c r="BUS1629" s="1"/>
      <c r="BUT1629" s="1"/>
      <c r="BUU1629" s="1"/>
      <c r="BUV1629" s="1"/>
      <c r="BUW1629" s="1"/>
      <c r="BUX1629" s="1"/>
      <c r="BUY1629" s="1"/>
      <c r="BUZ1629" s="1"/>
      <c r="BVA1629" s="1"/>
      <c r="BVB1629" s="1"/>
      <c r="BVC1629" s="1"/>
      <c r="BVD1629" s="1"/>
      <c r="BVE1629" s="1"/>
      <c r="BVF1629" s="1"/>
      <c r="BVG1629" s="1"/>
      <c r="BVH1629" s="1"/>
      <c r="BVI1629" s="1"/>
      <c r="BVJ1629" s="1"/>
      <c r="BVK1629" s="1"/>
      <c r="BVL1629" s="1"/>
      <c r="BVM1629" s="1"/>
      <c r="BVN1629" s="1"/>
      <c r="BVO1629" s="1"/>
      <c r="BVP1629" s="1"/>
      <c r="BVQ1629" s="1"/>
      <c r="BVR1629" s="1"/>
      <c r="BVS1629" s="1"/>
      <c r="BVT1629" s="1"/>
      <c r="BVU1629" s="1"/>
      <c r="BVV1629" s="1"/>
      <c r="BVW1629" s="1"/>
      <c r="BVX1629" s="1"/>
      <c r="BVY1629" s="1"/>
      <c r="BVZ1629" s="1"/>
      <c r="BWA1629" s="1"/>
      <c r="BWB1629" s="1"/>
      <c r="BWC1629" s="1"/>
      <c r="BWD1629" s="1"/>
      <c r="BWE1629" s="1"/>
      <c r="BWF1629" s="1"/>
      <c r="BWG1629" s="1"/>
      <c r="BWH1629" s="1"/>
      <c r="BWI1629" s="1"/>
      <c r="BWJ1629" s="1"/>
      <c r="BWK1629" s="1"/>
      <c r="BWL1629" s="1"/>
      <c r="BWM1629" s="1"/>
      <c r="BWN1629" s="1"/>
      <c r="BWO1629" s="1"/>
      <c r="BWP1629" s="1"/>
      <c r="BWQ1629" s="1"/>
      <c r="BWR1629" s="1"/>
      <c r="BWS1629" s="1"/>
      <c r="BWT1629" s="1"/>
      <c r="BWU1629" s="1"/>
      <c r="BWV1629" s="1"/>
      <c r="BWW1629" s="1"/>
      <c r="BWX1629" s="1"/>
      <c r="BWY1629" s="1"/>
      <c r="BWZ1629" s="1"/>
      <c r="BXA1629" s="1"/>
      <c r="BXB1629" s="1"/>
      <c r="BXC1629" s="1"/>
      <c r="BXD1629" s="1"/>
      <c r="BXE1629" s="1"/>
      <c r="BXF1629" s="1"/>
      <c r="BXG1629" s="1"/>
      <c r="BXH1629" s="1"/>
      <c r="BXI1629" s="1"/>
      <c r="BXJ1629" s="1"/>
      <c r="BXK1629" s="1"/>
      <c r="BXL1629" s="1"/>
      <c r="BXM1629" s="1"/>
      <c r="BXN1629" s="1"/>
      <c r="BXO1629" s="1"/>
      <c r="BXP1629" s="1"/>
      <c r="BXQ1629" s="1"/>
      <c r="BXR1629" s="1"/>
      <c r="BXS1629" s="1"/>
      <c r="BXT1629" s="1"/>
      <c r="BXU1629" s="1"/>
      <c r="BXV1629" s="1"/>
      <c r="BXW1629" s="1"/>
      <c r="BXX1629" s="1"/>
      <c r="BXY1629" s="1"/>
      <c r="BXZ1629" s="1"/>
      <c r="BYA1629" s="1"/>
      <c r="BYB1629" s="1"/>
      <c r="BYC1629" s="1"/>
      <c r="BYD1629" s="1"/>
      <c r="BYE1629" s="1"/>
      <c r="BYF1629" s="1"/>
      <c r="BYG1629" s="1"/>
      <c r="BYH1629" s="1"/>
      <c r="BYI1629" s="1"/>
      <c r="BYJ1629" s="1"/>
      <c r="BYK1629" s="1"/>
      <c r="BYL1629" s="1"/>
      <c r="BYM1629" s="1"/>
      <c r="BYN1629" s="1"/>
      <c r="BYO1629" s="1"/>
      <c r="BYP1629" s="1"/>
      <c r="BYQ1629" s="1"/>
      <c r="BYR1629" s="1"/>
      <c r="BYS1629" s="1"/>
      <c r="BYT1629" s="1"/>
      <c r="BYU1629" s="1"/>
      <c r="BYV1629" s="1"/>
      <c r="BYW1629" s="1"/>
      <c r="BYX1629" s="1"/>
      <c r="BYY1629" s="1"/>
      <c r="BYZ1629" s="1"/>
      <c r="BZA1629" s="1"/>
      <c r="BZB1629" s="1"/>
      <c r="BZC1629" s="1"/>
      <c r="BZD1629" s="1"/>
      <c r="BZE1629" s="1"/>
      <c r="BZF1629" s="1"/>
      <c r="BZG1629" s="1"/>
      <c r="BZH1629" s="1"/>
      <c r="BZI1629" s="1"/>
      <c r="BZJ1629" s="1"/>
      <c r="BZK1629" s="1"/>
      <c r="BZL1629" s="1"/>
      <c r="BZM1629" s="1"/>
      <c r="BZN1629" s="1"/>
      <c r="BZO1629" s="1"/>
      <c r="BZP1629" s="1"/>
      <c r="BZQ1629" s="1"/>
      <c r="BZR1629" s="1"/>
      <c r="BZS1629" s="1"/>
      <c r="BZT1629" s="1"/>
      <c r="BZU1629" s="1"/>
      <c r="BZV1629" s="1"/>
      <c r="BZW1629" s="1"/>
      <c r="BZX1629" s="1"/>
      <c r="BZY1629" s="1"/>
      <c r="BZZ1629" s="1"/>
      <c r="CAA1629" s="1"/>
      <c r="CAB1629" s="1"/>
      <c r="CAC1629" s="1"/>
      <c r="CAD1629" s="1"/>
      <c r="CAE1629" s="1"/>
      <c r="CAF1629" s="1"/>
      <c r="CAG1629" s="1"/>
      <c r="CAH1629" s="1"/>
      <c r="CAI1629" s="1"/>
      <c r="CAJ1629" s="1"/>
      <c r="CAK1629" s="1"/>
      <c r="CAL1629" s="1"/>
      <c r="CAM1629" s="1"/>
      <c r="CAN1629" s="1"/>
      <c r="CAO1629" s="1"/>
      <c r="CAP1629" s="1"/>
      <c r="CAQ1629" s="1"/>
      <c r="CAR1629" s="1"/>
      <c r="CAS1629" s="1"/>
      <c r="CAT1629" s="1"/>
      <c r="CAU1629" s="1"/>
      <c r="CAV1629" s="1"/>
      <c r="CAW1629" s="1"/>
      <c r="CAX1629" s="1"/>
      <c r="CAY1629" s="1"/>
      <c r="CAZ1629" s="1"/>
      <c r="CBA1629" s="1"/>
      <c r="CBB1629" s="1"/>
      <c r="CBC1629" s="1"/>
      <c r="CBD1629" s="1"/>
      <c r="CBE1629" s="1"/>
      <c r="CBF1629" s="1"/>
      <c r="CBG1629" s="1"/>
      <c r="CBH1629" s="1"/>
      <c r="CBI1629" s="1"/>
      <c r="CBJ1629" s="1"/>
      <c r="CBK1629" s="1"/>
      <c r="CBL1629" s="1"/>
      <c r="CBM1629" s="1"/>
      <c r="CBN1629" s="1"/>
      <c r="CBO1629" s="1"/>
      <c r="CBP1629" s="1"/>
      <c r="CBQ1629" s="1"/>
      <c r="CBR1629" s="1"/>
      <c r="CBS1629" s="1"/>
      <c r="CBT1629" s="1"/>
      <c r="CBU1629" s="1"/>
      <c r="CBV1629" s="1"/>
      <c r="CBW1629" s="1"/>
      <c r="CBX1629" s="1"/>
      <c r="CBY1629" s="1"/>
      <c r="CBZ1629" s="1"/>
      <c r="CCA1629" s="1"/>
      <c r="CCB1629" s="1"/>
      <c r="CCC1629" s="1"/>
      <c r="CCD1629" s="1"/>
      <c r="CCE1629" s="1"/>
      <c r="CCF1629" s="1"/>
      <c r="CCG1629" s="1"/>
      <c r="CCH1629" s="1"/>
      <c r="CCI1629" s="1"/>
      <c r="CCJ1629" s="1"/>
      <c r="CCK1629" s="1"/>
      <c r="CCL1629" s="1"/>
      <c r="CCM1629" s="1"/>
      <c r="CCN1629" s="1"/>
      <c r="CCO1629" s="1"/>
      <c r="CCP1629" s="1"/>
      <c r="CCQ1629" s="1"/>
      <c r="CCR1629" s="1"/>
      <c r="CCS1629" s="1"/>
      <c r="CCT1629" s="1"/>
      <c r="CCU1629" s="1"/>
      <c r="CCV1629" s="1"/>
      <c r="CCW1629" s="1"/>
      <c r="CCX1629" s="1"/>
      <c r="CCY1629" s="1"/>
      <c r="CCZ1629" s="1"/>
      <c r="CDA1629" s="1"/>
      <c r="CDB1629" s="1"/>
      <c r="CDC1629" s="1"/>
      <c r="CDD1629" s="1"/>
      <c r="CDE1629" s="1"/>
      <c r="CDF1629" s="1"/>
      <c r="CDG1629" s="1"/>
      <c r="CDH1629" s="1"/>
      <c r="CDI1629" s="1"/>
      <c r="CDJ1629" s="1"/>
      <c r="CDK1629" s="1"/>
      <c r="CDL1629" s="1"/>
      <c r="CDM1629" s="1"/>
      <c r="CDN1629" s="1"/>
      <c r="CDO1629" s="1"/>
      <c r="CDP1629" s="1"/>
      <c r="CDQ1629" s="1"/>
      <c r="CDR1629" s="1"/>
      <c r="CDS1629" s="1"/>
      <c r="CDT1629" s="1"/>
      <c r="CDU1629" s="1"/>
      <c r="CDV1629" s="1"/>
      <c r="CDW1629" s="1"/>
      <c r="CDX1629" s="1"/>
      <c r="CDY1629" s="1"/>
      <c r="CDZ1629" s="1"/>
      <c r="CEA1629" s="1"/>
      <c r="CEB1629" s="1"/>
      <c r="CEC1629" s="1"/>
      <c r="CED1629" s="1"/>
      <c r="CEE1629" s="1"/>
      <c r="CEF1629" s="1"/>
      <c r="CEG1629" s="1"/>
      <c r="CEH1629" s="1"/>
      <c r="CEI1629" s="1"/>
      <c r="CEJ1629" s="1"/>
      <c r="CEK1629" s="1"/>
      <c r="CEL1629" s="1"/>
      <c r="CEM1629" s="1"/>
      <c r="CEN1629" s="1"/>
      <c r="CEO1629" s="1"/>
      <c r="CEP1629" s="1"/>
      <c r="CEQ1629" s="1"/>
      <c r="CER1629" s="1"/>
      <c r="CES1629" s="1"/>
      <c r="CET1629" s="1"/>
      <c r="CEU1629" s="1"/>
      <c r="CEV1629" s="1"/>
      <c r="CEW1629" s="1"/>
      <c r="CEX1629" s="1"/>
      <c r="CEY1629" s="1"/>
      <c r="CEZ1629" s="1"/>
      <c r="CFA1629" s="1"/>
      <c r="CFB1629" s="1"/>
      <c r="CFC1629" s="1"/>
      <c r="CFD1629" s="1"/>
      <c r="CFE1629" s="1"/>
      <c r="CFF1629" s="1"/>
      <c r="CFG1629" s="1"/>
      <c r="CFH1629" s="1"/>
      <c r="CFI1629" s="1"/>
      <c r="CFJ1629" s="1"/>
      <c r="CFK1629" s="1"/>
      <c r="CFL1629" s="1"/>
      <c r="CFM1629" s="1"/>
      <c r="CFN1629" s="1"/>
      <c r="CFO1629" s="1"/>
      <c r="CFP1629" s="1"/>
      <c r="CFQ1629" s="1"/>
      <c r="CFR1629" s="1"/>
      <c r="CFS1629" s="1"/>
      <c r="CFT1629" s="1"/>
      <c r="CFU1629" s="1"/>
      <c r="CFV1629" s="1"/>
      <c r="CFW1629" s="1"/>
      <c r="CFX1629" s="1"/>
      <c r="CFY1629" s="1"/>
      <c r="CFZ1629" s="1"/>
      <c r="CGA1629" s="1"/>
      <c r="CGB1629" s="1"/>
      <c r="CGC1629" s="1"/>
      <c r="CGD1629" s="1"/>
      <c r="CGE1629" s="1"/>
      <c r="CGF1629" s="1"/>
      <c r="CGG1629" s="1"/>
      <c r="CGH1629" s="1"/>
      <c r="CGI1629" s="1"/>
      <c r="CGJ1629" s="1"/>
      <c r="CGK1629" s="1"/>
      <c r="CGL1629" s="1"/>
      <c r="CGM1629" s="1"/>
      <c r="CGN1629" s="1"/>
      <c r="CGO1629" s="1"/>
      <c r="CGP1629" s="1"/>
      <c r="CGQ1629" s="1"/>
      <c r="CGR1629" s="1"/>
      <c r="CGS1629" s="1"/>
      <c r="CGT1629" s="1"/>
      <c r="CGU1629" s="1"/>
      <c r="CGV1629" s="1"/>
      <c r="CGW1629" s="1"/>
      <c r="CGX1629" s="1"/>
      <c r="CGY1629" s="1"/>
      <c r="CGZ1629" s="1"/>
      <c r="CHA1629" s="1"/>
      <c r="CHB1629" s="1"/>
      <c r="CHC1629" s="1"/>
      <c r="CHD1629" s="1"/>
      <c r="CHE1629" s="1"/>
      <c r="CHF1629" s="1"/>
      <c r="CHG1629" s="1"/>
      <c r="CHH1629" s="1"/>
      <c r="CHI1629" s="1"/>
      <c r="CHJ1629" s="1"/>
      <c r="CHK1629" s="1"/>
      <c r="CHL1629" s="1"/>
      <c r="CHM1629" s="1"/>
      <c r="CHN1629" s="1"/>
      <c r="CHO1629" s="1"/>
      <c r="CHP1629" s="1"/>
      <c r="CHQ1629" s="1"/>
      <c r="CHR1629" s="1"/>
      <c r="CHS1629" s="1"/>
      <c r="CHT1629" s="1"/>
      <c r="CHU1629" s="1"/>
      <c r="CHV1629" s="1"/>
      <c r="CHW1629" s="1"/>
      <c r="CHX1629" s="1"/>
      <c r="CHY1629" s="1"/>
      <c r="CHZ1629" s="1"/>
      <c r="CIA1629" s="1"/>
      <c r="CIB1629" s="1"/>
      <c r="CIC1629" s="1"/>
      <c r="CID1629" s="1"/>
      <c r="CIE1629" s="1"/>
      <c r="CIF1629" s="1"/>
      <c r="CIG1629" s="1"/>
      <c r="CIH1629" s="1"/>
      <c r="CII1629" s="1"/>
      <c r="CIJ1629" s="1"/>
      <c r="CIK1629" s="1"/>
      <c r="CIL1629" s="1"/>
      <c r="CIM1629" s="1"/>
      <c r="CIN1629" s="1"/>
      <c r="CIO1629" s="1"/>
      <c r="CIP1629" s="1"/>
      <c r="CIQ1629" s="1"/>
      <c r="CIR1629" s="1"/>
      <c r="CIS1629" s="1"/>
      <c r="CIT1629" s="1"/>
      <c r="CIU1629" s="1"/>
      <c r="CIV1629" s="1"/>
      <c r="CIW1629" s="1"/>
      <c r="CIX1629" s="1"/>
      <c r="CIY1629" s="1"/>
      <c r="CIZ1629" s="1"/>
      <c r="CJA1629" s="1"/>
      <c r="CJB1629" s="1"/>
      <c r="CJC1629" s="1"/>
      <c r="CJD1629" s="1"/>
      <c r="CJE1629" s="1"/>
      <c r="CJF1629" s="1"/>
      <c r="CJG1629" s="1"/>
      <c r="CJH1629" s="1"/>
      <c r="CJI1629" s="1"/>
      <c r="CJJ1629" s="1"/>
      <c r="CJK1629" s="1"/>
      <c r="CJL1629" s="1"/>
      <c r="CJM1629" s="1"/>
      <c r="CJN1629" s="1"/>
      <c r="CJO1629" s="1"/>
      <c r="CJP1629" s="1"/>
      <c r="CJQ1629" s="1"/>
      <c r="CJR1629" s="1"/>
      <c r="CJS1629" s="1"/>
      <c r="CJT1629" s="1"/>
      <c r="CJU1629" s="1"/>
      <c r="CJV1629" s="1"/>
      <c r="CJW1629" s="1"/>
      <c r="CJX1629" s="1"/>
      <c r="CJY1629" s="1"/>
      <c r="CJZ1629" s="1"/>
      <c r="CKA1629" s="1"/>
      <c r="CKB1629" s="1"/>
      <c r="CKC1629" s="1"/>
      <c r="CKD1629" s="1"/>
      <c r="CKE1629" s="1"/>
      <c r="CKF1629" s="1"/>
      <c r="CKG1629" s="1"/>
      <c r="CKH1629" s="1"/>
      <c r="CKI1629" s="1"/>
      <c r="CKJ1629" s="1"/>
      <c r="CKK1629" s="1"/>
      <c r="CKL1629" s="1"/>
      <c r="CKM1629" s="1"/>
      <c r="CKN1629" s="1"/>
      <c r="CKO1629" s="1"/>
      <c r="CKP1629" s="1"/>
      <c r="CKQ1629" s="1"/>
      <c r="CKR1629" s="1"/>
      <c r="CKS1629" s="1"/>
      <c r="CKT1629" s="1"/>
      <c r="CKU1629" s="1"/>
      <c r="CKV1629" s="1"/>
      <c r="CKW1629" s="1"/>
      <c r="CKX1629" s="1"/>
      <c r="CKY1629" s="1"/>
      <c r="CKZ1629" s="1"/>
      <c r="CLA1629" s="1"/>
      <c r="CLB1629" s="1"/>
      <c r="CLC1629" s="1"/>
      <c r="CLD1629" s="1"/>
      <c r="CLE1629" s="1"/>
      <c r="CLF1629" s="1"/>
      <c r="CLG1629" s="1"/>
      <c r="CLH1629" s="1"/>
      <c r="CLI1629" s="1"/>
      <c r="CLJ1629" s="1"/>
      <c r="CLK1629" s="1"/>
      <c r="CLL1629" s="1"/>
      <c r="CLM1629" s="1"/>
      <c r="CLN1629" s="1"/>
      <c r="CLO1629" s="1"/>
      <c r="CLP1629" s="1"/>
      <c r="CLQ1629" s="1"/>
      <c r="CLR1629" s="1"/>
      <c r="CLS1629" s="1"/>
      <c r="CLT1629" s="1"/>
      <c r="CLU1629" s="1"/>
      <c r="CLV1629" s="1"/>
      <c r="CLW1629" s="1"/>
      <c r="CLX1629" s="1"/>
      <c r="CLY1629" s="1"/>
      <c r="CLZ1629" s="1"/>
      <c r="CMA1629" s="1"/>
      <c r="CMB1629" s="1"/>
      <c r="CMC1629" s="1"/>
      <c r="CMD1629" s="1"/>
      <c r="CME1629" s="1"/>
      <c r="CMF1629" s="1"/>
      <c r="CMG1629" s="1"/>
      <c r="CMH1629" s="1"/>
      <c r="CMI1629" s="1"/>
      <c r="CMJ1629" s="1"/>
      <c r="CMK1629" s="1"/>
      <c r="CML1629" s="1"/>
      <c r="CMM1629" s="1"/>
      <c r="CMN1629" s="1"/>
      <c r="CMO1629" s="1"/>
      <c r="CMP1629" s="1"/>
      <c r="CMQ1629" s="1"/>
      <c r="CMR1629" s="1"/>
      <c r="CMS1629" s="1"/>
      <c r="CMT1629" s="1"/>
      <c r="CMU1629" s="1"/>
      <c r="CMV1629" s="1"/>
      <c r="CMW1629" s="1"/>
      <c r="CMX1629" s="1"/>
      <c r="CMY1629" s="1"/>
      <c r="CMZ1629" s="1"/>
      <c r="CNA1629" s="1"/>
      <c r="CNB1629" s="1"/>
      <c r="CNC1629" s="1"/>
      <c r="CND1629" s="1"/>
      <c r="CNE1629" s="1"/>
      <c r="CNF1629" s="1"/>
      <c r="CNG1629" s="1"/>
      <c r="CNH1629" s="1"/>
      <c r="CNI1629" s="1"/>
      <c r="CNJ1629" s="1"/>
      <c r="CNK1629" s="1"/>
      <c r="CNL1629" s="1"/>
      <c r="CNM1629" s="1"/>
      <c r="CNN1629" s="1"/>
      <c r="CNO1629" s="1"/>
      <c r="CNP1629" s="1"/>
      <c r="CNQ1629" s="1"/>
      <c r="CNR1629" s="1"/>
      <c r="CNS1629" s="1"/>
      <c r="CNT1629" s="1"/>
      <c r="CNU1629" s="1"/>
      <c r="CNV1629" s="1"/>
      <c r="CNW1629" s="1"/>
      <c r="CNX1629" s="1"/>
      <c r="CNY1629" s="1"/>
      <c r="CNZ1629" s="1"/>
      <c r="COA1629" s="1"/>
      <c r="COB1629" s="1"/>
      <c r="COC1629" s="1"/>
      <c r="COD1629" s="1"/>
      <c r="COE1629" s="1"/>
      <c r="COF1629" s="1"/>
      <c r="COG1629" s="1"/>
      <c r="COH1629" s="1"/>
      <c r="COI1629" s="1"/>
      <c r="COJ1629" s="1"/>
      <c r="COK1629" s="1"/>
      <c r="COL1629" s="1"/>
      <c r="COM1629" s="1"/>
      <c r="CON1629" s="1"/>
      <c r="COO1629" s="1"/>
      <c r="COP1629" s="1"/>
      <c r="COQ1629" s="1"/>
      <c r="COR1629" s="1"/>
      <c r="COS1629" s="1"/>
      <c r="COT1629" s="1"/>
      <c r="COU1629" s="1"/>
      <c r="COV1629" s="1"/>
      <c r="COW1629" s="1"/>
      <c r="COX1629" s="1"/>
      <c r="COY1629" s="1"/>
      <c r="COZ1629" s="1"/>
      <c r="CPA1629" s="1"/>
      <c r="CPB1629" s="1"/>
      <c r="CPC1629" s="1"/>
      <c r="CPD1629" s="1"/>
      <c r="CPE1629" s="1"/>
      <c r="CPF1629" s="1"/>
      <c r="CPG1629" s="1"/>
      <c r="CPH1629" s="1"/>
      <c r="CPI1629" s="1"/>
      <c r="CPJ1629" s="1"/>
      <c r="CPK1629" s="1"/>
      <c r="CPL1629" s="1"/>
      <c r="CPM1629" s="1"/>
      <c r="CPN1629" s="1"/>
      <c r="CPO1629" s="1"/>
      <c r="CPP1629" s="1"/>
      <c r="CPQ1629" s="1"/>
      <c r="CPR1629" s="1"/>
      <c r="CPS1629" s="1"/>
      <c r="CPT1629" s="1"/>
      <c r="CPU1629" s="1"/>
      <c r="CPV1629" s="1"/>
      <c r="CPW1629" s="1"/>
      <c r="CPX1629" s="1"/>
      <c r="CPY1629" s="1"/>
      <c r="CPZ1629" s="1"/>
      <c r="CQA1629" s="1"/>
      <c r="CQB1629" s="1"/>
      <c r="CQC1629" s="1"/>
      <c r="CQD1629" s="1"/>
      <c r="CQE1629" s="1"/>
      <c r="CQF1629" s="1"/>
      <c r="CQG1629" s="1"/>
      <c r="CQH1629" s="1"/>
      <c r="CQI1629" s="1"/>
      <c r="CQJ1629" s="1"/>
      <c r="CQK1629" s="1"/>
      <c r="CQL1629" s="1"/>
      <c r="CQM1629" s="1"/>
      <c r="CQN1629" s="1"/>
      <c r="CQO1629" s="1"/>
      <c r="CQP1629" s="1"/>
      <c r="CQQ1629" s="1"/>
      <c r="CQR1629" s="1"/>
      <c r="CQS1629" s="1"/>
      <c r="CQT1629" s="1"/>
      <c r="CQU1629" s="1"/>
      <c r="CQV1629" s="1"/>
      <c r="CQW1629" s="1"/>
      <c r="CQX1629" s="1"/>
      <c r="CQY1629" s="1"/>
      <c r="CQZ1629" s="1"/>
      <c r="CRA1629" s="1"/>
      <c r="CRB1629" s="1"/>
      <c r="CRC1629" s="1"/>
      <c r="CRD1629" s="1"/>
      <c r="CRE1629" s="1"/>
      <c r="CRF1629" s="1"/>
      <c r="CRG1629" s="1"/>
      <c r="CRH1629" s="1"/>
      <c r="CRI1629" s="1"/>
      <c r="CRJ1629" s="1"/>
      <c r="CRK1629" s="1"/>
      <c r="CRL1629" s="1"/>
      <c r="CRM1629" s="1"/>
      <c r="CRN1629" s="1"/>
      <c r="CRO1629" s="1"/>
      <c r="CRP1629" s="1"/>
      <c r="CRQ1629" s="1"/>
      <c r="CRR1629" s="1"/>
      <c r="CRS1629" s="1"/>
      <c r="CRT1629" s="1"/>
      <c r="CRU1629" s="1"/>
      <c r="CRV1629" s="1"/>
      <c r="CRW1629" s="1"/>
      <c r="CRX1629" s="1"/>
      <c r="CRY1629" s="1"/>
      <c r="CRZ1629" s="1"/>
      <c r="CSA1629" s="1"/>
      <c r="CSB1629" s="1"/>
      <c r="CSC1629" s="1"/>
      <c r="CSD1629" s="1"/>
      <c r="CSE1629" s="1"/>
      <c r="CSF1629" s="1"/>
      <c r="CSG1629" s="1"/>
      <c r="CSH1629" s="1"/>
      <c r="CSI1629" s="1"/>
      <c r="CSJ1629" s="1"/>
      <c r="CSK1629" s="1"/>
      <c r="CSL1629" s="1"/>
      <c r="CSM1629" s="1"/>
      <c r="CSN1629" s="1"/>
      <c r="CSO1629" s="1"/>
      <c r="CSP1629" s="1"/>
      <c r="CSQ1629" s="1"/>
      <c r="CSR1629" s="1"/>
      <c r="CSS1629" s="1"/>
      <c r="CST1629" s="1"/>
      <c r="CSU1629" s="1"/>
      <c r="CSV1629" s="1"/>
      <c r="CSW1629" s="1"/>
      <c r="CSX1629" s="1"/>
      <c r="CSY1629" s="1"/>
      <c r="CSZ1629" s="1"/>
      <c r="CTA1629" s="1"/>
      <c r="CTB1629" s="1"/>
      <c r="CTC1629" s="1"/>
      <c r="CTD1629" s="1"/>
      <c r="CTE1629" s="1"/>
      <c r="CTF1629" s="1"/>
      <c r="CTG1629" s="1"/>
      <c r="CTH1629" s="1"/>
      <c r="CTI1629" s="1"/>
      <c r="CTJ1629" s="1"/>
      <c r="CTK1629" s="1"/>
      <c r="CTL1629" s="1"/>
      <c r="CTM1629" s="1"/>
      <c r="CTN1629" s="1"/>
      <c r="CTO1629" s="1"/>
      <c r="CTP1629" s="1"/>
      <c r="CTQ1629" s="1"/>
      <c r="CTR1629" s="1"/>
      <c r="CTS1629" s="1"/>
      <c r="CTT1629" s="1"/>
      <c r="CTU1629" s="1"/>
      <c r="CTV1629" s="1"/>
      <c r="CTW1629" s="1"/>
      <c r="CTX1629" s="1"/>
      <c r="CTY1629" s="1"/>
      <c r="CTZ1629" s="1"/>
      <c r="CUA1629" s="1"/>
      <c r="CUB1629" s="1"/>
      <c r="CUC1629" s="1"/>
      <c r="CUD1629" s="1"/>
      <c r="CUE1629" s="1"/>
      <c r="CUF1629" s="1"/>
      <c r="CUG1629" s="1"/>
      <c r="CUH1629" s="1"/>
      <c r="CUI1629" s="1"/>
      <c r="CUJ1629" s="1"/>
      <c r="CUK1629" s="1"/>
      <c r="CUL1629" s="1"/>
      <c r="CUM1629" s="1"/>
      <c r="CUN1629" s="1"/>
      <c r="CUO1629" s="1"/>
      <c r="CUP1629" s="1"/>
      <c r="CUQ1629" s="1"/>
      <c r="CUR1629" s="1"/>
      <c r="CUS1629" s="1"/>
      <c r="CUT1629" s="1"/>
      <c r="CUU1629" s="1"/>
      <c r="CUV1629" s="1"/>
      <c r="CUW1629" s="1"/>
      <c r="CUX1629" s="1"/>
      <c r="CUY1629" s="1"/>
      <c r="CUZ1629" s="1"/>
      <c r="CVA1629" s="1"/>
      <c r="CVB1629" s="1"/>
      <c r="CVC1629" s="1"/>
      <c r="CVD1629" s="1"/>
      <c r="CVE1629" s="1"/>
      <c r="CVF1629" s="1"/>
      <c r="CVG1629" s="1"/>
      <c r="CVH1629" s="1"/>
      <c r="CVI1629" s="1"/>
      <c r="CVJ1629" s="1"/>
      <c r="CVK1629" s="1"/>
      <c r="CVL1629" s="1"/>
      <c r="CVM1629" s="1"/>
      <c r="CVN1629" s="1"/>
      <c r="CVO1629" s="1"/>
      <c r="CVP1629" s="1"/>
      <c r="CVQ1629" s="1"/>
      <c r="CVR1629" s="1"/>
      <c r="CVS1629" s="1"/>
      <c r="CVT1629" s="1"/>
      <c r="CVU1629" s="1"/>
      <c r="CVV1629" s="1"/>
      <c r="CVW1629" s="1"/>
      <c r="CVX1629" s="1"/>
      <c r="CVY1629" s="1"/>
      <c r="CVZ1629" s="1"/>
      <c r="CWA1629" s="1"/>
      <c r="CWB1629" s="1"/>
      <c r="CWC1629" s="1"/>
      <c r="CWD1629" s="1"/>
      <c r="CWE1629" s="1"/>
      <c r="CWF1629" s="1"/>
      <c r="CWG1629" s="1"/>
      <c r="CWH1629" s="1"/>
      <c r="CWI1629" s="1"/>
      <c r="CWJ1629" s="1"/>
      <c r="CWK1629" s="1"/>
      <c r="CWL1629" s="1"/>
      <c r="CWM1629" s="1"/>
      <c r="CWN1629" s="1"/>
      <c r="CWO1629" s="1"/>
      <c r="CWP1629" s="1"/>
      <c r="CWQ1629" s="1"/>
      <c r="CWR1629" s="1"/>
      <c r="CWS1629" s="1"/>
      <c r="CWT1629" s="1"/>
      <c r="CWU1629" s="1"/>
      <c r="CWV1629" s="1"/>
      <c r="CWW1629" s="1"/>
      <c r="CWX1629" s="1"/>
      <c r="CWY1629" s="1"/>
      <c r="CWZ1629" s="1"/>
      <c r="CXA1629" s="1"/>
      <c r="CXB1629" s="1"/>
      <c r="CXC1629" s="1"/>
      <c r="CXD1629" s="1"/>
      <c r="CXE1629" s="1"/>
      <c r="CXF1629" s="1"/>
      <c r="CXG1629" s="1"/>
      <c r="CXH1629" s="1"/>
      <c r="CXI1629" s="1"/>
      <c r="CXJ1629" s="1"/>
      <c r="CXK1629" s="1"/>
      <c r="CXL1629" s="1"/>
      <c r="CXM1629" s="1"/>
      <c r="CXN1629" s="1"/>
      <c r="CXO1629" s="1"/>
      <c r="CXP1629" s="1"/>
      <c r="CXQ1629" s="1"/>
      <c r="CXR1629" s="1"/>
      <c r="CXS1629" s="1"/>
      <c r="CXT1629" s="1"/>
      <c r="CXU1629" s="1"/>
      <c r="CXV1629" s="1"/>
      <c r="CXW1629" s="1"/>
      <c r="CXX1629" s="1"/>
      <c r="CXY1629" s="1"/>
      <c r="CXZ1629" s="1"/>
      <c r="CYA1629" s="1"/>
      <c r="CYB1629" s="1"/>
      <c r="CYC1629" s="1"/>
      <c r="CYD1629" s="1"/>
      <c r="CYE1629" s="1"/>
      <c r="CYF1629" s="1"/>
      <c r="CYG1629" s="1"/>
      <c r="CYH1629" s="1"/>
      <c r="CYI1629" s="1"/>
      <c r="CYJ1629" s="1"/>
      <c r="CYK1629" s="1"/>
      <c r="CYL1629" s="1"/>
      <c r="CYM1629" s="1"/>
      <c r="CYN1629" s="1"/>
      <c r="CYO1629" s="1"/>
      <c r="CYP1629" s="1"/>
      <c r="CYQ1629" s="1"/>
      <c r="CYR1629" s="1"/>
      <c r="CYS1629" s="1"/>
      <c r="CYT1629" s="1"/>
      <c r="CYU1629" s="1"/>
      <c r="CYV1629" s="1"/>
      <c r="CYW1629" s="1"/>
      <c r="CYX1629" s="1"/>
      <c r="CYY1629" s="1"/>
      <c r="CYZ1629" s="1"/>
      <c r="CZA1629" s="1"/>
      <c r="CZB1629" s="1"/>
      <c r="CZC1629" s="1"/>
      <c r="CZD1629" s="1"/>
      <c r="CZE1629" s="1"/>
      <c r="CZF1629" s="1"/>
      <c r="CZG1629" s="1"/>
      <c r="CZH1629" s="1"/>
      <c r="CZI1629" s="1"/>
      <c r="CZJ1629" s="1"/>
      <c r="CZK1629" s="1"/>
      <c r="CZL1629" s="1"/>
      <c r="CZM1629" s="1"/>
      <c r="CZN1629" s="1"/>
      <c r="CZO1629" s="1"/>
      <c r="CZP1629" s="1"/>
      <c r="CZQ1629" s="1"/>
      <c r="CZR1629" s="1"/>
      <c r="CZS1629" s="1"/>
      <c r="CZT1629" s="1"/>
      <c r="CZU1629" s="1"/>
      <c r="CZV1629" s="1"/>
      <c r="CZW1629" s="1"/>
      <c r="CZX1629" s="1"/>
      <c r="CZY1629" s="1"/>
      <c r="CZZ1629" s="1"/>
      <c r="DAA1629" s="1"/>
      <c r="DAB1629" s="1"/>
      <c r="DAC1629" s="1"/>
      <c r="DAD1629" s="1"/>
      <c r="DAE1629" s="1"/>
      <c r="DAF1629" s="1"/>
      <c r="DAG1629" s="1"/>
      <c r="DAH1629" s="1"/>
      <c r="DAI1629" s="1"/>
      <c r="DAJ1629" s="1"/>
      <c r="DAK1629" s="1"/>
      <c r="DAL1629" s="1"/>
      <c r="DAM1629" s="1"/>
      <c r="DAN1629" s="1"/>
      <c r="DAO1629" s="1"/>
      <c r="DAP1629" s="1"/>
      <c r="DAQ1629" s="1"/>
      <c r="DAR1629" s="1"/>
      <c r="DAS1629" s="1"/>
      <c r="DAT1629" s="1"/>
      <c r="DAU1629" s="1"/>
      <c r="DAV1629" s="1"/>
      <c r="DAW1629" s="1"/>
      <c r="DAX1629" s="1"/>
      <c r="DAY1629" s="1"/>
      <c r="DAZ1629" s="1"/>
      <c r="DBA1629" s="1"/>
      <c r="DBB1629" s="1"/>
      <c r="DBC1629" s="1"/>
      <c r="DBD1629" s="1"/>
      <c r="DBE1629" s="1"/>
      <c r="DBF1629" s="1"/>
      <c r="DBG1629" s="1"/>
      <c r="DBH1629" s="1"/>
      <c r="DBI1629" s="1"/>
      <c r="DBJ1629" s="1"/>
      <c r="DBK1629" s="1"/>
      <c r="DBL1629" s="1"/>
      <c r="DBM1629" s="1"/>
      <c r="DBN1629" s="1"/>
      <c r="DBO1629" s="1"/>
      <c r="DBP1629" s="1"/>
      <c r="DBQ1629" s="1"/>
      <c r="DBR1629" s="1"/>
      <c r="DBS1629" s="1"/>
      <c r="DBT1629" s="1"/>
      <c r="DBU1629" s="1"/>
      <c r="DBV1629" s="1"/>
      <c r="DBW1629" s="1"/>
      <c r="DBX1629" s="1"/>
      <c r="DBY1629" s="1"/>
      <c r="DBZ1629" s="1"/>
      <c r="DCA1629" s="1"/>
      <c r="DCB1629" s="1"/>
      <c r="DCC1629" s="1"/>
      <c r="DCD1629" s="1"/>
      <c r="DCE1629" s="1"/>
      <c r="DCF1629" s="1"/>
      <c r="DCG1629" s="1"/>
      <c r="DCH1629" s="1"/>
      <c r="DCI1629" s="1"/>
      <c r="DCJ1629" s="1"/>
      <c r="DCK1629" s="1"/>
      <c r="DCL1629" s="1"/>
      <c r="DCM1629" s="1"/>
      <c r="DCN1629" s="1"/>
      <c r="DCO1629" s="1"/>
      <c r="DCP1629" s="1"/>
      <c r="DCQ1629" s="1"/>
      <c r="DCR1629" s="1"/>
      <c r="DCS1629" s="1"/>
      <c r="DCT1629" s="1"/>
      <c r="DCU1629" s="1"/>
      <c r="DCV1629" s="1"/>
      <c r="DCW1629" s="1"/>
      <c r="DCX1629" s="1"/>
      <c r="DCY1629" s="1"/>
      <c r="DCZ1629" s="1"/>
      <c r="DDA1629" s="1"/>
      <c r="DDB1629" s="1"/>
      <c r="DDC1629" s="1"/>
      <c r="DDD1629" s="1"/>
      <c r="DDE1629" s="1"/>
      <c r="DDF1629" s="1"/>
      <c r="DDG1629" s="1"/>
      <c r="DDH1629" s="1"/>
      <c r="DDI1629" s="1"/>
      <c r="DDJ1629" s="1"/>
      <c r="DDK1629" s="1"/>
      <c r="DDL1629" s="1"/>
      <c r="DDM1629" s="1"/>
      <c r="DDN1629" s="1"/>
      <c r="DDO1629" s="1"/>
      <c r="DDP1629" s="1"/>
      <c r="DDQ1629" s="1"/>
      <c r="DDR1629" s="1"/>
      <c r="DDS1629" s="1"/>
      <c r="DDT1629" s="1"/>
      <c r="DDU1629" s="1"/>
      <c r="DDV1629" s="1"/>
      <c r="DDW1629" s="1"/>
      <c r="DDX1629" s="1"/>
      <c r="DDY1629" s="1"/>
      <c r="DDZ1629" s="1"/>
      <c r="DEA1629" s="1"/>
      <c r="DEB1629" s="1"/>
      <c r="DEC1629" s="1"/>
      <c r="DED1629" s="1"/>
      <c r="DEE1629" s="1"/>
      <c r="DEF1629" s="1"/>
      <c r="DEG1629" s="1"/>
      <c r="DEH1629" s="1"/>
      <c r="DEI1629" s="1"/>
      <c r="DEJ1629" s="1"/>
      <c r="DEK1629" s="1"/>
      <c r="DEL1629" s="1"/>
      <c r="DEM1629" s="1"/>
      <c r="DEN1629" s="1"/>
      <c r="DEO1629" s="1"/>
      <c r="DEP1629" s="1"/>
      <c r="DEQ1629" s="1"/>
      <c r="DER1629" s="1"/>
      <c r="DES1629" s="1"/>
      <c r="DET1629" s="1"/>
      <c r="DEU1629" s="1"/>
      <c r="DEV1629" s="1"/>
      <c r="DEW1629" s="1"/>
      <c r="DEX1629" s="1"/>
      <c r="DEY1629" s="1"/>
      <c r="DEZ1629" s="1"/>
      <c r="DFA1629" s="1"/>
      <c r="DFB1629" s="1"/>
      <c r="DFC1629" s="1"/>
      <c r="DFD1629" s="1"/>
      <c r="DFE1629" s="1"/>
      <c r="DFF1629" s="1"/>
      <c r="DFG1629" s="1"/>
      <c r="DFH1629" s="1"/>
      <c r="DFI1629" s="1"/>
      <c r="DFJ1629" s="1"/>
      <c r="DFK1629" s="1"/>
      <c r="DFL1629" s="1"/>
      <c r="DFM1629" s="1"/>
      <c r="DFN1629" s="1"/>
      <c r="DFO1629" s="1"/>
      <c r="DFP1629" s="1"/>
      <c r="DFQ1629" s="1"/>
      <c r="DFR1629" s="1"/>
      <c r="DFS1629" s="1"/>
      <c r="DFT1629" s="1"/>
      <c r="DFU1629" s="1"/>
      <c r="DFV1629" s="1"/>
      <c r="DFW1629" s="1"/>
      <c r="DFX1629" s="1"/>
      <c r="DFY1629" s="1"/>
      <c r="DFZ1629" s="1"/>
      <c r="DGA1629" s="1"/>
      <c r="DGB1629" s="1"/>
      <c r="DGC1629" s="1"/>
      <c r="DGD1629" s="1"/>
      <c r="DGE1629" s="1"/>
      <c r="DGF1629" s="1"/>
      <c r="DGG1629" s="1"/>
      <c r="DGH1629" s="1"/>
      <c r="DGI1629" s="1"/>
      <c r="DGJ1629" s="1"/>
      <c r="DGK1629" s="1"/>
      <c r="DGL1629" s="1"/>
      <c r="DGM1629" s="1"/>
      <c r="DGN1629" s="1"/>
      <c r="DGO1629" s="1"/>
      <c r="DGP1629" s="1"/>
      <c r="DGQ1629" s="1"/>
      <c r="DGR1629" s="1"/>
      <c r="DGS1629" s="1"/>
      <c r="DGT1629" s="1"/>
      <c r="DGU1629" s="1"/>
      <c r="DGV1629" s="1"/>
      <c r="DGW1629" s="1"/>
      <c r="DGX1629" s="1"/>
      <c r="DGY1629" s="1"/>
      <c r="DGZ1629" s="1"/>
      <c r="DHA1629" s="1"/>
      <c r="DHB1629" s="1"/>
      <c r="DHC1629" s="1"/>
      <c r="DHD1629" s="1"/>
      <c r="DHE1629" s="1"/>
      <c r="DHF1629" s="1"/>
      <c r="DHG1629" s="1"/>
      <c r="DHH1629" s="1"/>
      <c r="DHI1629" s="1"/>
      <c r="DHJ1629" s="1"/>
      <c r="DHK1629" s="1"/>
      <c r="DHL1629" s="1"/>
      <c r="DHM1629" s="1"/>
      <c r="DHN1629" s="1"/>
      <c r="DHO1629" s="1"/>
      <c r="DHP1629" s="1"/>
      <c r="DHQ1629" s="1"/>
      <c r="DHR1629" s="1"/>
      <c r="DHS1629" s="1"/>
      <c r="DHT1629" s="1"/>
      <c r="DHU1629" s="1"/>
      <c r="DHV1629" s="1"/>
      <c r="DHW1629" s="1"/>
      <c r="DHX1629" s="1"/>
      <c r="DHY1629" s="1"/>
      <c r="DHZ1629" s="1"/>
      <c r="DIA1629" s="1"/>
      <c r="DIB1629" s="1"/>
      <c r="DIC1629" s="1"/>
      <c r="DID1629" s="1"/>
      <c r="DIE1629" s="1"/>
      <c r="DIF1629" s="1"/>
      <c r="DIG1629" s="1"/>
      <c r="DIH1629" s="1"/>
      <c r="DII1629" s="1"/>
      <c r="DIJ1629" s="1"/>
      <c r="DIK1629" s="1"/>
      <c r="DIL1629" s="1"/>
      <c r="DIM1629" s="1"/>
      <c r="DIN1629" s="1"/>
      <c r="DIO1629" s="1"/>
      <c r="DIP1629" s="1"/>
      <c r="DIQ1629" s="1"/>
      <c r="DIR1629" s="1"/>
      <c r="DIS1629" s="1"/>
      <c r="DIT1629" s="1"/>
      <c r="DIU1629" s="1"/>
      <c r="DIV1629" s="1"/>
      <c r="DIW1629" s="1"/>
      <c r="DIX1629" s="1"/>
      <c r="DIY1629" s="1"/>
      <c r="DIZ1629" s="1"/>
      <c r="DJA1629" s="1"/>
      <c r="DJB1629" s="1"/>
      <c r="DJC1629" s="1"/>
      <c r="DJD1629" s="1"/>
      <c r="DJE1629" s="1"/>
      <c r="DJF1629" s="1"/>
      <c r="DJG1629" s="1"/>
      <c r="DJH1629" s="1"/>
      <c r="DJI1629" s="1"/>
      <c r="DJJ1629" s="1"/>
      <c r="DJK1629" s="1"/>
      <c r="DJL1629" s="1"/>
      <c r="DJM1629" s="1"/>
      <c r="DJN1629" s="1"/>
      <c r="DJO1629" s="1"/>
      <c r="DJP1629" s="1"/>
      <c r="DJQ1629" s="1"/>
      <c r="DJR1629" s="1"/>
      <c r="DJS1629" s="1"/>
      <c r="DJT1629" s="1"/>
      <c r="DJU1629" s="1"/>
      <c r="DJV1629" s="1"/>
      <c r="DJW1629" s="1"/>
      <c r="DJX1629" s="1"/>
      <c r="DJY1629" s="1"/>
      <c r="DJZ1629" s="1"/>
      <c r="DKA1629" s="1"/>
      <c r="DKB1629" s="1"/>
      <c r="DKC1629" s="1"/>
      <c r="DKD1629" s="1"/>
      <c r="DKE1629" s="1"/>
      <c r="DKF1629" s="1"/>
      <c r="DKG1629" s="1"/>
      <c r="DKH1629" s="1"/>
      <c r="DKI1629" s="1"/>
      <c r="DKJ1629" s="1"/>
      <c r="DKK1629" s="1"/>
      <c r="DKL1629" s="1"/>
      <c r="DKM1629" s="1"/>
      <c r="DKN1629" s="1"/>
      <c r="DKO1629" s="1"/>
      <c r="DKP1629" s="1"/>
      <c r="DKQ1629" s="1"/>
      <c r="DKR1629" s="1"/>
      <c r="DKS1629" s="1"/>
      <c r="DKT1629" s="1"/>
      <c r="DKU1629" s="1"/>
      <c r="DKV1629" s="1"/>
      <c r="DKW1629" s="1"/>
      <c r="DKX1629" s="1"/>
      <c r="DKY1629" s="1"/>
      <c r="DKZ1629" s="1"/>
      <c r="DLA1629" s="1"/>
      <c r="DLB1629" s="1"/>
      <c r="DLC1629" s="1"/>
      <c r="DLD1629" s="1"/>
      <c r="DLE1629" s="1"/>
      <c r="DLF1629" s="1"/>
      <c r="DLG1629" s="1"/>
      <c r="DLH1629" s="1"/>
      <c r="DLI1629" s="1"/>
      <c r="DLJ1629" s="1"/>
      <c r="DLK1629" s="1"/>
      <c r="DLL1629" s="1"/>
      <c r="DLM1629" s="1"/>
      <c r="DLN1629" s="1"/>
      <c r="DLO1629" s="1"/>
      <c r="DLP1629" s="1"/>
      <c r="DLQ1629" s="1"/>
      <c r="DLR1629" s="1"/>
      <c r="DLS1629" s="1"/>
      <c r="DLT1629" s="1"/>
      <c r="DLU1629" s="1"/>
      <c r="DLV1629" s="1"/>
      <c r="DLW1629" s="1"/>
      <c r="DLX1629" s="1"/>
      <c r="DLY1629" s="1"/>
      <c r="DLZ1629" s="1"/>
      <c r="DMA1629" s="1"/>
      <c r="DMB1629" s="1"/>
      <c r="DMC1629" s="1"/>
      <c r="DMD1629" s="1"/>
      <c r="DME1629" s="1"/>
      <c r="DMF1629" s="1"/>
      <c r="DMG1629" s="1"/>
      <c r="DMH1629" s="1"/>
      <c r="DMI1629" s="1"/>
      <c r="DMJ1629" s="1"/>
      <c r="DMK1629" s="1"/>
      <c r="DML1629" s="1"/>
      <c r="DMM1629" s="1"/>
      <c r="DMN1629" s="1"/>
      <c r="DMO1629" s="1"/>
      <c r="DMP1629" s="1"/>
      <c r="DMQ1629" s="1"/>
      <c r="DMR1629" s="1"/>
      <c r="DMS1629" s="1"/>
      <c r="DMT1629" s="1"/>
      <c r="DMU1629" s="1"/>
      <c r="DMV1629" s="1"/>
      <c r="DMW1629" s="1"/>
      <c r="DMX1629" s="1"/>
      <c r="DMY1629" s="1"/>
      <c r="DMZ1629" s="1"/>
      <c r="DNA1629" s="1"/>
      <c r="DNB1629" s="1"/>
      <c r="DNC1629" s="1"/>
      <c r="DND1629" s="1"/>
      <c r="DNE1629" s="1"/>
      <c r="DNF1629" s="1"/>
      <c r="DNG1629" s="1"/>
      <c r="DNH1629" s="1"/>
      <c r="DNI1629" s="1"/>
      <c r="DNJ1629" s="1"/>
      <c r="DNK1629" s="1"/>
      <c r="DNL1629" s="1"/>
      <c r="DNM1629" s="1"/>
      <c r="DNN1629" s="1"/>
      <c r="DNO1629" s="1"/>
      <c r="DNP1629" s="1"/>
      <c r="DNQ1629" s="1"/>
      <c r="DNR1629" s="1"/>
      <c r="DNS1629" s="1"/>
      <c r="DNT1629" s="1"/>
      <c r="DNU1629" s="1"/>
      <c r="DNV1629" s="1"/>
      <c r="DNW1629" s="1"/>
      <c r="DNX1629" s="1"/>
      <c r="DNY1629" s="1"/>
      <c r="DNZ1629" s="1"/>
      <c r="DOA1629" s="1"/>
      <c r="DOB1629" s="1"/>
      <c r="DOC1629" s="1"/>
      <c r="DOD1629" s="1"/>
      <c r="DOE1629" s="1"/>
      <c r="DOF1629" s="1"/>
      <c r="DOG1629" s="1"/>
      <c r="DOH1629" s="1"/>
      <c r="DOI1629" s="1"/>
      <c r="DOJ1629" s="1"/>
      <c r="DOK1629" s="1"/>
      <c r="DOL1629" s="1"/>
      <c r="DOM1629" s="1"/>
      <c r="DON1629" s="1"/>
      <c r="DOO1629" s="1"/>
      <c r="DOP1629" s="1"/>
      <c r="DOQ1629" s="1"/>
      <c r="DOR1629" s="1"/>
      <c r="DOS1629" s="1"/>
      <c r="DOT1629" s="1"/>
      <c r="DOU1629" s="1"/>
      <c r="DOV1629" s="1"/>
      <c r="DOW1629" s="1"/>
      <c r="DOX1629" s="1"/>
      <c r="DOY1629" s="1"/>
      <c r="DOZ1629" s="1"/>
      <c r="DPA1629" s="1"/>
      <c r="DPB1629" s="1"/>
      <c r="DPC1629" s="1"/>
      <c r="DPD1629" s="1"/>
      <c r="DPE1629" s="1"/>
      <c r="DPF1629" s="1"/>
      <c r="DPG1629" s="1"/>
      <c r="DPH1629" s="1"/>
      <c r="DPI1629" s="1"/>
      <c r="DPJ1629" s="1"/>
      <c r="DPK1629" s="1"/>
      <c r="DPL1629" s="1"/>
      <c r="DPM1629" s="1"/>
      <c r="DPN1629" s="1"/>
      <c r="DPO1629" s="1"/>
      <c r="DPP1629" s="1"/>
      <c r="DPQ1629" s="1"/>
      <c r="DPR1629" s="1"/>
      <c r="DPS1629" s="1"/>
      <c r="DPT1629" s="1"/>
      <c r="DPU1629" s="1"/>
      <c r="DPV1629" s="1"/>
      <c r="DPW1629" s="1"/>
      <c r="DPX1629" s="1"/>
      <c r="DPY1629" s="1"/>
      <c r="DPZ1629" s="1"/>
      <c r="DQA1629" s="1"/>
      <c r="DQB1629" s="1"/>
      <c r="DQC1629" s="1"/>
      <c r="DQD1629" s="1"/>
      <c r="DQE1629" s="1"/>
      <c r="DQF1629" s="1"/>
      <c r="DQG1629" s="1"/>
      <c r="DQH1629" s="1"/>
      <c r="DQI1629" s="1"/>
      <c r="DQJ1629" s="1"/>
      <c r="DQK1629" s="1"/>
      <c r="DQL1629" s="1"/>
      <c r="DQM1629" s="1"/>
      <c r="DQN1629" s="1"/>
      <c r="DQO1629" s="1"/>
      <c r="DQP1629" s="1"/>
      <c r="DQQ1629" s="1"/>
      <c r="DQR1629" s="1"/>
      <c r="DQS1629" s="1"/>
      <c r="DQT1629" s="1"/>
      <c r="DQU1629" s="1"/>
      <c r="DQV1629" s="1"/>
      <c r="DQW1629" s="1"/>
      <c r="DQX1629" s="1"/>
      <c r="DQY1629" s="1"/>
      <c r="DQZ1629" s="1"/>
      <c r="DRA1629" s="1"/>
      <c r="DRB1629" s="1"/>
      <c r="DRC1629" s="1"/>
      <c r="DRD1629" s="1"/>
      <c r="DRE1629" s="1"/>
      <c r="DRF1629" s="1"/>
      <c r="DRG1629" s="1"/>
      <c r="DRH1629" s="1"/>
      <c r="DRI1629" s="1"/>
      <c r="DRJ1629" s="1"/>
      <c r="DRK1629" s="1"/>
      <c r="DRL1629" s="1"/>
      <c r="DRM1629" s="1"/>
      <c r="DRN1629" s="1"/>
      <c r="DRO1629" s="1"/>
      <c r="DRP1629" s="1"/>
      <c r="DRQ1629" s="1"/>
      <c r="DRR1629" s="1"/>
      <c r="DRS1629" s="1"/>
      <c r="DRT1629" s="1"/>
      <c r="DRU1629" s="1"/>
      <c r="DRV1629" s="1"/>
      <c r="DRW1629" s="1"/>
      <c r="DRX1629" s="1"/>
      <c r="DRY1629" s="1"/>
      <c r="DRZ1629" s="1"/>
      <c r="DSA1629" s="1"/>
      <c r="DSB1629" s="1"/>
      <c r="DSC1629" s="1"/>
      <c r="DSD1629" s="1"/>
      <c r="DSE1629" s="1"/>
      <c r="DSF1629" s="1"/>
      <c r="DSG1629" s="1"/>
      <c r="DSH1629" s="1"/>
      <c r="DSI1629" s="1"/>
      <c r="DSJ1629" s="1"/>
      <c r="DSK1629" s="1"/>
      <c r="DSL1629" s="1"/>
      <c r="DSM1629" s="1"/>
      <c r="DSN1629" s="1"/>
      <c r="DSO1629" s="1"/>
      <c r="DSP1629" s="1"/>
      <c r="DSQ1629" s="1"/>
      <c r="DSR1629" s="1"/>
      <c r="DSS1629" s="1"/>
      <c r="DST1629" s="1"/>
      <c r="DSU1629" s="1"/>
      <c r="DSV1629" s="1"/>
      <c r="DSW1629" s="1"/>
      <c r="DSX1629" s="1"/>
      <c r="DSY1629" s="1"/>
      <c r="DSZ1629" s="1"/>
      <c r="DTA1629" s="1"/>
      <c r="DTB1629" s="1"/>
      <c r="DTC1629" s="1"/>
      <c r="DTD1629" s="1"/>
      <c r="DTE1629" s="1"/>
      <c r="DTF1629" s="1"/>
      <c r="DTG1629" s="1"/>
      <c r="DTH1629" s="1"/>
      <c r="DTI1629" s="1"/>
      <c r="DTJ1629" s="1"/>
      <c r="DTK1629" s="1"/>
      <c r="DTL1629" s="1"/>
      <c r="DTM1629" s="1"/>
      <c r="DTN1629" s="1"/>
      <c r="DTO1629" s="1"/>
      <c r="DTP1629" s="1"/>
      <c r="DTQ1629" s="1"/>
      <c r="DTR1629" s="1"/>
      <c r="DTS1629" s="1"/>
      <c r="DTT1629" s="1"/>
      <c r="DTU1629" s="1"/>
      <c r="DTV1629" s="1"/>
      <c r="DTW1629" s="1"/>
      <c r="DTX1629" s="1"/>
      <c r="DTY1629" s="1"/>
      <c r="DTZ1629" s="1"/>
      <c r="DUA1629" s="1"/>
      <c r="DUB1629" s="1"/>
      <c r="DUC1629" s="1"/>
      <c r="DUD1629" s="1"/>
      <c r="DUE1629" s="1"/>
      <c r="DUF1629" s="1"/>
      <c r="DUG1629" s="1"/>
      <c r="DUH1629" s="1"/>
      <c r="DUI1629" s="1"/>
      <c r="DUJ1629" s="1"/>
      <c r="DUK1629" s="1"/>
      <c r="DUL1629" s="1"/>
      <c r="DUM1629" s="1"/>
      <c r="DUN1629" s="1"/>
      <c r="DUO1629" s="1"/>
      <c r="DUP1629" s="1"/>
      <c r="DUQ1629" s="1"/>
      <c r="DUR1629" s="1"/>
      <c r="DUS1629" s="1"/>
      <c r="DUT1629" s="1"/>
      <c r="DUU1629" s="1"/>
      <c r="DUV1629" s="1"/>
      <c r="DUW1629" s="1"/>
      <c r="DUX1629" s="1"/>
      <c r="DUY1629" s="1"/>
      <c r="DUZ1629" s="1"/>
      <c r="DVA1629" s="1"/>
      <c r="DVB1629" s="1"/>
      <c r="DVC1629" s="1"/>
      <c r="DVD1629" s="1"/>
      <c r="DVE1629" s="1"/>
      <c r="DVF1629" s="1"/>
      <c r="DVG1629" s="1"/>
      <c r="DVH1629" s="1"/>
      <c r="DVI1629" s="1"/>
      <c r="DVJ1629" s="1"/>
      <c r="DVK1629" s="1"/>
      <c r="DVL1629" s="1"/>
      <c r="DVM1629" s="1"/>
      <c r="DVN1629" s="1"/>
      <c r="DVO1629" s="1"/>
      <c r="DVP1629" s="1"/>
      <c r="DVQ1629" s="1"/>
      <c r="DVR1629" s="1"/>
      <c r="DVS1629" s="1"/>
      <c r="DVT1629" s="1"/>
      <c r="DVU1629" s="1"/>
      <c r="DVV1629" s="1"/>
      <c r="DVW1629" s="1"/>
      <c r="DVX1629" s="1"/>
      <c r="DVY1629" s="1"/>
      <c r="DVZ1629" s="1"/>
      <c r="DWA1629" s="1"/>
      <c r="DWB1629" s="1"/>
      <c r="DWC1629" s="1"/>
      <c r="DWD1629" s="1"/>
      <c r="DWE1629" s="1"/>
      <c r="DWF1629" s="1"/>
      <c r="DWG1629" s="1"/>
      <c r="DWH1629" s="1"/>
      <c r="DWI1629" s="1"/>
      <c r="DWJ1629" s="1"/>
      <c r="DWK1629" s="1"/>
      <c r="DWL1629" s="1"/>
      <c r="DWM1629" s="1"/>
      <c r="DWN1629" s="1"/>
      <c r="DWO1629" s="1"/>
      <c r="DWP1629" s="1"/>
      <c r="DWQ1629" s="1"/>
      <c r="DWR1629" s="1"/>
      <c r="DWS1629" s="1"/>
      <c r="DWT1629" s="1"/>
      <c r="DWU1629" s="1"/>
      <c r="DWV1629" s="1"/>
      <c r="DWW1629" s="1"/>
      <c r="DWX1629" s="1"/>
      <c r="DWY1629" s="1"/>
      <c r="DWZ1629" s="1"/>
      <c r="DXA1629" s="1"/>
      <c r="DXB1629" s="1"/>
      <c r="DXC1629" s="1"/>
      <c r="DXD1629" s="1"/>
      <c r="DXE1629" s="1"/>
      <c r="DXF1629" s="1"/>
      <c r="DXG1629" s="1"/>
      <c r="DXH1629" s="1"/>
      <c r="DXI1629" s="1"/>
      <c r="DXJ1629" s="1"/>
      <c r="DXK1629" s="1"/>
      <c r="DXL1629" s="1"/>
      <c r="DXM1629" s="1"/>
      <c r="DXN1629" s="1"/>
      <c r="DXO1629" s="1"/>
      <c r="DXP1629" s="1"/>
      <c r="DXQ1629" s="1"/>
      <c r="DXR1629" s="1"/>
      <c r="DXS1629" s="1"/>
      <c r="DXT1629" s="1"/>
      <c r="DXU1629" s="1"/>
      <c r="DXV1629" s="1"/>
      <c r="DXW1629" s="1"/>
      <c r="DXX1629" s="1"/>
      <c r="DXY1629" s="1"/>
      <c r="DXZ1629" s="1"/>
      <c r="DYA1629" s="1"/>
      <c r="DYB1629" s="1"/>
      <c r="DYC1629" s="1"/>
      <c r="DYD1629" s="1"/>
      <c r="DYE1629" s="1"/>
      <c r="DYF1629" s="1"/>
      <c r="DYG1629" s="1"/>
      <c r="DYH1629" s="1"/>
      <c r="DYI1629" s="1"/>
      <c r="DYJ1629" s="1"/>
      <c r="DYK1629" s="1"/>
      <c r="DYL1629" s="1"/>
      <c r="DYM1629" s="1"/>
      <c r="DYN1629" s="1"/>
      <c r="DYO1629" s="1"/>
      <c r="DYP1629" s="1"/>
      <c r="DYQ1629" s="1"/>
      <c r="DYR1629" s="1"/>
      <c r="DYS1629" s="1"/>
      <c r="DYT1629" s="1"/>
      <c r="DYU1629" s="1"/>
      <c r="DYV1629" s="1"/>
      <c r="DYW1629" s="1"/>
      <c r="DYX1629" s="1"/>
      <c r="DYY1629" s="1"/>
      <c r="DYZ1629" s="1"/>
      <c r="DZA1629" s="1"/>
      <c r="DZB1629" s="1"/>
      <c r="DZC1629" s="1"/>
      <c r="DZD1629" s="1"/>
      <c r="DZE1629" s="1"/>
      <c r="DZF1629" s="1"/>
      <c r="DZG1629" s="1"/>
      <c r="DZH1629" s="1"/>
      <c r="DZI1629" s="1"/>
      <c r="DZJ1629" s="1"/>
      <c r="DZK1629" s="1"/>
      <c r="DZL1629" s="1"/>
      <c r="DZM1629" s="1"/>
      <c r="DZN1629" s="1"/>
      <c r="DZO1629" s="1"/>
      <c r="DZP1629" s="1"/>
      <c r="DZQ1629" s="1"/>
      <c r="DZR1629" s="1"/>
      <c r="DZS1629" s="1"/>
      <c r="DZT1629" s="1"/>
      <c r="DZU1629" s="1"/>
      <c r="DZV1629" s="1"/>
      <c r="DZW1629" s="1"/>
      <c r="DZX1629" s="1"/>
      <c r="DZY1629" s="1"/>
      <c r="DZZ1629" s="1"/>
      <c r="EAA1629" s="1"/>
      <c r="EAB1629" s="1"/>
      <c r="EAC1629" s="1"/>
      <c r="EAD1629" s="1"/>
      <c r="EAE1629" s="1"/>
      <c r="EAF1629" s="1"/>
      <c r="EAG1629" s="1"/>
      <c r="EAH1629" s="1"/>
      <c r="EAI1629" s="1"/>
      <c r="EAJ1629" s="1"/>
      <c r="EAK1629" s="1"/>
      <c r="EAL1629" s="1"/>
      <c r="EAM1629" s="1"/>
      <c r="EAN1629" s="1"/>
      <c r="EAO1629" s="1"/>
      <c r="EAP1629" s="1"/>
      <c r="EAQ1629" s="1"/>
      <c r="EAR1629" s="1"/>
      <c r="EAS1629" s="1"/>
      <c r="EAT1629" s="1"/>
      <c r="EAU1629" s="1"/>
      <c r="EAV1629" s="1"/>
      <c r="EAW1629" s="1"/>
      <c r="EAX1629" s="1"/>
      <c r="EAY1629" s="1"/>
      <c r="EAZ1629" s="1"/>
      <c r="EBA1629" s="1"/>
      <c r="EBB1629" s="1"/>
      <c r="EBC1629" s="1"/>
      <c r="EBD1629" s="1"/>
      <c r="EBE1629" s="1"/>
      <c r="EBF1629" s="1"/>
      <c r="EBG1629" s="1"/>
      <c r="EBH1629" s="1"/>
      <c r="EBI1629" s="1"/>
      <c r="EBJ1629" s="1"/>
      <c r="EBK1629" s="1"/>
      <c r="EBL1629" s="1"/>
      <c r="EBM1629" s="1"/>
      <c r="EBN1629" s="1"/>
      <c r="EBO1629" s="1"/>
      <c r="EBP1629" s="1"/>
      <c r="EBQ1629" s="1"/>
      <c r="EBR1629" s="1"/>
      <c r="EBS1629" s="1"/>
      <c r="EBT1629" s="1"/>
      <c r="EBU1629" s="1"/>
      <c r="EBV1629" s="1"/>
      <c r="EBW1629" s="1"/>
      <c r="EBX1629" s="1"/>
      <c r="EBY1629" s="1"/>
      <c r="EBZ1629" s="1"/>
      <c r="ECA1629" s="1"/>
      <c r="ECB1629" s="1"/>
      <c r="ECC1629" s="1"/>
      <c r="ECD1629" s="1"/>
      <c r="ECE1629" s="1"/>
      <c r="ECF1629" s="1"/>
      <c r="ECG1629" s="1"/>
      <c r="ECH1629" s="1"/>
      <c r="ECI1629" s="1"/>
      <c r="ECJ1629" s="1"/>
      <c r="ECK1629" s="1"/>
      <c r="ECL1629" s="1"/>
      <c r="ECM1629" s="1"/>
      <c r="ECN1629" s="1"/>
      <c r="ECO1629" s="1"/>
      <c r="ECP1629" s="1"/>
      <c r="ECQ1629" s="1"/>
      <c r="ECR1629" s="1"/>
      <c r="ECS1629" s="1"/>
      <c r="ECT1629" s="1"/>
      <c r="ECU1629" s="1"/>
      <c r="ECV1629" s="1"/>
      <c r="ECW1629" s="1"/>
      <c r="ECX1629" s="1"/>
      <c r="ECY1629" s="1"/>
      <c r="ECZ1629" s="1"/>
      <c r="EDA1629" s="1"/>
      <c r="EDB1629" s="1"/>
      <c r="EDC1629" s="1"/>
      <c r="EDD1629" s="1"/>
      <c r="EDE1629" s="1"/>
      <c r="EDF1629" s="1"/>
      <c r="EDG1629" s="1"/>
      <c r="EDH1629" s="1"/>
      <c r="EDI1629" s="1"/>
      <c r="EDJ1629" s="1"/>
      <c r="EDK1629" s="1"/>
      <c r="EDL1629" s="1"/>
      <c r="EDM1629" s="1"/>
      <c r="EDN1629" s="1"/>
      <c r="EDO1629" s="1"/>
      <c r="EDP1629" s="1"/>
      <c r="EDQ1629" s="1"/>
      <c r="EDR1629" s="1"/>
      <c r="EDS1629" s="1"/>
      <c r="EDT1629" s="1"/>
      <c r="EDU1629" s="1"/>
      <c r="EDV1629" s="1"/>
      <c r="EDW1629" s="1"/>
      <c r="EDX1629" s="1"/>
      <c r="EDY1629" s="1"/>
      <c r="EDZ1629" s="1"/>
      <c r="EEA1629" s="1"/>
      <c r="EEB1629" s="1"/>
      <c r="EEC1629" s="1"/>
      <c r="EED1629" s="1"/>
      <c r="EEE1629" s="1"/>
      <c r="EEF1629" s="1"/>
      <c r="EEG1629" s="1"/>
      <c r="EEH1629" s="1"/>
      <c r="EEI1629" s="1"/>
      <c r="EEJ1629" s="1"/>
      <c r="EEK1629" s="1"/>
      <c r="EEL1629" s="1"/>
      <c r="EEM1629" s="1"/>
      <c r="EEN1629" s="1"/>
      <c r="EEO1629" s="1"/>
      <c r="EEP1629" s="1"/>
      <c r="EEQ1629" s="1"/>
      <c r="EER1629" s="1"/>
      <c r="EES1629" s="1"/>
      <c r="EET1629" s="1"/>
      <c r="EEU1629" s="1"/>
      <c r="EEV1629" s="1"/>
      <c r="EEW1629" s="1"/>
      <c r="EEX1629" s="1"/>
      <c r="EEY1629" s="1"/>
      <c r="EEZ1629" s="1"/>
      <c r="EFA1629" s="1"/>
      <c r="EFB1629" s="1"/>
      <c r="EFC1629" s="1"/>
      <c r="EFD1629" s="1"/>
      <c r="EFE1629" s="1"/>
      <c r="EFF1629" s="1"/>
      <c r="EFG1629" s="1"/>
      <c r="EFH1629" s="1"/>
      <c r="EFI1629" s="1"/>
      <c r="EFJ1629" s="1"/>
      <c r="EFK1629" s="1"/>
      <c r="EFL1629" s="1"/>
      <c r="EFM1629" s="1"/>
      <c r="EFN1629" s="1"/>
      <c r="EFO1629" s="1"/>
      <c r="EFP1629" s="1"/>
      <c r="EFQ1629" s="1"/>
      <c r="EFR1629" s="1"/>
      <c r="EFS1629" s="1"/>
      <c r="EFT1629" s="1"/>
      <c r="EFU1629" s="1"/>
      <c r="EFV1629" s="1"/>
      <c r="EFW1629" s="1"/>
      <c r="EFX1629" s="1"/>
      <c r="EFY1629" s="1"/>
      <c r="EFZ1629" s="1"/>
      <c r="EGA1629" s="1"/>
      <c r="EGB1629" s="1"/>
      <c r="EGC1629" s="1"/>
      <c r="EGD1629" s="1"/>
      <c r="EGE1629" s="1"/>
      <c r="EGF1629" s="1"/>
      <c r="EGG1629" s="1"/>
      <c r="EGH1629" s="1"/>
      <c r="EGI1629" s="1"/>
      <c r="EGJ1629" s="1"/>
      <c r="EGK1629" s="1"/>
      <c r="EGL1629" s="1"/>
      <c r="EGM1629" s="1"/>
      <c r="EGN1629" s="1"/>
      <c r="EGO1629" s="1"/>
      <c r="EGP1629" s="1"/>
      <c r="EGQ1629" s="1"/>
      <c r="EGR1629" s="1"/>
      <c r="EGS1629" s="1"/>
      <c r="EGT1629" s="1"/>
      <c r="EGU1629" s="1"/>
      <c r="EGV1629" s="1"/>
      <c r="EGW1629" s="1"/>
      <c r="EGX1629" s="1"/>
      <c r="EGY1629" s="1"/>
      <c r="EGZ1629" s="1"/>
      <c r="EHA1629" s="1"/>
      <c r="EHB1629" s="1"/>
      <c r="EHC1629" s="1"/>
      <c r="EHD1629" s="1"/>
      <c r="EHE1629" s="1"/>
      <c r="EHF1629" s="1"/>
      <c r="EHG1629" s="1"/>
      <c r="EHH1629" s="1"/>
      <c r="EHI1629" s="1"/>
      <c r="EHJ1629" s="1"/>
      <c r="EHK1629" s="1"/>
      <c r="EHL1629" s="1"/>
      <c r="EHM1629" s="1"/>
      <c r="EHN1629" s="1"/>
      <c r="EHO1629" s="1"/>
      <c r="EHP1629" s="1"/>
      <c r="EHQ1629" s="1"/>
      <c r="EHR1629" s="1"/>
      <c r="EHS1629" s="1"/>
      <c r="EHT1629" s="1"/>
      <c r="EHU1629" s="1"/>
      <c r="EHV1629" s="1"/>
      <c r="EHW1629" s="1"/>
      <c r="EHX1629" s="1"/>
      <c r="EHY1629" s="1"/>
      <c r="EHZ1629" s="1"/>
      <c r="EIA1629" s="1"/>
      <c r="EIB1629" s="1"/>
      <c r="EIC1629" s="1"/>
      <c r="EID1629" s="1"/>
      <c r="EIE1629" s="1"/>
      <c r="EIF1629" s="1"/>
      <c r="EIG1629" s="1"/>
      <c r="EIH1629" s="1"/>
      <c r="EII1629" s="1"/>
      <c r="EIJ1629" s="1"/>
      <c r="EIK1629" s="1"/>
      <c r="EIL1629" s="1"/>
      <c r="EIM1629" s="1"/>
      <c r="EIN1629" s="1"/>
      <c r="EIO1629" s="1"/>
      <c r="EIP1629" s="1"/>
      <c r="EIQ1629" s="1"/>
      <c r="EIR1629" s="1"/>
      <c r="EIS1629" s="1"/>
      <c r="EIT1629" s="1"/>
      <c r="EIU1629" s="1"/>
      <c r="EIV1629" s="1"/>
      <c r="EIW1629" s="1"/>
      <c r="EIX1629" s="1"/>
      <c r="EIY1629" s="1"/>
      <c r="EIZ1629" s="1"/>
      <c r="EJA1629" s="1"/>
      <c r="EJB1629" s="1"/>
      <c r="EJC1629" s="1"/>
      <c r="EJD1629" s="1"/>
      <c r="EJE1629" s="1"/>
      <c r="EJF1629" s="1"/>
      <c r="EJG1629" s="1"/>
      <c r="EJH1629" s="1"/>
      <c r="EJI1629" s="1"/>
      <c r="EJJ1629" s="1"/>
      <c r="EJK1629" s="1"/>
      <c r="EJL1629" s="1"/>
      <c r="EJM1629" s="1"/>
      <c r="EJN1629" s="1"/>
      <c r="EJO1629" s="1"/>
      <c r="EJP1629" s="1"/>
      <c r="EJQ1629" s="1"/>
      <c r="EJR1629" s="1"/>
      <c r="EJS1629" s="1"/>
      <c r="EJT1629" s="1"/>
      <c r="EJU1629" s="1"/>
      <c r="EJV1629" s="1"/>
      <c r="EJW1629" s="1"/>
      <c r="EJX1629" s="1"/>
      <c r="EJY1629" s="1"/>
      <c r="EJZ1629" s="1"/>
      <c r="EKA1629" s="1"/>
      <c r="EKB1629" s="1"/>
      <c r="EKC1629" s="1"/>
      <c r="EKD1629" s="1"/>
      <c r="EKE1629" s="1"/>
      <c r="EKF1629" s="1"/>
      <c r="EKG1629" s="1"/>
      <c r="EKH1629" s="1"/>
      <c r="EKI1629" s="1"/>
      <c r="EKJ1629" s="1"/>
      <c r="EKK1629" s="1"/>
      <c r="EKL1629" s="1"/>
      <c r="EKM1629" s="1"/>
      <c r="EKN1629" s="1"/>
      <c r="EKO1629" s="1"/>
      <c r="EKP1629" s="1"/>
      <c r="EKQ1629" s="1"/>
      <c r="EKR1629" s="1"/>
      <c r="EKS1629" s="1"/>
      <c r="EKT1629" s="1"/>
      <c r="EKU1629" s="1"/>
      <c r="EKV1629" s="1"/>
      <c r="EKW1629" s="1"/>
      <c r="EKX1629" s="1"/>
      <c r="EKY1629" s="1"/>
      <c r="EKZ1629" s="1"/>
      <c r="ELA1629" s="1"/>
      <c r="ELB1629" s="1"/>
      <c r="ELC1629" s="1"/>
      <c r="ELD1629" s="1"/>
      <c r="ELE1629" s="1"/>
      <c r="ELF1629" s="1"/>
      <c r="ELG1629" s="1"/>
      <c r="ELH1629" s="1"/>
      <c r="ELI1629" s="1"/>
      <c r="ELJ1629" s="1"/>
      <c r="ELK1629" s="1"/>
      <c r="ELL1629" s="1"/>
      <c r="ELM1629" s="1"/>
      <c r="ELN1629" s="1"/>
      <c r="ELO1629" s="1"/>
      <c r="ELP1629" s="1"/>
      <c r="ELQ1629" s="1"/>
      <c r="ELR1629" s="1"/>
      <c r="ELS1629" s="1"/>
      <c r="ELT1629" s="1"/>
      <c r="ELU1629" s="1"/>
      <c r="ELV1629" s="1"/>
      <c r="ELW1629" s="1"/>
      <c r="ELX1629" s="1"/>
      <c r="ELY1629" s="1"/>
      <c r="ELZ1629" s="1"/>
      <c r="EMA1629" s="1"/>
      <c r="EMB1629" s="1"/>
      <c r="EMC1629" s="1"/>
      <c r="EMD1629" s="1"/>
      <c r="EME1629" s="1"/>
      <c r="EMF1629" s="1"/>
      <c r="EMG1629" s="1"/>
      <c r="EMH1629" s="1"/>
      <c r="EMI1629" s="1"/>
      <c r="EMJ1629" s="1"/>
      <c r="EMK1629" s="1"/>
      <c r="EML1629" s="1"/>
      <c r="EMM1629" s="1"/>
      <c r="EMN1629" s="1"/>
      <c r="EMO1629" s="1"/>
      <c r="EMP1629" s="1"/>
      <c r="EMQ1629" s="1"/>
      <c r="EMR1629" s="1"/>
      <c r="EMS1629" s="1"/>
      <c r="EMT1629" s="1"/>
      <c r="EMU1629" s="1"/>
      <c r="EMV1629" s="1"/>
      <c r="EMW1629" s="1"/>
      <c r="EMX1629" s="1"/>
      <c r="EMY1629" s="1"/>
      <c r="EMZ1629" s="1"/>
      <c r="ENA1629" s="1"/>
      <c r="ENB1629" s="1"/>
      <c r="ENC1629" s="1"/>
      <c r="END1629" s="1"/>
      <c r="ENE1629" s="1"/>
      <c r="ENF1629" s="1"/>
      <c r="ENG1629" s="1"/>
      <c r="ENH1629" s="1"/>
      <c r="ENI1629" s="1"/>
      <c r="ENJ1629" s="1"/>
      <c r="ENK1629" s="1"/>
      <c r="ENL1629" s="1"/>
      <c r="ENM1629" s="1"/>
      <c r="ENN1629" s="1"/>
      <c r="ENO1629" s="1"/>
      <c r="ENP1629" s="1"/>
      <c r="ENQ1629" s="1"/>
      <c r="ENR1629" s="1"/>
      <c r="ENS1629" s="1"/>
      <c r="ENT1629" s="1"/>
      <c r="ENU1629" s="1"/>
      <c r="ENV1629" s="1"/>
      <c r="ENW1629" s="1"/>
      <c r="ENX1629" s="1"/>
      <c r="ENY1629" s="1"/>
      <c r="ENZ1629" s="1"/>
      <c r="EOA1629" s="1"/>
      <c r="EOB1629" s="1"/>
      <c r="EOC1629" s="1"/>
      <c r="EOD1629" s="1"/>
      <c r="EOE1629" s="1"/>
      <c r="EOF1629" s="1"/>
      <c r="EOG1629" s="1"/>
      <c r="EOH1629" s="1"/>
      <c r="EOI1629" s="1"/>
      <c r="EOJ1629" s="1"/>
      <c r="EOK1629" s="1"/>
      <c r="EOL1629" s="1"/>
      <c r="EOM1629" s="1"/>
      <c r="EON1629" s="1"/>
      <c r="EOO1629" s="1"/>
      <c r="EOP1629" s="1"/>
      <c r="EOQ1629" s="1"/>
      <c r="EOR1629" s="1"/>
      <c r="EOS1629" s="1"/>
      <c r="EOT1629" s="1"/>
      <c r="EOU1629" s="1"/>
      <c r="EOV1629" s="1"/>
      <c r="EOW1629" s="1"/>
      <c r="EOX1629" s="1"/>
      <c r="EOY1629" s="1"/>
      <c r="EOZ1629" s="1"/>
      <c r="EPA1629" s="1"/>
      <c r="EPB1629" s="1"/>
      <c r="EPC1629" s="1"/>
      <c r="EPD1629" s="1"/>
      <c r="EPE1629" s="1"/>
      <c r="EPF1629" s="1"/>
      <c r="EPG1629" s="1"/>
      <c r="EPH1629" s="1"/>
      <c r="EPI1629" s="1"/>
      <c r="EPJ1629" s="1"/>
      <c r="EPK1629" s="1"/>
      <c r="EPL1629" s="1"/>
      <c r="EPM1629" s="1"/>
      <c r="EPN1629" s="1"/>
      <c r="EPO1629" s="1"/>
      <c r="EPP1629" s="1"/>
      <c r="EPQ1629" s="1"/>
      <c r="EPR1629" s="1"/>
      <c r="EPS1629" s="1"/>
      <c r="EPT1629" s="1"/>
      <c r="EPU1629" s="1"/>
      <c r="EPV1629" s="1"/>
      <c r="EPW1629" s="1"/>
      <c r="EPX1629" s="1"/>
      <c r="EPY1629" s="1"/>
      <c r="EPZ1629" s="1"/>
      <c r="EQA1629" s="1"/>
      <c r="EQB1629" s="1"/>
      <c r="EQC1629" s="1"/>
      <c r="EQD1629" s="1"/>
      <c r="EQE1629" s="1"/>
      <c r="EQF1629" s="1"/>
      <c r="EQG1629" s="1"/>
      <c r="EQH1629" s="1"/>
      <c r="EQI1629" s="1"/>
      <c r="EQJ1629" s="1"/>
      <c r="EQK1629" s="1"/>
      <c r="EQL1629" s="1"/>
      <c r="EQM1629" s="1"/>
      <c r="EQN1629" s="1"/>
      <c r="EQO1629" s="1"/>
      <c r="EQP1629" s="1"/>
      <c r="EQQ1629" s="1"/>
      <c r="EQR1629" s="1"/>
      <c r="EQS1629" s="1"/>
      <c r="EQT1629" s="1"/>
      <c r="EQU1629" s="1"/>
      <c r="EQV1629" s="1"/>
      <c r="EQW1629" s="1"/>
      <c r="EQX1629" s="1"/>
      <c r="EQY1629" s="1"/>
      <c r="EQZ1629" s="1"/>
      <c r="ERA1629" s="1"/>
      <c r="ERB1629" s="1"/>
      <c r="ERC1629" s="1"/>
      <c r="ERD1629" s="1"/>
      <c r="ERE1629" s="1"/>
      <c r="ERF1629" s="1"/>
      <c r="ERG1629" s="1"/>
      <c r="ERH1629" s="1"/>
      <c r="ERI1629" s="1"/>
      <c r="ERJ1629" s="1"/>
      <c r="ERK1629" s="1"/>
      <c r="ERL1629" s="1"/>
      <c r="ERM1629" s="1"/>
      <c r="ERN1629" s="1"/>
      <c r="ERO1629" s="1"/>
      <c r="ERP1629" s="1"/>
      <c r="ERQ1629" s="1"/>
      <c r="ERR1629" s="1"/>
      <c r="ERS1629" s="1"/>
      <c r="ERT1629" s="1"/>
      <c r="ERU1629" s="1"/>
      <c r="ERV1629" s="1"/>
      <c r="ERW1629" s="1"/>
      <c r="ERX1629" s="1"/>
      <c r="ERY1629" s="1"/>
      <c r="ERZ1629" s="1"/>
      <c r="ESA1629" s="1"/>
      <c r="ESB1629" s="1"/>
      <c r="ESC1629" s="1"/>
      <c r="ESD1629" s="1"/>
      <c r="ESE1629" s="1"/>
      <c r="ESF1629" s="1"/>
      <c r="ESG1629" s="1"/>
      <c r="ESH1629" s="1"/>
      <c r="ESI1629" s="1"/>
      <c r="ESJ1629" s="1"/>
      <c r="ESK1629" s="1"/>
      <c r="ESL1629" s="1"/>
      <c r="ESM1629" s="1"/>
      <c r="ESN1629" s="1"/>
      <c r="ESO1629" s="1"/>
      <c r="ESP1629" s="1"/>
      <c r="ESQ1629" s="1"/>
      <c r="ESR1629" s="1"/>
      <c r="ESS1629" s="1"/>
      <c r="EST1629" s="1"/>
      <c r="ESU1629" s="1"/>
      <c r="ESV1629" s="1"/>
      <c r="ESW1629" s="1"/>
      <c r="ESX1629" s="1"/>
      <c r="ESY1629" s="1"/>
      <c r="ESZ1629" s="1"/>
      <c r="ETA1629" s="1"/>
      <c r="ETB1629" s="1"/>
      <c r="ETC1629" s="1"/>
      <c r="ETD1629" s="1"/>
      <c r="ETE1629" s="1"/>
      <c r="ETF1629" s="1"/>
      <c r="ETG1629" s="1"/>
      <c r="ETH1629" s="1"/>
      <c r="ETI1629" s="1"/>
      <c r="ETJ1629" s="1"/>
      <c r="ETK1629" s="1"/>
      <c r="ETL1629" s="1"/>
      <c r="ETM1629" s="1"/>
      <c r="ETN1629" s="1"/>
      <c r="ETO1629" s="1"/>
      <c r="ETP1629" s="1"/>
      <c r="ETQ1629" s="1"/>
      <c r="ETR1629" s="1"/>
      <c r="ETS1629" s="1"/>
      <c r="ETT1629" s="1"/>
      <c r="ETU1629" s="1"/>
      <c r="ETV1629" s="1"/>
      <c r="ETW1629" s="1"/>
      <c r="ETX1629" s="1"/>
      <c r="ETY1629" s="1"/>
      <c r="ETZ1629" s="1"/>
      <c r="EUA1629" s="1"/>
      <c r="EUB1629" s="1"/>
      <c r="EUC1629" s="1"/>
      <c r="EUD1629" s="1"/>
      <c r="EUE1629" s="1"/>
      <c r="EUF1629" s="1"/>
      <c r="EUG1629" s="1"/>
      <c r="EUH1629" s="1"/>
      <c r="EUI1629" s="1"/>
      <c r="EUJ1629" s="1"/>
      <c r="EUK1629" s="1"/>
      <c r="EUL1629" s="1"/>
      <c r="EUM1629" s="1"/>
      <c r="EUN1629" s="1"/>
      <c r="EUO1629" s="1"/>
      <c r="EUP1629" s="1"/>
      <c r="EUQ1629" s="1"/>
      <c r="EUR1629" s="1"/>
      <c r="EUS1629" s="1"/>
      <c r="EUT1629" s="1"/>
      <c r="EUU1629" s="1"/>
      <c r="EUV1629" s="1"/>
      <c r="EUW1629" s="1"/>
      <c r="EUX1629" s="1"/>
      <c r="EUY1629" s="1"/>
      <c r="EUZ1629" s="1"/>
      <c r="EVA1629" s="1"/>
      <c r="EVB1629" s="1"/>
      <c r="EVC1629" s="1"/>
      <c r="EVD1629" s="1"/>
      <c r="EVE1629" s="1"/>
      <c r="EVF1629" s="1"/>
      <c r="EVG1629" s="1"/>
      <c r="EVH1629" s="1"/>
      <c r="EVI1629" s="1"/>
      <c r="EVJ1629" s="1"/>
      <c r="EVK1629" s="1"/>
      <c r="EVL1629" s="1"/>
      <c r="EVM1629" s="1"/>
      <c r="EVN1629" s="1"/>
      <c r="EVO1629" s="1"/>
      <c r="EVP1629" s="1"/>
      <c r="EVQ1629" s="1"/>
      <c r="EVR1629" s="1"/>
      <c r="EVS1629" s="1"/>
      <c r="EVT1629" s="1"/>
      <c r="EVU1629" s="1"/>
      <c r="EVV1629" s="1"/>
      <c r="EVW1629" s="1"/>
      <c r="EVX1629" s="1"/>
      <c r="EVY1629" s="1"/>
      <c r="EVZ1629" s="1"/>
      <c r="EWA1629" s="1"/>
      <c r="EWB1629" s="1"/>
      <c r="EWC1629" s="1"/>
      <c r="EWD1629" s="1"/>
      <c r="EWE1629" s="1"/>
      <c r="EWF1629" s="1"/>
      <c r="EWG1629" s="1"/>
      <c r="EWH1629" s="1"/>
      <c r="EWI1629" s="1"/>
      <c r="EWJ1629" s="1"/>
      <c r="EWK1629" s="1"/>
      <c r="EWL1629" s="1"/>
      <c r="EWM1629" s="1"/>
      <c r="EWN1629" s="1"/>
      <c r="EWO1629" s="1"/>
      <c r="EWP1629" s="1"/>
      <c r="EWQ1629" s="1"/>
      <c r="EWR1629" s="1"/>
      <c r="EWS1629" s="1"/>
      <c r="EWT1629" s="1"/>
      <c r="EWU1629" s="1"/>
      <c r="EWV1629" s="1"/>
      <c r="EWW1629" s="1"/>
      <c r="EWX1629" s="1"/>
      <c r="EWY1629" s="1"/>
      <c r="EWZ1629" s="1"/>
      <c r="EXA1629" s="1"/>
      <c r="EXB1629" s="1"/>
      <c r="EXC1629" s="1"/>
      <c r="EXD1629" s="1"/>
      <c r="EXE1629" s="1"/>
      <c r="EXF1629" s="1"/>
      <c r="EXG1629" s="1"/>
      <c r="EXH1629" s="1"/>
      <c r="EXI1629" s="1"/>
      <c r="EXJ1629" s="1"/>
      <c r="EXK1629" s="1"/>
      <c r="EXL1629" s="1"/>
      <c r="EXM1629" s="1"/>
      <c r="EXN1629" s="1"/>
      <c r="EXO1629" s="1"/>
      <c r="EXP1629" s="1"/>
      <c r="EXQ1629" s="1"/>
      <c r="EXR1629" s="1"/>
      <c r="EXS1629" s="1"/>
      <c r="EXT1629" s="1"/>
      <c r="EXU1629" s="1"/>
      <c r="EXV1629" s="1"/>
      <c r="EXW1629" s="1"/>
      <c r="EXX1629" s="1"/>
      <c r="EXY1629" s="1"/>
      <c r="EXZ1629" s="1"/>
      <c r="EYA1629" s="1"/>
      <c r="EYB1629" s="1"/>
      <c r="EYC1629" s="1"/>
      <c r="EYD1629" s="1"/>
      <c r="EYE1629" s="1"/>
      <c r="EYF1629" s="1"/>
      <c r="EYG1629" s="1"/>
      <c r="EYH1629" s="1"/>
      <c r="EYI1629" s="1"/>
      <c r="EYJ1629" s="1"/>
      <c r="EYK1629" s="1"/>
      <c r="EYL1629" s="1"/>
      <c r="EYM1629" s="1"/>
      <c r="EYN1629" s="1"/>
      <c r="EYO1629" s="1"/>
      <c r="EYP1629" s="1"/>
      <c r="EYQ1629" s="1"/>
      <c r="EYR1629" s="1"/>
      <c r="EYS1629" s="1"/>
      <c r="EYT1629" s="1"/>
      <c r="EYU1629" s="1"/>
      <c r="EYV1629" s="1"/>
      <c r="EYW1629" s="1"/>
      <c r="EYX1629" s="1"/>
      <c r="EYY1629" s="1"/>
      <c r="EYZ1629" s="1"/>
      <c r="EZA1629" s="1"/>
      <c r="EZB1629" s="1"/>
      <c r="EZC1629" s="1"/>
      <c r="EZD1629" s="1"/>
      <c r="EZE1629" s="1"/>
      <c r="EZF1629" s="1"/>
      <c r="EZG1629" s="1"/>
      <c r="EZH1629" s="1"/>
      <c r="EZI1629" s="1"/>
      <c r="EZJ1629" s="1"/>
      <c r="EZK1629" s="1"/>
      <c r="EZL1629" s="1"/>
      <c r="EZM1629" s="1"/>
      <c r="EZN1629" s="1"/>
      <c r="EZO1629" s="1"/>
      <c r="EZP1629" s="1"/>
      <c r="EZQ1629" s="1"/>
      <c r="EZR1629" s="1"/>
      <c r="EZS1629" s="1"/>
      <c r="EZT1629" s="1"/>
      <c r="EZU1629" s="1"/>
      <c r="EZV1629" s="1"/>
      <c r="EZW1629" s="1"/>
      <c r="EZX1629" s="1"/>
      <c r="EZY1629" s="1"/>
      <c r="EZZ1629" s="1"/>
      <c r="FAA1629" s="1"/>
      <c r="FAB1629" s="1"/>
      <c r="FAC1629" s="1"/>
      <c r="FAD1629" s="1"/>
      <c r="FAE1629" s="1"/>
      <c r="FAF1629" s="1"/>
      <c r="FAG1629" s="1"/>
      <c r="FAH1629" s="1"/>
      <c r="FAI1629" s="1"/>
      <c r="FAJ1629" s="1"/>
      <c r="FAK1629" s="1"/>
      <c r="FAL1629" s="1"/>
      <c r="FAM1629" s="1"/>
      <c r="FAN1629" s="1"/>
      <c r="FAO1629" s="1"/>
      <c r="FAP1629" s="1"/>
      <c r="FAQ1629" s="1"/>
      <c r="FAR1629" s="1"/>
      <c r="FAS1629" s="1"/>
      <c r="FAT1629" s="1"/>
      <c r="FAU1629" s="1"/>
      <c r="FAV1629" s="1"/>
      <c r="FAW1629" s="1"/>
      <c r="FAX1629" s="1"/>
      <c r="FAY1629" s="1"/>
      <c r="FAZ1629" s="1"/>
      <c r="FBA1629" s="1"/>
      <c r="FBB1629" s="1"/>
      <c r="FBC1629" s="1"/>
      <c r="FBD1629" s="1"/>
      <c r="FBE1629" s="1"/>
      <c r="FBF1629" s="1"/>
      <c r="FBG1629" s="1"/>
      <c r="FBH1629" s="1"/>
      <c r="FBI1629" s="1"/>
      <c r="FBJ1629" s="1"/>
      <c r="FBK1629" s="1"/>
      <c r="FBL1629" s="1"/>
      <c r="FBM1629" s="1"/>
      <c r="FBN1629" s="1"/>
      <c r="FBO1629" s="1"/>
      <c r="FBP1629" s="1"/>
      <c r="FBQ1629" s="1"/>
      <c r="FBR1629" s="1"/>
      <c r="FBS1629" s="1"/>
      <c r="FBT1629" s="1"/>
      <c r="FBU1629" s="1"/>
      <c r="FBV1629" s="1"/>
      <c r="FBW1629" s="1"/>
      <c r="FBX1629" s="1"/>
      <c r="FBY1629" s="1"/>
      <c r="FBZ1629" s="1"/>
      <c r="FCA1629" s="1"/>
      <c r="FCB1629" s="1"/>
      <c r="FCC1629" s="1"/>
      <c r="FCD1629" s="1"/>
      <c r="FCE1629" s="1"/>
      <c r="FCF1629" s="1"/>
      <c r="FCG1629" s="1"/>
      <c r="FCH1629" s="1"/>
      <c r="FCI1629" s="1"/>
      <c r="FCJ1629" s="1"/>
      <c r="FCK1629" s="1"/>
      <c r="FCL1629" s="1"/>
      <c r="FCM1629" s="1"/>
      <c r="FCN1629" s="1"/>
      <c r="FCO1629" s="1"/>
      <c r="FCP1629" s="1"/>
      <c r="FCQ1629" s="1"/>
      <c r="FCR1629" s="1"/>
      <c r="FCS1629" s="1"/>
      <c r="FCT1629" s="1"/>
      <c r="FCU1629" s="1"/>
      <c r="FCV1629" s="1"/>
      <c r="FCW1629" s="1"/>
      <c r="FCX1629" s="1"/>
      <c r="FCY1629" s="1"/>
      <c r="FCZ1629" s="1"/>
      <c r="FDA1629" s="1"/>
      <c r="FDB1629" s="1"/>
      <c r="FDC1629" s="1"/>
      <c r="FDD1629" s="1"/>
      <c r="FDE1629" s="1"/>
      <c r="FDF1629" s="1"/>
      <c r="FDG1629" s="1"/>
      <c r="FDH1629" s="1"/>
      <c r="FDI1629" s="1"/>
      <c r="FDJ1629" s="1"/>
      <c r="FDK1629" s="1"/>
      <c r="FDL1629" s="1"/>
      <c r="FDM1629" s="1"/>
      <c r="FDN1629" s="1"/>
      <c r="FDO1629" s="1"/>
      <c r="FDP1629" s="1"/>
      <c r="FDQ1629" s="1"/>
      <c r="FDR1629" s="1"/>
      <c r="FDS1629" s="1"/>
      <c r="FDT1629" s="1"/>
      <c r="FDU1629" s="1"/>
      <c r="FDV1629" s="1"/>
      <c r="FDW1629" s="1"/>
      <c r="FDX1629" s="1"/>
      <c r="FDY1629" s="1"/>
      <c r="FDZ1629" s="1"/>
      <c r="FEA1629" s="1"/>
      <c r="FEB1629" s="1"/>
      <c r="FEC1629" s="1"/>
      <c r="FED1629" s="1"/>
      <c r="FEE1629" s="1"/>
      <c r="FEF1629" s="1"/>
      <c r="FEG1629" s="1"/>
      <c r="FEH1629" s="1"/>
      <c r="FEI1629" s="1"/>
      <c r="FEJ1629" s="1"/>
      <c r="FEK1629" s="1"/>
      <c r="FEL1629" s="1"/>
      <c r="FEM1629" s="1"/>
      <c r="FEN1629" s="1"/>
      <c r="FEO1629" s="1"/>
      <c r="FEP1629" s="1"/>
      <c r="FEQ1629" s="1"/>
      <c r="FER1629" s="1"/>
      <c r="FES1629" s="1"/>
      <c r="FET1629" s="1"/>
      <c r="FEU1629" s="1"/>
      <c r="FEV1629" s="1"/>
      <c r="FEW1629" s="1"/>
      <c r="FEX1629" s="1"/>
      <c r="FEY1629" s="1"/>
      <c r="FEZ1629" s="1"/>
      <c r="FFA1629" s="1"/>
      <c r="FFB1629" s="1"/>
      <c r="FFC1629" s="1"/>
      <c r="FFD1629" s="1"/>
      <c r="FFE1629" s="1"/>
      <c r="FFF1629" s="1"/>
      <c r="FFG1629" s="1"/>
      <c r="FFH1629" s="1"/>
      <c r="FFI1629" s="1"/>
      <c r="FFJ1629" s="1"/>
      <c r="FFK1629" s="1"/>
      <c r="FFL1629" s="1"/>
      <c r="FFM1629" s="1"/>
      <c r="FFN1629" s="1"/>
      <c r="FFO1629" s="1"/>
      <c r="FFP1629" s="1"/>
      <c r="FFQ1629" s="1"/>
      <c r="FFR1629" s="1"/>
      <c r="FFS1629" s="1"/>
      <c r="FFT1629" s="1"/>
      <c r="FFU1629" s="1"/>
      <c r="FFV1629" s="1"/>
      <c r="FFW1629" s="1"/>
      <c r="FFX1629" s="1"/>
      <c r="FFY1629" s="1"/>
      <c r="FFZ1629" s="1"/>
      <c r="FGA1629" s="1"/>
      <c r="FGB1629" s="1"/>
      <c r="FGC1629" s="1"/>
      <c r="FGD1629" s="1"/>
      <c r="FGE1629" s="1"/>
      <c r="FGF1629" s="1"/>
      <c r="FGG1629" s="1"/>
      <c r="FGH1629" s="1"/>
      <c r="FGI1629" s="1"/>
      <c r="FGJ1629" s="1"/>
      <c r="FGK1629" s="1"/>
      <c r="FGL1629" s="1"/>
      <c r="FGM1629" s="1"/>
      <c r="FGN1629" s="1"/>
      <c r="FGO1629" s="1"/>
      <c r="FGP1629" s="1"/>
      <c r="FGQ1629" s="1"/>
      <c r="FGR1629" s="1"/>
      <c r="FGS1629" s="1"/>
      <c r="FGT1629" s="1"/>
      <c r="FGU1629" s="1"/>
      <c r="FGV1629" s="1"/>
      <c r="FGW1629" s="1"/>
      <c r="FGX1629" s="1"/>
      <c r="FGY1629" s="1"/>
      <c r="FGZ1629" s="1"/>
      <c r="FHA1629" s="1"/>
      <c r="FHB1629" s="1"/>
      <c r="FHC1629" s="1"/>
      <c r="FHD1629" s="1"/>
      <c r="FHE1629" s="1"/>
      <c r="FHF1629" s="1"/>
      <c r="FHG1629" s="1"/>
      <c r="FHH1629" s="1"/>
      <c r="FHI1629" s="1"/>
      <c r="FHJ1629" s="1"/>
      <c r="FHK1629" s="1"/>
      <c r="FHL1629" s="1"/>
      <c r="FHM1629" s="1"/>
      <c r="FHN1629" s="1"/>
      <c r="FHO1629" s="1"/>
      <c r="FHP1629" s="1"/>
      <c r="FHQ1629" s="1"/>
      <c r="FHR1629" s="1"/>
      <c r="FHS1629" s="1"/>
      <c r="FHT1629" s="1"/>
      <c r="FHU1629" s="1"/>
      <c r="FHV1629" s="1"/>
      <c r="FHW1629" s="1"/>
      <c r="FHX1629" s="1"/>
      <c r="FHY1629" s="1"/>
      <c r="FHZ1629" s="1"/>
      <c r="FIA1629" s="1"/>
      <c r="FIB1629" s="1"/>
      <c r="FIC1629" s="1"/>
      <c r="FID1629" s="1"/>
      <c r="FIE1629" s="1"/>
      <c r="FIF1629" s="1"/>
      <c r="FIG1629" s="1"/>
      <c r="FIH1629" s="1"/>
      <c r="FII1629" s="1"/>
      <c r="FIJ1629" s="1"/>
      <c r="FIK1629" s="1"/>
      <c r="FIL1629" s="1"/>
      <c r="FIM1629" s="1"/>
      <c r="FIN1629" s="1"/>
      <c r="FIO1629" s="1"/>
      <c r="FIP1629" s="1"/>
      <c r="FIQ1629" s="1"/>
      <c r="FIR1629" s="1"/>
      <c r="FIS1629" s="1"/>
      <c r="FIT1629" s="1"/>
      <c r="FIU1629" s="1"/>
      <c r="FIV1629" s="1"/>
      <c r="FIW1629" s="1"/>
      <c r="FIX1629" s="1"/>
      <c r="FIY1629" s="1"/>
      <c r="FIZ1629" s="1"/>
      <c r="FJA1629" s="1"/>
      <c r="FJB1629" s="1"/>
      <c r="FJC1629" s="1"/>
      <c r="FJD1629" s="1"/>
      <c r="FJE1629" s="1"/>
      <c r="FJF1629" s="1"/>
      <c r="FJG1629" s="1"/>
      <c r="FJH1629" s="1"/>
      <c r="FJI1629" s="1"/>
      <c r="FJJ1629" s="1"/>
      <c r="FJK1629" s="1"/>
      <c r="FJL1629" s="1"/>
      <c r="FJM1629" s="1"/>
      <c r="FJN1629" s="1"/>
      <c r="FJO1629" s="1"/>
      <c r="FJP1629" s="1"/>
      <c r="FJQ1629" s="1"/>
      <c r="FJR1629" s="1"/>
      <c r="FJS1629" s="1"/>
      <c r="FJT1629" s="1"/>
      <c r="FJU1629" s="1"/>
      <c r="FJV1629" s="1"/>
      <c r="FJW1629" s="1"/>
      <c r="FJX1629" s="1"/>
      <c r="FJY1629" s="1"/>
      <c r="FJZ1629" s="1"/>
      <c r="FKA1629" s="1"/>
      <c r="FKB1629" s="1"/>
      <c r="FKC1629" s="1"/>
      <c r="FKD1629" s="1"/>
      <c r="FKE1629" s="1"/>
      <c r="FKF1629" s="1"/>
      <c r="FKG1629" s="1"/>
      <c r="FKH1629" s="1"/>
      <c r="FKI1629" s="1"/>
      <c r="FKJ1629" s="1"/>
      <c r="FKK1629" s="1"/>
      <c r="FKL1629" s="1"/>
      <c r="FKM1629" s="1"/>
      <c r="FKN1629" s="1"/>
      <c r="FKO1629" s="1"/>
      <c r="FKP1629" s="1"/>
      <c r="FKQ1629" s="1"/>
      <c r="FKR1629" s="1"/>
      <c r="FKS1629" s="1"/>
      <c r="FKT1629" s="1"/>
      <c r="FKU1629" s="1"/>
      <c r="FKV1629" s="1"/>
      <c r="FKW1629" s="1"/>
      <c r="FKX1629" s="1"/>
      <c r="FKY1629" s="1"/>
      <c r="FKZ1629" s="1"/>
      <c r="FLA1629" s="1"/>
      <c r="FLB1629" s="1"/>
      <c r="FLC1629" s="1"/>
      <c r="FLD1629" s="1"/>
      <c r="FLE1629" s="1"/>
      <c r="FLF1629" s="1"/>
      <c r="FLG1629" s="1"/>
      <c r="FLH1629" s="1"/>
      <c r="FLI1629" s="1"/>
      <c r="FLJ1629" s="1"/>
      <c r="FLK1629" s="1"/>
      <c r="FLL1629" s="1"/>
      <c r="FLM1629" s="1"/>
      <c r="FLN1629" s="1"/>
      <c r="FLO1629" s="1"/>
      <c r="FLP1629" s="1"/>
      <c r="FLQ1629" s="1"/>
      <c r="FLR1629" s="1"/>
      <c r="FLS1629" s="1"/>
      <c r="FLT1629" s="1"/>
      <c r="FLU1629" s="1"/>
      <c r="FLV1629" s="1"/>
      <c r="FLW1629" s="1"/>
      <c r="FLX1629" s="1"/>
      <c r="FLY1629" s="1"/>
      <c r="FLZ1629" s="1"/>
      <c r="FMA1629" s="1"/>
      <c r="FMB1629" s="1"/>
      <c r="FMC1629" s="1"/>
      <c r="FMD1629" s="1"/>
      <c r="FME1629" s="1"/>
      <c r="FMF1629" s="1"/>
      <c r="FMG1629" s="1"/>
      <c r="FMH1629" s="1"/>
      <c r="FMI1629" s="1"/>
      <c r="FMJ1629" s="1"/>
      <c r="FMK1629" s="1"/>
      <c r="FML1629" s="1"/>
      <c r="FMM1629" s="1"/>
      <c r="FMN1629" s="1"/>
      <c r="FMO1629" s="1"/>
      <c r="FMP1629" s="1"/>
      <c r="FMQ1629" s="1"/>
      <c r="FMR1629" s="1"/>
      <c r="FMS1629" s="1"/>
      <c r="FMT1629" s="1"/>
      <c r="FMU1629" s="1"/>
      <c r="FMV1629" s="1"/>
      <c r="FMW1629" s="1"/>
      <c r="FMX1629" s="1"/>
      <c r="FMY1629" s="1"/>
      <c r="FMZ1629" s="1"/>
      <c r="FNA1629" s="1"/>
      <c r="FNB1629" s="1"/>
      <c r="FNC1629" s="1"/>
      <c r="FND1629" s="1"/>
      <c r="FNE1629" s="1"/>
      <c r="FNF1629" s="1"/>
      <c r="FNG1629" s="1"/>
      <c r="FNH1629" s="1"/>
      <c r="FNI1629" s="1"/>
      <c r="FNJ1629" s="1"/>
      <c r="FNK1629" s="1"/>
      <c r="FNL1629" s="1"/>
      <c r="FNM1629" s="1"/>
      <c r="FNN1629" s="1"/>
      <c r="FNO1629" s="1"/>
      <c r="FNP1629" s="1"/>
      <c r="FNQ1629" s="1"/>
      <c r="FNR1629" s="1"/>
      <c r="FNS1629" s="1"/>
      <c r="FNT1629" s="1"/>
      <c r="FNU1629" s="1"/>
      <c r="FNV1629" s="1"/>
      <c r="FNW1629" s="1"/>
      <c r="FNX1629" s="1"/>
      <c r="FNY1629" s="1"/>
      <c r="FNZ1629" s="1"/>
      <c r="FOA1629" s="1"/>
      <c r="FOB1629" s="1"/>
      <c r="FOC1629" s="1"/>
      <c r="FOD1629" s="1"/>
      <c r="FOE1629" s="1"/>
      <c r="FOF1629" s="1"/>
      <c r="FOG1629" s="1"/>
      <c r="FOH1629" s="1"/>
      <c r="FOI1629" s="1"/>
      <c r="FOJ1629" s="1"/>
      <c r="FOK1629" s="1"/>
      <c r="FOL1629" s="1"/>
      <c r="FOM1629" s="1"/>
      <c r="FON1629" s="1"/>
      <c r="FOO1629" s="1"/>
      <c r="FOP1629" s="1"/>
      <c r="FOQ1629" s="1"/>
      <c r="FOR1629" s="1"/>
      <c r="FOS1629" s="1"/>
      <c r="FOT1629" s="1"/>
      <c r="FOU1629" s="1"/>
      <c r="FOV1629" s="1"/>
      <c r="FOW1629" s="1"/>
      <c r="FOX1629" s="1"/>
      <c r="FOY1629" s="1"/>
      <c r="FOZ1629" s="1"/>
      <c r="FPA1629" s="1"/>
      <c r="FPB1629" s="1"/>
      <c r="FPC1629" s="1"/>
      <c r="FPD1629" s="1"/>
      <c r="FPE1629" s="1"/>
      <c r="FPF1629" s="1"/>
      <c r="FPG1629" s="1"/>
      <c r="FPH1629" s="1"/>
      <c r="FPI1629" s="1"/>
      <c r="FPJ1629" s="1"/>
      <c r="FPK1629" s="1"/>
      <c r="FPL1629" s="1"/>
      <c r="FPM1629" s="1"/>
      <c r="FPN1629" s="1"/>
      <c r="FPO1629" s="1"/>
      <c r="FPP1629" s="1"/>
      <c r="FPQ1629" s="1"/>
      <c r="FPR1629" s="1"/>
      <c r="FPS1629" s="1"/>
      <c r="FPT1629" s="1"/>
      <c r="FPU1629" s="1"/>
      <c r="FPV1629" s="1"/>
      <c r="FPW1629" s="1"/>
      <c r="FPX1629" s="1"/>
      <c r="FPY1629" s="1"/>
      <c r="FPZ1629" s="1"/>
      <c r="FQA1629" s="1"/>
      <c r="FQB1629" s="1"/>
      <c r="FQC1629" s="1"/>
      <c r="FQD1629" s="1"/>
      <c r="FQE1629" s="1"/>
      <c r="FQF1629" s="1"/>
      <c r="FQG1629" s="1"/>
      <c r="FQH1629" s="1"/>
      <c r="FQI1629" s="1"/>
      <c r="FQJ1629" s="1"/>
      <c r="FQK1629" s="1"/>
      <c r="FQL1629" s="1"/>
      <c r="FQM1629" s="1"/>
      <c r="FQN1629" s="1"/>
      <c r="FQO1629" s="1"/>
      <c r="FQP1629" s="1"/>
      <c r="FQQ1629" s="1"/>
      <c r="FQR1629" s="1"/>
      <c r="FQS1629" s="1"/>
      <c r="FQT1629" s="1"/>
      <c r="FQU1629" s="1"/>
      <c r="FQV1629" s="1"/>
      <c r="FQW1629" s="1"/>
      <c r="FQX1629" s="1"/>
      <c r="FQY1629" s="1"/>
      <c r="FQZ1629" s="1"/>
      <c r="FRA1629" s="1"/>
      <c r="FRB1629" s="1"/>
      <c r="FRC1629" s="1"/>
      <c r="FRD1629" s="1"/>
      <c r="FRE1629" s="1"/>
      <c r="FRF1629" s="1"/>
      <c r="FRG1629" s="1"/>
      <c r="FRH1629" s="1"/>
      <c r="FRI1629" s="1"/>
      <c r="FRJ1629" s="1"/>
      <c r="FRK1629" s="1"/>
      <c r="FRL1629" s="1"/>
      <c r="FRM1629" s="1"/>
      <c r="FRN1629" s="1"/>
      <c r="FRO1629" s="1"/>
      <c r="FRP1629" s="1"/>
      <c r="FRQ1629" s="1"/>
      <c r="FRR1629" s="1"/>
      <c r="FRS1629" s="1"/>
      <c r="FRT1629" s="1"/>
      <c r="FRU1629" s="1"/>
      <c r="FRV1629" s="1"/>
      <c r="FRW1629" s="1"/>
      <c r="FRX1629" s="1"/>
      <c r="FRY1629" s="1"/>
      <c r="FRZ1629" s="1"/>
      <c r="FSA1629" s="1"/>
      <c r="FSB1629" s="1"/>
      <c r="FSC1629" s="1"/>
      <c r="FSD1629" s="1"/>
      <c r="FSE1629" s="1"/>
      <c r="FSF1629" s="1"/>
      <c r="FSG1629" s="1"/>
      <c r="FSH1629" s="1"/>
      <c r="FSI1629" s="1"/>
      <c r="FSJ1629" s="1"/>
      <c r="FSK1629" s="1"/>
      <c r="FSL1629" s="1"/>
      <c r="FSM1629" s="1"/>
      <c r="FSN1629" s="1"/>
      <c r="FSO1629" s="1"/>
      <c r="FSP1629" s="1"/>
      <c r="FSQ1629" s="1"/>
      <c r="FSR1629" s="1"/>
      <c r="FSS1629" s="1"/>
      <c r="FST1629" s="1"/>
      <c r="FSU1629" s="1"/>
      <c r="FSV1629" s="1"/>
      <c r="FSW1629" s="1"/>
      <c r="FSX1629" s="1"/>
      <c r="FSY1629" s="1"/>
      <c r="FSZ1629" s="1"/>
      <c r="FTA1629" s="1"/>
      <c r="FTB1629" s="1"/>
      <c r="FTC1629" s="1"/>
      <c r="FTD1629" s="1"/>
      <c r="FTE1629" s="1"/>
      <c r="FTF1629" s="1"/>
      <c r="FTG1629" s="1"/>
      <c r="FTH1629" s="1"/>
      <c r="FTI1629" s="1"/>
      <c r="FTJ1629" s="1"/>
      <c r="FTK1629" s="1"/>
      <c r="FTL1629" s="1"/>
      <c r="FTM1629" s="1"/>
      <c r="FTN1629" s="1"/>
      <c r="FTO1629" s="1"/>
      <c r="FTP1629" s="1"/>
      <c r="FTQ1629" s="1"/>
      <c r="FTR1629" s="1"/>
      <c r="FTS1629" s="1"/>
      <c r="FTT1629" s="1"/>
      <c r="FTU1629" s="1"/>
      <c r="FTV1629" s="1"/>
      <c r="FTW1629" s="1"/>
      <c r="FTX1629" s="1"/>
      <c r="FTY1629" s="1"/>
      <c r="FTZ1629" s="1"/>
      <c r="FUA1629" s="1"/>
      <c r="FUB1629" s="1"/>
      <c r="FUC1629" s="1"/>
      <c r="FUD1629" s="1"/>
      <c r="FUE1629" s="1"/>
      <c r="FUF1629" s="1"/>
      <c r="FUG1629" s="1"/>
      <c r="FUH1629" s="1"/>
      <c r="FUI1629" s="1"/>
      <c r="FUJ1629" s="1"/>
      <c r="FUK1629" s="1"/>
      <c r="FUL1629" s="1"/>
      <c r="FUM1629" s="1"/>
      <c r="FUN1629" s="1"/>
      <c r="FUO1629" s="1"/>
      <c r="FUP1629" s="1"/>
      <c r="FUQ1629" s="1"/>
      <c r="FUR1629" s="1"/>
      <c r="FUS1629" s="1"/>
      <c r="FUT1629" s="1"/>
      <c r="FUU1629" s="1"/>
      <c r="FUV1629" s="1"/>
      <c r="FUW1629" s="1"/>
      <c r="FUX1629" s="1"/>
      <c r="FUY1629" s="1"/>
      <c r="FUZ1629" s="1"/>
      <c r="FVA1629" s="1"/>
      <c r="FVB1629" s="1"/>
      <c r="FVC1629" s="1"/>
      <c r="FVD1629" s="1"/>
      <c r="FVE1629" s="1"/>
      <c r="FVF1629" s="1"/>
      <c r="FVG1629" s="1"/>
      <c r="FVH1629" s="1"/>
      <c r="FVI1629" s="1"/>
      <c r="FVJ1629" s="1"/>
      <c r="FVK1629" s="1"/>
      <c r="FVL1629" s="1"/>
      <c r="FVM1629" s="1"/>
      <c r="FVN1629" s="1"/>
      <c r="FVO1629" s="1"/>
      <c r="FVP1629" s="1"/>
      <c r="FVQ1629" s="1"/>
      <c r="FVR1629" s="1"/>
      <c r="FVS1629" s="1"/>
      <c r="FVT1629" s="1"/>
      <c r="FVU1629" s="1"/>
      <c r="FVV1629" s="1"/>
      <c r="FVW1629" s="1"/>
      <c r="FVX1629" s="1"/>
      <c r="FVY1629" s="1"/>
      <c r="FVZ1629" s="1"/>
      <c r="FWA1629" s="1"/>
      <c r="FWB1629" s="1"/>
      <c r="FWC1629" s="1"/>
      <c r="FWD1629" s="1"/>
      <c r="FWE1629" s="1"/>
      <c r="FWF1629" s="1"/>
      <c r="FWG1629" s="1"/>
      <c r="FWH1629" s="1"/>
      <c r="FWI1629" s="1"/>
      <c r="FWJ1629" s="1"/>
      <c r="FWK1629" s="1"/>
      <c r="FWL1629" s="1"/>
      <c r="FWM1629" s="1"/>
      <c r="FWN1629" s="1"/>
      <c r="FWO1629" s="1"/>
      <c r="FWP1629" s="1"/>
      <c r="FWQ1629" s="1"/>
      <c r="FWR1629" s="1"/>
      <c r="FWS1629" s="1"/>
      <c r="FWT1629" s="1"/>
      <c r="FWU1629" s="1"/>
      <c r="FWV1629" s="1"/>
      <c r="FWW1629" s="1"/>
      <c r="FWX1629" s="1"/>
      <c r="FWY1629" s="1"/>
      <c r="FWZ1629" s="1"/>
      <c r="FXA1629" s="1"/>
      <c r="FXB1629" s="1"/>
      <c r="FXC1629" s="1"/>
      <c r="FXD1629" s="1"/>
      <c r="FXE1629" s="1"/>
      <c r="FXF1629" s="1"/>
      <c r="FXG1629" s="1"/>
      <c r="FXH1629" s="1"/>
      <c r="FXI1629" s="1"/>
      <c r="FXJ1629" s="1"/>
      <c r="FXK1629" s="1"/>
      <c r="FXL1629" s="1"/>
      <c r="FXM1629" s="1"/>
      <c r="FXN1629" s="1"/>
      <c r="FXO1629" s="1"/>
      <c r="FXP1629" s="1"/>
      <c r="FXQ1629" s="1"/>
      <c r="FXR1629" s="1"/>
      <c r="FXS1629" s="1"/>
      <c r="FXT1629" s="1"/>
      <c r="FXU1629" s="1"/>
      <c r="FXV1629" s="1"/>
      <c r="FXW1629" s="1"/>
      <c r="FXX1629" s="1"/>
      <c r="FXY1629" s="1"/>
      <c r="FXZ1629" s="1"/>
      <c r="FYA1629" s="1"/>
      <c r="FYB1629" s="1"/>
      <c r="FYC1629" s="1"/>
      <c r="FYD1629" s="1"/>
      <c r="FYE1629" s="1"/>
      <c r="FYF1629" s="1"/>
      <c r="FYG1629" s="1"/>
      <c r="FYH1629" s="1"/>
      <c r="FYI1629" s="1"/>
      <c r="FYJ1629" s="1"/>
      <c r="FYK1629" s="1"/>
      <c r="FYL1629" s="1"/>
      <c r="FYM1629" s="1"/>
      <c r="FYN1629" s="1"/>
      <c r="FYO1629" s="1"/>
      <c r="FYP1629" s="1"/>
      <c r="FYQ1629" s="1"/>
      <c r="FYR1629" s="1"/>
      <c r="FYS1629" s="1"/>
      <c r="FYT1629" s="1"/>
      <c r="FYU1629" s="1"/>
      <c r="FYV1629" s="1"/>
      <c r="FYW1629" s="1"/>
      <c r="FYX1629" s="1"/>
      <c r="FYY1629" s="1"/>
      <c r="FYZ1629" s="1"/>
      <c r="FZA1629" s="1"/>
      <c r="FZB1629" s="1"/>
      <c r="FZC1629" s="1"/>
      <c r="FZD1629" s="1"/>
      <c r="FZE1629" s="1"/>
      <c r="FZF1629" s="1"/>
      <c r="FZG1629" s="1"/>
      <c r="FZH1629" s="1"/>
      <c r="FZI1629" s="1"/>
      <c r="FZJ1629" s="1"/>
      <c r="FZK1629" s="1"/>
      <c r="FZL1629" s="1"/>
      <c r="FZM1629" s="1"/>
      <c r="FZN1629" s="1"/>
      <c r="FZO1629" s="1"/>
      <c r="FZP1629" s="1"/>
      <c r="FZQ1629" s="1"/>
      <c r="FZR1629" s="1"/>
      <c r="FZS1629" s="1"/>
      <c r="FZT1629" s="1"/>
      <c r="FZU1629" s="1"/>
      <c r="FZV1629" s="1"/>
      <c r="FZW1629" s="1"/>
      <c r="FZX1629" s="1"/>
      <c r="FZY1629" s="1"/>
      <c r="FZZ1629" s="1"/>
      <c r="GAA1629" s="1"/>
      <c r="GAB1629" s="1"/>
      <c r="GAC1629" s="1"/>
      <c r="GAD1629" s="1"/>
      <c r="GAE1629" s="1"/>
      <c r="GAF1629" s="1"/>
      <c r="GAG1629" s="1"/>
      <c r="GAH1629" s="1"/>
      <c r="GAI1629" s="1"/>
      <c r="GAJ1629" s="1"/>
      <c r="GAK1629" s="1"/>
      <c r="GAL1629" s="1"/>
      <c r="GAM1629" s="1"/>
      <c r="GAN1629" s="1"/>
      <c r="GAO1629" s="1"/>
      <c r="GAP1629" s="1"/>
      <c r="GAQ1629" s="1"/>
      <c r="GAR1629" s="1"/>
      <c r="GAS1629" s="1"/>
      <c r="GAT1629" s="1"/>
      <c r="GAU1629" s="1"/>
      <c r="GAV1629" s="1"/>
      <c r="GAW1629" s="1"/>
      <c r="GAX1629" s="1"/>
      <c r="GAY1629" s="1"/>
      <c r="GAZ1629" s="1"/>
      <c r="GBA1629" s="1"/>
      <c r="GBB1629" s="1"/>
      <c r="GBC1629" s="1"/>
      <c r="GBD1629" s="1"/>
      <c r="GBE1629" s="1"/>
      <c r="GBF1629" s="1"/>
      <c r="GBG1629" s="1"/>
      <c r="GBH1629" s="1"/>
      <c r="GBI1629" s="1"/>
      <c r="GBJ1629" s="1"/>
      <c r="GBK1629" s="1"/>
      <c r="GBL1629" s="1"/>
      <c r="GBM1629" s="1"/>
      <c r="GBN1629" s="1"/>
      <c r="GBO1629" s="1"/>
      <c r="GBP1629" s="1"/>
      <c r="GBQ1629" s="1"/>
      <c r="GBR1629" s="1"/>
      <c r="GBS1629" s="1"/>
      <c r="GBT1629" s="1"/>
      <c r="GBU1629" s="1"/>
      <c r="GBV1629" s="1"/>
      <c r="GBW1629" s="1"/>
      <c r="GBX1629" s="1"/>
      <c r="GBY1629" s="1"/>
      <c r="GBZ1629" s="1"/>
      <c r="GCA1629" s="1"/>
      <c r="GCB1629" s="1"/>
      <c r="GCC1629" s="1"/>
      <c r="GCD1629" s="1"/>
      <c r="GCE1629" s="1"/>
      <c r="GCF1629" s="1"/>
      <c r="GCG1629" s="1"/>
      <c r="GCH1629" s="1"/>
      <c r="GCI1629" s="1"/>
      <c r="GCJ1629" s="1"/>
      <c r="GCK1629" s="1"/>
      <c r="GCL1629" s="1"/>
      <c r="GCM1629" s="1"/>
      <c r="GCN1629" s="1"/>
      <c r="GCO1629" s="1"/>
      <c r="GCP1629" s="1"/>
      <c r="GCQ1629" s="1"/>
      <c r="GCR1629" s="1"/>
      <c r="GCS1629" s="1"/>
      <c r="GCT1629" s="1"/>
      <c r="GCU1629" s="1"/>
      <c r="GCV1629" s="1"/>
      <c r="GCW1629" s="1"/>
      <c r="GCX1629" s="1"/>
      <c r="GCY1629" s="1"/>
      <c r="GCZ1629" s="1"/>
      <c r="GDA1629" s="1"/>
      <c r="GDB1629" s="1"/>
      <c r="GDC1629" s="1"/>
      <c r="GDD1629" s="1"/>
      <c r="GDE1629" s="1"/>
      <c r="GDF1629" s="1"/>
      <c r="GDG1629" s="1"/>
      <c r="GDH1629" s="1"/>
      <c r="GDI1629" s="1"/>
      <c r="GDJ1629" s="1"/>
      <c r="GDK1629" s="1"/>
      <c r="GDL1629" s="1"/>
      <c r="GDM1629" s="1"/>
      <c r="GDN1629" s="1"/>
      <c r="GDO1629" s="1"/>
      <c r="GDP1629" s="1"/>
      <c r="GDQ1629" s="1"/>
      <c r="GDR1629" s="1"/>
      <c r="GDS1629" s="1"/>
      <c r="GDT1629" s="1"/>
      <c r="GDU1629" s="1"/>
      <c r="GDV1629" s="1"/>
      <c r="GDW1629" s="1"/>
      <c r="GDX1629" s="1"/>
      <c r="GDY1629" s="1"/>
      <c r="GDZ1629" s="1"/>
      <c r="GEA1629" s="1"/>
      <c r="GEB1629" s="1"/>
      <c r="GEC1629" s="1"/>
      <c r="GED1629" s="1"/>
      <c r="GEE1629" s="1"/>
      <c r="GEF1629" s="1"/>
      <c r="GEG1629" s="1"/>
      <c r="GEH1629" s="1"/>
      <c r="GEI1629" s="1"/>
      <c r="GEJ1629" s="1"/>
      <c r="GEK1629" s="1"/>
      <c r="GEL1629" s="1"/>
      <c r="GEM1629" s="1"/>
      <c r="GEN1629" s="1"/>
      <c r="GEO1629" s="1"/>
      <c r="GEP1629" s="1"/>
      <c r="GEQ1629" s="1"/>
      <c r="GER1629" s="1"/>
      <c r="GES1629" s="1"/>
      <c r="GET1629" s="1"/>
      <c r="GEU1629" s="1"/>
      <c r="GEV1629" s="1"/>
      <c r="GEW1629" s="1"/>
      <c r="GEX1629" s="1"/>
      <c r="GEY1629" s="1"/>
      <c r="GEZ1629" s="1"/>
      <c r="GFA1629" s="1"/>
      <c r="GFB1629" s="1"/>
      <c r="GFC1629" s="1"/>
      <c r="GFD1629" s="1"/>
      <c r="GFE1629" s="1"/>
      <c r="GFF1629" s="1"/>
      <c r="GFG1629" s="1"/>
      <c r="GFH1629" s="1"/>
      <c r="GFI1629" s="1"/>
      <c r="GFJ1629" s="1"/>
      <c r="GFK1629" s="1"/>
      <c r="GFL1629" s="1"/>
      <c r="GFM1629" s="1"/>
      <c r="GFN1629" s="1"/>
      <c r="GFO1629" s="1"/>
      <c r="GFP1629" s="1"/>
      <c r="GFQ1629" s="1"/>
      <c r="GFR1629" s="1"/>
      <c r="GFS1629" s="1"/>
      <c r="GFT1629" s="1"/>
      <c r="GFU1629" s="1"/>
      <c r="GFV1629" s="1"/>
      <c r="GFW1629" s="1"/>
      <c r="GFX1629" s="1"/>
      <c r="GFY1629" s="1"/>
      <c r="GFZ1629" s="1"/>
      <c r="GGA1629" s="1"/>
      <c r="GGB1629" s="1"/>
      <c r="GGC1629" s="1"/>
      <c r="GGD1629" s="1"/>
      <c r="GGE1629" s="1"/>
      <c r="GGF1629" s="1"/>
      <c r="GGG1629" s="1"/>
      <c r="GGH1629" s="1"/>
      <c r="GGI1629" s="1"/>
      <c r="GGJ1629" s="1"/>
      <c r="GGK1629" s="1"/>
      <c r="GGL1629" s="1"/>
      <c r="GGM1629" s="1"/>
      <c r="GGN1629" s="1"/>
      <c r="GGO1629" s="1"/>
      <c r="GGP1629" s="1"/>
      <c r="GGQ1629" s="1"/>
      <c r="GGR1629" s="1"/>
      <c r="GGS1629" s="1"/>
      <c r="GGT1629" s="1"/>
      <c r="GGU1629" s="1"/>
      <c r="GGV1629" s="1"/>
      <c r="GGW1629" s="1"/>
      <c r="GGX1629" s="1"/>
      <c r="GGY1629" s="1"/>
      <c r="GGZ1629" s="1"/>
      <c r="GHA1629" s="1"/>
      <c r="GHB1629" s="1"/>
      <c r="GHC1629" s="1"/>
      <c r="GHD1629" s="1"/>
      <c r="GHE1629" s="1"/>
      <c r="GHF1629" s="1"/>
      <c r="GHG1629" s="1"/>
      <c r="GHH1629" s="1"/>
      <c r="GHI1629" s="1"/>
      <c r="GHJ1629" s="1"/>
      <c r="GHK1629" s="1"/>
      <c r="GHL1629" s="1"/>
      <c r="GHM1629" s="1"/>
      <c r="GHN1629" s="1"/>
      <c r="GHO1629" s="1"/>
      <c r="GHP1629" s="1"/>
      <c r="GHQ1629" s="1"/>
      <c r="GHR1629" s="1"/>
      <c r="GHS1629" s="1"/>
      <c r="GHT1629" s="1"/>
      <c r="GHU1629" s="1"/>
      <c r="GHV1629" s="1"/>
      <c r="GHW1629" s="1"/>
      <c r="GHX1629" s="1"/>
      <c r="GHY1629" s="1"/>
      <c r="GHZ1629" s="1"/>
      <c r="GIA1629" s="1"/>
      <c r="GIB1629" s="1"/>
      <c r="GIC1629" s="1"/>
      <c r="GID1629" s="1"/>
      <c r="GIE1629" s="1"/>
      <c r="GIF1629" s="1"/>
      <c r="GIG1629" s="1"/>
      <c r="GIH1629" s="1"/>
      <c r="GII1629" s="1"/>
      <c r="GIJ1629" s="1"/>
      <c r="GIK1629" s="1"/>
      <c r="GIL1629" s="1"/>
      <c r="GIM1629" s="1"/>
      <c r="GIN1629" s="1"/>
      <c r="GIO1629" s="1"/>
      <c r="GIP1629" s="1"/>
      <c r="GIQ1629" s="1"/>
      <c r="GIR1629" s="1"/>
      <c r="GIS1629" s="1"/>
      <c r="GIT1629" s="1"/>
      <c r="GIU1629" s="1"/>
      <c r="GIV1629" s="1"/>
      <c r="GIW1629" s="1"/>
      <c r="GIX1629" s="1"/>
      <c r="GIY1629" s="1"/>
      <c r="GIZ1629" s="1"/>
      <c r="GJA1629" s="1"/>
      <c r="GJB1629" s="1"/>
      <c r="GJC1629" s="1"/>
      <c r="GJD1629" s="1"/>
      <c r="GJE1629" s="1"/>
      <c r="GJF1629" s="1"/>
      <c r="GJG1629" s="1"/>
      <c r="GJH1629" s="1"/>
      <c r="GJI1629" s="1"/>
      <c r="GJJ1629" s="1"/>
      <c r="GJK1629" s="1"/>
      <c r="GJL1629" s="1"/>
      <c r="GJM1629" s="1"/>
      <c r="GJN1629" s="1"/>
      <c r="GJO1629" s="1"/>
      <c r="GJP1629" s="1"/>
      <c r="GJQ1629" s="1"/>
      <c r="GJR1629" s="1"/>
      <c r="GJS1629" s="1"/>
      <c r="GJT1629" s="1"/>
      <c r="GJU1629" s="1"/>
      <c r="GJV1629" s="1"/>
      <c r="GJW1629" s="1"/>
      <c r="GJX1629" s="1"/>
      <c r="GJY1629" s="1"/>
      <c r="GJZ1629" s="1"/>
      <c r="GKA1629" s="1"/>
      <c r="GKB1629" s="1"/>
      <c r="GKC1629" s="1"/>
      <c r="GKD1629" s="1"/>
      <c r="GKE1629" s="1"/>
      <c r="GKF1629" s="1"/>
      <c r="GKG1629" s="1"/>
      <c r="GKH1629" s="1"/>
      <c r="GKI1629" s="1"/>
      <c r="GKJ1629" s="1"/>
      <c r="GKK1629" s="1"/>
      <c r="GKL1629" s="1"/>
      <c r="GKM1629" s="1"/>
      <c r="GKN1629" s="1"/>
      <c r="GKO1629" s="1"/>
      <c r="GKP1629" s="1"/>
      <c r="GKQ1629" s="1"/>
      <c r="GKR1629" s="1"/>
      <c r="GKS1629" s="1"/>
      <c r="GKT1629" s="1"/>
      <c r="GKU1629" s="1"/>
      <c r="GKV1629" s="1"/>
      <c r="GKW1629" s="1"/>
      <c r="GKX1629" s="1"/>
      <c r="GKY1629" s="1"/>
      <c r="GKZ1629" s="1"/>
      <c r="GLA1629" s="1"/>
      <c r="GLB1629" s="1"/>
      <c r="GLC1629" s="1"/>
      <c r="GLD1629" s="1"/>
      <c r="GLE1629" s="1"/>
      <c r="GLF1629" s="1"/>
      <c r="GLG1629" s="1"/>
      <c r="GLH1629" s="1"/>
      <c r="GLI1629" s="1"/>
      <c r="GLJ1629" s="1"/>
      <c r="GLK1629" s="1"/>
      <c r="GLL1629" s="1"/>
      <c r="GLM1629" s="1"/>
      <c r="GLN1629" s="1"/>
      <c r="GLO1629" s="1"/>
      <c r="GLP1629" s="1"/>
      <c r="GLQ1629" s="1"/>
      <c r="GLR1629" s="1"/>
      <c r="GLS1629" s="1"/>
      <c r="GLT1629" s="1"/>
      <c r="GLU1629" s="1"/>
      <c r="GLV1629" s="1"/>
      <c r="GLW1629" s="1"/>
      <c r="GLX1629" s="1"/>
      <c r="GLY1629" s="1"/>
      <c r="GLZ1629" s="1"/>
      <c r="GMA1629" s="1"/>
      <c r="GMB1629" s="1"/>
      <c r="GMC1629" s="1"/>
      <c r="GMD1629" s="1"/>
      <c r="GME1629" s="1"/>
      <c r="GMF1629" s="1"/>
      <c r="GMG1629" s="1"/>
      <c r="GMH1629" s="1"/>
      <c r="GMI1629" s="1"/>
      <c r="GMJ1629" s="1"/>
      <c r="GMK1629" s="1"/>
      <c r="GML1629" s="1"/>
      <c r="GMM1629" s="1"/>
      <c r="GMN1629" s="1"/>
      <c r="GMO1629" s="1"/>
      <c r="GMP1629" s="1"/>
      <c r="GMQ1629" s="1"/>
      <c r="GMR1629" s="1"/>
      <c r="GMS1629" s="1"/>
      <c r="GMT1629" s="1"/>
      <c r="GMU1629" s="1"/>
      <c r="GMV1629" s="1"/>
      <c r="GMW1629" s="1"/>
      <c r="GMX1629" s="1"/>
      <c r="GMY1629" s="1"/>
      <c r="GMZ1629" s="1"/>
      <c r="GNA1629" s="1"/>
      <c r="GNB1629" s="1"/>
      <c r="GNC1629" s="1"/>
      <c r="GND1629" s="1"/>
      <c r="GNE1629" s="1"/>
      <c r="GNF1629" s="1"/>
      <c r="GNG1629" s="1"/>
      <c r="GNH1629" s="1"/>
      <c r="GNI1629" s="1"/>
      <c r="GNJ1629" s="1"/>
      <c r="GNK1629" s="1"/>
      <c r="GNL1629" s="1"/>
      <c r="GNM1629" s="1"/>
      <c r="GNN1629" s="1"/>
      <c r="GNO1629" s="1"/>
      <c r="GNP1629" s="1"/>
      <c r="GNQ1629" s="1"/>
      <c r="GNR1629" s="1"/>
      <c r="GNS1629" s="1"/>
      <c r="GNT1629" s="1"/>
      <c r="GNU1629" s="1"/>
      <c r="GNV1629" s="1"/>
      <c r="GNW1629" s="1"/>
      <c r="GNX1629" s="1"/>
      <c r="GNY1629" s="1"/>
      <c r="GNZ1629" s="1"/>
      <c r="GOA1629" s="1"/>
      <c r="GOB1629" s="1"/>
      <c r="GOC1629" s="1"/>
      <c r="GOD1629" s="1"/>
      <c r="GOE1629" s="1"/>
      <c r="GOF1629" s="1"/>
      <c r="GOG1629" s="1"/>
      <c r="GOH1629" s="1"/>
      <c r="GOI1629" s="1"/>
      <c r="GOJ1629" s="1"/>
      <c r="GOK1629" s="1"/>
      <c r="GOL1629" s="1"/>
      <c r="GOM1629" s="1"/>
      <c r="GON1629" s="1"/>
      <c r="GOO1629" s="1"/>
      <c r="GOP1629" s="1"/>
      <c r="GOQ1629" s="1"/>
      <c r="GOR1629" s="1"/>
      <c r="GOS1629" s="1"/>
      <c r="GOT1629" s="1"/>
      <c r="GOU1629" s="1"/>
      <c r="GOV1629" s="1"/>
      <c r="GOW1629" s="1"/>
      <c r="GOX1629" s="1"/>
      <c r="GOY1629" s="1"/>
      <c r="GOZ1629" s="1"/>
      <c r="GPA1629" s="1"/>
      <c r="GPB1629" s="1"/>
      <c r="GPC1629" s="1"/>
      <c r="GPD1629" s="1"/>
      <c r="GPE1629" s="1"/>
      <c r="GPF1629" s="1"/>
      <c r="GPG1629" s="1"/>
      <c r="GPH1629" s="1"/>
      <c r="GPI1629" s="1"/>
      <c r="GPJ1629" s="1"/>
      <c r="GPK1629" s="1"/>
      <c r="GPL1629" s="1"/>
      <c r="GPM1629" s="1"/>
      <c r="GPN1629" s="1"/>
      <c r="GPO1629" s="1"/>
      <c r="GPP1629" s="1"/>
      <c r="GPQ1629" s="1"/>
      <c r="GPR1629" s="1"/>
      <c r="GPS1629" s="1"/>
      <c r="GPT1629" s="1"/>
      <c r="GPU1629" s="1"/>
      <c r="GPV1629" s="1"/>
      <c r="GPW1629" s="1"/>
      <c r="GPX1629" s="1"/>
      <c r="GPY1629" s="1"/>
      <c r="GPZ1629" s="1"/>
      <c r="GQA1629" s="1"/>
      <c r="GQB1629" s="1"/>
      <c r="GQC1629" s="1"/>
      <c r="GQD1629" s="1"/>
      <c r="GQE1629" s="1"/>
      <c r="GQF1629" s="1"/>
      <c r="GQG1629" s="1"/>
      <c r="GQH1629" s="1"/>
      <c r="GQI1629" s="1"/>
      <c r="GQJ1629" s="1"/>
      <c r="GQK1629" s="1"/>
      <c r="GQL1629" s="1"/>
      <c r="GQM1629" s="1"/>
      <c r="GQN1629" s="1"/>
      <c r="GQO1629" s="1"/>
      <c r="GQP1629" s="1"/>
      <c r="GQQ1629" s="1"/>
      <c r="GQR1629" s="1"/>
      <c r="GQS1629" s="1"/>
      <c r="GQT1629" s="1"/>
      <c r="GQU1629" s="1"/>
      <c r="GQV1629" s="1"/>
      <c r="GQW1629" s="1"/>
      <c r="GQX1629" s="1"/>
      <c r="GQY1629" s="1"/>
      <c r="GQZ1629" s="1"/>
      <c r="GRA1629" s="1"/>
      <c r="GRB1629" s="1"/>
      <c r="GRC1629" s="1"/>
      <c r="GRD1629" s="1"/>
      <c r="GRE1629" s="1"/>
      <c r="GRF1629" s="1"/>
      <c r="GRG1629" s="1"/>
      <c r="GRH1629" s="1"/>
      <c r="GRI1629" s="1"/>
      <c r="GRJ1629" s="1"/>
      <c r="GRK1629" s="1"/>
      <c r="GRL1629" s="1"/>
      <c r="GRM1629" s="1"/>
      <c r="GRN1629" s="1"/>
      <c r="GRO1629" s="1"/>
      <c r="GRP1629" s="1"/>
      <c r="GRQ1629" s="1"/>
      <c r="GRR1629" s="1"/>
      <c r="GRS1629" s="1"/>
      <c r="GRT1629" s="1"/>
      <c r="GRU1629" s="1"/>
      <c r="GRV1629" s="1"/>
      <c r="GRW1629" s="1"/>
      <c r="GRX1629" s="1"/>
      <c r="GRY1629" s="1"/>
      <c r="GRZ1629" s="1"/>
      <c r="GSA1629" s="1"/>
      <c r="GSB1629" s="1"/>
      <c r="GSC1629" s="1"/>
      <c r="GSD1629" s="1"/>
      <c r="GSE1629" s="1"/>
      <c r="GSF1629" s="1"/>
      <c r="GSG1629" s="1"/>
      <c r="GSH1629" s="1"/>
      <c r="GSI1629" s="1"/>
      <c r="GSJ1629" s="1"/>
      <c r="GSK1629" s="1"/>
      <c r="GSL1629" s="1"/>
      <c r="GSM1629" s="1"/>
      <c r="GSN1629" s="1"/>
      <c r="GSO1629" s="1"/>
      <c r="GSP1629" s="1"/>
      <c r="GSQ1629" s="1"/>
      <c r="GSR1629" s="1"/>
      <c r="GSS1629" s="1"/>
      <c r="GST1629" s="1"/>
      <c r="GSU1629" s="1"/>
      <c r="GSV1629" s="1"/>
      <c r="GSW1629" s="1"/>
      <c r="GSX1629" s="1"/>
      <c r="GSY1629" s="1"/>
      <c r="GSZ1629" s="1"/>
      <c r="GTA1629" s="1"/>
      <c r="GTB1629" s="1"/>
      <c r="GTC1629" s="1"/>
      <c r="GTD1629" s="1"/>
      <c r="GTE1629" s="1"/>
      <c r="GTF1629" s="1"/>
      <c r="GTG1629" s="1"/>
      <c r="GTH1629" s="1"/>
      <c r="GTI1629" s="1"/>
      <c r="GTJ1629" s="1"/>
      <c r="GTK1629" s="1"/>
      <c r="GTL1629" s="1"/>
      <c r="GTM1629" s="1"/>
      <c r="GTN1629" s="1"/>
      <c r="GTO1629" s="1"/>
      <c r="GTP1629" s="1"/>
      <c r="GTQ1629" s="1"/>
      <c r="GTR1629" s="1"/>
      <c r="GTS1629" s="1"/>
      <c r="GTT1629" s="1"/>
      <c r="GTU1629" s="1"/>
      <c r="GTV1629" s="1"/>
      <c r="GTW1629" s="1"/>
      <c r="GTX1629" s="1"/>
      <c r="GTY1629" s="1"/>
      <c r="GTZ1629" s="1"/>
      <c r="GUA1629" s="1"/>
      <c r="GUB1629" s="1"/>
      <c r="GUC1629" s="1"/>
      <c r="GUD1629" s="1"/>
      <c r="GUE1629" s="1"/>
      <c r="GUF1629" s="1"/>
      <c r="GUG1629" s="1"/>
      <c r="GUH1629" s="1"/>
      <c r="GUI1629" s="1"/>
      <c r="GUJ1629" s="1"/>
      <c r="GUK1629" s="1"/>
      <c r="GUL1629" s="1"/>
      <c r="GUM1629" s="1"/>
      <c r="GUN1629" s="1"/>
      <c r="GUO1629" s="1"/>
      <c r="GUP1629" s="1"/>
      <c r="GUQ1629" s="1"/>
      <c r="GUR1629" s="1"/>
      <c r="GUS1629" s="1"/>
      <c r="GUT1629" s="1"/>
      <c r="GUU1629" s="1"/>
      <c r="GUV1629" s="1"/>
      <c r="GUW1629" s="1"/>
      <c r="GUX1629" s="1"/>
      <c r="GUY1629" s="1"/>
      <c r="GUZ1629" s="1"/>
      <c r="GVA1629" s="1"/>
      <c r="GVB1629" s="1"/>
      <c r="GVC1629" s="1"/>
      <c r="GVD1629" s="1"/>
      <c r="GVE1629" s="1"/>
      <c r="GVF1629" s="1"/>
      <c r="GVG1629" s="1"/>
      <c r="GVH1629" s="1"/>
      <c r="GVI1629" s="1"/>
      <c r="GVJ1629" s="1"/>
      <c r="GVK1629" s="1"/>
      <c r="GVL1629" s="1"/>
      <c r="GVM1629" s="1"/>
      <c r="GVN1629" s="1"/>
      <c r="GVO1629" s="1"/>
      <c r="GVP1629" s="1"/>
      <c r="GVQ1629" s="1"/>
      <c r="GVR1629" s="1"/>
      <c r="GVS1629" s="1"/>
      <c r="GVT1629" s="1"/>
      <c r="GVU1629" s="1"/>
      <c r="GVV1629" s="1"/>
      <c r="GVW1629" s="1"/>
      <c r="GVX1629" s="1"/>
      <c r="GVY1629" s="1"/>
      <c r="GVZ1629" s="1"/>
      <c r="GWA1629" s="1"/>
      <c r="GWB1629" s="1"/>
      <c r="GWC1629" s="1"/>
      <c r="GWD1629" s="1"/>
      <c r="GWE1629" s="1"/>
      <c r="GWF1629" s="1"/>
      <c r="GWG1629" s="1"/>
      <c r="GWH1629" s="1"/>
      <c r="GWI1629" s="1"/>
      <c r="GWJ1629" s="1"/>
      <c r="GWK1629" s="1"/>
      <c r="GWL1629" s="1"/>
      <c r="GWM1629" s="1"/>
      <c r="GWN1629" s="1"/>
      <c r="GWO1629" s="1"/>
      <c r="GWP1629" s="1"/>
      <c r="GWQ1629" s="1"/>
      <c r="GWR1629" s="1"/>
      <c r="GWS1629" s="1"/>
      <c r="GWT1629" s="1"/>
      <c r="GWU1629" s="1"/>
      <c r="GWV1629" s="1"/>
      <c r="GWW1629" s="1"/>
      <c r="GWX1629" s="1"/>
      <c r="GWY1629" s="1"/>
      <c r="GWZ1629" s="1"/>
      <c r="GXA1629" s="1"/>
      <c r="GXB1629" s="1"/>
      <c r="GXC1629" s="1"/>
      <c r="GXD1629" s="1"/>
      <c r="GXE1629" s="1"/>
      <c r="GXF1629" s="1"/>
      <c r="GXG1629" s="1"/>
      <c r="GXH1629" s="1"/>
      <c r="GXI1629" s="1"/>
      <c r="GXJ1629" s="1"/>
      <c r="GXK1629" s="1"/>
      <c r="GXL1629" s="1"/>
      <c r="GXM1629" s="1"/>
      <c r="GXN1629" s="1"/>
      <c r="GXO1629" s="1"/>
      <c r="GXP1629" s="1"/>
      <c r="GXQ1629" s="1"/>
      <c r="GXR1629" s="1"/>
      <c r="GXS1629" s="1"/>
      <c r="GXT1629" s="1"/>
      <c r="GXU1629" s="1"/>
      <c r="GXV1629" s="1"/>
      <c r="GXW1629" s="1"/>
      <c r="GXX1629" s="1"/>
      <c r="GXY1629" s="1"/>
      <c r="GXZ1629" s="1"/>
      <c r="GYA1629" s="1"/>
      <c r="GYB1629" s="1"/>
      <c r="GYC1629" s="1"/>
      <c r="GYD1629" s="1"/>
      <c r="GYE1629" s="1"/>
      <c r="GYF1629" s="1"/>
      <c r="GYG1629" s="1"/>
      <c r="GYH1629" s="1"/>
      <c r="GYI1629" s="1"/>
      <c r="GYJ1629" s="1"/>
      <c r="GYK1629" s="1"/>
      <c r="GYL1629" s="1"/>
      <c r="GYM1629" s="1"/>
      <c r="GYN1629" s="1"/>
      <c r="GYO1629" s="1"/>
      <c r="GYP1629" s="1"/>
      <c r="GYQ1629" s="1"/>
      <c r="GYR1629" s="1"/>
      <c r="GYS1629" s="1"/>
      <c r="GYT1629" s="1"/>
      <c r="GYU1629" s="1"/>
      <c r="GYV1629" s="1"/>
      <c r="GYW1629" s="1"/>
      <c r="GYX1629" s="1"/>
      <c r="GYY1629" s="1"/>
      <c r="GYZ1629" s="1"/>
      <c r="GZA1629" s="1"/>
      <c r="GZB1629" s="1"/>
      <c r="GZC1629" s="1"/>
      <c r="GZD1629" s="1"/>
      <c r="GZE1629" s="1"/>
      <c r="GZF1629" s="1"/>
      <c r="GZG1629" s="1"/>
      <c r="GZH1629" s="1"/>
      <c r="GZI1629" s="1"/>
      <c r="GZJ1629" s="1"/>
      <c r="GZK1629" s="1"/>
      <c r="GZL1629" s="1"/>
      <c r="GZM1629" s="1"/>
      <c r="GZN1629" s="1"/>
      <c r="GZO1629" s="1"/>
      <c r="GZP1629" s="1"/>
      <c r="GZQ1629" s="1"/>
      <c r="GZR1629" s="1"/>
      <c r="GZS1629" s="1"/>
      <c r="GZT1629" s="1"/>
      <c r="GZU1629" s="1"/>
      <c r="GZV1629" s="1"/>
      <c r="GZW1629" s="1"/>
      <c r="GZX1629" s="1"/>
      <c r="GZY1629" s="1"/>
      <c r="GZZ1629" s="1"/>
      <c r="HAA1629" s="1"/>
      <c r="HAB1629" s="1"/>
      <c r="HAC1629" s="1"/>
      <c r="HAD1629" s="1"/>
      <c r="HAE1629" s="1"/>
      <c r="HAF1629" s="1"/>
      <c r="HAG1629" s="1"/>
      <c r="HAH1629" s="1"/>
      <c r="HAI1629" s="1"/>
      <c r="HAJ1629" s="1"/>
      <c r="HAK1629" s="1"/>
      <c r="HAL1629" s="1"/>
      <c r="HAM1629" s="1"/>
      <c r="HAN1629" s="1"/>
      <c r="HAO1629" s="1"/>
      <c r="HAP1629" s="1"/>
      <c r="HAQ1629" s="1"/>
      <c r="HAR1629" s="1"/>
      <c r="HAS1629" s="1"/>
      <c r="HAT1629" s="1"/>
      <c r="HAU1629" s="1"/>
      <c r="HAV1629" s="1"/>
      <c r="HAW1629" s="1"/>
      <c r="HAX1629" s="1"/>
      <c r="HAY1629" s="1"/>
      <c r="HAZ1629" s="1"/>
      <c r="HBA1629" s="1"/>
      <c r="HBB1629" s="1"/>
      <c r="HBC1629" s="1"/>
      <c r="HBD1629" s="1"/>
      <c r="HBE1629" s="1"/>
      <c r="HBF1629" s="1"/>
      <c r="HBG1629" s="1"/>
      <c r="HBH1629" s="1"/>
      <c r="HBI1629" s="1"/>
      <c r="HBJ1629" s="1"/>
      <c r="HBK1629" s="1"/>
      <c r="HBL1629" s="1"/>
      <c r="HBM1629" s="1"/>
      <c r="HBN1629" s="1"/>
      <c r="HBO1629" s="1"/>
      <c r="HBP1629" s="1"/>
      <c r="HBQ1629" s="1"/>
      <c r="HBR1629" s="1"/>
      <c r="HBS1629" s="1"/>
      <c r="HBT1629" s="1"/>
      <c r="HBU1629" s="1"/>
      <c r="HBV1629" s="1"/>
      <c r="HBW1629" s="1"/>
      <c r="HBX1629" s="1"/>
      <c r="HBY1629" s="1"/>
      <c r="HBZ1629" s="1"/>
      <c r="HCA1629" s="1"/>
      <c r="HCB1629" s="1"/>
      <c r="HCC1629" s="1"/>
      <c r="HCD1629" s="1"/>
      <c r="HCE1629" s="1"/>
      <c r="HCF1629" s="1"/>
      <c r="HCG1629" s="1"/>
      <c r="HCH1629" s="1"/>
      <c r="HCI1629" s="1"/>
      <c r="HCJ1629" s="1"/>
      <c r="HCK1629" s="1"/>
      <c r="HCL1629" s="1"/>
      <c r="HCM1629" s="1"/>
      <c r="HCN1629" s="1"/>
      <c r="HCO1629" s="1"/>
      <c r="HCP1629" s="1"/>
      <c r="HCQ1629" s="1"/>
      <c r="HCR1629" s="1"/>
      <c r="HCS1629" s="1"/>
      <c r="HCT1629" s="1"/>
      <c r="HCU1629" s="1"/>
      <c r="HCV1629" s="1"/>
      <c r="HCW1629" s="1"/>
      <c r="HCX1629" s="1"/>
      <c r="HCY1629" s="1"/>
      <c r="HCZ1629" s="1"/>
      <c r="HDA1629" s="1"/>
      <c r="HDB1629" s="1"/>
      <c r="HDC1629" s="1"/>
      <c r="HDD1629" s="1"/>
      <c r="HDE1629" s="1"/>
      <c r="HDF1629" s="1"/>
      <c r="HDG1629" s="1"/>
      <c r="HDH1629" s="1"/>
      <c r="HDI1629" s="1"/>
      <c r="HDJ1629" s="1"/>
      <c r="HDK1629" s="1"/>
      <c r="HDL1629" s="1"/>
      <c r="HDM1629" s="1"/>
      <c r="HDN1629" s="1"/>
      <c r="HDO1629" s="1"/>
      <c r="HDP1629" s="1"/>
      <c r="HDQ1629" s="1"/>
      <c r="HDR1629" s="1"/>
      <c r="HDS1629" s="1"/>
      <c r="HDT1629" s="1"/>
      <c r="HDU1629" s="1"/>
      <c r="HDV1629" s="1"/>
      <c r="HDW1629" s="1"/>
      <c r="HDX1629" s="1"/>
      <c r="HDY1629" s="1"/>
      <c r="HDZ1629" s="1"/>
      <c r="HEA1629" s="1"/>
      <c r="HEB1629" s="1"/>
      <c r="HEC1629" s="1"/>
      <c r="HED1629" s="1"/>
      <c r="HEE1629" s="1"/>
      <c r="HEF1629" s="1"/>
      <c r="HEG1629" s="1"/>
      <c r="HEH1629" s="1"/>
      <c r="HEI1629" s="1"/>
      <c r="HEJ1629" s="1"/>
      <c r="HEK1629" s="1"/>
      <c r="HEL1629" s="1"/>
      <c r="HEM1629" s="1"/>
      <c r="HEN1629" s="1"/>
      <c r="HEO1629" s="1"/>
      <c r="HEP1629" s="1"/>
      <c r="HEQ1629" s="1"/>
      <c r="HER1629" s="1"/>
      <c r="HES1629" s="1"/>
      <c r="HET1629" s="1"/>
      <c r="HEU1629" s="1"/>
      <c r="HEV1629" s="1"/>
      <c r="HEW1629" s="1"/>
      <c r="HEX1629" s="1"/>
      <c r="HEY1629" s="1"/>
      <c r="HEZ1629" s="1"/>
      <c r="HFA1629" s="1"/>
      <c r="HFB1629" s="1"/>
      <c r="HFC1629" s="1"/>
      <c r="HFD1629" s="1"/>
      <c r="HFE1629" s="1"/>
      <c r="HFF1629" s="1"/>
      <c r="HFG1629" s="1"/>
      <c r="HFH1629" s="1"/>
      <c r="HFI1629" s="1"/>
      <c r="HFJ1629" s="1"/>
      <c r="HFK1629" s="1"/>
      <c r="HFL1629" s="1"/>
      <c r="HFM1629" s="1"/>
      <c r="HFN1629" s="1"/>
      <c r="HFO1629" s="1"/>
      <c r="HFP1629" s="1"/>
      <c r="HFQ1629" s="1"/>
      <c r="HFR1629" s="1"/>
      <c r="HFS1629" s="1"/>
      <c r="HFT1629" s="1"/>
      <c r="HFU1629" s="1"/>
      <c r="HFV1629" s="1"/>
      <c r="HFW1629" s="1"/>
      <c r="HFX1629" s="1"/>
      <c r="HFY1629" s="1"/>
      <c r="HFZ1629" s="1"/>
      <c r="HGA1629" s="1"/>
      <c r="HGB1629" s="1"/>
      <c r="HGC1629" s="1"/>
      <c r="HGD1629" s="1"/>
      <c r="HGE1629" s="1"/>
      <c r="HGF1629" s="1"/>
      <c r="HGG1629" s="1"/>
      <c r="HGH1629" s="1"/>
      <c r="HGI1629" s="1"/>
      <c r="HGJ1629" s="1"/>
      <c r="HGK1629" s="1"/>
      <c r="HGL1629" s="1"/>
      <c r="HGM1629" s="1"/>
      <c r="HGN1629" s="1"/>
      <c r="HGO1629" s="1"/>
      <c r="HGP1629" s="1"/>
      <c r="HGQ1629" s="1"/>
      <c r="HGR1629" s="1"/>
      <c r="HGS1629" s="1"/>
      <c r="HGT1629" s="1"/>
      <c r="HGU1629" s="1"/>
      <c r="HGV1629" s="1"/>
      <c r="HGW1629" s="1"/>
      <c r="HGX1629" s="1"/>
      <c r="HGY1629" s="1"/>
      <c r="HGZ1629" s="1"/>
      <c r="HHA1629" s="1"/>
      <c r="HHB1629" s="1"/>
      <c r="HHC1629" s="1"/>
      <c r="HHD1629" s="1"/>
      <c r="HHE1629" s="1"/>
      <c r="HHF1629" s="1"/>
      <c r="HHG1629" s="1"/>
      <c r="HHH1629" s="1"/>
      <c r="HHI1629" s="1"/>
      <c r="HHJ1629" s="1"/>
      <c r="HHK1629" s="1"/>
      <c r="HHL1629" s="1"/>
      <c r="HHM1629" s="1"/>
      <c r="HHN1629" s="1"/>
      <c r="HHO1629" s="1"/>
      <c r="HHP1629" s="1"/>
      <c r="HHQ1629" s="1"/>
      <c r="HHR1629" s="1"/>
      <c r="HHS1629" s="1"/>
      <c r="HHT1629" s="1"/>
      <c r="HHU1629" s="1"/>
      <c r="HHV1629" s="1"/>
      <c r="HHW1629" s="1"/>
      <c r="HHX1629" s="1"/>
      <c r="HHY1629" s="1"/>
      <c r="HHZ1629" s="1"/>
      <c r="HIA1629" s="1"/>
      <c r="HIB1629" s="1"/>
      <c r="HIC1629" s="1"/>
      <c r="HID1629" s="1"/>
      <c r="HIE1629" s="1"/>
      <c r="HIF1629" s="1"/>
      <c r="HIG1629" s="1"/>
      <c r="HIH1629" s="1"/>
      <c r="HII1629" s="1"/>
      <c r="HIJ1629" s="1"/>
      <c r="HIK1629" s="1"/>
      <c r="HIL1629" s="1"/>
      <c r="HIM1629" s="1"/>
      <c r="HIN1629" s="1"/>
      <c r="HIO1629" s="1"/>
      <c r="HIP1629" s="1"/>
      <c r="HIQ1629" s="1"/>
      <c r="HIR1629" s="1"/>
      <c r="HIS1629" s="1"/>
      <c r="HIT1629" s="1"/>
      <c r="HIU1629" s="1"/>
      <c r="HIV1629" s="1"/>
      <c r="HIW1629" s="1"/>
      <c r="HIX1629" s="1"/>
      <c r="HIY1629" s="1"/>
      <c r="HIZ1629" s="1"/>
      <c r="HJA1629" s="1"/>
      <c r="HJB1629" s="1"/>
      <c r="HJC1629" s="1"/>
      <c r="HJD1629" s="1"/>
      <c r="HJE1629" s="1"/>
      <c r="HJF1629" s="1"/>
      <c r="HJG1629" s="1"/>
      <c r="HJH1629" s="1"/>
      <c r="HJI1629" s="1"/>
      <c r="HJJ1629" s="1"/>
      <c r="HJK1629" s="1"/>
      <c r="HJL1629" s="1"/>
      <c r="HJM1629" s="1"/>
      <c r="HJN1629" s="1"/>
      <c r="HJO1629" s="1"/>
      <c r="HJP1629" s="1"/>
      <c r="HJQ1629" s="1"/>
      <c r="HJR1629" s="1"/>
      <c r="HJS1629" s="1"/>
      <c r="HJT1629" s="1"/>
      <c r="HJU1629" s="1"/>
      <c r="HJV1629" s="1"/>
      <c r="HJW1629" s="1"/>
      <c r="HJX1629" s="1"/>
      <c r="HJY1629" s="1"/>
      <c r="HJZ1629" s="1"/>
      <c r="HKA1629" s="1"/>
      <c r="HKB1629" s="1"/>
      <c r="HKC1629" s="1"/>
      <c r="HKD1629" s="1"/>
      <c r="HKE1629" s="1"/>
      <c r="HKF1629" s="1"/>
      <c r="HKG1629" s="1"/>
      <c r="HKH1629" s="1"/>
      <c r="HKI1629" s="1"/>
      <c r="HKJ1629" s="1"/>
      <c r="HKK1629" s="1"/>
      <c r="HKL1629" s="1"/>
      <c r="HKM1629" s="1"/>
      <c r="HKN1629" s="1"/>
      <c r="HKO1629" s="1"/>
      <c r="HKP1629" s="1"/>
      <c r="HKQ1629" s="1"/>
      <c r="HKR1629" s="1"/>
      <c r="HKS1629" s="1"/>
      <c r="HKT1629" s="1"/>
      <c r="HKU1629" s="1"/>
      <c r="HKV1629" s="1"/>
      <c r="HKW1629" s="1"/>
      <c r="HKX1629" s="1"/>
      <c r="HKY1629" s="1"/>
      <c r="HKZ1629" s="1"/>
      <c r="HLA1629" s="1"/>
      <c r="HLB1629" s="1"/>
      <c r="HLC1629" s="1"/>
      <c r="HLD1629" s="1"/>
      <c r="HLE1629" s="1"/>
      <c r="HLF1629" s="1"/>
      <c r="HLG1629" s="1"/>
      <c r="HLH1629" s="1"/>
      <c r="HLI1629" s="1"/>
      <c r="HLJ1629" s="1"/>
      <c r="HLK1629" s="1"/>
      <c r="HLL1629" s="1"/>
      <c r="HLM1629" s="1"/>
      <c r="HLN1629" s="1"/>
      <c r="HLO1629" s="1"/>
      <c r="HLP1629" s="1"/>
      <c r="HLQ1629" s="1"/>
      <c r="HLR1629" s="1"/>
      <c r="HLS1629" s="1"/>
      <c r="HLT1629" s="1"/>
      <c r="HLU1629" s="1"/>
      <c r="HLV1629" s="1"/>
      <c r="HLW1629" s="1"/>
      <c r="HLX1629" s="1"/>
      <c r="HLY1629" s="1"/>
      <c r="HLZ1629" s="1"/>
      <c r="HMA1629" s="1"/>
      <c r="HMB1629" s="1"/>
      <c r="HMC1629" s="1"/>
      <c r="HMD1629" s="1"/>
      <c r="HME1629" s="1"/>
      <c r="HMF1629" s="1"/>
      <c r="HMG1629" s="1"/>
      <c r="HMH1629" s="1"/>
      <c r="HMI1629" s="1"/>
      <c r="HMJ1629" s="1"/>
      <c r="HMK1629" s="1"/>
      <c r="HML1629" s="1"/>
      <c r="HMM1629" s="1"/>
      <c r="HMN1629" s="1"/>
      <c r="HMO1629" s="1"/>
      <c r="HMP1629" s="1"/>
      <c r="HMQ1629" s="1"/>
      <c r="HMR1629" s="1"/>
      <c r="HMS1629" s="1"/>
      <c r="HMT1629" s="1"/>
      <c r="HMU1629" s="1"/>
      <c r="HMV1629" s="1"/>
      <c r="HMW1629" s="1"/>
      <c r="HMX1629" s="1"/>
      <c r="HMY1629" s="1"/>
      <c r="HMZ1629" s="1"/>
      <c r="HNA1629" s="1"/>
      <c r="HNB1629" s="1"/>
      <c r="HNC1629" s="1"/>
      <c r="HND1629" s="1"/>
      <c r="HNE1629" s="1"/>
      <c r="HNF1629" s="1"/>
      <c r="HNG1629" s="1"/>
      <c r="HNH1629" s="1"/>
      <c r="HNI1629" s="1"/>
      <c r="HNJ1629" s="1"/>
      <c r="HNK1629" s="1"/>
      <c r="HNL1629" s="1"/>
      <c r="HNM1629" s="1"/>
      <c r="HNN1629" s="1"/>
      <c r="HNO1629" s="1"/>
      <c r="HNP1629" s="1"/>
      <c r="HNQ1629" s="1"/>
      <c r="HNR1629" s="1"/>
      <c r="HNS1629" s="1"/>
      <c r="HNT1629" s="1"/>
      <c r="HNU1629" s="1"/>
      <c r="HNV1629" s="1"/>
      <c r="HNW1629" s="1"/>
      <c r="HNX1629" s="1"/>
      <c r="HNY1629" s="1"/>
      <c r="HNZ1629" s="1"/>
      <c r="HOA1629" s="1"/>
      <c r="HOB1629" s="1"/>
      <c r="HOC1629" s="1"/>
      <c r="HOD1629" s="1"/>
      <c r="HOE1629" s="1"/>
      <c r="HOF1629" s="1"/>
      <c r="HOG1629" s="1"/>
      <c r="HOH1629" s="1"/>
      <c r="HOI1629" s="1"/>
      <c r="HOJ1629" s="1"/>
      <c r="HOK1629" s="1"/>
      <c r="HOL1629" s="1"/>
      <c r="HOM1629" s="1"/>
      <c r="HON1629" s="1"/>
      <c r="HOO1629" s="1"/>
      <c r="HOP1629" s="1"/>
      <c r="HOQ1629" s="1"/>
      <c r="HOR1629" s="1"/>
      <c r="HOS1629" s="1"/>
      <c r="HOT1629" s="1"/>
      <c r="HOU1629" s="1"/>
      <c r="HOV1629" s="1"/>
      <c r="HOW1629" s="1"/>
      <c r="HOX1629" s="1"/>
      <c r="HOY1629" s="1"/>
      <c r="HOZ1629" s="1"/>
      <c r="HPA1629" s="1"/>
      <c r="HPB1629" s="1"/>
      <c r="HPC1629" s="1"/>
      <c r="HPD1629" s="1"/>
      <c r="HPE1629" s="1"/>
      <c r="HPF1629" s="1"/>
      <c r="HPG1629" s="1"/>
      <c r="HPH1629" s="1"/>
      <c r="HPI1629" s="1"/>
      <c r="HPJ1629" s="1"/>
      <c r="HPK1629" s="1"/>
      <c r="HPL1629" s="1"/>
      <c r="HPM1629" s="1"/>
      <c r="HPN1629" s="1"/>
      <c r="HPO1629" s="1"/>
      <c r="HPP1629" s="1"/>
      <c r="HPQ1629" s="1"/>
      <c r="HPR1629" s="1"/>
      <c r="HPS1629" s="1"/>
      <c r="HPT1629" s="1"/>
      <c r="HPU1629" s="1"/>
      <c r="HPV1629" s="1"/>
      <c r="HPW1629" s="1"/>
      <c r="HPX1629" s="1"/>
      <c r="HPY1629" s="1"/>
      <c r="HPZ1629" s="1"/>
      <c r="HQA1629" s="1"/>
      <c r="HQB1629" s="1"/>
      <c r="HQC1629" s="1"/>
      <c r="HQD1629" s="1"/>
      <c r="HQE1629" s="1"/>
      <c r="HQF1629" s="1"/>
      <c r="HQG1629" s="1"/>
      <c r="HQH1629" s="1"/>
      <c r="HQI1629" s="1"/>
      <c r="HQJ1629" s="1"/>
      <c r="HQK1629" s="1"/>
      <c r="HQL1629" s="1"/>
      <c r="HQM1629" s="1"/>
      <c r="HQN1629" s="1"/>
      <c r="HQO1629" s="1"/>
      <c r="HQP1629" s="1"/>
      <c r="HQQ1629" s="1"/>
      <c r="HQR1629" s="1"/>
      <c r="HQS1629" s="1"/>
      <c r="HQT1629" s="1"/>
      <c r="HQU1629" s="1"/>
      <c r="HQV1629" s="1"/>
      <c r="HQW1629" s="1"/>
      <c r="HQX1629" s="1"/>
      <c r="HQY1629" s="1"/>
      <c r="HQZ1629" s="1"/>
      <c r="HRA1629" s="1"/>
      <c r="HRB1629" s="1"/>
      <c r="HRC1629" s="1"/>
      <c r="HRD1629" s="1"/>
      <c r="HRE1629" s="1"/>
      <c r="HRF1629" s="1"/>
      <c r="HRG1629" s="1"/>
      <c r="HRH1629" s="1"/>
      <c r="HRI1629" s="1"/>
      <c r="HRJ1629" s="1"/>
      <c r="HRK1629" s="1"/>
      <c r="HRL1629" s="1"/>
      <c r="HRM1629" s="1"/>
      <c r="HRN1629" s="1"/>
      <c r="HRO1629" s="1"/>
      <c r="HRP1629" s="1"/>
      <c r="HRQ1629" s="1"/>
      <c r="HRR1629" s="1"/>
      <c r="HRS1629" s="1"/>
      <c r="HRT1629" s="1"/>
      <c r="HRU1629" s="1"/>
      <c r="HRV1629" s="1"/>
      <c r="HRW1629" s="1"/>
      <c r="HRX1629" s="1"/>
      <c r="HRY1629" s="1"/>
      <c r="HRZ1629" s="1"/>
      <c r="HSA1629" s="1"/>
      <c r="HSB1629" s="1"/>
      <c r="HSC1629" s="1"/>
      <c r="HSD1629" s="1"/>
      <c r="HSE1629" s="1"/>
      <c r="HSF1629" s="1"/>
      <c r="HSG1629" s="1"/>
      <c r="HSH1629" s="1"/>
      <c r="HSI1629" s="1"/>
      <c r="HSJ1629" s="1"/>
      <c r="HSK1629" s="1"/>
      <c r="HSL1629" s="1"/>
      <c r="HSM1629" s="1"/>
      <c r="HSN1629" s="1"/>
      <c r="HSO1629" s="1"/>
      <c r="HSP1629" s="1"/>
      <c r="HSQ1629" s="1"/>
      <c r="HSR1629" s="1"/>
      <c r="HSS1629" s="1"/>
      <c r="HST1629" s="1"/>
      <c r="HSU1629" s="1"/>
      <c r="HSV1629" s="1"/>
      <c r="HSW1629" s="1"/>
      <c r="HSX1629" s="1"/>
      <c r="HSY1629" s="1"/>
      <c r="HSZ1629" s="1"/>
      <c r="HTA1629" s="1"/>
      <c r="HTB1629" s="1"/>
      <c r="HTC1629" s="1"/>
      <c r="HTD1629" s="1"/>
      <c r="HTE1629" s="1"/>
      <c r="HTF1629" s="1"/>
      <c r="HTG1629" s="1"/>
      <c r="HTH1629" s="1"/>
      <c r="HTI1629" s="1"/>
      <c r="HTJ1629" s="1"/>
      <c r="HTK1629" s="1"/>
      <c r="HTL1629" s="1"/>
      <c r="HTM1629" s="1"/>
      <c r="HTN1629" s="1"/>
      <c r="HTO1629" s="1"/>
      <c r="HTP1629" s="1"/>
      <c r="HTQ1629" s="1"/>
      <c r="HTR1629" s="1"/>
      <c r="HTS1629" s="1"/>
      <c r="HTT1629" s="1"/>
      <c r="HTU1629" s="1"/>
      <c r="HTV1629" s="1"/>
      <c r="HTW1629" s="1"/>
      <c r="HTX1629" s="1"/>
      <c r="HTY1629" s="1"/>
      <c r="HTZ1629" s="1"/>
      <c r="HUA1629" s="1"/>
      <c r="HUB1629" s="1"/>
      <c r="HUC1629" s="1"/>
      <c r="HUD1629" s="1"/>
      <c r="HUE1629" s="1"/>
      <c r="HUF1629" s="1"/>
      <c r="HUG1629" s="1"/>
      <c r="HUH1629" s="1"/>
      <c r="HUI1629" s="1"/>
      <c r="HUJ1629" s="1"/>
      <c r="HUK1629" s="1"/>
      <c r="HUL1629" s="1"/>
      <c r="HUM1629" s="1"/>
      <c r="HUN1629" s="1"/>
      <c r="HUO1629" s="1"/>
      <c r="HUP1629" s="1"/>
      <c r="HUQ1629" s="1"/>
      <c r="HUR1629" s="1"/>
      <c r="HUS1629" s="1"/>
      <c r="HUT1629" s="1"/>
      <c r="HUU1629" s="1"/>
      <c r="HUV1629" s="1"/>
      <c r="HUW1629" s="1"/>
      <c r="HUX1629" s="1"/>
      <c r="HUY1629" s="1"/>
      <c r="HUZ1629" s="1"/>
      <c r="HVA1629" s="1"/>
      <c r="HVB1629" s="1"/>
      <c r="HVC1629" s="1"/>
      <c r="HVD1629" s="1"/>
      <c r="HVE1629" s="1"/>
      <c r="HVF1629" s="1"/>
      <c r="HVG1629" s="1"/>
      <c r="HVH1629" s="1"/>
      <c r="HVI1629" s="1"/>
      <c r="HVJ1629" s="1"/>
      <c r="HVK1629" s="1"/>
      <c r="HVL1629" s="1"/>
      <c r="HVM1629" s="1"/>
      <c r="HVN1629" s="1"/>
      <c r="HVO1629" s="1"/>
      <c r="HVP1629" s="1"/>
      <c r="HVQ1629" s="1"/>
      <c r="HVR1629" s="1"/>
      <c r="HVS1629" s="1"/>
      <c r="HVT1629" s="1"/>
      <c r="HVU1629" s="1"/>
      <c r="HVV1629" s="1"/>
      <c r="HVW1629" s="1"/>
      <c r="HVX1629" s="1"/>
      <c r="HVY1629" s="1"/>
      <c r="HVZ1629" s="1"/>
      <c r="HWA1629" s="1"/>
      <c r="HWB1629" s="1"/>
      <c r="HWC1629" s="1"/>
      <c r="HWD1629" s="1"/>
      <c r="HWE1629" s="1"/>
      <c r="HWF1629" s="1"/>
      <c r="HWG1629" s="1"/>
      <c r="HWH1629" s="1"/>
      <c r="HWI1629" s="1"/>
      <c r="HWJ1629" s="1"/>
      <c r="HWK1629" s="1"/>
      <c r="HWL1629" s="1"/>
      <c r="HWM1629" s="1"/>
      <c r="HWN1629" s="1"/>
      <c r="HWO1629" s="1"/>
      <c r="HWP1629" s="1"/>
      <c r="HWQ1629" s="1"/>
      <c r="HWR1629" s="1"/>
      <c r="HWS1629" s="1"/>
      <c r="HWT1629" s="1"/>
      <c r="HWU1629" s="1"/>
      <c r="HWV1629" s="1"/>
      <c r="HWW1629" s="1"/>
      <c r="HWX1629" s="1"/>
      <c r="HWY1629" s="1"/>
      <c r="HWZ1629" s="1"/>
      <c r="HXA1629" s="1"/>
      <c r="HXB1629" s="1"/>
      <c r="HXC1629" s="1"/>
      <c r="HXD1629" s="1"/>
      <c r="HXE1629" s="1"/>
      <c r="HXF1629" s="1"/>
      <c r="HXG1629" s="1"/>
      <c r="HXH1629" s="1"/>
      <c r="HXI1629" s="1"/>
      <c r="HXJ1629" s="1"/>
      <c r="HXK1629" s="1"/>
      <c r="HXL1629" s="1"/>
      <c r="HXM1629" s="1"/>
      <c r="HXN1629" s="1"/>
      <c r="HXO1629" s="1"/>
      <c r="HXP1629" s="1"/>
      <c r="HXQ1629" s="1"/>
      <c r="HXR1629" s="1"/>
      <c r="HXS1629" s="1"/>
      <c r="HXT1629" s="1"/>
      <c r="HXU1629" s="1"/>
      <c r="HXV1629" s="1"/>
      <c r="HXW1629" s="1"/>
      <c r="HXX1629" s="1"/>
      <c r="HXY1629" s="1"/>
      <c r="HXZ1629" s="1"/>
      <c r="HYA1629" s="1"/>
      <c r="HYB1629" s="1"/>
      <c r="HYC1629" s="1"/>
      <c r="HYD1629" s="1"/>
      <c r="HYE1629" s="1"/>
      <c r="HYF1629" s="1"/>
      <c r="HYG1629" s="1"/>
      <c r="HYH1629" s="1"/>
      <c r="HYI1629" s="1"/>
      <c r="HYJ1629" s="1"/>
      <c r="HYK1629" s="1"/>
      <c r="HYL1629" s="1"/>
      <c r="HYM1629" s="1"/>
      <c r="HYN1629" s="1"/>
      <c r="HYO1629" s="1"/>
      <c r="HYP1629" s="1"/>
      <c r="HYQ1629" s="1"/>
      <c r="HYR1629" s="1"/>
      <c r="HYS1629" s="1"/>
      <c r="HYT1629" s="1"/>
      <c r="HYU1629" s="1"/>
      <c r="HYV1629" s="1"/>
      <c r="HYW1629" s="1"/>
      <c r="HYX1629" s="1"/>
      <c r="HYY1629" s="1"/>
      <c r="HYZ1629" s="1"/>
      <c r="HZA1629" s="1"/>
      <c r="HZB1629" s="1"/>
      <c r="HZC1629" s="1"/>
      <c r="HZD1629" s="1"/>
      <c r="HZE1629" s="1"/>
      <c r="HZF1629" s="1"/>
      <c r="HZG1629" s="1"/>
      <c r="HZH1629" s="1"/>
      <c r="HZI1629" s="1"/>
      <c r="HZJ1629" s="1"/>
      <c r="HZK1629" s="1"/>
      <c r="HZL1629" s="1"/>
      <c r="HZM1629" s="1"/>
      <c r="HZN1629" s="1"/>
      <c r="HZO1629" s="1"/>
      <c r="HZP1629" s="1"/>
      <c r="HZQ1629" s="1"/>
      <c r="HZR1629" s="1"/>
      <c r="HZS1629" s="1"/>
      <c r="HZT1629" s="1"/>
      <c r="HZU1629" s="1"/>
      <c r="HZV1629" s="1"/>
      <c r="HZW1629" s="1"/>
      <c r="HZX1629" s="1"/>
      <c r="HZY1629" s="1"/>
      <c r="HZZ1629" s="1"/>
      <c r="IAA1629" s="1"/>
      <c r="IAB1629" s="1"/>
      <c r="IAC1629" s="1"/>
      <c r="IAD1629" s="1"/>
      <c r="IAE1629" s="1"/>
      <c r="IAF1629" s="1"/>
      <c r="IAG1629" s="1"/>
      <c r="IAH1629" s="1"/>
      <c r="IAI1629" s="1"/>
      <c r="IAJ1629" s="1"/>
      <c r="IAK1629" s="1"/>
      <c r="IAL1629" s="1"/>
      <c r="IAM1629" s="1"/>
      <c r="IAN1629" s="1"/>
      <c r="IAO1629" s="1"/>
      <c r="IAP1629" s="1"/>
      <c r="IAQ1629" s="1"/>
      <c r="IAR1629" s="1"/>
      <c r="IAS1629" s="1"/>
      <c r="IAT1629" s="1"/>
      <c r="IAU1629" s="1"/>
      <c r="IAV1629" s="1"/>
      <c r="IAW1629" s="1"/>
      <c r="IAX1629" s="1"/>
      <c r="IAY1629" s="1"/>
      <c r="IAZ1629" s="1"/>
      <c r="IBA1629" s="1"/>
      <c r="IBB1629" s="1"/>
      <c r="IBC1629" s="1"/>
      <c r="IBD1629" s="1"/>
      <c r="IBE1629" s="1"/>
      <c r="IBF1629" s="1"/>
      <c r="IBG1629" s="1"/>
      <c r="IBH1629" s="1"/>
      <c r="IBI1629" s="1"/>
      <c r="IBJ1629" s="1"/>
      <c r="IBK1629" s="1"/>
      <c r="IBL1629" s="1"/>
      <c r="IBM1629" s="1"/>
      <c r="IBN1629" s="1"/>
      <c r="IBO1629" s="1"/>
      <c r="IBP1629" s="1"/>
      <c r="IBQ1629" s="1"/>
      <c r="IBR1629" s="1"/>
      <c r="IBS1629" s="1"/>
      <c r="IBT1629" s="1"/>
      <c r="IBU1629" s="1"/>
      <c r="IBV1629" s="1"/>
      <c r="IBW1629" s="1"/>
      <c r="IBX1629" s="1"/>
      <c r="IBY1629" s="1"/>
      <c r="IBZ1629" s="1"/>
      <c r="ICA1629" s="1"/>
      <c r="ICB1629" s="1"/>
      <c r="ICC1629" s="1"/>
      <c r="ICD1629" s="1"/>
      <c r="ICE1629" s="1"/>
      <c r="ICF1629" s="1"/>
      <c r="ICG1629" s="1"/>
      <c r="ICH1629" s="1"/>
      <c r="ICI1629" s="1"/>
      <c r="ICJ1629" s="1"/>
      <c r="ICK1629" s="1"/>
      <c r="ICL1629" s="1"/>
      <c r="ICM1629" s="1"/>
      <c r="ICN1629" s="1"/>
      <c r="ICO1629" s="1"/>
      <c r="ICP1629" s="1"/>
      <c r="ICQ1629" s="1"/>
      <c r="ICR1629" s="1"/>
      <c r="ICS1629" s="1"/>
      <c r="ICT1629" s="1"/>
      <c r="ICU1629" s="1"/>
      <c r="ICV1629" s="1"/>
      <c r="ICW1629" s="1"/>
      <c r="ICX1629" s="1"/>
      <c r="ICY1629" s="1"/>
      <c r="ICZ1629" s="1"/>
      <c r="IDA1629" s="1"/>
      <c r="IDB1629" s="1"/>
      <c r="IDC1629" s="1"/>
      <c r="IDD1629" s="1"/>
      <c r="IDE1629" s="1"/>
      <c r="IDF1629" s="1"/>
      <c r="IDG1629" s="1"/>
      <c r="IDH1629" s="1"/>
      <c r="IDI1629" s="1"/>
      <c r="IDJ1629" s="1"/>
      <c r="IDK1629" s="1"/>
      <c r="IDL1629" s="1"/>
      <c r="IDM1629" s="1"/>
      <c r="IDN1629" s="1"/>
      <c r="IDO1629" s="1"/>
      <c r="IDP1629" s="1"/>
      <c r="IDQ1629" s="1"/>
      <c r="IDR1629" s="1"/>
      <c r="IDS1629" s="1"/>
      <c r="IDT1629" s="1"/>
      <c r="IDU1629" s="1"/>
      <c r="IDV1629" s="1"/>
      <c r="IDW1629" s="1"/>
      <c r="IDX1629" s="1"/>
      <c r="IDY1629" s="1"/>
      <c r="IDZ1629" s="1"/>
      <c r="IEA1629" s="1"/>
      <c r="IEB1629" s="1"/>
      <c r="IEC1629" s="1"/>
      <c r="IED1629" s="1"/>
      <c r="IEE1629" s="1"/>
      <c r="IEF1629" s="1"/>
      <c r="IEG1629" s="1"/>
      <c r="IEH1629" s="1"/>
      <c r="IEI1629" s="1"/>
      <c r="IEJ1629" s="1"/>
      <c r="IEK1629" s="1"/>
      <c r="IEL1629" s="1"/>
      <c r="IEM1629" s="1"/>
      <c r="IEN1629" s="1"/>
      <c r="IEO1629" s="1"/>
      <c r="IEP1629" s="1"/>
      <c r="IEQ1629" s="1"/>
      <c r="IER1629" s="1"/>
      <c r="IES1629" s="1"/>
      <c r="IET1629" s="1"/>
      <c r="IEU1629" s="1"/>
      <c r="IEV1629" s="1"/>
      <c r="IEW1629" s="1"/>
      <c r="IEX1629" s="1"/>
      <c r="IEY1629" s="1"/>
      <c r="IEZ1629" s="1"/>
      <c r="IFA1629" s="1"/>
      <c r="IFB1629" s="1"/>
      <c r="IFC1629" s="1"/>
      <c r="IFD1629" s="1"/>
      <c r="IFE1629" s="1"/>
      <c r="IFF1629" s="1"/>
      <c r="IFG1629" s="1"/>
      <c r="IFH1629" s="1"/>
      <c r="IFI1629" s="1"/>
      <c r="IFJ1629" s="1"/>
      <c r="IFK1629" s="1"/>
      <c r="IFL1629" s="1"/>
      <c r="IFM1629" s="1"/>
      <c r="IFN1629" s="1"/>
      <c r="IFO1629" s="1"/>
      <c r="IFP1629" s="1"/>
      <c r="IFQ1629" s="1"/>
      <c r="IFR1629" s="1"/>
      <c r="IFS1629" s="1"/>
      <c r="IFT1629" s="1"/>
      <c r="IFU1629" s="1"/>
      <c r="IFV1629" s="1"/>
      <c r="IFW1629" s="1"/>
      <c r="IFX1629" s="1"/>
      <c r="IFY1629" s="1"/>
      <c r="IFZ1629" s="1"/>
      <c r="IGA1629" s="1"/>
      <c r="IGB1629" s="1"/>
      <c r="IGC1629" s="1"/>
      <c r="IGD1629" s="1"/>
      <c r="IGE1629" s="1"/>
      <c r="IGF1629" s="1"/>
      <c r="IGG1629" s="1"/>
      <c r="IGH1629" s="1"/>
      <c r="IGI1629" s="1"/>
      <c r="IGJ1629" s="1"/>
      <c r="IGK1629" s="1"/>
      <c r="IGL1629" s="1"/>
      <c r="IGM1629" s="1"/>
      <c r="IGN1629" s="1"/>
      <c r="IGO1629" s="1"/>
      <c r="IGP1629" s="1"/>
      <c r="IGQ1629" s="1"/>
      <c r="IGR1629" s="1"/>
      <c r="IGS1629" s="1"/>
      <c r="IGT1629" s="1"/>
      <c r="IGU1629" s="1"/>
      <c r="IGV1629" s="1"/>
      <c r="IGW1629" s="1"/>
      <c r="IGX1629" s="1"/>
      <c r="IGY1629" s="1"/>
      <c r="IGZ1629" s="1"/>
      <c r="IHA1629" s="1"/>
      <c r="IHB1629" s="1"/>
      <c r="IHC1629" s="1"/>
      <c r="IHD1629" s="1"/>
      <c r="IHE1629" s="1"/>
      <c r="IHF1629" s="1"/>
      <c r="IHG1629" s="1"/>
      <c r="IHH1629" s="1"/>
      <c r="IHI1629" s="1"/>
      <c r="IHJ1629" s="1"/>
      <c r="IHK1629" s="1"/>
      <c r="IHL1629" s="1"/>
      <c r="IHM1629" s="1"/>
      <c r="IHN1629" s="1"/>
      <c r="IHO1629" s="1"/>
      <c r="IHP1629" s="1"/>
      <c r="IHQ1629" s="1"/>
      <c r="IHR1629" s="1"/>
      <c r="IHS1629" s="1"/>
      <c r="IHT1629" s="1"/>
      <c r="IHU1629" s="1"/>
      <c r="IHV1629" s="1"/>
      <c r="IHW1629" s="1"/>
      <c r="IHX1629" s="1"/>
      <c r="IHY1629" s="1"/>
      <c r="IHZ1629" s="1"/>
      <c r="IIA1629" s="1"/>
      <c r="IIB1629" s="1"/>
      <c r="IIC1629" s="1"/>
      <c r="IID1629" s="1"/>
      <c r="IIE1629" s="1"/>
      <c r="IIF1629" s="1"/>
      <c r="IIG1629" s="1"/>
      <c r="IIH1629" s="1"/>
      <c r="III1629" s="1"/>
      <c r="IIJ1629" s="1"/>
      <c r="IIK1629" s="1"/>
      <c r="IIL1629" s="1"/>
      <c r="IIM1629" s="1"/>
      <c r="IIN1629" s="1"/>
      <c r="IIO1629" s="1"/>
      <c r="IIP1629" s="1"/>
      <c r="IIQ1629" s="1"/>
      <c r="IIR1629" s="1"/>
      <c r="IIS1629" s="1"/>
      <c r="IIT1629" s="1"/>
      <c r="IIU1629" s="1"/>
      <c r="IIV1629" s="1"/>
      <c r="IIW1629" s="1"/>
      <c r="IIX1629" s="1"/>
      <c r="IIY1629" s="1"/>
      <c r="IIZ1629" s="1"/>
      <c r="IJA1629" s="1"/>
      <c r="IJB1629" s="1"/>
      <c r="IJC1629" s="1"/>
      <c r="IJD1629" s="1"/>
      <c r="IJE1629" s="1"/>
      <c r="IJF1629" s="1"/>
      <c r="IJG1629" s="1"/>
      <c r="IJH1629" s="1"/>
      <c r="IJI1629" s="1"/>
      <c r="IJJ1629" s="1"/>
      <c r="IJK1629" s="1"/>
      <c r="IJL1629" s="1"/>
      <c r="IJM1629" s="1"/>
      <c r="IJN1629" s="1"/>
      <c r="IJO1629" s="1"/>
      <c r="IJP1629" s="1"/>
      <c r="IJQ1629" s="1"/>
      <c r="IJR1629" s="1"/>
      <c r="IJS1629" s="1"/>
      <c r="IJT1629" s="1"/>
      <c r="IJU1629" s="1"/>
      <c r="IJV1629" s="1"/>
      <c r="IJW1629" s="1"/>
      <c r="IJX1629" s="1"/>
      <c r="IJY1629" s="1"/>
      <c r="IJZ1629" s="1"/>
      <c r="IKA1629" s="1"/>
      <c r="IKB1629" s="1"/>
      <c r="IKC1629" s="1"/>
      <c r="IKD1629" s="1"/>
      <c r="IKE1629" s="1"/>
      <c r="IKF1629" s="1"/>
      <c r="IKG1629" s="1"/>
      <c r="IKH1629" s="1"/>
      <c r="IKI1629" s="1"/>
      <c r="IKJ1629" s="1"/>
      <c r="IKK1629" s="1"/>
      <c r="IKL1629" s="1"/>
      <c r="IKM1629" s="1"/>
      <c r="IKN1629" s="1"/>
      <c r="IKO1629" s="1"/>
      <c r="IKP1629" s="1"/>
      <c r="IKQ1629" s="1"/>
      <c r="IKR1629" s="1"/>
      <c r="IKS1629" s="1"/>
      <c r="IKT1629" s="1"/>
      <c r="IKU1629" s="1"/>
      <c r="IKV1629" s="1"/>
      <c r="IKW1629" s="1"/>
      <c r="IKX1629" s="1"/>
      <c r="IKY1629" s="1"/>
      <c r="IKZ1629" s="1"/>
      <c r="ILA1629" s="1"/>
      <c r="ILB1629" s="1"/>
      <c r="ILC1629" s="1"/>
      <c r="ILD1629" s="1"/>
      <c r="ILE1629" s="1"/>
      <c r="ILF1629" s="1"/>
      <c r="ILG1629" s="1"/>
      <c r="ILH1629" s="1"/>
      <c r="ILI1629" s="1"/>
      <c r="ILJ1629" s="1"/>
      <c r="ILK1629" s="1"/>
      <c r="ILL1629" s="1"/>
      <c r="ILM1629" s="1"/>
      <c r="ILN1629" s="1"/>
      <c r="ILO1629" s="1"/>
      <c r="ILP1629" s="1"/>
      <c r="ILQ1629" s="1"/>
      <c r="ILR1629" s="1"/>
      <c r="ILS1629" s="1"/>
      <c r="ILT1629" s="1"/>
      <c r="ILU1629" s="1"/>
      <c r="ILV1629" s="1"/>
      <c r="ILW1629" s="1"/>
      <c r="ILX1629" s="1"/>
      <c r="ILY1629" s="1"/>
      <c r="ILZ1629" s="1"/>
      <c r="IMA1629" s="1"/>
      <c r="IMB1629" s="1"/>
      <c r="IMC1629" s="1"/>
      <c r="IMD1629" s="1"/>
      <c r="IME1629" s="1"/>
      <c r="IMF1629" s="1"/>
      <c r="IMG1629" s="1"/>
      <c r="IMH1629" s="1"/>
      <c r="IMI1629" s="1"/>
      <c r="IMJ1629" s="1"/>
      <c r="IMK1629" s="1"/>
      <c r="IML1629" s="1"/>
      <c r="IMM1629" s="1"/>
      <c r="IMN1629" s="1"/>
      <c r="IMO1629" s="1"/>
      <c r="IMP1629" s="1"/>
      <c r="IMQ1629" s="1"/>
      <c r="IMR1629" s="1"/>
      <c r="IMS1629" s="1"/>
      <c r="IMT1629" s="1"/>
      <c r="IMU1629" s="1"/>
      <c r="IMV1629" s="1"/>
      <c r="IMW1629" s="1"/>
      <c r="IMX1629" s="1"/>
      <c r="IMY1629" s="1"/>
      <c r="IMZ1629" s="1"/>
      <c r="INA1629" s="1"/>
      <c r="INB1629" s="1"/>
      <c r="INC1629" s="1"/>
      <c r="IND1629" s="1"/>
      <c r="INE1629" s="1"/>
      <c r="INF1629" s="1"/>
      <c r="ING1629" s="1"/>
      <c r="INH1629" s="1"/>
      <c r="INI1629" s="1"/>
      <c r="INJ1629" s="1"/>
      <c r="INK1629" s="1"/>
      <c r="INL1629" s="1"/>
      <c r="INM1629" s="1"/>
      <c r="INN1629" s="1"/>
      <c r="INO1629" s="1"/>
      <c r="INP1629" s="1"/>
      <c r="INQ1629" s="1"/>
      <c r="INR1629" s="1"/>
      <c r="INS1629" s="1"/>
      <c r="INT1629" s="1"/>
      <c r="INU1629" s="1"/>
      <c r="INV1629" s="1"/>
      <c r="INW1629" s="1"/>
      <c r="INX1629" s="1"/>
      <c r="INY1629" s="1"/>
      <c r="INZ1629" s="1"/>
      <c r="IOA1629" s="1"/>
      <c r="IOB1629" s="1"/>
      <c r="IOC1629" s="1"/>
      <c r="IOD1629" s="1"/>
      <c r="IOE1629" s="1"/>
      <c r="IOF1629" s="1"/>
      <c r="IOG1629" s="1"/>
      <c r="IOH1629" s="1"/>
      <c r="IOI1629" s="1"/>
      <c r="IOJ1629" s="1"/>
      <c r="IOK1629" s="1"/>
      <c r="IOL1629" s="1"/>
      <c r="IOM1629" s="1"/>
      <c r="ION1629" s="1"/>
      <c r="IOO1629" s="1"/>
      <c r="IOP1629" s="1"/>
      <c r="IOQ1629" s="1"/>
      <c r="IOR1629" s="1"/>
      <c r="IOS1629" s="1"/>
      <c r="IOT1629" s="1"/>
      <c r="IOU1629" s="1"/>
      <c r="IOV1629" s="1"/>
      <c r="IOW1629" s="1"/>
      <c r="IOX1629" s="1"/>
      <c r="IOY1629" s="1"/>
      <c r="IOZ1629" s="1"/>
      <c r="IPA1629" s="1"/>
      <c r="IPB1629" s="1"/>
      <c r="IPC1629" s="1"/>
      <c r="IPD1629" s="1"/>
      <c r="IPE1629" s="1"/>
      <c r="IPF1629" s="1"/>
      <c r="IPG1629" s="1"/>
      <c r="IPH1629" s="1"/>
      <c r="IPI1629" s="1"/>
      <c r="IPJ1629" s="1"/>
      <c r="IPK1629" s="1"/>
      <c r="IPL1629" s="1"/>
      <c r="IPM1629" s="1"/>
      <c r="IPN1629" s="1"/>
      <c r="IPO1629" s="1"/>
      <c r="IPP1629" s="1"/>
      <c r="IPQ1629" s="1"/>
      <c r="IPR1629" s="1"/>
      <c r="IPS1629" s="1"/>
      <c r="IPT1629" s="1"/>
      <c r="IPU1629" s="1"/>
      <c r="IPV1629" s="1"/>
      <c r="IPW1629" s="1"/>
      <c r="IPX1629" s="1"/>
      <c r="IPY1629" s="1"/>
      <c r="IPZ1629" s="1"/>
      <c r="IQA1629" s="1"/>
      <c r="IQB1629" s="1"/>
      <c r="IQC1629" s="1"/>
      <c r="IQD1629" s="1"/>
      <c r="IQE1629" s="1"/>
      <c r="IQF1629" s="1"/>
      <c r="IQG1629" s="1"/>
      <c r="IQH1629" s="1"/>
      <c r="IQI1629" s="1"/>
      <c r="IQJ1629" s="1"/>
      <c r="IQK1629" s="1"/>
      <c r="IQL1629" s="1"/>
      <c r="IQM1629" s="1"/>
      <c r="IQN1629" s="1"/>
      <c r="IQO1629" s="1"/>
      <c r="IQP1629" s="1"/>
      <c r="IQQ1629" s="1"/>
      <c r="IQR1629" s="1"/>
      <c r="IQS1629" s="1"/>
      <c r="IQT1629" s="1"/>
      <c r="IQU1629" s="1"/>
      <c r="IQV1629" s="1"/>
      <c r="IQW1629" s="1"/>
      <c r="IQX1629" s="1"/>
      <c r="IQY1629" s="1"/>
      <c r="IQZ1629" s="1"/>
      <c r="IRA1629" s="1"/>
      <c r="IRB1629" s="1"/>
      <c r="IRC1629" s="1"/>
      <c r="IRD1629" s="1"/>
      <c r="IRE1629" s="1"/>
      <c r="IRF1629" s="1"/>
      <c r="IRG1629" s="1"/>
      <c r="IRH1629" s="1"/>
      <c r="IRI1629" s="1"/>
      <c r="IRJ1629" s="1"/>
      <c r="IRK1629" s="1"/>
      <c r="IRL1629" s="1"/>
      <c r="IRM1629" s="1"/>
      <c r="IRN1629" s="1"/>
      <c r="IRO1629" s="1"/>
      <c r="IRP1629" s="1"/>
      <c r="IRQ1629" s="1"/>
      <c r="IRR1629" s="1"/>
      <c r="IRS1629" s="1"/>
      <c r="IRT1629" s="1"/>
      <c r="IRU1629" s="1"/>
      <c r="IRV1629" s="1"/>
      <c r="IRW1629" s="1"/>
      <c r="IRX1629" s="1"/>
      <c r="IRY1629" s="1"/>
      <c r="IRZ1629" s="1"/>
      <c r="ISA1629" s="1"/>
      <c r="ISB1629" s="1"/>
      <c r="ISC1629" s="1"/>
      <c r="ISD1629" s="1"/>
      <c r="ISE1629" s="1"/>
      <c r="ISF1629" s="1"/>
      <c r="ISG1629" s="1"/>
      <c r="ISH1629" s="1"/>
      <c r="ISI1629" s="1"/>
      <c r="ISJ1629" s="1"/>
      <c r="ISK1629" s="1"/>
      <c r="ISL1629" s="1"/>
      <c r="ISM1629" s="1"/>
      <c r="ISN1629" s="1"/>
      <c r="ISO1629" s="1"/>
      <c r="ISP1629" s="1"/>
      <c r="ISQ1629" s="1"/>
      <c r="ISR1629" s="1"/>
      <c r="ISS1629" s="1"/>
      <c r="IST1629" s="1"/>
      <c r="ISU1629" s="1"/>
      <c r="ISV1629" s="1"/>
      <c r="ISW1629" s="1"/>
      <c r="ISX1629" s="1"/>
      <c r="ISY1629" s="1"/>
      <c r="ISZ1629" s="1"/>
      <c r="ITA1629" s="1"/>
      <c r="ITB1629" s="1"/>
      <c r="ITC1629" s="1"/>
      <c r="ITD1629" s="1"/>
      <c r="ITE1629" s="1"/>
      <c r="ITF1629" s="1"/>
      <c r="ITG1629" s="1"/>
      <c r="ITH1629" s="1"/>
      <c r="ITI1629" s="1"/>
      <c r="ITJ1629" s="1"/>
      <c r="ITK1629" s="1"/>
      <c r="ITL1629" s="1"/>
      <c r="ITM1629" s="1"/>
      <c r="ITN1629" s="1"/>
      <c r="ITO1629" s="1"/>
      <c r="ITP1629" s="1"/>
      <c r="ITQ1629" s="1"/>
      <c r="ITR1629" s="1"/>
      <c r="ITS1629" s="1"/>
      <c r="ITT1629" s="1"/>
      <c r="ITU1629" s="1"/>
      <c r="ITV1629" s="1"/>
      <c r="ITW1629" s="1"/>
      <c r="ITX1629" s="1"/>
      <c r="ITY1629" s="1"/>
      <c r="ITZ1629" s="1"/>
      <c r="IUA1629" s="1"/>
      <c r="IUB1629" s="1"/>
      <c r="IUC1629" s="1"/>
      <c r="IUD1629" s="1"/>
      <c r="IUE1629" s="1"/>
      <c r="IUF1629" s="1"/>
      <c r="IUG1629" s="1"/>
      <c r="IUH1629" s="1"/>
      <c r="IUI1629" s="1"/>
      <c r="IUJ1629" s="1"/>
      <c r="IUK1629" s="1"/>
      <c r="IUL1629" s="1"/>
      <c r="IUM1629" s="1"/>
      <c r="IUN1629" s="1"/>
      <c r="IUO1629" s="1"/>
      <c r="IUP1629" s="1"/>
      <c r="IUQ1629" s="1"/>
      <c r="IUR1629" s="1"/>
      <c r="IUS1629" s="1"/>
      <c r="IUT1629" s="1"/>
      <c r="IUU1629" s="1"/>
      <c r="IUV1629" s="1"/>
      <c r="IUW1629" s="1"/>
      <c r="IUX1629" s="1"/>
      <c r="IUY1629" s="1"/>
      <c r="IUZ1629" s="1"/>
      <c r="IVA1629" s="1"/>
      <c r="IVB1629" s="1"/>
      <c r="IVC1629" s="1"/>
      <c r="IVD1629" s="1"/>
      <c r="IVE1629" s="1"/>
      <c r="IVF1629" s="1"/>
      <c r="IVG1629" s="1"/>
      <c r="IVH1629" s="1"/>
      <c r="IVI1629" s="1"/>
      <c r="IVJ1629" s="1"/>
      <c r="IVK1629" s="1"/>
      <c r="IVL1629" s="1"/>
      <c r="IVM1629" s="1"/>
      <c r="IVN1629" s="1"/>
      <c r="IVO1629" s="1"/>
      <c r="IVP1629" s="1"/>
      <c r="IVQ1629" s="1"/>
      <c r="IVR1629" s="1"/>
      <c r="IVS1629" s="1"/>
      <c r="IVT1629" s="1"/>
      <c r="IVU1629" s="1"/>
      <c r="IVV1629" s="1"/>
      <c r="IVW1629" s="1"/>
      <c r="IVX1629" s="1"/>
      <c r="IVY1629" s="1"/>
      <c r="IVZ1629" s="1"/>
      <c r="IWA1629" s="1"/>
      <c r="IWB1629" s="1"/>
      <c r="IWC1629" s="1"/>
      <c r="IWD1629" s="1"/>
      <c r="IWE1629" s="1"/>
      <c r="IWF1629" s="1"/>
      <c r="IWG1629" s="1"/>
      <c r="IWH1629" s="1"/>
      <c r="IWI1629" s="1"/>
      <c r="IWJ1629" s="1"/>
      <c r="IWK1629" s="1"/>
      <c r="IWL1629" s="1"/>
      <c r="IWM1629" s="1"/>
      <c r="IWN1629" s="1"/>
      <c r="IWO1629" s="1"/>
      <c r="IWP1629" s="1"/>
      <c r="IWQ1629" s="1"/>
      <c r="IWR1629" s="1"/>
      <c r="IWS1629" s="1"/>
      <c r="IWT1629" s="1"/>
      <c r="IWU1629" s="1"/>
      <c r="IWV1629" s="1"/>
      <c r="IWW1629" s="1"/>
      <c r="IWX1629" s="1"/>
      <c r="IWY1629" s="1"/>
      <c r="IWZ1629" s="1"/>
      <c r="IXA1629" s="1"/>
      <c r="IXB1629" s="1"/>
      <c r="IXC1629" s="1"/>
      <c r="IXD1629" s="1"/>
      <c r="IXE1629" s="1"/>
      <c r="IXF1629" s="1"/>
      <c r="IXG1629" s="1"/>
      <c r="IXH1629" s="1"/>
      <c r="IXI1629" s="1"/>
      <c r="IXJ1629" s="1"/>
      <c r="IXK1629" s="1"/>
      <c r="IXL1629" s="1"/>
      <c r="IXM1629" s="1"/>
      <c r="IXN1629" s="1"/>
      <c r="IXO1629" s="1"/>
      <c r="IXP1629" s="1"/>
      <c r="IXQ1629" s="1"/>
      <c r="IXR1629" s="1"/>
      <c r="IXS1629" s="1"/>
      <c r="IXT1629" s="1"/>
      <c r="IXU1629" s="1"/>
      <c r="IXV1629" s="1"/>
      <c r="IXW1629" s="1"/>
      <c r="IXX1629" s="1"/>
      <c r="IXY1629" s="1"/>
      <c r="IXZ1629" s="1"/>
      <c r="IYA1629" s="1"/>
      <c r="IYB1629" s="1"/>
      <c r="IYC1629" s="1"/>
      <c r="IYD1629" s="1"/>
      <c r="IYE1629" s="1"/>
      <c r="IYF1629" s="1"/>
      <c r="IYG1629" s="1"/>
      <c r="IYH1629" s="1"/>
      <c r="IYI1629" s="1"/>
      <c r="IYJ1629" s="1"/>
      <c r="IYK1629" s="1"/>
      <c r="IYL1629" s="1"/>
      <c r="IYM1629" s="1"/>
      <c r="IYN1629" s="1"/>
      <c r="IYO1629" s="1"/>
      <c r="IYP1629" s="1"/>
      <c r="IYQ1629" s="1"/>
      <c r="IYR1629" s="1"/>
      <c r="IYS1629" s="1"/>
      <c r="IYT1629" s="1"/>
      <c r="IYU1629" s="1"/>
      <c r="IYV1629" s="1"/>
      <c r="IYW1629" s="1"/>
      <c r="IYX1629" s="1"/>
      <c r="IYY1629" s="1"/>
      <c r="IYZ1629" s="1"/>
      <c r="IZA1629" s="1"/>
      <c r="IZB1629" s="1"/>
      <c r="IZC1629" s="1"/>
      <c r="IZD1629" s="1"/>
      <c r="IZE1629" s="1"/>
      <c r="IZF1629" s="1"/>
      <c r="IZG1629" s="1"/>
      <c r="IZH1629" s="1"/>
      <c r="IZI1629" s="1"/>
      <c r="IZJ1629" s="1"/>
      <c r="IZK1629" s="1"/>
      <c r="IZL1629" s="1"/>
      <c r="IZM1629" s="1"/>
      <c r="IZN1629" s="1"/>
      <c r="IZO1629" s="1"/>
      <c r="IZP1629" s="1"/>
      <c r="IZQ1629" s="1"/>
      <c r="IZR1629" s="1"/>
      <c r="IZS1629" s="1"/>
      <c r="IZT1629" s="1"/>
      <c r="IZU1629" s="1"/>
      <c r="IZV1629" s="1"/>
      <c r="IZW1629" s="1"/>
      <c r="IZX1629" s="1"/>
      <c r="IZY1629" s="1"/>
      <c r="IZZ1629" s="1"/>
      <c r="JAA1629" s="1"/>
      <c r="JAB1629" s="1"/>
      <c r="JAC1629" s="1"/>
      <c r="JAD1629" s="1"/>
      <c r="JAE1629" s="1"/>
      <c r="JAF1629" s="1"/>
      <c r="JAG1629" s="1"/>
      <c r="JAH1629" s="1"/>
      <c r="JAI1629" s="1"/>
      <c r="JAJ1629" s="1"/>
      <c r="JAK1629" s="1"/>
      <c r="JAL1629" s="1"/>
      <c r="JAM1629" s="1"/>
      <c r="JAN1629" s="1"/>
      <c r="JAO1629" s="1"/>
      <c r="JAP1629" s="1"/>
      <c r="JAQ1629" s="1"/>
      <c r="JAR1629" s="1"/>
      <c r="JAS1629" s="1"/>
      <c r="JAT1629" s="1"/>
      <c r="JAU1629" s="1"/>
      <c r="JAV1629" s="1"/>
      <c r="JAW1629" s="1"/>
      <c r="JAX1629" s="1"/>
      <c r="JAY1629" s="1"/>
      <c r="JAZ1629" s="1"/>
      <c r="JBA1629" s="1"/>
      <c r="JBB1629" s="1"/>
      <c r="JBC1629" s="1"/>
      <c r="JBD1629" s="1"/>
      <c r="JBE1629" s="1"/>
      <c r="JBF1629" s="1"/>
      <c r="JBG1629" s="1"/>
      <c r="JBH1629" s="1"/>
      <c r="JBI1629" s="1"/>
      <c r="JBJ1629" s="1"/>
      <c r="JBK1629" s="1"/>
      <c r="JBL1629" s="1"/>
      <c r="JBM1629" s="1"/>
      <c r="JBN1629" s="1"/>
      <c r="JBO1629" s="1"/>
      <c r="JBP1629" s="1"/>
      <c r="JBQ1629" s="1"/>
      <c r="JBR1629" s="1"/>
      <c r="JBS1629" s="1"/>
      <c r="JBT1629" s="1"/>
      <c r="JBU1629" s="1"/>
      <c r="JBV1629" s="1"/>
      <c r="JBW1629" s="1"/>
      <c r="JBX1629" s="1"/>
      <c r="JBY1629" s="1"/>
      <c r="JBZ1629" s="1"/>
      <c r="JCA1629" s="1"/>
      <c r="JCB1629" s="1"/>
      <c r="JCC1629" s="1"/>
      <c r="JCD1629" s="1"/>
      <c r="JCE1629" s="1"/>
      <c r="JCF1629" s="1"/>
      <c r="JCG1629" s="1"/>
      <c r="JCH1629" s="1"/>
      <c r="JCI1629" s="1"/>
      <c r="JCJ1629" s="1"/>
      <c r="JCK1629" s="1"/>
      <c r="JCL1629" s="1"/>
      <c r="JCM1629" s="1"/>
      <c r="JCN1629" s="1"/>
      <c r="JCO1629" s="1"/>
      <c r="JCP1629" s="1"/>
      <c r="JCQ1629" s="1"/>
      <c r="JCR1629" s="1"/>
      <c r="JCS1629" s="1"/>
      <c r="JCT1629" s="1"/>
      <c r="JCU1629" s="1"/>
      <c r="JCV1629" s="1"/>
      <c r="JCW1629" s="1"/>
      <c r="JCX1629" s="1"/>
      <c r="JCY1629" s="1"/>
      <c r="JCZ1629" s="1"/>
      <c r="JDA1629" s="1"/>
      <c r="JDB1629" s="1"/>
      <c r="JDC1629" s="1"/>
      <c r="JDD1629" s="1"/>
      <c r="JDE1629" s="1"/>
      <c r="JDF1629" s="1"/>
      <c r="JDG1629" s="1"/>
      <c r="JDH1629" s="1"/>
      <c r="JDI1629" s="1"/>
      <c r="JDJ1629" s="1"/>
      <c r="JDK1629" s="1"/>
      <c r="JDL1629" s="1"/>
      <c r="JDM1629" s="1"/>
      <c r="JDN1629" s="1"/>
      <c r="JDO1629" s="1"/>
      <c r="JDP1629" s="1"/>
      <c r="JDQ1629" s="1"/>
      <c r="JDR1629" s="1"/>
      <c r="JDS1629" s="1"/>
      <c r="JDT1629" s="1"/>
      <c r="JDU1629" s="1"/>
      <c r="JDV1629" s="1"/>
      <c r="JDW1629" s="1"/>
      <c r="JDX1629" s="1"/>
      <c r="JDY1629" s="1"/>
      <c r="JDZ1629" s="1"/>
      <c r="JEA1629" s="1"/>
      <c r="JEB1629" s="1"/>
      <c r="JEC1629" s="1"/>
      <c r="JED1629" s="1"/>
      <c r="JEE1629" s="1"/>
      <c r="JEF1629" s="1"/>
      <c r="JEG1629" s="1"/>
      <c r="JEH1629" s="1"/>
      <c r="JEI1629" s="1"/>
      <c r="JEJ1629" s="1"/>
      <c r="JEK1629" s="1"/>
      <c r="JEL1629" s="1"/>
      <c r="JEM1629" s="1"/>
      <c r="JEN1629" s="1"/>
      <c r="JEO1629" s="1"/>
      <c r="JEP1629" s="1"/>
      <c r="JEQ1629" s="1"/>
      <c r="JER1629" s="1"/>
      <c r="JES1629" s="1"/>
      <c r="JET1629" s="1"/>
      <c r="JEU1629" s="1"/>
      <c r="JEV1629" s="1"/>
      <c r="JEW1629" s="1"/>
      <c r="JEX1629" s="1"/>
      <c r="JEY1629" s="1"/>
      <c r="JEZ1629" s="1"/>
      <c r="JFA1629" s="1"/>
      <c r="JFB1629" s="1"/>
      <c r="JFC1629" s="1"/>
      <c r="JFD1629" s="1"/>
      <c r="JFE1629" s="1"/>
      <c r="JFF1629" s="1"/>
      <c r="JFG1629" s="1"/>
      <c r="JFH1629" s="1"/>
      <c r="JFI1629" s="1"/>
      <c r="JFJ1629" s="1"/>
      <c r="JFK1629" s="1"/>
      <c r="JFL1629" s="1"/>
      <c r="JFM1629" s="1"/>
      <c r="JFN1629" s="1"/>
      <c r="JFO1629" s="1"/>
      <c r="JFP1629" s="1"/>
      <c r="JFQ1629" s="1"/>
      <c r="JFR1629" s="1"/>
      <c r="JFS1629" s="1"/>
      <c r="JFT1629" s="1"/>
      <c r="JFU1629" s="1"/>
      <c r="JFV1629" s="1"/>
      <c r="JFW1629" s="1"/>
      <c r="JFX1629" s="1"/>
      <c r="JFY1629" s="1"/>
      <c r="JFZ1629" s="1"/>
      <c r="JGA1629" s="1"/>
      <c r="JGB1629" s="1"/>
      <c r="JGC1629" s="1"/>
      <c r="JGD1629" s="1"/>
      <c r="JGE1629" s="1"/>
      <c r="JGF1629" s="1"/>
      <c r="JGG1629" s="1"/>
      <c r="JGH1629" s="1"/>
      <c r="JGI1629" s="1"/>
      <c r="JGJ1629" s="1"/>
      <c r="JGK1629" s="1"/>
      <c r="JGL1629" s="1"/>
      <c r="JGM1629" s="1"/>
      <c r="JGN1629" s="1"/>
      <c r="JGO1629" s="1"/>
      <c r="JGP1629" s="1"/>
      <c r="JGQ1629" s="1"/>
      <c r="JGR1629" s="1"/>
      <c r="JGS1629" s="1"/>
      <c r="JGT1629" s="1"/>
      <c r="JGU1629" s="1"/>
      <c r="JGV1629" s="1"/>
      <c r="JGW1629" s="1"/>
      <c r="JGX1629" s="1"/>
      <c r="JGY1629" s="1"/>
      <c r="JGZ1629" s="1"/>
      <c r="JHA1629" s="1"/>
      <c r="JHB1629" s="1"/>
      <c r="JHC1629" s="1"/>
      <c r="JHD1629" s="1"/>
      <c r="JHE1629" s="1"/>
      <c r="JHF1629" s="1"/>
      <c r="JHG1629" s="1"/>
      <c r="JHH1629" s="1"/>
      <c r="JHI1629" s="1"/>
      <c r="JHJ1629" s="1"/>
      <c r="JHK1629" s="1"/>
      <c r="JHL1629" s="1"/>
      <c r="JHM1629" s="1"/>
      <c r="JHN1629" s="1"/>
      <c r="JHO1629" s="1"/>
      <c r="JHP1629" s="1"/>
      <c r="JHQ1629" s="1"/>
      <c r="JHR1629" s="1"/>
      <c r="JHS1629" s="1"/>
      <c r="JHT1629" s="1"/>
      <c r="JHU1629" s="1"/>
      <c r="JHV1629" s="1"/>
      <c r="JHW1629" s="1"/>
      <c r="JHX1629" s="1"/>
      <c r="JHY1629" s="1"/>
      <c r="JHZ1629" s="1"/>
      <c r="JIA1629" s="1"/>
      <c r="JIB1629" s="1"/>
      <c r="JIC1629" s="1"/>
      <c r="JID1629" s="1"/>
      <c r="JIE1629" s="1"/>
      <c r="JIF1629" s="1"/>
      <c r="JIG1629" s="1"/>
      <c r="JIH1629" s="1"/>
      <c r="JII1629" s="1"/>
      <c r="JIJ1629" s="1"/>
      <c r="JIK1629" s="1"/>
      <c r="JIL1629" s="1"/>
      <c r="JIM1629" s="1"/>
      <c r="JIN1629" s="1"/>
      <c r="JIO1629" s="1"/>
      <c r="JIP1629" s="1"/>
      <c r="JIQ1629" s="1"/>
      <c r="JIR1629" s="1"/>
      <c r="JIS1629" s="1"/>
      <c r="JIT1629" s="1"/>
      <c r="JIU1629" s="1"/>
      <c r="JIV1629" s="1"/>
      <c r="JIW1629" s="1"/>
      <c r="JIX1629" s="1"/>
      <c r="JIY1629" s="1"/>
      <c r="JIZ1629" s="1"/>
      <c r="JJA1629" s="1"/>
      <c r="JJB1629" s="1"/>
      <c r="JJC1629" s="1"/>
      <c r="JJD1629" s="1"/>
      <c r="JJE1629" s="1"/>
      <c r="JJF1629" s="1"/>
      <c r="JJG1629" s="1"/>
      <c r="JJH1629" s="1"/>
      <c r="JJI1629" s="1"/>
      <c r="JJJ1629" s="1"/>
      <c r="JJK1629" s="1"/>
      <c r="JJL1629" s="1"/>
      <c r="JJM1629" s="1"/>
      <c r="JJN1629" s="1"/>
      <c r="JJO1629" s="1"/>
      <c r="JJP1629" s="1"/>
      <c r="JJQ1629" s="1"/>
      <c r="JJR1629" s="1"/>
      <c r="JJS1629" s="1"/>
      <c r="JJT1629" s="1"/>
      <c r="JJU1629" s="1"/>
      <c r="JJV1629" s="1"/>
      <c r="JJW1629" s="1"/>
      <c r="JJX1629" s="1"/>
      <c r="JJY1629" s="1"/>
      <c r="JJZ1629" s="1"/>
      <c r="JKA1629" s="1"/>
      <c r="JKB1629" s="1"/>
      <c r="JKC1629" s="1"/>
      <c r="JKD1629" s="1"/>
      <c r="JKE1629" s="1"/>
      <c r="JKF1629" s="1"/>
      <c r="JKG1629" s="1"/>
      <c r="JKH1629" s="1"/>
      <c r="JKI1629" s="1"/>
      <c r="JKJ1629" s="1"/>
      <c r="JKK1629" s="1"/>
      <c r="JKL1629" s="1"/>
      <c r="JKM1629" s="1"/>
      <c r="JKN1629" s="1"/>
      <c r="JKO1629" s="1"/>
      <c r="JKP1629" s="1"/>
      <c r="JKQ1629" s="1"/>
      <c r="JKR1629" s="1"/>
      <c r="JKS1629" s="1"/>
      <c r="JKT1629" s="1"/>
      <c r="JKU1629" s="1"/>
      <c r="JKV1629" s="1"/>
      <c r="JKW1629" s="1"/>
      <c r="JKX1629" s="1"/>
      <c r="JKY1629" s="1"/>
      <c r="JKZ1629" s="1"/>
      <c r="JLA1629" s="1"/>
      <c r="JLB1629" s="1"/>
      <c r="JLC1629" s="1"/>
      <c r="JLD1629" s="1"/>
      <c r="JLE1629" s="1"/>
      <c r="JLF1629" s="1"/>
      <c r="JLG1629" s="1"/>
      <c r="JLH1629" s="1"/>
      <c r="JLI1629" s="1"/>
      <c r="JLJ1629" s="1"/>
      <c r="JLK1629" s="1"/>
      <c r="JLL1629" s="1"/>
      <c r="JLM1629" s="1"/>
      <c r="JLN1629" s="1"/>
      <c r="JLO1629" s="1"/>
      <c r="JLP1629" s="1"/>
      <c r="JLQ1629" s="1"/>
      <c r="JLR1629" s="1"/>
      <c r="JLS1629" s="1"/>
      <c r="JLT1629" s="1"/>
      <c r="JLU1629" s="1"/>
      <c r="JLV1629" s="1"/>
      <c r="JLW1629" s="1"/>
      <c r="JLX1629" s="1"/>
      <c r="JLY1629" s="1"/>
      <c r="JLZ1629" s="1"/>
      <c r="JMA1629" s="1"/>
      <c r="JMB1629" s="1"/>
      <c r="JMC1629" s="1"/>
      <c r="JMD1629" s="1"/>
      <c r="JME1629" s="1"/>
      <c r="JMF1629" s="1"/>
      <c r="JMG1629" s="1"/>
      <c r="JMH1629" s="1"/>
      <c r="JMI1629" s="1"/>
      <c r="JMJ1629" s="1"/>
      <c r="JMK1629" s="1"/>
      <c r="JML1629" s="1"/>
      <c r="JMM1629" s="1"/>
      <c r="JMN1629" s="1"/>
      <c r="JMO1629" s="1"/>
      <c r="JMP1629" s="1"/>
      <c r="JMQ1629" s="1"/>
      <c r="JMR1629" s="1"/>
      <c r="JMS1629" s="1"/>
      <c r="JMT1629" s="1"/>
      <c r="JMU1629" s="1"/>
      <c r="JMV1629" s="1"/>
      <c r="JMW1629" s="1"/>
      <c r="JMX1629" s="1"/>
      <c r="JMY1629" s="1"/>
      <c r="JMZ1629" s="1"/>
      <c r="JNA1629" s="1"/>
      <c r="JNB1629" s="1"/>
      <c r="JNC1629" s="1"/>
      <c r="JND1629" s="1"/>
      <c r="JNE1629" s="1"/>
      <c r="JNF1629" s="1"/>
      <c r="JNG1629" s="1"/>
      <c r="JNH1629" s="1"/>
      <c r="JNI1629" s="1"/>
      <c r="JNJ1629" s="1"/>
      <c r="JNK1629" s="1"/>
      <c r="JNL1629" s="1"/>
      <c r="JNM1629" s="1"/>
      <c r="JNN1629" s="1"/>
      <c r="JNO1629" s="1"/>
      <c r="JNP1629" s="1"/>
      <c r="JNQ1629" s="1"/>
      <c r="JNR1629" s="1"/>
      <c r="JNS1629" s="1"/>
      <c r="JNT1629" s="1"/>
      <c r="JNU1629" s="1"/>
      <c r="JNV1629" s="1"/>
      <c r="JNW1629" s="1"/>
      <c r="JNX1629" s="1"/>
      <c r="JNY1629" s="1"/>
      <c r="JNZ1629" s="1"/>
      <c r="JOA1629" s="1"/>
      <c r="JOB1629" s="1"/>
      <c r="JOC1629" s="1"/>
      <c r="JOD1629" s="1"/>
      <c r="JOE1629" s="1"/>
      <c r="JOF1629" s="1"/>
      <c r="JOG1629" s="1"/>
      <c r="JOH1629" s="1"/>
      <c r="JOI1629" s="1"/>
      <c r="JOJ1629" s="1"/>
      <c r="JOK1629" s="1"/>
      <c r="JOL1629" s="1"/>
      <c r="JOM1629" s="1"/>
      <c r="JON1629" s="1"/>
      <c r="JOO1629" s="1"/>
      <c r="JOP1629" s="1"/>
      <c r="JOQ1629" s="1"/>
      <c r="JOR1629" s="1"/>
      <c r="JOS1629" s="1"/>
      <c r="JOT1629" s="1"/>
      <c r="JOU1629" s="1"/>
      <c r="JOV1629" s="1"/>
      <c r="JOW1629" s="1"/>
      <c r="JOX1629" s="1"/>
      <c r="JOY1629" s="1"/>
      <c r="JOZ1629" s="1"/>
      <c r="JPA1629" s="1"/>
      <c r="JPB1629" s="1"/>
      <c r="JPC1629" s="1"/>
      <c r="JPD1629" s="1"/>
      <c r="JPE1629" s="1"/>
      <c r="JPF1629" s="1"/>
      <c r="JPG1629" s="1"/>
      <c r="JPH1629" s="1"/>
      <c r="JPI1629" s="1"/>
      <c r="JPJ1629" s="1"/>
      <c r="JPK1629" s="1"/>
      <c r="JPL1629" s="1"/>
      <c r="JPM1629" s="1"/>
      <c r="JPN1629" s="1"/>
      <c r="JPO1629" s="1"/>
      <c r="JPP1629" s="1"/>
      <c r="JPQ1629" s="1"/>
      <c r="JPR1629" s="1"/>
      <c r="JPS1629" s="1"/>
      <c r="JPT1629" s="1"/>
      <c r="JPU1629" s="1"/>
      <c r="JPV1629" s="1"/>
      <c r="JPW1629" s="1"/>
      <c r="JPX1629" s="1"/>
      <c r="JPY1629" s="1"/>
      <c r="JPZ1629" s="1"/>
      <c r="JQA1629" s="1"/>
      <c r="JQB1629" s="1"/>
      <c r="JQC1629" s="1"/>
      <c r="JQD1629" s="1"/>
      <c r="JQE1629" s="1"/>
      <c r="JQF1629" s="1"/>
      <c r="JQG1629" s="1"/>
      <c r="JQH1629" s="1"/>
      <c r="JQI1629" s="1"/>
      <c r="JQJ1629" s="1"/>
      <c r="JQK1629" s="1"/>
      <c r="JQL1629" s="1"/>
      <c r="JQM1629" s="1"/>
      <c r="JQN1629" s="1"/>
      <c r="JQO1629" s="1"/>
      <c r="JQP1629" s="1"/>
      <c r="JQQ1629" s="1"/>
      <c r="JQR1629" s="1"/>
      <c r="JQS1629" s="1"/>
      <c r="JQT1629" s="1"/>
      <c r="JQU1629" s="1"/>
      <c r="JQV1629" s="1"/>
      <c r="JQW1629" s="1"/>
      <c r="JQX1629" s="1"/>
      <c r="JQY1629" s="1"/>
      <c r="JQZ1629" s="1"/>
      <c r="JRA1629" s="1"/>
      <c r="JRB1629" s="1"/>
      <c r="JRC1629" s="1"/>
      <c r="JRD1629" s="1"/>
      <c r="JRE1629" s="1"/>
      <c r="JRF1629" s="1"/>
      <c r="JRG1629" s="1"/>
      <c r="JRH1629" s="1"/>
      <c r="JRI1629" s="1"/>
      <c r="JRJ1629" s="1"/>
      <c r="JRK1629" s="1"/>
      <c r="JRL1629" s="1"/>
      <c r="JRM1629" s="1"/>
      <c r="JRN1629" s="1"/>
      <c r="JRO1629" s="1"/>
      <c r="JRP1629" s="1"/>
      <c r="JRQ1629" s="1"/>
      <c r="JRR1629" s="1"/>
      <c r="JRS1629" s="1"/>
      <c r="JRT1629" s="1"/>
      <c r="JRU1629" s="1"/>
      <c r="JRV1629" s="1"/>
      <c r="JRW1629" s="1"/>
      <c r="JRX1629" s="1"/>
      <c r="JRY1629" s="1"/>
      <c r="JRZ1629" s="1"/>
      <c r="JSA1629" s="1"/>
      <c r="JSB1629" s="1"/>
      <c r="JSC1629" s="1"/>
      <c r="JSD1629" s="1"/>
      <c r="JSE1629" s="1"/>
      <c r="JSF1629" s="1"/>
      <c r="JSG1629" s="1"/>
      <c r="JSH1629" s="1"/>
      <c r="JSI1629" s="1"/>
      <c r="JSJ1629" s="1"/>
      <c r="JSK1629" s="1"/>
      <c r="JSL1629" s="1"/>
      <c r="JSM1629" s="1"/>
      <c r="JSN1629" s="1"/>
      <c r="JSO1629" s="1"/>
      <c r="JSP1629" s="1"/>
      <c r="JSQ1629" s="1"/>
      <c r="JSR1629" s="1"/>
      <c r="JSS1629" s="1"/>
      <c r="JST1629" s="1"/>
      <c r="JSU1629" s="1"/>
      <c r="JSV1629" s="1"/>
      <c r="JSW1629" s="1"/>
      <c r="JSX1629" s="1"/>
      <c r="JSY1629" s="1"/>
      <c r="JSZ1629" s="1"/>
      <c r="JTA1629" s="1"/>
      <c r="JTB1629" s="1"/>
      <c r="JTC1629" s="1"/>
      <c r="JTD1629" s="1"/>
      <c r="JTE1629" s="1"/>
      <c r="JTF1629" s="1"/>
      <c r="JTG1629" s="1"/>
      <c r="JTH1629" s="1"/>
      <c r="JTI1629" s="1"/>
      <c r="JTJ1629" s="1"/>
      <c r="JTK1629" s="1"/>
      <c r="JTL1629" s="1"/>
      <c r="JTM1629" s="1"/>
      <c r="JTN1629" s="1"/>
      <c r="JTO1629" s="1"/>
      <c r="JTP1629" s="1"/>
      <c r="JTQ1629" s="1"/>
      <c r="JTR1629" s="1"/>
      <c r="JTS1629" s="1"/>
      <c r="JTT1629" s="1"/>
      <c r="JTU1629" s="1"/>
      <c r="JTV1629" s="1"/>
      <c r="JTW1629" s="1"/>
      <c r="JTX1629" s="1"/>
      <c r="JTY1629" s="1"/>
      <c r="JTZ1629" s="1"/>
      <c r="JUA1629" s="1"/>
      <c r="JUB1629" s="1"/>
      <c r="JUC1629" s="1"/>
      <c r="JUD1629" s="1"/>
      <c r="JUE1629" s="1"/>
      <c r="JUF1629" s="1"/>
      <c r="JUG1629" s="1"/>
      <c r="JUH1629" s="1"/>
      <c r="JUI1629" s="1"/>
      <c r="JUJ1629" s="1"/>
      <c r="JUK1629" s="1"/>
      <c r="JUL1629" s="1"/>
      <c r="JUM1629" s="1"/>
      <c r="JUN1629" s="1"/>
      <c r="JUO1629" s="1"/>
      <c r="JUP1629" s="1"/>
      <c r="JUQ1629" s="1"/>
      <c r="JUR1629" s="1"/>
      <c r="JUS1629" s="1"/>
      <c r="JUT1629" s="1"/>
      <c r="JUU1629" s="1"/>
      <c r="JUV1629" s="1"/>
      <c r="JUW1629" s="1"/>
      <c r="JUX1629" s="1"/>
      <c r="JUY1629" s="1"/>
      <c r="JUZ1629" s="1"/>
      <c r="JVA1629" s="1"/>
      <c r="JVB1629" s="1"/>
      <c r="JVC1629" s="1"/>
      <c r="JVD1629" s="1"/>
      <c r="JVE1629" s="1"/>
      <c r="JVF1629" s="1"/>
      <c r="JVG1629" s="1"/>
      <c r="JVH1629" s="1"/>
      <c r="JVI1629" s="1"/>
      <c r="JVJ1629" s="1"/>
      <c r="JVK1629" s="1"/>
      <c r="JVL1629" s="1"/>
      <c r="JVM1629" s="1"/>
      <c r="JVN1629" s="1"/>
      <c r="JVO1629" s="1"/>
      <c r="JVP1629" s="1"/>
      <c r="JVQ1629" s="1"/>
      <c r="JVR1629" s="1"/>
      <c r="JVS1629" s="1"/>
      <c r="JVT1629" s="1"/>
      <c r="JVU1629" s="1"/>
      <c r="JVV1629" s="1"/>
      <c r="JVW1629" s="1"/>
      <c r="JVX1629" s="1"/>
      <c r="JVY1629" s="1"/>
      <c r="JVZ1629" s="1"/>
      <c r="JWA1629" s="1"/>
      <c r="JWB1629" s="1"/>
      <c r="JWC1629" s="1"/>
      <c r="JWD1629" s="1"/>
      <c r="JWE1629" s="1"/>
      <c r="JWF1629" s="1"/>
      <c r="JWG1629" s="1"/>
      <c r="JWH1629" s="1"/>
      <c r="JWI1629" s="1"/>
      <c r="JWJ1629" s="1"/>
      <c r="JWK1629" s="1"/>
      <c r="JWL1629" s="1"/>
      <c r="JWM1629" s="1"/>
      <c r="JWN1629" s="1"/>
      <c r="JWO1629" s="1"/>
      <c r="JWP1629" s="1"/>
      <c r="JWQ1629" s="1"/>
      <c r="JWR1629" s="1"/>
      <c r="JWS1629" s="1"/>
      <c r="JWT1629" s="1"/>
      <c r="JWU1629" s="1"/>
      <c r="JWV1629" s="1"/>
      <c r="JWW1629" s="1"/>
      <c r="JWX1629" s="1"/>
      <c r="JWY1629" s="1"/>
      <c r="JWZ1629" s="1"/>
      <c r="JXA1629" s="1"/>
      <c r="JXB1629" s="1"/>
      <c r="JXC1629" s="1"/>
      <c r="JXD1629" s="1"/>
      <c r="JXE1629" s="1"/>
      <c r="JXF1629" s="1"/>
      <c r="JXG1629" s="1"/>
      <c r="JXH1629" s="1"/>
      <c r="JXI1629" s="1"/>
      <c r="JXJ1629" s="1"/>
      <c r="JXK1629" s="1"/>
      <c r="JXL1629" s="1"/>
      <c r="JXM1629" s="1"/>
      <c r="JXN1629" s="1"/>
      <c r="JXO1629" s="1"/>
      <c r="JXP1629" s="1"/>
      <c r="JXQ1629" s="1"/>
      <c r="JXR1629" s="1"/>
      <c r="JXS1629" s="1"/>
      <c r="JXT1629" s="1"/>
      <c r="JXU1629" s="1"/>
      <c r="JXV1629" s="1"/>
      <c r="JXW1629" s="1"/>
      <c r="JXX1629" s="1"/>
      <c r="JXY1629" s="1"/>
      <c r="JXZ1629" s="1"/>
      <c r="JYA1629" s="1"/>
      <c r="JYB1629" s="1"/>
      <c r="JYC1629" s="1"/>
      <c r="JYD1629" s="1"/>
      <c r="JYE1629" s="1"/>
      <c r="JYF1629" s="1"/>
      <c r="JYG1629" s="1"/>
      <c r="JYH1629" s="1"/>
      <c r="JYI1629" s="1"/>
      <c r="JYJ1629" s="1"/>
      <c r="JYK1629" s="1"/>
      <c r="JYL1629" s="1"/>
      <c r="JYM1629" s="1"/>
      <c r="JYN1629" s="1"/>
      <c r="JYO1629" s="1"/>
      <c r="JYP1629" s="1"/>
      <c r="JYQ1629" s="1"/>
      <c r="JYR1629" s="1"/>
      <c r="JYS1629" s="1"/>
      <c r="JYT1629" s="1"/>
      <c r="JYU1629" s="1"/>
      <c r="JYV1629" s="1"/>
      <c r="JYW1629" s="1"/>
      <c r="JYX1629" s="1"/>
      <c r="JYY1629" s="1"/>
      <c r="JYZ1629" s="1"/>
      <c r="JZA1629" s="1"/>
      <c r="JZB1629" s="1"/>
      <c r="JZC1629" s="1"/>
      <c r="JZD1629" s="1"/>
      <c r="JZE1629" s="1"/>
      <c r="JZF1629" s="1"/>
      <c r="JZG1629" s="1"/>
      <c r="JZH1629" s="1"/>
      <c r="JZI1629" s="1"/>
      <c r="JZJ1629" s="1"/>
      <c r="JZK1629" s="1"/>
      <c r="JZL1629" s="1"/>
      <c r="JZM1629" s="1"/>
      <c r="JZN1629" s="1"/>
      <c r="JZO1629" s="1"/>
      <c r="JZP1629" s="1"/>
      <c r="JZQ1629" s="1"/>
      <c r="JZR1629" s="1"/>
      <c r="JZS1629" s="1"/>
      <c r="JZT1629" s="1"/>
      <c r="JZU1629" s="1"/>
      <c r="JZV1629" s="1"/>
      <c r="JZW1629" s="1"/>
      <c r="JZX1629" s="1"/>
      <c r="JZY1629" s="1"/>
      <c r="JZZ1629" s="1"/>
      <c r="KAA1629" s="1"/>
      <c r="KAB1629" s="1"/>
      <c r="KAC1629" s="1"/>
      <c r="KAD1629" s="1"/>
      <c r="KAE1629" s="1"/>
      <c r="KAF1629" s="1"/>
      <c r="KAG1629" s="1"/>
      <c r="KAH1629" s="1"/>
      <c r="KAI1629" s="1"/>
      <c r="KAJ1629" s="1"/>
      <c r="KAK1629" s="1"/>
      <c r="KAL1629" s="1"/>
      <c r="KAM1629" s="1"/>
      <c r="KAN1629" s="1"/>
      <c r="KAO1629" s="1"/>
      <c r="KAP1629" s="1"/>
      <c r="KAQ1629" s="1"/>
      <c r="KAR1629" s="1"/>
      <c r="KAS1629" s="1"/>
      <c r="KAT1629" s="1"/>
      <c r="KAU1629" s="1"/>
      <c r="KAV1629" s="1"/>
      <c r="KAW1629" s="1"/>
      <c r="KAX1629" s="1"/>
      <c r="KAY1629" s="1"/>
      <c r="KAZ1629" s="1"/>
      <c r="KBA1629" s="1"/>
      <c r="KBB1629" s="1"/>
      <c r="KBC1629" s="1"/>
      <c r="KBD1629" s="1"/>
      <c r="KBE1629" s="1"/>
      <c r="KBF1629" s="1"/>
      <c r="KBG1629" s="1"/>
      <c r="KBH1629" s="1"/>
      <c r="KBI1629" s="1"/>
      <c r="KBJ1629" s="1"/>
      <c r="KBK1629" s="1"/>
      <c r="KBL1629" s="1"/>
      <c r="KBM1629" s="1"/>
      <c r="KBN1629" s="1"/>
      <c r="KBO1629" s="1"/>
      <c r="KBP1629" s="1"/>
      <c r="KBQ1629" s="1"/>
      <c r="KBR1629" s="1"/>
      <c r="KBS1629" s="1"/>
      <c r="KBT1629" s="1"/>
      <c r="KBU1629" s="1"/>
      <c r="KBV1629" s="1"/>
      <c r="KBW1629" s="1"/>
      <c r="KBX1629" s="1"/>
      <c r="KBY1629" s="1"/>
      <c r="KBZ1629" s="1"/>
      <c r="KCA1629" s="1"/>
      <c r="KCB1629" s="1"/>
      <c r="KCC1629" s="1"/>
      <c r="KCD1629" s="1"/>
      <c r="KCE1629" s="1"/>
      <c r="KCF1629" s="1"/>
      <c r="KCG1629" s="1"/>
      <c r="KCH1629" s="1"/>
      <c r="KCI1629" s="1"/>
      <c r="KCJ1629" s="1"/>
      <c r="KCK1629" s="1"/>
      <c r="KCL1629" s="1"/>
      <c r="KCM1629" s="1"/>
      <c r="KCN1629" s="1"/>
      <c r="KCO1629" s="1"/>
      <c r="KCP1629" s="1"/>
      <c r="KCQ1629" s="1"/>
      <c r="KCR1629" s="1"/>
      <c r="KCS1629" s="1"/>
      <c r="KCT1629" s="1"/>
      <c r="KCU1629" s="1"/>
      <c r="KCV1629" s="1"/>
      <c r="KCW1629" s="1"/>
      <c r="KCX1629" s="1"/>
      <c r="KCY1629" s="1"/>
      <c r="KCZ1629" s="1"/>
      <c r="KDA1629" s="1"/>
      <c r="KDB1629" s="1"/>
      <c r="KDC1629" s="1"/>
      <c r="KDD1629" s="1"/>
      <c r="KDE1629" s="1"/>
      <c r="KDF1629" s="1"/>
      <c r="KDG1629" s="1"/>
      <c r="KDH1629" s="1"/>
      <c r="KDI1629" s="1"/>
      <c r="KDJ1629" s="1"/>
      <c r="KDK1629" s="1"/>
      <c r="KDL1629" s="1"/>
      <c r="KDM1629" s="1"/>
      <c r="KDN1629" s="1"/>
      <c r="KDO1629" s="1"/>
      <c r="KDP1629" s="1"/>
      <c r="KDQ1629" s="1"/>
      <c r="KDR1629" s="1"/>
      <c r="KDS1629" s="1"/>
      <c r="KDT1629" s="1"/>
      <c r="KDU1629" s="1"/>
      <c r="KDV1629" s="1"/>
      <c r="KDW1629" s="1"/>
      <c r="KDX1629" s="1"/>
      <c r="KDY1629" s="1"/>
      <c r="KDZ1629" s="1"/>
      <c r="KEA1629" s="1"/>
      <c r="KEB1629" s="1"/>
      <c r="KEC1629" s="1"/>
      <c r="KED1629" s="1"/>
      <c r="KEE1629" s="1"/>
      <c r="KEF1629" s="1"/>
      <c r="KEG1629" s="1"/>
      <c r="KEH1629" s="1"/>
      <c r="KEI1629" s="1"/>
      <c r="KEJ1629" s="1"/>
      <c r="KEK1629" s="1"/>
      <c r="KEL1629" s="1"/>
      <c r="KEM1629" s="1"/>
      <c r="KEN1629" s="1"/>
      <c r="KEO1629" s="1"/>
      <c r="KEP1629" s="1"/>
      <c r="KEQ1629" s="1"/>
      <c r="KER1629" s="1"/>
      <c r="KES1629" s="1"/>
      <c r="KET1629" s="1"/>
      <c r="KEU1629" s="1"/>
      <c r="KEV1629" s="1"/>
      <c r="KEW1629" s="1"/>
      <c r="KEX1629" s="1"/>
      <c r="KEY1629" s="1"/>
      <c r="KEZ1629" s="1"/>
      <c r="KFA1629" s="1"/>
      <c r="KFB1629" s="1"/>
      <c r="KFC1629" s="1"/>
      <c r="KFD1629" s="1"/>
      <c r="KFE1629" s="1"/>
      <c r="KFF1629" s="1"/>
      <c r="KFG1629" s="1"/>
      <c r="KFH1629" s="1"/>
      <c r="KFI1629" s="1"/>
      <c r="KFJ1629" s="1"/>
      <c r="KFK1629" s="1"/>
      <c r="KFL1629" s="1"/>
      <c r="KFM1629" s="1"/>
      <c r="KFN1629" s="1"/>
      <c r="KFO1629" s="1"/>
      <c r="KFP1629" s="1"/>
      <c r="KFQ1629" s="1"/>
      <c r="KFR1629" s="1"/>
      <c r="KFS1629" s="1"/>
      <c r="KFT1629" s="1"/>
      <c r="KFU1629" s="1"/>
      <c r="KFV1629" s="1"/>
      <c r="KFW1629" s="1"/>
      <c r="KFX1629" s="1"/>
      <c r="KFY1629" s="1"/>
      <c r="KFZ1629" s="1"/>
      <c r="KGA1629" s="1"/>
      <c r="KGB1629" s="1"/>
      <c r="KGC1629" s="1"/>
      <c r="KGD1629" s="1"/>
      <c r="KGE1629" s="1"/>
      <c r="KGF1629" s="1"/>
      <c r="KGG1629" s="1"/>
      <c r="KGH1629" s="1"/>
      <c r="KGI1629" s="1"/>
      <c r="KGJ1629" s="1"/>
      <c r="KGK1629" s="1"/>
      <c r="KGL1629" s="1"/>
      <c r="KGM1629" s="1"/>
      <c r="KGN1629" s="1"/>
      <c r="KGO1629" s="1"/>
      <c r="KGP1629" s="1"/>
      <c r="KGQ1629" s="1"/>
      <c r="KGR1629" s="1"/>
      <c r="KGS1629" s="1"/>
      <c r="KGT1629" s="1"/>
      <c r="KGU1629" s="1"/>
      <c r="KGV1629" s="1"/>
      <c r="KGW1629" s="1"/>
      <c r="KGX1629" s="1"/>
      <c r="KGY1629" s="1"/>
      <c r="KGZ1629" s="1"/>
      <c r="KHA1629" s="1"/>
      <c r="KHB1629" s="1"/>
      <c r="KHC1629" s="1"/>
      <c r="KHD1629" s="1"/>
      <c r="KHE1629" s="1"/>
      <c r="KHF1629" s="1"/>
      <c r="KHG1629" s="1"/>
      <c r="KHH1629" s="1"/>
      <c r="KHI1629" s="1"/>
      <c r="KHJ1629" s="1"/>
      <c r="KHK1629" s="1"/>
      <c r="KHL1629" s="1"/>
      <c r="KHM1629" s="1"/>
      <c r="KHN1629" s="1"/>
      <c r="KHO1629" s="1"/>
      <c r="KHP1629" s="1"/>
      <c r="KHQ1629" s="1"/>
      <c r="KHR1629" s="1"/>
      <c r="KHS1629" s="1"/>
      <c r="KHT1629" s="1"/>
      <c r="KHU1629" s="1"/>
      <c r="KHV1629" s="1"/>
      <c r="KHW1629" s="1"/>
      <c r="KHX1629" s="1"/>
      <c r="KHY1629" s="1"/>
      <c r="KHZ1629" s="1"/>
      <c r="KIA1629" s="1"/>
      <c r="KIB1629" s="1"/>
      <c r="KIC1629" s="1"/>
      <c r="KID1629" s="1"/>
      <c r="KIE1629" s="1"/>
      <c r="KIF1629" s="1"/>
      <c r="KIG1629" s="1"/>
      <c r="KIH1629" s="1"/>
      <c r="KII1629" s="1"/>
      <c r="KIJ1629" s="1"/>
      <c r="KIK1629" s="1"/>
      <c r="KIL1629" s="1"/>
      <c r="KIM1629" s="1"/>
      <c r="KIN1629" s="1"/>
      <c r="KIO1629" s="1"/>
      <c r="KIP1629" s="1"/>
      <c r="KIQ1629" s="1"/>
      <c r="KIR1629" s="1"/>
      <c r="KIS1629" s="1"/>
      <c r="KIT1629" s="1"/>
      <c r="KIU1629" s="1"/>
      <c r="KIV1629" s="1"/>
      <c r="KIW1629" s="1"/>
      <c r="KIX1629" s="1"/>
      <c r="KIY1629" s="1"/>
      <c r="KIZ1629" s="1"/>
      <c r="KJA1629" s="1"/>
      <c r="KJB1629" s="1"/>
      <c r="KJC1629" s="1"/>
      <c r="KJD1629" s="1"/>
      <c r="KJE1629" s="1"/>
      <c r="KJF1629" s="1"/>
      <c r="KJG1629" s="1"/>
      <c r="KJH1629" s="1"/>
      <c r="KJI1629" s="1"/>
      <c r="KJJ1629" s="1"/>
      <c r="KJK1629" s="1"/>
      <c r="KJL1629" s="1"/>
      <c r="KJM1629" s="1"/>
      <c r="KJN1629" s="1"/>
      <c r="KJO1629" s="1"/>
      <c r="KJP1629" s="1"/>
      <c r="KJQ1629" s="1"/>
      <c r="KJR1629" s="1"/>
      <c r="KJS1629" s="1"/>
      <c r="KJT1629" s="1"/>
      <c r="KJU1629" s="1"/>
      <c r="KJV1629" s="1"/>
      <c r="KJW1629" s="1"/>
      <c r="KJX1629" s="1"/>
      <c r="KJY1629" s="1"/>
      <c r="KJZ1629" s="1"/>
      <c r="KKA1629" s="1"/>
      <c r="KKB1629" s="1"/>
      <c r="KKC1629" s="1"/>
      <c r="KKD1629" s="1"/>
      <c r="KKE1629" s="1"/>
      <c r="KKF1629" s="1"/>
      <c r="KKG1629" s="1"/>
      <c r="KKH1629" s="1"/>
      <c r="KKI1629" s="1"/>
      <c r="KKJ1629" s="1"/>
      <c r="KKK1629" s="1"/>
      <c r="KKL1629" s="1"/>
      <c r="KKM1629" s="1"/>
      <c r="KKN1629" s="1"/>
      <c r="KKO1629" s="1"/>
      <c r="KKP1629" s="1"/>
      <c r="KKQ1629" s="1"/>
      <c r="KKR1629" s="1"/>
      <c r="KKS1629" s="1"/>
      <c r="KKT1629" s="1"/>
      <c r="KKU1629" s="1"/>
      <c r="KKV1629" s="1"/>
      <c r="KKW1629" s="1"/>
      <c r="KKX1629" s="1"/>
      <c r="KKY1629" s="1"/>
      <c r="KKZ1629" s="1"/>
      <c r="KLA1629" s="1"/>
      <c r="KLB1629" s="1"/>
      <c r="KLC1629" s="1"/>
      <c r="KLD1629" s="1"/>
      <c r="KLE1629" s="1"/>
      <c r="KLF1629" s="1"/>
      <c r="KLG1629" s="1"/>
      <c r="KLH1629" s="1"/>
      <c r="KLI1629" s="1"/>
      <c r="KLJ1629" s="1"/>
      <c r="KLK1629" s="1"/>
      <c r="KLL1629" s="1"/>
      <c r="KLM1629" s="1"/>
      <c r="KLN1629" s="1"/>
      <c r="KLO1629" s="1"/>
      <c r="KLP1629" s="1"/>
      <c r="KLQ1629" s="1"/>
      <c r="KLR1629" s="1"/>
      <c r="KLS1629" s="1"/>
      <c r="KLT1629" s="1"/>
      <c r="KLU1629" s="1"/>
      <c r="KLV1629" s="1"/>
      <c r="KLW1629" s="1"/>
      <c r="KLX1629" s="1"/>
      <c r="KLY1629" s="1"/>
      <c r="KLZ1629" s="1"/>
      <c r="KMA1629" s="1"/>
      <c r="KMB1629" s="1"/>
      <c r="KMC1629" s="1"/>
      <c r="KMD1629" s="1"/>
      <c r="KME1629" s="1"/>
      <c r="KMF1629" s="1"/>
      <c r="KMG1629" s="1"/>
      <c r="KMH1629" s="1"/>
      <c r="KMI1629" s="1"/>
      <c r="KMJ1629" s="1"/>
      <c r="KMK1629" s="1"/>
      <c r="KML1629" s="1"/>
      <c r="KMM1629" s="1"/>
      <c r="KMN1629" s="1"/>
      <c r="KMO1629" s="1"/>
      <c r="KMP1629" s="1"/>
      <c r="KMQ1629" s="1"/>
      <c r="KMR1629" s="1"/>
      <c r="KMS1629" s="1"/>
      <c r="KMT1629" s="1"/>
      <c r="KMU1629" s="1"/>
      <c r="KMV1629" s="1"/>
      <c r="KMW1629" s="1"/>
      <c r="KMX1629" s="1"/>
      <c r="KMY1629" s="1"/>
      <c r="KMZ1629" s="1"/>
      <c r="KNA1629" s="1"/>
      <c r="KNB1629" s="1"/>
      <c r="KNC1629" s="1"/>
      <c r="KND1629" s="1"/>
      <c r="KNE1629" s="1"/>
      <c r="KNF1629" s="1"/>
      <c r="KNG1629" s="1"/>
      <c r="KNH1629" s="1"/>
      <c r="KNI1629" s="1"/>
      <c r="KNJ1629" s="1"/>
      <c r="KNK1629" s="1"/>
      <c r="KNL1629" s="1"/>
      <c r="KNM1629" s="1"/>
      <c r="KNN1629" s="1"/>
      <c r="KNO1629" s="1"/>
      <c r="KNP1629" s="1"/>
      <c r="KNQ1629" s="1"/>
      <c r="KNR1629" s="1"/>
      <c r="KNS1629" s="1"/>
      <c r="KNT1629" s="1"/>
      <c r="KNU1629" s="1"/>
      <c r="KNV1629" s="1"/>
      <c r="KNW1629" s="1"/>
      <c r="KNX1629" s="1"/>
      <c r="KNY1629" s="1"/>
      <c r="KNZ1629" s="1"/>
      <c r="KOA1629" s="1"/>
      <c r="KOB1629" s="1"/>
      <c r="KOC1629" s="1"/>
      <c r="KOD1629" s="1"/>
      <c r="KOE1629" s="1"/>
      <c r="KOF1629" s="1"/>
      <c r="KOG1629" s="1"/>
      <c r="KOH1629" s="1"/>
      <c r="KOI1629" s="1"/>
      <c r="KOJ1629" s="1"/>
      <c r="KOK1629" s="1"/>
      <c r="KOL1629" s="1"/>
      <c r="KOM1629" s="1"/>
      <c r="KON1629" s="1"/>
      <c r="KOO1629" s="1"/>
      <c r="KOP1629" s="1"/>
      <c r="KOQ1629" s="1"/>
      <c r="KOR1629" s="1"/>
      <c r="KOS1629" s="1"/>
      <c r="KOT1629" s="1"/>
      <c r="KOU1629" s="1"/>
      <c r="KOV1629" s="1"/>
      <c r="KOW1629" s="1"/>
      <c r="KOX1629" s="1"/>
      <c r="KOY1629" s="1"/>
      <c r="KOZ1629" s="1"/>
      <c r="KPA1629" s="1"/>
      <c r="KPB1629" s="1"/>
      <c r="KPC1629" s="1"/>
      <c r="KPD1629" s="1"/>
      <c r="KPE1629" s="1"/>
      <c r="KPF1629" s="1"/>
      <c r="KPG1629" s="1"/>
      <c r="KPH1629" s="1"/>
      <c r="KPI1629" s="1"/>
      <c r="KPJ1629" s="1"/>
      <c r="KPK1629" s="1"/>
      <c r="KPL1629" s="1"/>
      <c r="KPM1629" s="1"/>
      <c r="KPN1629" s="1"/>
      <c r="KPO1629" s="1"/>
      <c r="KPP1629" s="1"/>
      <c r="KPQ1629" s="1"/>
      <c r="KPR1629" s="1"/>
      <c r="KPS1629" s="1"/>
      <c r="KPT1629" s="1"/>
      <c r="KPU1629" s="1"/>
      <c r="KPV1629" s="1"/>
      <c r="KPW1629" s="1"/>
      <c r="KPX1629" s="1"/>
      <c r="KPY1629" s="1"/>
      <c r="KPZ1629" s="1"/>
      <c r="KQA1629" s="1"/>
      <c r="KQB1629" s="1"/>
      <c r="KQC1629" s="1"/>
      <c r="KQD1629" s="1"/>
      <c r="KQE1629" s="1"/>
      <c r="KQF1629" s="1"/>
      <c r="KQG1629" s="1"/>
      <c r="KQH1629" s="1"/>
      <c r="KQI1629" s="1"/>
      <c r="KQJ1629" s="1"/>
      <c r="KQK1629" s="1"/>
      <c r="KQL1629" s="1"/>
      <c r="KQM1629" s="1"/>
      <c r="KQN1629" s="1"/>
      <c r="KQO1629" s="1"/>
      <c r="KQP1629" s="1"/>
      <c r="KQQ1629" s="1"/>
      <c r="KQR1629" s="1"/>
      <c r="KQS1629" s="1"/>
      <c r="KQT1629" s="1"/>
      <c r="KQU1629" s="1"/>
      <c r="KQV1629" s="1"/>
      <c r="KQW1629" s="1"/>
      <c r="KQX1629" s="1"/>
      <c r="KQY1629" s="1"/>
      <c r="KQZ1629" s="1"/>
      <c r="KRA1629" s="1"/>
      <c r="KRB1629" s="1"/>
      <c r="KRC1629" s="1"/>
      <c r="KRD1629" s="1"/>
      <c r="KRE1629" s="1"/>
      <c r="KRF1629" s="1"/>
      <c r="KRG1629" s="1"/>
      <c r="KRH1629" s="1"/>
      <c r="KRI1629" s="1"/>
      <c r="KRJ1629" s="1"/>
      <c r="KRK1629" s="1"/>
      <c r="KRL1629" s="1"/>
      <c r="KRM1629" s="1"/>
      <c r="KRN1629" s="1"/>
      <c r="KRO1629" s="1"/>
      <c r="KRP1629" s="1"/>
      <c r="KRQ1629" s="1"/>
      <c r="KRR1629" s="1"/>
      <c r="KRS1629" s="1"/>
      <c r="KRT1629" s="1"/>
      <c r="KRU1629" s="1"/>
      <c r="KRV1629" s="1"/>
      <c r="KRW1629" s="1"/>
      <c r="KRX1629" s="1"/>
      <c r="KRY1629" s="1"/>
      <c r="KRZ1629" s="1"/>
      <c r="KSA1629" s="1"/>
      <c r="KSB1629" s="1"/>
      <c r="KSC1629" s="1"/>
      <c r="KSD1629" s="1"/>
      <c r="KSE1629" s="1"/>
      <c r="KSF1629" s="1"/>
      <c r="KSG1629" s="1"/>
      <c r="KSH1629" s="1"/>
      <c r="KSI1629" s="1"/>
      <c r="KSJ1629" s="1"/>
      <c r="KSK1629" s="1"/>
      <c r="KSL1629" s="1"/>
      <c r="KSM1629" s="1"/>
      <c r="KSN1629" s="1"/>
      <c r="KSO1629" s="1"/>
      <c r="KSP1629" s="1"/>
      <c r="KSQ1629" s="1"/>
      <c r="KSR1629" s="1"/>
      <c r="KSS1629" s="1"/>
      <c r="KST1629" s="1"/>
      <c r="KSU1629" s="1"/>
      <c r="KSV1629" s="1"/>
      <c r="KSW1629" s="1"/>
      <c r="KSX1629" s="1"/>
      <c r="KSY1629" s="1"/>
      <c r="KSZ1629" s="1"/>
      <c r="KTA1629" s="1"/>
      <c r="KTB1629" s="1"/>
      <c r="KTC1629" s="1"/>
      <c r="KTD1629" s="1"/>
      <c r="KTE1629" s="1"/>
      <c r="KTF1629" s="1"/>
      <c r="KTG1629" s="1"/>
      <c r="KTH1629" s="1"/>
      <c r="KTI1629" s="1"/>
      <c r="KTJ1629" s="1"/>
      <c r="KTK1629" s="1"/>
      <c r="KTL1629" s="1"/>
      <c r="KTM1629" s="1"/>
      <c r="KTN1629" s="1"/>
      <c r="KTO1629" s="1"/>
      <c r="KTP1629" s="1"/>
      <c r="KTQ1629" s="1"/>
      <c r="KTR1629" s="1"/>
      <c r="KTS1629" s="1"/>
      <c r="KTT1629" s="1"/>
      <c r="KTU1629" s="1"/>
      <c r="KTV1629" s="1"/>
      <c r="KTW1629" s="1"/>
      <c r="KTX1629" s="1"/>
      <c r="KTY1629" s="1"/>
      <c r="KTZ1629" s="1"/>
      <c r="KUA1629" s="1"/>
      <c r="KUB1629" s="1"/>
      <c r="KUC1629" s="1"/>
      <c r="KUD1629" s="1"/>
      <c r="KUE1629" s="1"/>
      <c r="KUF1629" s="1"/>
      <c r="KUG1629" s="1"/>
      <c r="KUH1629" s="1"/>
      <c r="KUI1629" s="1"/>
      <c r="KUJ1629" s="1"/>
      <c r="KUK1629" s="1"/>
      <c r="KUL1629" s="1"/>
      <c r="KUM1629" s="1"/>
      <c r="KUN1629" s="1"/>
      <c r="KUO1629" s="1"/>
      <c r="KUP1629" s="1"/>
      <c r="KUQ1629" s="1"/>
      <c r="KUR1629" s="1"/>
      <c r="KUS1629" s="1"/>
      <c r="KUT1629" s="1"/>
      <c r="KUU1629" s="1"/>
      <c r="KUV1629" s="1"/>
      <c r="KUW1629" s="1"/>
      <c r="KUX1629" s="1"/>
      <c r="KUY1629" s="1"/>
      <c r="KUZ1629" s="1"/>
      <c r="KVA1629" s="1"/>
      <c r="KVB1629" s="1"/>
      <c r="KVC1629" s="1"/>
      <c r="KVD1629" s="1"/>
      <c r="KVE1629" s="1"/>
      <c r="KVF1629" s="1"/>
      <c r="KVG1629" s="1"/>
      <c r="KVH1629" s="1"/>
      <c r="KVI1629" s="1"/>
      <c r="KVJ1629" s="1"/>
      <c r="KVK1629" s="1"/>
      <c r="KVL1629" s="1"/>
      <c r="KVM1629" s="1"/>
      <c r="KVN1629" s="1"/>
      <c r="KVO1629" s="1"/>
      <c r="KVP1629" s="1"/>
      <c r="KVQ1629" s="1"/>
      <c r="KVR1629" s="1"/>
      <c r="KVS1629" s="1"/>
      <c r="KVT1629" s="1"/>
      <c r="KVU1629" s="1"/>
      <c r="KVV1629" s="1"/>
      <c r="KVW1629" s="1"/>
      <c r="KVX1629" s="1"/>
      <c r="KVY1629" s="1"/>
      <c r="KVZ1629" s="1"/>
      <c r="KWA1629" s="1"/>
      <c r="KWB1629" s="1"/>
      <c r="KWC1629" s="1"/>
      <c r="KWD1629" s="1"/>
      <c r="KWE1629" s="1"/>
      <c r="KWF1629" s="1"/>
      <c r="KWG1629" s="1"/>
      <c r="KWH1629" s="1"/>
      <c r="KWI1629" s="1"/>
      <c r="KWJ1629" s="1"/>
      <c r="KWK1629" s="1"/>
      <c r="KWL1629" s="1"/>
      <c r="KWM1629" s="1"/>
      <c r="KWN1629" s="1"/>
      <c r="KWO1629" s="1"/>
      <c r="KWP1629" s="1"/>
      <c r="KWQ1629" s="1"/>
      <c r="KWR1629" s="1"/>
      <c r="KWS1629" s="1"/>
      <c r="KWT1629" s="1"/>
      <c r="KWU1629" s="1"/>
      <c r="KWV1629" s="1"/>
      <c r="KWW1629" s="1"/>
      <c r="KWX1629" s="1"/>
      <c r="KWY1629" s="1"/>
      <c r="KWZ1629" s="1"/>
      <c r="KXA1629" s="1"/>
      <c r="KXB1629" s="1"/>
      <c r="KXC1629" s="1"/>
      <c r="KXD1629" s="1"/>
      <c r="KXE1629" s="1"/>
      <c r="KXF1629" s="1"/>
      <c r="KXG1629" s="1"/>
      <c r="KXH1629" s="1"/>
      <c r="KXI1629" s="1"/>
      <c r="KXJ1629" s="1"/>
      <c r="KXK1629" s="1"/>
      <c r="KXL1629" s="1"/>
      <c r="KXM1629" s="1"/>
      <c r="KXN1629" s="1"/>
      <c r="KXO1629" s="1"/>
      <c r="KXP1629" s="1"/>
      <c r="KXQ1629" s="1"/>
      <c r="KXR1629" s="1"/>
      <c r="KXS1629" s="1"/>
      <c r="KXT1629" s="1"/>
      <c r="KXU1629" s="1"/>
      <c r="KXV1629" s="1"/>
      <c r="KXW1629" s="1"/>
      <c r="KXX1629" s="1"/>
      <c r="KXY1629" s="1"/>
      <c r="KXZ1629" s="1"/>
      <c r="KYA1629" s="1"/>
      <c r="KYB1629" s="1"/>
      <c r="KYC1629" s="1"/>
      <c r="KYD1629" s="1"/>
      <c r="KYE1629" s="1"/>
      <c r="KYF1629" s="1"/>
      <c r="KYG1629" s="1"/>
      <c r="KYH1629" s="1"/>
      <c r="KYI1629" s="1"/>
      <c r="KYJ1629" s="1"/>
      <c r="KYK1629" s="1"/>
      <c r="KYL1629" s="1"/>
      <c r="KYM1629" s="1"/>
      <c r="KYN1629" s="1"/>
      <c r="KYO1629" s="1"/>
      <c r="KYP1629" s="1"/>
      <c r="KYQ1629" s="1"/>
      <c r="KYR1629" s="1"/>
      <c r="KYS1629" s="1"/>
      <c r="KYT1629" s="1"/>
      <c r="KYU1629" s="1"/>
      <c r="KYV1629" s="1"/>
      <c r="KYW1629" s="1"/>
      <c r="KYX1629" s="1"/>
      <c r="KYY1629" s="1"/>
      <c r="KYZ1629" s="1"/>
      <c r="KZA1629" s="1"/>
      <c r="KZB1629" s="1"/>
      <c r="KZC1629" s="1"/>
      <c r="KZD1629" s="1"/>
      <c r="KZE1629" s="1"/>
      <c r="KZF1629" s="1"/>
      <c r="KZG1629" s="1"/>
      <c r="KZH1629" s="1"/>
      <c r="KZI1629" s="1"/>
      <c r="KZJ1629" s="1"/>
      <c r="KZK1629" s="1"/>
      <c r="KZL1629" s="1"/>
      <c r="KZM1629" s="1"/>
      <c r="KZN1629" s="1"/>
      <c r="KZO1629" s="1"/>
      <c r="KZP1629" s="1"/>
      <c r="KZQ1629" s="1"/>
      <c r="KZR1629" s="1"/>
      <c r="KZS1629" s="1"/>
      <c r="KZT1629" s="1"/>
      <c r="KZU1629" s="1"/>
      <c r="KZV1629" s="1"/>
      <c r="KZW1629" s="1"/>
      <c r="KZX1629" s="1"/>
      <c r="KZY1629" s="1"/>
      <c r="KZZ1629" s="1"/>
      <c r="LAA1629" s="1"/>
      <c r="LAB1629" s="1"/>
      <c r="LAC1629" s="1"/>
      <c r="LAD1629" s="1"/>
      <c r="LAE1629" s="1"/>
      <c r="LAF1629" s="1"/>
      <c r="LAG1629" s="1"/>
      <c r="LAH1629" s="1"/>
      <c r="LAI1629" s="1"/>
      <c r="LAJ1629" s="1"/>
      <c r="LAK1629" s="1"/>
      <c r="LAL1629" s="1"/>
      <c r="LAM1629" s="1"/>
      <c r="LAN1629" s="1"/>
      <c r="LAO1629" s="1"/>
      <c r="LAP1629" s="1"/>
      <c r="LAQ1629" s="1"/>
      <c r="LAR1629" s="1"/>
      <c r="LAS1629" s="1"/>
      <c r="LAT1629" s="1"/>
      <c r="LAU1629" s="1"/>
      <c r="LAV1629" s="1"/>
      <c r="LAW1629" s="1"/>
      <c r="LAX1629" s="1"/>
      <c r="LAY1629" s="1"/>
      <c r="LAZ1629" s="1"/>
      <c r="LBA1629" s="1"/>
      <c r="LBB1629" s="1"/>
      <c r="LBC1629" s="1"/>
      <c r="LBD1629" s="1"/>
      <c r="LBE1629" s="1"/>
      <c r="LBF1629" s="1"/>
      <c r="LBG1629" s="1"/>
      <c r="LBH1629" s="1"/>
      <c r="LBI1629" s="1"/>
      <c r="LBJ1629" s="1"/>
      <c r="LBK1629" s="1"/>
      <c r="LBL1629" s="1"/>
      <c r="LBM1629" s="1"/>
      <c r="LBN1629" s="1"/>
      <c r="LBO1629" s="1"/>
      <c r="LBP1629" s="1"/>
      <c r="LBQ1629" s="1"/>
      <c r="LBR1629" s="1"/>
      <c r="LBS1629" s="1"/>
      <c r="LBT1629" s="1"/>
      <c r="LBU1629" s="1"/>
      <c r="LBV1629" s="1"/>
      <c r="LBW1629" s="1"/>
      <c r="LBX1629" s="1"/>
      <c r="LBY1629" s="1"/>
      <c r="LBZ1629" s="1"/>
      <c r="LCA1629" s="1"/>
      <c r="LCB1629" s="1"/>
      <c r="LCC1629" s="1"/>
      <c r="LCD1629" s="1"/>
      <c r="LCE1629" s="1"/>
      <c r="LCF1629" s="1"/>
      <c r="LCG1629" s="1"/>
      <c r="LCH1629" s="1"/>
      <c r="LCI1629" s="1"/>
      <c r="LCJ1629" s="1"/>
      <c r="LCK1629" s="1"/>
      <c r="LCL1629" s="1"/>
      <c r="LCM1629" s="1"/>
      <c r="LCN1629" s="1"/>
      <c r="LCO1629" s="1"/>
      <c r="LCP1629" s="1"/>
      <c r="LCQ1629" s="1"/>
      <c r="LCR1629" s="1"/>
      <c r="LCS1629" s="1"/>
      <c r="LCT1629" s="1"/>
      <c r="LCU1629" s="1"/>
      <c r="LCV1629" s="1"/>
      <c r="LCW1629" s="1"/>
      <c r="LCX1629" s="1"/>
      <c r="LCY1629" s="1"/>
      <c r="LCZ1629" s="1"/>
      <c r="LDA1629" s="1"/>
      <c r="LDB1629" s="1"/>
      <c r="LDC1629" s="1"/>
      <c r="LDD1629" s="1"/>
      <c r="LDE1629" s="1"/>
      <c r="LDF1629" s="1"/>
      <c r="LDG1629" s="1"/>
      <c r="LDH1629" s="1"/>
      <c r="LDI1629" s="1"/>
      <c r="LDJ1629" s="1"/>
      <c r="LDK1629" s="1"/>
      <c r="LDL1629" s="1"/>
      <c r="LDM1629" s="1"/>
      <c r="LDN1629" s="1"/>
      <c r="LDO1629" s="1"/>
      <c r="LDP1629" s="1"/>
      <c r="LDQ1629" s="1"/>
      <c r="LDR1629" s="1"/>
      <c r="LDS1629" s="1"/>
      <c r="LDT1629" s="1"/>
      <c r="LDU1629" s="1"/>
      <c r="LDV1629" s="1"/>
      <c r="LDW1629" s="1"/>
      <c r="LDX1629" s="1"/>
      <c r="LDY1629" s="1"/>
      <c r="LDZ1629" s="1"/>
      <c r="LEA1629" s="1"/>
      <c r="LEB1629" s="1"/>
      <c r="LEC1629" s="1"/>
      <c r="LED1629" s="1"/>
      <c r="LEE1629" s="1"/>
      <c r="LEF1629" s="1"/>
      <c r="LEG1629" s="1"/>
      <c r="LEH1629" s="1"/>
      <c r="LEI1629" s="1"/>
      <c r="LEJ1629" s="1"/>
      <c r="LEK1629" s="1"/>
      <c r="LEL1629" s="1"/>
      <c r="LEM1629" s="1"/>
      <c r="LEN1629" s="1"/>
      <c r="LEO1629" s="1"/>
      <c r="LEP1629" s="1"/>
      <c r="LEQ1629" s="1"/>
      <c r="LER1629" s="1"/>
      <c r="LES1629" s="1"/>
      <c r="LET1629" s="1"/>
      <c r="LEU1629" s="1"/>
      <c r="LEV1629" s="1"/>
      <c r="LEW1629" s="1"/>
      <c r="LEX1629" s="1"/>
      <c r="LEY1629" s="1"/>
      <c r="LEZ1629" s="1"/>
      <c r="LFA1629" s="1"/>
      <c r="LFB1629" s="1"/>
      <c r="LFC1629" s="1"/>
      <c r="LFD1629" s="1"/>
      <c r="LFE1629" s="1"/>
      <c r="LFF1629" s="1"/>
      <c r="LFG1629" s="1"/>
      <c r="LFH1629" s="1"/>
      <c r="LFI1629" s="1"/>
      <c r="LFJ1629" s="1"/>
      <c r="LFK1629" s="1"/>
      <c r="LFL1629" s="1"/>
      <c r="LFM1629" s="1"/>
      <c r="LFN1629" s="1"/>
      <c r="LFO1629" s="1"/>
      <c r="LFP1629" s="1"/>
      <c r="LFQ1629" s="1"/>
      <c r="LFR1629" s="1"/>
      <c r="LFS1629" s="1"/>
      <c r="LFT1629" s="1"/>
      <c r="LFU1629" s="1"/>
      <c r="LFV1629" s="1"/>
      <c r="LFW1629" s="1"/>
      <c r="LFX1629" s="1"/>
      <c r="LFY1629" s="1"/>
      <c r="LFZ1629" s="1"/>
      <c r="LGA1629" s="1"/>
      <c r="LGB1629" s="1"/>
      <c r="LGC1629" s="1"/>
      <c r="LGD1629" s="1"/>
      <c r="LGE1629" s="1"/>
      <c r="LGF1629" s="1"/>
      <c r="LGG1629" s="1"/>
      <c r="LGH1629" s="1"/>
      <c r="LGI1629" s="1"/>
      <c r="LGJ1629" s="1"/>
      <c r="LGK1629" s="1"/>
      <c r="LGL1629" s="1"/>
      <c r="LGM1629" s="1"/>
      <c r="LGN1629" s="1"/>
      <c r="LGO1629" s="1"/>
      <c r="LGP1629" s="1"/>
      <c r="LGQ1629" s="1"/>
      <c r="LGR1629" s="1"/>
      <c r="LGS1629" s="1"/>
      <c r="LGT1629" s="1"/>
      <c r="LGU1629" s="1"/>
      <c r="LGV1629" s="1"/>
      <c r="LGW1629" s="1"/>
      <c r="LGX1629" s="1"/>
      <c r="LGY1629" s="1"/>
      <c r="LGZ1629" s="1"/>
      <c r="LHA1629" s="1"/>
      <c r="LHB1629" s="1"/>
      <c r="LHC1629" s="1"/>
      <c r="LHD1629" s="1"/>
      <c r="LHE1629" s="1"/>
      <c r="LHF1629" s="1"/>
      <c r="LHG1629" s="1"/>
      <c r="LHH1629" s="1"/>
      <c r="LHI1629" s="1"/>
      <c r="LHJ1629" s="1"/>
      <c r="LHK1629" s="1"/>
      <c r="LHL1629" s="1"/>
      <c r="LHM1629" s="1"/>
      <c r="LHN1629" s="1"/>
      <c r="LHO1629" s="1"/>
      <c r="LHP1629" s="1"/>
      <c r="LHQ1629" s="1"/>
      <c r="LHR1629" s="1"/>
      <c r="LHS1629" s="1"/>
      <c r="LHT1629" s="1"/>
      <c r="LHU1629" s="1"/>
      <c r="LHV1629" s="1"/>
      <c r="LHW1629" s="1"/>
      <c r="LHX1629" s="1"/>
      <c r="LHY1629" s="1"/>
      <c r="LHZ1629" s="1"/>
      <c r="LIA1629" s="1"/>
      <c r="LIB1629" s="1"/>
      <c r="LIC1629" s="1"/>
      <c r="LID1629" s="1"/>
      <c r="LIE1629" s="1"/>
      <c r="LIF1629" s="1"/>
      <c r="LIG1629" s="1"/>
      <c r="LIH1629" s="1"/>
      <c r="LII1629" s="1"/>
      <c r="LIJ1629" s="1"/>
      <c r="LIK1629" s="1"/>
      <c r="LIL1629" s="1"/>
      <c r="LIM1629" s="1"/>
      <c r="LIN1629" s="1"/>
      <c r="LIO1629" s="1"/>
      <c r="LIP1629" s="1"/>
      <c r="LIQ1629" s="1"/>
      <c r="LIR1629" s="1"/>
      <c r="LIS1629" s="1"/>
      <c r="LIT1629" s="1"/>
      <c r="LIU1629" s="1"/>
      <c r="LIV1629" s="1"/>
      <c r="LIW1629" s="1"/>
      <c r="LIX1629" s="1"/>
      <c r="LIY1629" s="1"/>
      <c r="LIZ1629" s="1"/>
      <c r="LJA1629" s="1"/>
      <c r="LJB1629" s="1"/>
      <c r="LJC1629" s="1"/>
      <c r="LJD1629" s="1"/>
      <c r="LJE1629" s="1"/>
      <c r="LJF1629" s="1"/>
      <c r="LJG1629" s="1"/>
      <c r="LJH1629" s="1"/>
      <c r="LJI1629" s="1"/>
      <c r="LJJ1629" s="1"/>
      <c r="LJK1629" s="1"/>
      <c r="LJL1629" s="1"/>
      <c r="LJM1629" s="1"/>
      <c r="LJN1629" s="1"/>
      <c r="LJO1629" s="1"/>
      <c r="LJP1629" s="1"/>
      <c r="LJQ1629" s="1"/>
      <c r="LJR1629" s="1"/>
      <c r="LJS1629" s="1"/>
      <c r="LJT1629" s="1"/>
      <c r="LJU1629" s="1"/>
      <c r="LJV1629" s="1"/>
      <c r="LJW1629" s="1"/>
      <c r="LJX1629" s="1"/>
      <c r="LJY1629" s="1"/>
      <c r="LJZ1629" s="1"/>
      <c r="LKA1629" s="1"/>
      <c r="LKB1629" s="1"/>
      <c r="LKC1629" s="1"/>
      <c r="LKD1629" s="1"/>
      <c r="LKE1629" s="1"/>
      <c r="LKF1629" s="1"/>
      <c r="LKG1629" s="1"/>
      <c r="LKH1629" s="1"/>
      <c r="LKI1629" s="1"/>
      <c r="LKJ1629" s="1"/>
      <c r="LKK1629" s="1"/>
      <c r="LKL1629" s="1"/>
      <c r="LKM1629" s="1"/>
      <c r="LKN1629" s="1"/>
      <c r="LKO1629" s="1"/>
      <c r="LKP1629" s="1"/>
      <c r="LKQ1629" s="1"/>
      <c r="LKR1629" s="1"/>
      <c r="LKS1629" s="1"/>
      <c r="LKT1629" s="1"/>
      <c r="LKU1629" s="1"/>
      <c r="LKV1629" s="1"/>
      <c r="LKW1629" s="1"/>
      <c r="LKX1629" s="1"/>
      <c r="LKY1629" s="1"/>
      <c r="LKZ1629" s="1"/>
      <c r="LLA1629" s="1"/>
      <c r="LLB1629" s="1"/>
      <c r="LLC1629" s="1"/>
      <c r="LLD1629" s="1"/>
      <c r="LLE1629" s="1"/>
      <c r="LLF1629" s="1"/>
      <c r="LLG1629" s="1"/>
      <c r="LLH1629" s="1"/>
      <c r="LLI1629" s="1"/>
      <c r="LLJ1629" s="1"/>
      <c r="LLK1629" s="1"/>
      <c r="LLL1629" s="1"/>
      <c r="LLM1629" s="1"/>
      <c r="LLN1629" s="1"/>
      <c r="LLO1629" s="1"/>
      <c r="LLP1629" s="1"/>
      <c r="LLQ1629" s="1"/>
      <c r="LLR1629" s="1"/>
      <c r="LLS1629" s="1"/>
      <c r="LLT1629" s="1"/>
      <c r="LLU1629" s="1"/>
      <c r="LLV1629" s="1"/>
      <c r="LLW1629" s="1"/>
      <c r="LLX1629" s="1"/>
      <c r="LLY1629" s="1"/>
      <c r="LLZ1629" s="1"/>
      <c r="LMA1629" s="1"/>
      <c r="LMB1629" s="1"/>
      <c r="LMC1629" s="1"/>
      <c r="LMD1629" s="1"/>
      <c r="LME1629" s="1"/>
      <c r="LMF1629" s="1"/>
      <c r="LMG1629" s="1"/>
      <c r="LMH1629" s="1"/>
      <c r="LMI1629" s="1"/>
      <c r="LMJ1629" s="1"/>
      <c r="LMK1629" s="1"/>
      <c r="LML1629" s="1"/>
      <c r="LMM1629" s="1"/>
      <c r="LMN1629" s="1"/>
      <c r="LMO1629" s="1"/>
      <c r="LMP1629" s="1"/>
      <c r="LMQ1629" s="1"/>
      <c r="LMR1629" s="1"/>
      <c r="LMS1629" s="1"/>
      <c r="LMT1629" s="1"/>
      <c r="LMU1629" s="1"/>
      <c r="LMV1629" s="1"/>
      <c r="LMW1629" s="1"/>
      <c r="LMX1629" s="1"/>
      <c r="LMY1629" s="1"/>
      <c r="LMZ1629" s="1"/>
      <c r="LNA1629" s="1"/>
      <c r="LNB1629" s="1"/>
      <c r="LNC1629" s="1"/>
      <c r="LND1629" s="1"/>
      <c r="LNE1629" s="1"/>
      <c r="LNF1629" s="1"/>
      <c r="LNG1629" s="1"/>
      <c r="LNH1629" s="1"/>
      <c r="LNI1629" s="1"/>
      <c r="LNJ1629" s="1"/>
      <c r="LNK1629" s="1"/>
      <c r="LNL1629" s="1"/>
      <c r="LNM1629" s="1"/>
      <c r="LNN1629" s="1"/>
      <c r="LNO1629" s="1"/>
      <c r="LNP1629" s="1"/>
      <c r="LNQ1629" s="1"/>
      <c r="LNR1629" s="1"/>
      <c r="LNS1629" s="1"/>
      <c r="LNT1629" s="1"/>
      <c r="LNU1629" s="1"/>
      <c r="LNV1629" s="1"/>
      <c r="LNW1629" s="1"/>
      <c r="LNX1629" s="1"/>
      <c r="LNY1629" s="1"/>
      <c r="LNZ1629" s="1"/>
      <c r="LOA1629" s="1"/>
      <c r="LOB1629" s="1"/>
      <c r="LOC1629" s="1"/>
      <c r="LOD1629" s="1"/>
      <c r="LOE1629" s="1"/>
      <c r="LOF1629" s="1"/>
      <c r="LOG1629" s="1"/>
      <c r="LOH1629" s="1"/>
      <c r="LOI1629" s="1"/>
      <c r="LOJ1629" s="1"/>
      <c r="LOK1629" s="1"/>
      <c r="LOL1629" s="1"/>
      <c r="LOM1629" s="1"/>
      <c r="LON1629" s="1"/>
      <c r="LOO1629" s="1"/>
      <c r="LOP1629" s="1"/>
      <c r="LOQ1629" s="1"/>
      <c r="LOR1629" s="1"/>
      <c r="LOS1629" s="1"/>
      <c r="LOT1629" s="1"/>
      <c r="LOU1629" s="1"/>
      <c r="LOV1629" s="1"/>
      <c r="LOW1629" s="1"/>
      <c r="LOX1629" s="1"/>
      <c r="LOY1629" s="1"/>
      <c r="LOZ1629" s="1"/>
      <c r="LPA1629" s="1"/>
      <c r="LPB1629" s="1"/>
      <c r="LPC1629" s="1"/>
      <c r="LPD1629" s="1"/>
      <c r="LPE1629" s="1"/>
      <c r="LPF1629" s="1"/>
      <c r="LPG1629" s="1"/>
      <c r="LPH1629" s="1"/>
      <c r="LPI1629" s="1"/>
      <c r="LPJ1629" s="1"/>
      <c r="LPK1629" s="1"/>
      <c r="LPL1629" s="1"/>
      <c r="LPM1629" s="1"/>
      <c r="LPN1629" s="1"/>
      <c r="LPO1629" s="1"/>
      <c r="LPP1629" s="1"/>
      <c r="LPQ1629" s="1"/>
      <c r="LPR1629" s="1"/>
      <c r="LPS1629" s="1"/>
      <c r="LPT1629" s="1"/>
      <c r="LPU1629" s="1"/>
      <c r="LPV1629" s="1"/>
      <c r="LPW1629" s="1"/>
      <c r="LPX1629" s="1"/>
      <c r="LPY1629" s="1"/>
      <c r="LPZ1629" s="1"/>
      <c r="LQA1629" s="1"/>
      <c r="LQB1629" s="1"/>
      <c r="LQC1629" s="1"/>
      <c r="LQD1629" s="1"/>
      <c r="LQE1629" s="1"/>
      <c r="LQF1629" s="1"/>
      <c r="LQG1629" s="1"/>
      <c r="LQH1629" s="1"/>
      <c r="LQI1629" s="1"/>
      <c r="LQJ1629" s="1"/>
      <c r="LQK1629" s="1"/>
      <c r="LQL1629" s="1"/>
      <c r="LQM1629" s="1"/>
      <c r="LQN1629" s="1"/>
      <c r="LQO1629" s="1"/>
      <c r="LQP1629" s="1"/>
      <c r="LQQ1629" s="1"/>
      <c r="LQR1629" s="1"/>
      <c r="LQS1629" s="1"/>
      <c r="LQT1629" s="1"/>
      <c r="LQU1629" s="1"/>
      <c r="LQV1629" s="1"/>
      <c r="LQW1629" s="1"/>
      <c r="LQX1629" s="1"/>
      <c r="LQY1629" s="1"/>
      <c r="LQZ1629" s="1"/>
      <c r="LRA1629" s="1"/>
      <c r="LRB1629" s="1"/>
      <c r="LRC1629" s="1"/>
      <c r="LRD1629" s="1"/>
      <c r="LRE1629" s="1"/>
      <c r="LRF1629" s="1"/>
      <c r="LRG1629" s="1"/>
      <c r="LRH1629" s="1"/>
      <c r="LRI1629" s="1"/>
      <c r="LRJ1629" s="1"/>
      <c r="LRK1629" s="1"/>
      <c r="LRL1629" s="1"/>
      <c r="LRM1629" s="1"/>
      <c r="LRN1629" s="1"/>
      <c r="LRO1629" s="1"/>
      <c r="LRP1629" s="1"/>
      <c r="LRQ1629" s="1"/>
      <c r="LRR1629" s="1"/>
      <c r="LRS1629" s="1"/>
      <c r="LRT1629" s="1"/>
      <c r="LRU1629" s="1"/>
      <c r="LRV1629" s="1"/>
      <c r="LRW1629" s="1"/>
      <c r="LRX1629" s="1"/>
      <c r="LRY1629" s="1"/>
      <c r="LRZ1629" s="1"/>
      <c r="LSA1629" s="1"/>
      <c r="LSB1629" s="1"/>
      <c r="LSC1629" s="1"/>
      <c r="LSD1629" s="1"/>
      <c r="LSE1629" s="1"/>
      <c r="LSF1629" s="1"/>
      <c r="LSG1629" s="1"/>
      <c r="LSH1629" s="1"/>
      <c r="LSI1629" s="1"/>
      <c r="LSJ1629" s="1"/>
      <c r="LSK1629" s="1"/>
      <c r="LSL1629" s="1"/>
      <c r="LSM1629" s="1"/>
      <c r="LSN1629" s="1"/>
      <c r="LSO1629" s="1"/>
      <c r="LSP1629" s="1"/>
      <c r="LSQ1629" s="1"/>
      <c r="LSR1629" s="1"/>
      <c r="LSS1629" s="1"/>
      <c r="LST1629" s="1"/>
      <c r="LSU1629" s="1"/>
      <c r="LSV1629" s="1"/>
      <c r="LSW1629" s="1"/>
      <c r="LSX1629" s="1"/>
      <c r="LSY1629" s="1"/>
      <c r="LSZ1629" s="1"/>
      <c r="LTA1629" s="1"/>
      <c r="LTB1629" s="1"/>
      <c r="LTC1629" s="1"/>
      <c r="LTD1629" s="1"/>
      <c r="LTE1629" s="1"/>
      <c r="LTF1629" s="1"/>
      <c r="LTG1629" s="1"/>
      <c r="LTH1629" s="1"/>
      <c r="LTI1629" s="1"/>
      <c r="LTJ1629" s="1"/>
      <c r="LTK1629" s="1"/>
      <c r="LTL1629" s="1"/>
      <c r="LTM1629" s="1"/>
      <c r="LTN1629" s="1"/>
      <c r="LTO1629" s="1"/>
      <c r="LTP1629" s="1"/>
      <c r="LTQ1629" s="1"/>
      <c r="LTR1629" s="1"/>
      <c r="LTS1629" s="1"/>
      <c r="LTT1629" s="1"/>
      <c r="LTU1629" s="1"/>
      <c r="LTV1629" s="1"/>
      <c r="LTW1629" s="1"/>
      <c r="LTX1629" s="1"/>
      <c r="LTY1629" s="1"/>
      <c r="LTZ1629" s="1"/>
      <c r="LUA1629" s="1"/>
      <c r="LUB1629" s="1"/>
      <c r="LUC1629" s="1"/>
      <c r="LUD1629" s="1"/>
      <c r="LUE1629" s="1"/>
      <c r="LUF1629" s="1"/>
      <c r="LUG1629" s="1"/>
      <c r="LUH1629" s="1"/>
      <c r="LUI1629" s="1"/>
      <c r="LUJ1629" s="1"/>
      <c r="LUK1629" s="1"/>
      <c r="LUL1629" s="1"/>
      <c r="LUM1629" s="1"/>
      <c r="LUN1629" s="1"/>
      <c r="LUO1629" s="1"/>
      <c r="LUP1629" s="1"/>
      <c r="LUQ1629" s="1"/>
      <c r="LUR1629" s="1"/>
      <c r="LUS1629" s="1"/>
      <c r="LUT1629" s="1"/>
      <c r="LUU1629" s="1"/>
      <c r="LUV1629" s="1"/>
      <c r="LUW1629" s="1"/>
      <c r="LUX1629" s="1"/>
      <c r="LUY1629" s="1"/>
      <c r="LUZ1629" s="1"/>
      <c r="LVA1629" s="1"/>
      <c r="LVB1629" s="1"/>
      <c r="LVC1629" s="1"/>
      <c r="LVD1629" s="1"/>
      <c r="LVE1629" s="1"/>
      <c r="LVF1629" s="1"/>
      <c r="LVG1629" s="1"/>
      <c r="LVH1629" s="1"/>
      <c r="LVI1629" s="1"/>
      <c r="LVJ1629" s="1"/>
      <c r="LVK1629" s="1"/>
      <c r="LVL1629" s="1"/>
      <c r="LVM1629" s="1"/>
      <c r="LVN1629" s="1"/>
      <c r="LVO1629" s="1"/>
      <c r="LVP1629" s="1"/>
      <c r="LVQ1629" s="1"/>
      <c r="LVR1629" s="1"/>
      <c r="LVS1629" s="1"/>
      <c r="LVT1629" s="1"/>
      <c r="LVU1629" s="1"/>
      <c r="LVV1629" s="1"/>
      <c r="LVW1629" s="1"/>
      <c r="LVX1629" s="1"/>
      <c r="LVY1629" s="1"/>
      <c r="LVZ1629" s="1"/>
      <c r="LWA1629" s="1"/>
      <c r="LWB1629" s="1"/>
      <c r="LWC1629" s="1"/>
      <c r="LWD1629" s="1"/>
      <c r="LWE1629" s="1"/>
      <c r="LWF1629" s="1"/>
      <c r="LWG1629" s="1"/>
      <c r="LWH1629" s="1"/>
      <c r="LWI1629" s="1"/>
      <c r="LWJ1629" s="1"/>
      <c r="LWK1629" s="1"/>
      <c r="LWL1629" s="1"/>
      <c r="LWM1629" s="1"/>
      <c r="LWN1629" s="1"/>
      <c r="LWO1629" s="1"/>
      <c r="LWP1629" s="1"/>
      <c r="LWQ1629" s="1"/>
      <c r="LWR1629" s="1"/>
      <c r="LWS1629" s="1"/>
      <c r="LWT1629" s="1"/>
      <c r="LWU1629" s="1"/>
      <c r="LWV1629" s="1"/>
      <c r="LWW1629" s="1"/>
      <c r="LWX1629" s="1"/>
      <c r="LWY1629" s="1"/>
      <c r="LWZ1629" s="1"/>
      <c r="LXA1629" s="1"/>
      <c r="LXB1629" s="1"/>
      <c r="LXC1629" s="1"/>
      <c r="LXD1629" s="1"/>
      <c r="LXE1629" s="1"/>
      <c r="LXF1629" s="1"/>
      <c r="LXG1629" s="1"/>
      <c r="LXH1629" s="1"/>
      <c r="LXI1629" s="1"/>
      <c r="LXJ1629" s="1"/>
      <c r="LXK1629" s="1"/>
      <c r="LXL1629" s="1"/>
      <c r="LXM1629" s="1"/>
      <c r="LXN1629" s="1"/>
      <c r="LXO1629" s="1"/>
      <c r="LXP1629" s="1"/>
      <c r="LXQ1629" s="1"/>
      <c r="LXR1629" s="1"/>
      <c r="LXS1629" s="1"/>
      <c r="LXT1629" s="1"/>
      <c r="LXU1629" s="1"/>
      <c r="LXV1629" s="1"/>
      <c r="LXW1629" s="1"/>
      <c r="LXX1629" s="1"/>
      <c r="LXY1629" s="1"/>
      <c r="LXZ1629" s="1"/>
      <c r="LYA1629" s="1"/>
      <c r="LYB1629" s="1"/>
      <c r="LYC1629" s="1"/>
      <c r="LYD1629" s="1"/>
      <c r="LYE1629" s="1"/>
      <c r="LYF1629" s="1"/>
      <c r="LYG1629" s="1"/>
      <c r="LYH1629" s="1"/>
      <c r="LYI1629" s="1"/>
      <c r="LYJ1629" s="1"/>
      <c r="LYK1629" s="1"/>
      <c r="LYL1629" s="1"/>
      <c r="LYM1629" s="1"/>
      <c r="LYN1629" s="1"/>
      <c r="LYO1629" s="1"/>
      <c r="LYP1629" s="1"/>
      <c r="LYQ1629" s="1"/>
      <c r="LYR1629" s="1"/>
      <c r="LYS1629" s="1"/>
      <c r="LYT1629" s="1"/>
      <c r="LYU1629" s="1"/>
      <c r="LYV1629" s="1"/>
      <c r="LYW1629" s="1"/>
      <c r="LYX1629" s="1"/>
      <c r="LYY1629" s="1"/>
      <c r="LYZ1629" s="1"/>
      <c r="LZA1629" s="1"/>
      <c r="LZB1629" s="1"/>
      <c r="LZC1629" s="1"/>
      <c r="LZD1629" s="1"/>
      <c r="LZE1629" s="1"/>
      <c r="LZF1629" s="1"/>
      <c r="LZG1629" s="1"/>
      <c r="LZH1629" s="1"/>
      <c r="LZI1629" s="1"/>
      <c r="LZJ1629" s="1"/>
      <c r="LZK1629" s="1"/>
      <c r="LZL1629" s="1"/>
      <c r="LZM1629" s="1"/>
      <c r="LZN1629" s="1"/>
      <c r="LZO1629" s="1"/>
      <c r="LZP1629" s="1"/>
      <c r="LZQ1629" s="1"/>
      <c r="LZR1629" s="1"/>
      <c r="LZS1629" s="1"/>
      <c r="LZT1629" s="1"/>
      <c r="LZU1629" s="1"/>
      <c r="LZV1629" s="1"/>
      <c r="LZW1629" s="1"/>
      <c r="LZX1629" s="1"/>
      <c r="LZY1629" s="1"/>
      <c r="LZZ1629" s="1"/>
      <c r="MAA1629" s="1"/>
      <c r="MAB1629" s="1"/>
      <c r="MAC1629" s="1"/>
      <c r="MAD1629" s="1"/>
      <c r="MAE1629" s="1"/>
      <c r="MAF1629" s="1"/>
      <c r="MAG1629" s="1"/>
      <c r="MAH1629" s="1"/>
      <c r="MAI1629" s="1"/>
      <c r="MAJ1629" s="1"/>
      <c r="MAK1629" s="1"/>
      <c r="MAL1629" s="1"/>
      <c r="MAM1629" s="1"/>
      <c r="MAN1629" s="1"/>
      <c r="MAO1629" s="1"/>
      <c r="MAP1629" s="1"/>
      <c r="MAQ1629" s="1"/>
      <c r="MAR1629" s="1"/>
      <c r="MAS1629" s="1"/>
      <c r="MAT1629" s="1"/>
      <c r="MAU1629" s="1"/>
      <c r="MAV1629" s="1"/>
      <c r="MAW1629" s="1"/>
      <c r="MAX1629" s="1"/>
      <c r="MAY1629" s="1"/>
      <c r="MAZ1629" s="1"/>
      <c r="MBA1629" s="1"/>
      <c r="MBB1629" s="1"/>
      <c r="MBC1629" s="1"/>
      <c r="MBD1629" s="1"/>
      <c r="MBE1629" s="1"/>
      <c r="MBF1629" s="1"/>
      <c r="MBG1629" s="1"/>
      <c r="MBH1629" s="1"/>
      <c r="MBI1629" s="1"/>
      <c r="MBJ1629" s="1"/>
      <c r="MBK1629" s="1"/>
      <c r="MBL1629" s="1"/>
      <c r="MBM1629" s="1"/>
      <c r="MBN1629" s="1"/>
      <c r="MBO1629" s="1"/>
      <c r="MBP1629" s="1"/>
      <c r="MBQ1629" s="1"/>
      <c r="MBR1629" s="1"/>
      <c r="MBS1629" s="1"/>
      <c r="MBT1629" s="1"/>
      <c r="MBU1629" s="1"/>
      <c r="MBV1629" s="1"/>
      <c r="MBW1629" s="1"/>
      <c r="MBX1629" s="1"/>
      <c r="MBY1629" s="1"/>
      <c r="MBZ1629" s="1"/>
      <c r="MCA1629" s="1"/>
      <c r="MCB1629" s="1"/>
      <c r="MCC1629" s="1"/>
      <c r="MCD1629" s="1"/>
      <c r="MCE1629" s="1"/>
      <c r="MCF1629" s="1"/>
      <c r="MCG1629" s="1"/>
      <c r="MCH1629" s="1"/>
      <c r="MCI1629" s="1"/>
      <c r="MCJ1629" s="1"/>
      <c r="MCK1629" s="1"/>
      <c r="MCL1629" s="1"/>
      <c r="MCM1629" s="1"/>
      <c r="MCN1629" s="1"/>
      <c r="MCO1629" s="1"/>
      <c r="MCP1629" s="1"/>
      <c r="MCQ1629" s="1"/>
      <c r="MCR1629" s="1"/>
      <c r="MCS1629" s="1"/>
      <c r="MCT1629" s="1"/>
      <c r="MCU1629" s="1"/>
      <c r="MCV1629" s="1"/>
      <c r="MCW1629" s="1"/>
      <c r="MCX1629" s="1"/>
      <c r="MCY1629" s="1"/>
      <c r="MCZ1629" s="1"/>
      <c r="MDA1629" s="1"/>
      <c r="MDB1629" s="1"/>
      <c r="MDC1629" s="1"/>
      <c r="MDD1629" s="1"/>
      <c r="MDE1629" s="1"/>
      <c r="MDF1629" s="1"/>
      <c r="MDG1629" s="1"/>
      <c r="MDH1629" s="1"/>
      <c r="MDI1629" s="1"/>
      <c r="MDJ1629" s="1"/>
      <c r="MDK1629" s="1"/>
      <c r="MDL1629" s="1"/>
      <c r="MDM1629" s="1"/>
      <c r="MDN1629" s="1"/>
      <c r="MDO1629" s="1"/>
      <c r="MDP1629" s="1"/>
      <c r="MDQ1629" s="1"/>
      <c r="MDR1629" s="1"/>
      <c r="MDS1629" s="1"/>
      <c r="MDT1629" s="1"/>
      <c r="MDU1629" s="1"/>
      <c r="MDV1629" s="1"/>
      <c r="MDW1629" s="1"/>
      <c r="MDX1629" s="1"/>
      <c r="MDY1629" s="1"/>
      <c r="MDZ1629" s="1"/>
      <c r="MEA1629" s="1"/>
      <c r="MEB1629" s="1"/>
      <c r="MEC1629" s="1"/>
      <c r="MED1629" s="1"/>
      <c r="MEE1629" s="1"/>
      <c r="MEF1629" s="1"/>
      <c r="MEG1629" s="1"/>
      <c r="MEH1629" s="1"/>
      <c r="MEI1629" s="1"/>
      <c r="MEJ1629" s="1"/>
      <c r="MEK1629" s="1"/>
      <c r="MEL1629" s="1"/>
      <c r="MEM1629" s="1"/>
      <c r="MEN1629" s="1"/>
      <c r="MEO1629" s="1"/>
      <c r="MEP1629" s="1"/>
      <c r="MEQ1629" s="1"/>
      <c r="MER1629" s="1"/>
      <c r="MES1629" s="1"/>
      <c r="MET1629" s="1"/>
      <c r="MEU1629" s="1"/>
      <c r="MEV1629" s="1"/>
      <c r="MEW1629" s="1"/>
      <c r="MEX1629" s="1"/>
      <c r="MEY1629" s="1"/>
      <c r="MEZ1629" s="1"/>
      <c r="MFA1629" s="1"/>
      <c r="MFB1629" s="1"/>
      <c r="MFC1629" s="1"/>
      <c r="MFD1629" s="1"/>
      <c r="MFE1629" s="1"/>
      <c r="MFF1629" s="1"/>
      <c r="MFG1629" s="1"/>
      <c r="MFH1629" s="1"/>
      <c r="MFI1629" s="1"/>
      <c r="MFJ1629" s="1"/>
      <c r="MFK1629" s="1"/>
      <c r="MFL1629" s="1"/>
      <c r="MFM1629" s="1"/>
      <c r="MFN1629" s="1"/>
      <c r="MFO1629" s="1"/>
      <c r="MFP1629" s="1"/>
      <c r="MFQ1629" s="1"/>
      <c r="MFR1629" s="1"/>
      <c r="MFS1629" s="1"/>
      <c r="MFT1629" s="1"/>
      <c r="MFU1629" s="1"/>
      <c r="MFV1629" s="1"/>
      <c r="MFW1629" s="1"/>
      <c r="MFX1629" s="1"/>
      <c r="MFY1629" s="1"/>
      <c r="MFZ1629" s="1"/>
      <c r="MGA1629" s="1"/>
      <c r="MGB1629" s="1"/>
      <c r="MGC1629" s="1"/>
      <c r="MGD1629" s="1"/>
      <c r="MGE1629" s="1"/>
      <c r="MGF1629" s="1"/>
      <c r="MGG1629" s="1"/>
      <c r="MGH1629" s="1"/>
      <c r="MGI1629" s="1"/>
      <c r="MGJ1629" s="1"/>
      <c r="MGK1629" s="1"/>
      <c r="MGL1629" s="1"/>
      <c r="MGM1629" s="1"/>
      <c r="MGN1629" s="1"/>
      <c r="MGO1629" s="1"/>
      <c r="MGP1629" s="1"/>
      <c r="MGQ1629" s="1"/>
      <c r="MGR1629" s="1"/>
      <c r="MGS1629" s="1"/>
      <c r="MGT1629" s="1"/>
      <c r="MGU1629" s="1"/>
      <c r="MGV1629" s="1"/>
      <c r="MGW1629" s="1"/>
      <c r="MGX1629" s="1"/>
      <c r="MGY1629" s="1"/>
      <c r="MGZ1629" s="1"/>
      <c r="MHA1629" s="1"/>
      <c r="MHB1629" s="1"/>
      <c r="MHC1629" s="1"/>
      <c r="MHD1629" s="1"/>
      <c r="MHE1629" s="1"/>
      <c r="MHF1629" s="1"/>
      <c r="MHG1629" s="1"/>
      <c r="MHH1629" s="1"/>
      <c r="MHI1629" s="1"/>
      <c r="MHJ1629" s="1"/>
      <c r="MHK1629" s="1"/>
      <c r="MHL1629" s="1"/>
      <c r="MHM1629" s="1"/>
      <c r="MHN1629" s="1"/>
      <c r="MHO1629" s="1"/>
      <c r="MHP1629" s="1"/>
      <c r="MHQ1629" s="1"/>
      <c r="MHR1629" s="1"/>
      <c r="MHS1629" s="1"/>
      <c r="MHT1629" s="1"/>
      <c r="MHU1629" s="1"/>
      <c r="MHV1629" s="1"/>
      <c r="MHW1629" s="1"/>
      <c r="MHX1629" s="1"/>
      <c r="MHY1629" s="1"/>
      <c r="MHZ1629" s="1"/>
      <c r="MIA1629" s="1"/>
      <c r="MIB1629" s="1"/>
      <c r="MIC1629" s="1"/>
      <c r="MID1629" s="1"/>
      <c r="MIE1629" s="1"/>
      <c r="MIF1629" s="1"/>
      <c r="MIG1629" s="1"/>
      <c r="MIH1629" s="1"/>
      <c r="MII1629" s="1"/>
      <c r="MIJ1629" s="1"/>
      <c r="MIK1629" s="1"/>
      <c r="MIL1629" s="1"/>
      <c r="MIM1629" s="1"/>
      <c r="MIN1629" s="1"/>
      <c r="MIO1629" s="1"/>
      <c r="MIP1629" s="1"/>
      <c r="MIQ1629" s="1"/>
      <c r="MIR1629" s="1"/>
      <c r="MIS1629" s="1"/>
      <c r="MIT1629" s="1"/>
      <c r="MIU1629" s="1"/>
      <c r="MIV1629" s="1"/>
      <c r="MIW1629" s="1"/>
      <c r="MIX1629" s="1"/>
      <c r="MIY1629" s="1"/>
      <c r="MIZ1629" s="1"/>
      <c r="MJA1629" s="1"/>
      <c r="MJB1629" s="1"/>
      <c r="MJC1629" s="1"/>
      <c r="MJD1629" s="1"/>
      <c r="MJE1629" s="1"/>
      <c r="MJF1629" s="1"/>
      <c r="MJG1629" s="1"/>
      <c r="MJH1629" s="1"/>
      <c r="MJI1629" s="1"/>
      <c r="MJJ1629" s="1"/>
      <c r="MJK1629" s="1"/>
      <c r="MJL1629" s="1"/>
      <c r="MJM1629" s="1"/>
      <c r="MJN1629" s="1"/>
      <c r="MJO1629" s="1"/>
      <c r="MJP1629" s="1"/>
      <c r="MJQ1629" s="1"/>
      <c r="MJR1629" s="1"/>
      <c r="MJS1629" s="1"/>
      <c r="MJT1629" s="1"/>
      <c r="MJU1629" s="1"/>
      <c r="MJV1629" s="1"/>
      <c r="MJW1629" s="1"/>
      <c r="MJX1629" s="1"/>
      <c r="MJY1629" s="1"/>
      <c r="MJZ1629" s="1"/>
      <c r="MKA1629" s="1"/>
      <c r="MKB1629" s="1"/>
      <c r="MKC1629" s="1"/>
      <c r="MKD1629" s="1"/>
      <c r="MKE1629" s="1"/>
      <c r="MKF1629" s="1"/>
      <c r="MKG1629" s="1"/>
      <c r="MKH1629" s="1"/>
      <c r="MKI1629" s="1"/>
      <c r="MKJ1629" s="1"/>
      <c r="MKK1629" s="1"/>
      <c r="MKL1629" s="1"/>
      <c r="MKM1629" s="1"/>
      <c r="MKN1629" s="1"/>
      <c r="MKO1629" s="1"/>
      <c r="MKP1629" s="1"/>
      <c r="MKQ1629" s="1"/>
      <c r="MKR1629" s="1"/>
      <c r="MKS1629" s="1"/>
      <c r="MKT1629" s="1"/>
      <c r="MKU1629" s="1"/>
      <c r="MKV1629" s="1"/>
      <c r="MKW1629" s="1"/>
      <c r="MKX1629" s="1"/>
      <c r="MKY1629" s="1"/>
      <c r="MKZ1629" s="1"/>
      <c r="MLA1629" s="1"/>
      <c r="MLB1629" s="1"/>
      <c r="MLC1629" s="1"/>
      <c r="MLD1629" s="1"/>
      <c r="MLE1629" s="1"/>
      <c r="MLF1629" s="1"/>
      <c r="MLG1629" s="1"/>
      <c r="MLH1629" s="1"/>
      <c r="MLI1629" s="1"/>
      <c r="MLJ1629" s="1"/>
      <c r="MLK1629" s="1"/>
      <c r="MLL1629" s="1"/>
      <c r="MLM1629" s="1"/>
      <c r="MLN1629" s="1"/>
      <c r="MLO1629" s="1"/>
      <c r="MLP1629" s="1"/>
      <c r="MLQ1629" s="1"/>
      <c r="MLR1629" s="1"/>
      <c r="MLS1629" s="1"/>
      <c r="MLT1629" s="1"/>
      <c r="MLU1629" s="1"/>
      <c r="MLV1629" s="1"/>
      <c r="MLW1629" s="1"/>
      <c r="MLX1629" s="1"/>
      <c r="MLY1629" s="1"/>
      <c r="MLZ1629" s="1"/>
      <c r="MMA1629" s="1"/>
      <c r="MMB1629" s="1"/>
      <c r="MMC1629" s="1"/>
      <c r="MMD1629" s="1"/>
      <c r="MME1629" s="1"/>
      <c r="MMF1629" s="1"/>
      <c r="MMG1629" s="1"/>
      <c r="MMH1629" s="1"/>
      <c r="MMI1629" s="1"/>
      <c r="MMJ1629" s="1"/>
      <c r="MMK1629" s="1"/>
      <c r="MML1629" s="1"/>
      <c r="MMM1629" s="1"/>
      <c r="MMN1629" s="1"/>
      <c r="MMO1629" s="1"/>
      <c r="MMP1629" s="1"/>
      <c r="MMQ1629" s="1"/>
      <c r="MMR1629" s="1"/>
      <c r="MMS1629" s="1"/>
      <c r="MMT1629" s="1"/>
      <c r="MMU1629" s="1"/>
      <c r="MMV1629" s="1"/>
      <c r="MMW1629" s="1"/>
      <c r="MMX1629" s="1"/>
      <c r="MMY1629" s="1"/>
      <c r="MMZ1629" s="1"/>
      <c r="MNA1629" s="1"/>
      <c r="MNB1629" s="1"/>
      <c r="MNC1629" s="1"/>
      <c r="MND1629" s="1"/>
      <c r="MNE1629" s="1"/>
      <c r="MNF1629" s="1"/>
      <c r="MNG1629" s="1"/>
      <c r="MNH1629" s="1"/>
      <c r="MNI1629" s="1"/>
      <c r="MNJ1629" s="1"/>
      <c r="MNK1629" s="1"/>
      <c r="MNL1629" s="1"/>
      <c r="MNM1629" s="1"/>
      <c r="MNN1629" s="1"/>
      <c r="MNO1629" s="1"/>
      <c r="MNP1629" s="1"/>
      <c r="MNQ1629" s="1"/>
      <c r="MNR1629" s="1"/>
      <c r="MNS1629" s="1"/>
      <c r="MNT1629" s="1"/>
      <c r="MNU1629" s="1"/>
      <c r="MNV1629" s="1"/>
      <c r="MNW1629" s="1"/>
      <c r="MNX1629" s="1"/>
      <c r="MNY1629" s="1"/>
      <c r="MNZ1629" s="1"/>
      <c r="MOA1629" s="1"/>
      <c r="MOB1629" s="1"/>
      <c r="MOC1629" s="1"/>
      <c r="MOD1629" s="1"/>
      <c r="MOE1629" s="1"/>
      <c r="MOF1629" s="1"/>
      <c r="MOG1629" s="1"/>
      <c r="MOH1629" s="1"/>
      <c r="MOI1629" s="1"/>
      <c r="MOJ1629" s="1"/>
      <c r="MOK1629" s="1"/>
      <c r="MOL1629" s="1"/>
      <c r="MOM1629" s="1"/>
      <c r="MON1629" s="1"/>
      <c r="MOO1629" s="1"/>
      <c r="MOP1629" s="1"/>
      <c r="MOQ1629" s="1"/>
      <c r="MOR1629" s="1"/>
      <c r="MOS1629" s="1"/>
      <c r="MOT1629" s="1"/>
      <c r="MOU1629" s="1"/>
      <c r="MOV1629" s="1"/>
      <c r="MOW1629" s="1"/>
      <c r="MOX1629" s="1"/>
      <c r="MOY1629" s="1"/>
      <c r="MOZ1629" s="1"/>
      <c r="MPA1629" s="1"/>
      <c r="MPB1629" s="1"/>
      <c r="MPC1629" s="1"/>
      <c r="MPD1629" s="1"/>
      <c r="MPE1629" s="1"/>
      <c r="MPF1629" s="1"/>
      <c r="MPG1629" s="1"/>
      <c r="MPH1629" s="1"/>
      <c r="MPI1629" s="1"/>
      <c r="MPJ1629" s="1"/>
      <c r="MPK1629" s="1"/>
      <c r="MPL1629" s="1"/>
      <c r="MPM1629" s="1"/>
      <c r="MPN1629" s="1"/>
      <c r="MPO1629" s="1"/>
      <c r="MPP1629" s="1"/>
      <c r="MPQ1629" s="1"/>
      <c r="MPR1629" s="1"/>
      <c r="MPS1629" s="1"/>
      <c r="MPT1629" s="1"/>
      <c r="MPU1629" s="1"/>
      <c r="MPV1629" s="1"/>
      <c r="MPW1629" s="1"/>
      <c r="MPX1629" s="1"/>
      <c r="MPY1629" s="1"/>
      <c r="MPZ1629" s="1"/>
      <c r="MQA1629" s="1"/>
      <c r="MQB1629" s="1"/>
      <c r="MQC1629" s="1"/>
      <c r="MQD1629" s="1"/>
      <c r="MQE1629" s="1"/>
      <c r="MQF1629" s="1"/>
      <c r="MQG1629" s="1"/>
      <c r="MQH1629" s="1"/>
      <c r="MQI1629" s="1"/>
      <c r="MQJ1629" s="1"/>
      <c r="MQK1629" s="1"/>
      <c r="MQL1629" s="1"/>
      <c r="MQM1629" s="1"/>
      <c r="MQN1629" s="1"/>
      <c r="MQO1629" s="1"/>
      <c r="MQP1629" s="1"/>
      <c r="MQQ1629" s="1"/>
      <c r="MQR1629" s="1"/>
      <c r="MQS1629" s="1"/>
      <c r="MQT1629" s="1"/>
      <c r="MQU1629" s="1"/>
      <c r="MQV1629" s="1"/>
      <c r="MQW1629" s="1"/>
      <c r="MQX1629" s="1"/>
      <c r="MQY1629" s="1"/>
      <c r="MQZ1629" s="1"/>
      <c r="MRA1629" s="1"/>
      <c r="MRB1629" s="1"/>
      <c r="MRC1629" s="1"/>
      <c r="MRD1629" s="1"/>
      <c r="MRE1629" s="1"/>
      <c r="MRF1629" s="1"/>
      <c r="MRG1629" s="1"/>
      <c r="MRH1629" s="1"/>
      <c r="MRI1629" s="1"/>
      <c r="MRJ1629" s="1"/>
      <c r="MRK1629" s="1"/>
      <c r="MRL1629" s="1"/>
      <c r="MRM1629" s="1"/>
      <c r="MRN1629" s="1"/>
      <c r="MRO1629" s="1"/>
      <c r="MRP1629" s="1"/>
      <c r="MRQ1629" s="1"/>
      <c r="MRR1629" s="1"/>
      <c r="MRS1629" s="1"/>
      <c r="MRT1629" s="1"/>
      <c r="MRU1629" s="1"/>
      <c r="MRV1629" s="1"/>
      <c r="MRW1629" s="1"/>
      <c r="MRX1629" s="1"/>
      <c r="MRY1629" s="1"/>
      <c r="MRZ1629" s="1"/>
      <c r="MSA1629" s="1"/>
      <c r="MSB1629" s="1"/>
      <c r="MSC1629" s="1"/>
      <c r="MSD1629" s="1"/>
      <c r="MSE1629" s="1"/>
      <c r="MSF1629" s="1"/>
      <c r="MSG1629" s="1"/>
      <c r="MSH1629" s="1"/>
      <c r="MSI1629" s="1"/>
      <c r="MSJ1629" s="1"/>
      <c r="MSK1629" s="1"/>
      <c r="MSL1629" s="1"/>
      <c r="MSM1629" s="1"/>
      <c r="MSN1629" s="1"/>
      <c r="MSO1629" s="1"/>
      <c r="MSP1629" s="1"/>
      <c r="MSQ1629" s="1"/>
      <c r="MSR1629" s="1"/>
      <c r="MSS1629" s="1"/>
      <c r="MST1629" s="1"/>
      <c r="MSU1629" s="1"/>
      <c r="MSV1629" s="1"/>
      <c r="MSW1629" s="1"/>
      <c r="MSX1629" s="1"/>
      <c r="MSY1629" s="1"/>
      <c r="MSZ1629" s="1"/>
      <c r="MTA1629" s="1"/>
      <c r="MTB1629" s="1"/>
      <c r="MTC1629" s="1"/>
      <c r="MTD1629" s="1"/>
      <c r="MTE1629" s="1"/>
      <c r="MTF1629" s="1"/>
      <c r="MTG1629" s="1"/>
      <c r="MTH1629" s="1"/>
      <c r="MTI1629" s="1"/>
      <c r="MTJ1629" s="1"/>
      <c r="MTK1629" s="1"/>
      <c r="MTL1629" s="1"/>
      <c r="MTM1629" s="1"/>
      <c r="MTN1629" s="1"/>
      <c r="MTO1629" s="1"/>
      <c r="MTP1629" s="1"/>
      <c r="MTQ1629" s="1"/>
      <c r="MTR1629" s="1"/>
      <c r="MTS1629" s="1"/>
      <c r="MTT1629" s="1"/>
      <c r="MTU1629" s="1"/>
      <c r="MTV1629" s="1"/>
      <c r="MTW1629" s="1"/>
      <c r="MTX1629" s="1"/>
      <c r="MTY1629" s="1"/>
      <c r="MTZ1629" s="1"/>
      <c r="MUA1629" s="1"/>
      <c r="MUB1629" s="1"/>
      <c r="MUC1629" s="1"/>
      <c r="MUD1629" s="1"/>
      <c r="MUE1629" s="1"/>
      <c r="MUF1629" s="1"/>
      <c r="MUG1629" s="1"/>
      <c r="MUH1629" s="1"/>
      <c r="MUI1629" s="1"/>
      <c r="MUJ1629" s="1"/>
      <c r="MUK1629" s="1"/>
      <c r="MUL1629" s="1"/>
      <c r="MUM1629" s="1"/>
      <c r="MUN1629" s="1"/>
      <c r="MUO1629" s="1"/>
      <c r="MUP1629" s="1"/>
      <c r="MUQ1629" s="1"/>
      <c r="MUR1629" s="1"/>
      <c r="MUS1629" s="1"/>
      <c r="MUT1629" s="1"/>
      <c r="MUU1629" s="1"/>
      <c r="MUV1629" s="1"/>
      <c r="MUW1629" s="1"/>
      <c r="MUX1629" s="1"/>
      <c r="MUY1629" s="1"/>
      <c r="MUZ1629" s="1"/>
      <c r="MVA1629" s="1"/>
      <c r="MVB1629" s="1"/>
      <c r="MVC1629" s="1"/>
      <c r="MVD1629" s="1"/>
      <c r="MVE1629" s="1"/>
      <c r="MVF1629" s="1"/>
      <c r="MVG1629" s="1"/>
      <c r="MVH1629" s="1"/>
      <c r="MVI1629" s="1"/>
      <c r="MVJ1629" s="1"/>
      <c r="MVK1629" s="1"/>
      <c r="MVL1629" s="1"/>
      <c r="MVM1629" s="1"/>
      <c r="MVN1629" s="1"/>
      <c r="MVO1629" s="1"/>
      <c r="MVP1629" s="1"/>
      <c r="MVQ1629" s="1"/>
      <c r="MVR1629" s="1"/>
      <c r="MVS1629" s="1"/>
      <c r="MVT1629" s="1"/>
      <c r="MVU1629" s="1"/>
      <c r="MVV1629" s="1"/>
      <c r="MVW1629" s="1"/>
      <c r="MVX1629" s="1"/>
      <c r="MVY1629" s="1"/>
      <c r="MVZ1629" s="1"/>
      <c r="MWA1629" s="1"/>
      <c r="MWB1629" s="1"/>
      <c r="MWC1629" s="1"/>
      <c r="MWD1629" s="1"/>
      <c r="MWE1629" s="1"/>
      <c r="MWF1629" s="1"/>
      <c r="MWG1629" s="1"/>
      <c r="MWH1629" s="1"/>
      <c r="MWI1629" s="1"/>
      <c r="MWJ1629" s="1"/>
      <c r="MWK1629" s="1"/>
      <c r="MWL1629" s="1"/>
      <c r="MWM1629" s="1"/>
      <c r="MWN1629" s="1"/>
      <c r="MWO1629" s="1"/>
      <c r="MWP1629" s="1"/>
      <c r="MWQ1629" s="1"/>
      <c r="MWR1629" s="1"/>
      <c r="MWS1629" s="1"/>
      <c r="MWT1629" s="1"/>
      <c r="MWU1629" s="1"/>
      <c r="MWV1629" s="1"/>
      <c r="MWW1629" s="1"/>
      <c r="MWX1629" s="1"/>
      <c r="MWY1629" s="1"/>
      <c r="MWZ1629" s="1"/>
      <c r="MXA1629" s="1"/>
      <c r="MXB1629" s="1"/>
      <c r="MXC1629" s="1"/>
      <c r="MXD1629" s="1"/>
      <c r="MXE1629" s="1"/>
      <c r="MXF1629" s="1"/>
      <c r="MXG1629" s="1"/>
      <c r="MXH1629" s="1"/>
      <c r="MXI1629" s="1"/>
      <c r="MXJ1629" s="1"/>
      <c r="MXK1629" s="1"/>
      <c r="MXL1629" s="1"/>
      <c r="MXM1629" s="1"/>
      <c r="MXN1629" s="1"/>
      <c r="MXO1629" s="1"/>
      <c r="MXP1629" s="1"/>
      <c r="MXQ1629" s="1"/>
      <c r="MXR1629" s="1"/>
      <c r="MXS1629" s="1"/>
      <c r="MXT1629" s="1"/>
      <c r="MXU1629" s="1"/>
      <c r="MXV1629" s="1"/>
      <c r="MXW1629" s="1"/>
      <c r="MXX1629" s="1"/>
      <c r="MXY1629" s="1"/>
      <c r="MXZ1629" s="1"/>
      <c r="MYA1629" s="1"/>
      <c r="MYB1629" s="1"/>
      <c r="MYC1629" s="1"/>
      <c r="MYD1629" s="1"/>
      <c r="MYE1629" s="1"/>
      <c r="MYF1629" s="1"/>
      <c r="MYG1629" s="1"/>
      <c r="MYH1629" s="1"/>
      <c r="MYI1629" s="1"/>
      <c r="MYJ1629" s="1"/>
      <c r="MYK1629" s="1"/>
      <c r="MYL1629" s="1"/>
      <c r="MYM1629" s="1"/>
      <c r="MYN1629" s="1"/>
      <c r="MYO1629" s="1"/>
      <c r="MYP1629" s="1"/>
      <c r="MYQ1629" s="1"/>
      <c r="MYR1629" s="1"/>
      <c r="MYS1629" s="1"/>
      <c r="MYT1629" s="1"/>
      <c r="MYU1629" s="1"/>
      <c r="MYV1629" s="1"/>
      <c r="MYW1629" s="1"/>
      <c r="MYX1629" s="1"/>
      <c r="MYY1629" s="1"/>
      <c r="MYZ1629" s="1"/>
      <c r="MZA1629" s="1"/>
      <c r="MZB1629" s="1"/>
      <c r="MZC1629" s="1"/>
      <c r="MZD1629" s="1"/>
      <c r="MZE1629" s="1"/>
      <c r="MZF1629" s="1"/>
      <c r="MZG1629" s="1"/>
      <c r="MZH1629" s="1"/>
      <c r="MZI1629" s="1"/>
      <c r="MZJ1629" s="1"/>
      <c r="MZK1629" s="1"/>
      <c r="MZL1629" s="1"/>
      <c r="MZM1629" s="1"/>
      <c r="MZN1629" s="1"/>
      <c r="MZO1629" s="1"/>
      <c r="MZP1629" s="1"/>
      <c r="MZQ1629" s="1"/>
      <c r="MZR1629" s="1"/>
      <c r="MZS1629" s="1"/>
      <c r="MZT1629" s="1"/>
      <c r="MZU1629" s="1"/>
      <c r="MZV1629" s="1"/>
      <c r="MZW1629" s="1"/>
      <c r="MZX1629" s="1"/>
      <c r="MZY1629" s="1"/>
      <c r="MZZ1629" s="1"/>
      <c r="NAA1629" s="1"/>
      <c r="NAB1629" s="1"/>
      <c r="NAC1629" s="1"/>
      <c r="NAD1629" s="1"/>
      <c r="NAE1629" s="1"/>
      <c r="NAF1629" s="1"/>
      <c r="NAG1629" s="1"/>
      <c r="NAH1629" s="1"/>
      <c r="NAI1629" s="1"/>
      <c r="NAJ1629" s="1"/>
      <c r="NAK1629" s="1"/>
      <c r="NAL1629" s="1"/>
      <c r="NAM1629" s="1"/>
      <c r="NAN1629" s="1"/>
      <c r="NAO1629" s="1"/>
      <c r="NAP1629" s="1"/>
      <c r="NAQ1629" s="1"/>
      <c r="NAR1629" s="1"/>
      <c r="NAS1629" s="1"/>
      <c r="NAT1629" s="1"/>
      <c r="NAU1629" s="1"/>
      <c r="NAV1629" s="1"/>
      <c r="NAW1629" s="1"/>
      <c r="NAX1629" s="1"/>
      <c r="NAY1629" s="1"/>
      <c r="NAZ1629" s="1"/>
      <c r="NBA1629" s="1"/>
      <c r="NBB1629" s="1"/>
      <c r="NBC1629" s="1"/>
      <c r="NBD1629" s="1"/>
      <c r="NBE1629" s="1"/>
      <c r="NBF1629" s="1"/>
      <c r="NBG1629" s="1"/>
      <c r="NBH1629" s="1"/>
      <c r="NBI1629" s="1"/>
      <c r="NBJ1629" s="1"/>
      <c r="NBK1629" s="1"/>
      <c r="NBL1629" s="1"/>
      <c r="NBM1629" s="1"/>
      <c r="NBN1629" s="1"/>
      <c r="NBO1629" s="1"/>
      <c r="NBP1629" s="1"/>
      <c r="NBQ1629" s="1"/>
      <c r="NBR1629" s="1"/>
      <c r="NBS1629" s="1"/>
      <c r="NBT1629" s="1"/>
      <c r="NBU1629" s="1"/>
      <c r="NBV1629" s="1"/>
      <c r="NBW1629" s="1"/>
      <c r="NBX1629" s="1"/>
      <c r="NBY1629" s="1"/>
      <c r="NBZ1629" s="1"/>
      <c r="NCA1629" s="1"/>
      <c r="NCB1629" s="1"/>
      <c r="NCC1629" s="1"/>
      <c r="NCD1629" s="1"/>
      <c r="NCE1629" s="1"/>
      <c r="NCF1629" s="1"/>
      <c r="NCG1629" s="1"/>
      <c r="NCH1629" s="1"/>
      <c r="NCI1629" s="1"/>
      <c r="NCJ1629" s="1"/>
      <c r="NCK1629" s="1"/>
      <c r="NCL1629" s="1"/>
      <c r="NCM1629" s="1"/>
      <c r="NCN1629" s="1"/>
      <c r="NCO1629" s="1"/>
      <c r="NCP1629" s="1"/>
      <c r="NCQ1629" s="1"/>
      <c r="NCR1629" s="1"/>
      <c r="NCS1629" s="1"/>
      <c r="NCT1629" s="1"/>
      <c r="NCU1629" s="1"/>
      <c r="NCV1629" s="1"/>
      <c r="NCW1629" s="1"/>
      <c r="NCX1629" s="1"/>
      <c r="NCY1629" s="1"/>
      <c r="NCZ1629" s="1"/>
      <c r="NDA1629" s="1"/>
      <c r="NDB1629" s="1"/>
      <c r="NDC1629" s="1"/>
      <c r="NDD1629" s="1"/>
      <c r="NDE1629" s="1"/>
      <c r="NDF1629" s="1"/>
      <c r="NDG1629" s="1"/>
      <c r="NDH1629" s="1"/>
      <c r="NDI1629" s="1"/>
      <c r="NDJ1629" s="1"/>
      <c r="NDK1629" s="1"/>
      <c r="NDL1629" s="1"/>
      <c r="NDM1629" s="1"/>
      <c r="NDN1629" s="1"/>
      <c r="NDO1629" s="1"/>
      <c r="NDP1629" s="1"/>
      <c r="NDQ1629" s="1"/>
      <c r="NDR1629" s="1"/>
      <c r="NDS1629" s="1"/>
      <c r="NDT1629" s="1"/>
      <c r="NDU1629" s="1"/>
      <c r="NDV1629" s="1"/>
      <c r="NDW1629" s="1"/>
      <c r="NDX1629" s="1"/>
      <c r="NDY1629" s="1"/>
      <c r="NDZ1629" s="1"/>
      <c r="NEA1629" s="1"/>
      <c r="NEB1629" s="1"/>
      <c r="NEC1629" s="1"/>
      <c r="NED1629" s="1"/>
      <c r="NEE1629" s="1"/>
      <c r="NEF1629" s="1"/>
      <c r="NEG1629" s="1"/>
      <c r="NEH1629" s="1"/>
      <c r="NEI1629" s="1"/>
      <c r="NEJ1629" s="1"/>
      <c r="NEK1629" s="1"/>
      <c r="NEL1629" s="1"/>
      <c r="NEM1629" s="1"/>
      <c r="NEN1629" s="1"/>
      <c r="NEO1629" s="1"/>
      <c r="NEP1629" s="1"/>
      <c r="NEQ1629" s="1"/>
      <c r="NER1629" s="1"/>
      <c r="NES1629" s="1"/>
      <c r="NET1629" s="1"/>
      <c r="NEU1629" s="1"/>
      <c r="NEV1629" s="1"/>
      <c r="NEW1629" s="1"/>
      <c r="NEX1629" s="1"/>
      <c r="NEY1629" s="1"/>
      <c r="NEZ1629" s="1"/>
      <c r="NFA1629" s="1"/>
      <c r="NFB1629" s="1"/>
      <c r="NFC1629" s="1"/>
      <c r="NFD1629" s="1"/>
      <c r="NFE1629" s="1"/>
      <c r="NFF1629" s="1"/>
      <c r="NFG1629" s="1"/>
      <c r="NFH1629" s="1"/>
      <c r="NFI1629" s="1"/>
      <c r="NFJ1629" s="1"/>
      <c r="NFK1629" s="1"/>
      <c r="NFL1629" s="1"/>
      <c r="NFM1629" s="1"/>
      <c r="NFN1629" s="1"/>
      <c r="NFO1629" s="1"/>
      <c r="NFP1629" s="1"/>
      <c r="NFQ1629" s="1"/>
      <c r="NFR1629" s="1"/>
      <c r="NFS1629" s="1"/>
      <c r="NFT1629" s="1"/>
      <c r="NFU1629" s="1"/>
      <c r="NFV1629" s="1"/>
      <c r="NFW1629" s="1"/>
      <c r="NFX1629" s="1"/>
      <c r="NFY1629" s="1"/>
      <c r="NFZ1629" s="1"/>
      <c r="NGA1629" s="1"/>
      <c r="NGB1629" s="1"/>
      <c r="NGC1629" s="1"/>
      <c r="NGD1629" s="1"/>
      <c r="NGE1629" s="1"/>
      <c r="NGF1629" s="1"/>
      <c r="NGG1629" s="1"/>
      <c r="NGH1629" s="1"/>
      <c r="NGI1629" s="1"/>
      <c r="NGJ1629" s="1"/>
      <c r="NGK1629" s="1"/>
      <c r="NGL1629" s="1"/>
      <c r="NGM1629" s="1"/>
      <c r="NGN1629" s="1"/>
      <c r="NGO1629" s="1"/>
      <c r="NGP1629" s="1"/>
      <c r="NGQ1629" s="1"/>
      <c r="NGR1629" s="1"/>
      <c r="NGS1629" s="1"/>
      <c r="NGT1629" s="1"/>
      <c r="NGU1629" s="1"/>
      <c r="NGV1629" s="1"/>
      <c r="NGW1629" s="1"/>
      <c r="NGX1629" s="1"/>
      <c r="NGY1629" s="1"/>
      <c r="NGZ1629" s="1"/>
      <c r="NHA1629" s="1"/>
      <c r="NHB1629" s="1"/>
      <c r="NHC1629" s="1"/>
      <c r="NHD1629" s="1"/>
      <c r="NHE1629" s="1"/>
      <c r="NHF1629" s="1"/>
      <c r="NHG1629" s="1"/>
      <c r="NHH1629" s="1"/>
      <c r="NHI1629" s="1"/>
      <c r="NHJ1629" s="1"/>
      <c r="NHK1629" s="1"/>
      <c r="NHL1629" s="1"/>
      <c r="NHM1629" s="1"/>
      <c r="NHN1629" s="1"/>
      <c r="NHO1629" s="1"/>
      <c r="NHP1629" s="1"/>
      <c r="NHQ1629" s="1"/>
      <c r="NHR1629" s="1"/>
      <c r="NHS1629" s="1"/>
      <c r="NHT1629" s="1"/>
      <c r="NHU1629" s="1"/>
      <c r="NHV1629" s="1"/>
      <c r="NHW1629" s="1"/>
      <c r="NHX1629" s="1"/>
      <c r="NHY1629" s="1"/>
      <c r="NHZ1629" s="1"/>
      <c r="NIA1629" s="1"/>
      <c r="NIB1629" s="1"/>
      <c r="NIC1629" s="1"/>
      <c r="NID1629" s="1"/>
      <c r="NIE1629" s="1"/>
      <c r="NIF1629" s="1"/>
      <c r="NIG1629" s="1"/>
      <c r="NIH1629" s="1"/>
      <c r="NII1629" s="1"/>
      <c r="NIJ1629" s="1"/>
      <c r="NIK1629" s="1"/>
      <c r="NIL1629" s="1"/>
      <c r="NIM1629" s="1"/>
      <c r="NIN1629" s="1"/>
      <c r="NIO1629" s="1"/>
      <c r="NIP1629" s="1"/>
      <c r="NIQ1629" s="1"/>
      <c r="NIR1629" s="1"/>
      <c r="NIS1629" s="1"/>
      <c r="NIT1629" s="1"/>
      <c r="NIU1629" s="1"/>
      <c r="NIV1629" s="1"/>
      <c r="NIW1629" s="1"/>
      <c r="NIX1629" s="1"/>
      <c r="NIY1629" s="1"/>
      <c r="NIZ1629" s="1"/>
      <c r="NJA1629" s="1"/>
      <c r="NJB1629" s="1"/>
      <c r="NJC1629" s="1"/>
      <c r="NJD1629" s="1"/>
      <c r="NJE1629" s="1"/>
      <c r="NJF1629" s="1"/>
      <c r="NJG1629" s="1"/>
      <c r="NJH1629" s="1"/>
      <c r="NJI1629" s="1"/>
      <c r="NJJ1629" s="1"/>
      <c r="NJK1629" s="1"/>
      <c r="NJL1629" s="1"/>
      <c r="NJM1629" s="1"/>
      <c r="NJN1629" s="1"/>
      <c r="NJO1629" s="1"/>
      <c r="NJP1629" s="1"/>
      <c r="NJQ1629" s="1"/>
      <c r="NJR1629" s="1"/>
      <c r="NJS1629" s="1"/>
      <c r="NJT1629" s="1"/>
      <c r="NJU1629" s="1"/>
      <c r="NJV1629" s="1"/>
      <c r="NJW1629" s="1"/>
      <c r="NJX1629" s="1"/>
      <c r="NJY1629" s="1"/>
      <c r="NJZ1629" s="1"/>
      <c r="NKA1629" s="1"/>
      <c r="NKB1629" s="1"/>
      <c r="NKC1629" s="1"/>
      <c r="NKD1629" s="1"/>
      <c r="NKE1629" s="1"/>
      <c r="NKF1629" s="1"/>
      <c r="NKG1629" s="1"/>
      <c r="NKH1629" s="1"/>
      <c r="NKI1629" s="1"/>
      <c r="NKJ1629" s="1"/>
      <c r="NKK1629" s="1"/>
      <c r="NKL1629" s="1"/>
      <c r="NKM1629" s="1"/>
      <c r="NKN1629" s="1"/>
      <c r="NKO1629" s="1"/>
      <c r="NKP1629" s="1"/>
      <c r="NKQ1629" s="1"/>
      <c r="NKR1629" s="1"/>
      <c r="NKS1629" s="1"/>
      <c r="NKT1629" s="1"/>
      <c r="NKU1629" s="1"/>
      <c r="NKV1629" s="1"/>
      <c r="NKW1629" s="1"/>
      <c r="NKX1629" s="1"/>
      <c r="NKY1629" s="1"/>
      <c r="NKZ1629" s="1"/>
      <c r="NLA1629" s="1"/>
      <c r="NLB1629" s="1"/>
      <c r="NLC1629" s="1"/>
      <c r="NLD1629" s="1"/>
      <c r="NLE1629" s="1"/>
      <c r="NLF1629" s="1"/>
      <c r="NLG1629" s="1"/>
      <c r="NLH1629" s="1"/>
      <c r="NLI1629" s="1"/>
      <c r="NLJ1629" s="1"/>
      <c r="NLK1629" s="1"/>
      <c r="NLL1629" s="1"/>
      <c r="NLM1629" s="1"/>
      <c r="NLN1629" s="1"/>
      <c r="NLO1629" s="1"/>
      <c r="NLP1629" s="1"/>
      <c r="NLQ1629" s="1"/>
      <c r="NLR1629" s="1"/>
      <c r="NLS1629" s="1"/>
      <c r="NLT1629" s="1"/>
      <c r="NLU1629" s="1"/>
      <c r="NLV1629" s="1"/>
      <c r="NLW1629" s="1"/>
      <c r="NLX1629" s="1"/>
      <c r="NLY1629" s="1"/>
      <c r="NLZ1629" s="1"/>
      <c r="NMA1629" s="1"/>
      <c r="NMB1629" s="1"/>
      <c r="NMC1629" s="1"/>
      <c r="NMD1629" s="1"/>
      <c r="NME1629" s="1"/>
      <c r="NMF1629" s="1"/>
      <c r="NMG1629" s="1"/>
      <c r="NMH1629" s="1"/>
      <c r="NMI1629" s="1"/>
      <c r="NMJ1629" s="1"/>
      <c r="NMK1629" s="1"/>
      <c r="NML1629" s="1"/>
      <c r="NMM1629" s="1"/>
      <c r="NMN1629" s="1"/>
      <c r="NMO1629" s="1"/>
      <c r="NMP1629" s="1"/>
      <c r="NMQ1629" s="1"/>
      <c r="NMR1629" s="1"/>
      <c r="NMS1629" s="1"/>
      <c r="NMT1629" s="1"/>
      <c r="NMU1629" s="1"/>
      <c r="NMV1629" s="1"/>
      <c r="NMW1629" s="1"/>
      <c r="NMX1629" s="1"/>
      <c r="NMY1629" s="1"/>
      <c r="NMZ1629" s="1"/>
      <c r="NNA1629" s="1"/>
      <c r="NNB1629" s="1"/>
      <c r="NNC1629" s="1"/>
      <c r="NND1629" s="1"/>
      <c r="NNE1629" s="1"/>
      <c r="NNF1629" s="1"/>
      <c r="NNG1629" s="1"/>
      <c r="NNH1629" s="1"/>
      <c r="NNI1629" s="1"/>
      <c r="NNJ1629" s="1"/>
      <c r="NNK1629" s="1"/>
      <c r="NNL1629" s="1"/>
      <c r="NNM1629" s="1"/>
      <c r="NNN1629" s="1"/>
      <c r="NNO1629" s="1"/>
      <c r="NNP1629" s="1"/>
      <c r="NNQ1629" s="1"/>
      <c r="NNR1629" s="1"/>
      <c r="NNS1629" s="1"/>
      <c r="NNT1629" s="1"/>
      <c r="NNU1629" s="1"/>
      <c r="NNV1629" s="1"/>
      <c r="NNW1629" s="1"/>
      <c r="NNX1629" s="1"/>
      <c r="NNY1629" s="1"/>
      <c r="NNZ1629" s="1"/>
      <c r="NOA1629" s="1"/>
      <c r="NOB1629" s="1"/>
      <c r="NOC1629" s="1"/>
      <c r="NOD1629" s="1"/>
      <c r="NOE1629" s="1"/>
      <c r="NOF1629" s="1"/>
      <c r="NOG1629" s="1"/>
      <c r="NOH1629" s="1"/>
      <c r="NOI1629" s="1"/>
      <c r="NOJ1629" s="1"/>
      <c r="NOK1629" s="1"/>
      <c r="NOL1629" s="1"/>
      <c r="NOM1629" s="1"/>
      <c r="NON1629" s="1"/>
      <c r="NOO1629" s="1"/>
      <c r="NOP1629" s="1"/>
      <c r="NOQ1629" s="1"/>
      <c r="NOR1629" s="1"/>
      <c r="NOS1629" s="1"/>
      <c r="NOT1629" s="1"/>
      <c r="NOU1629" s="1"/>
      <c r="NOV1629" s="1"/>
      <c r="NOW1629" s="1"/>
      <c r="NOX1629" s="1"/>
      <c r="NOY1629" s="1"/>
      <c r="NOZ1629" s="1"/>
      <c r="NPA1629" s="1"/>
      <c r="NPB1629" s="1"/>
      <c r="NPC1629" s="1"/>
      <c r="NPD1629" s="1"/>
      <c r="NPE1629" s="1"/>
      <c r="NPF1629" s="1"/>
      <c r="NPG1629" s="1"/>
      <c r="NPH1629" s="1"/>
      <c r="NPI1629" s="1"/>
      <c r="NPJ1629" s="1"/>
      <c r="NPK1629" s="1"/>
      <c r="NPL1629" s="1"/>
      <c r="NPM1629" s="1"/>
      <c r="NPN1629" s="1"/>
      <c r="NPO1629" s="1"/>
      <c r="NPP1629" s="1"/>
      <c r="NPQ1629" s="1"/>
      <c r="NPR1629" s="1"/>
      <c r="NPS1629" s="1"/>
      <c r="NPT1629" s="1"/>
      <c r="NPU1629" s="1"/>
      <c r="NPV1629" s="1"/>
      <c r="NPW1629" s="1"/>
      <c r="NPX1629" s="1"/>
      <c r="NPY1629" s="1"/>
      <c r="NPZ1629" s="1"/>
      <c r="NQA1629" s="1"/>
      <c r="NQB1629" s="1"/>
      <c r="NQC1629" s="1"/>
      <c r="NQD1629" s="1"/>
      <c r="NQE1629" s="1"/>
      <c r="NQF1629" s="1"/>
      <c r="NQG1629" s="1"/>
      <c r="NQH1629" s="1"/>
      <c r="NQI1629" s="1"/>
      <c r="NQJ1629" s="1"/>
      <c r="NQK1629" s="1"/>
      <c r="NQL1629" s="1"/>
      <c r="NQM1629" s="1"/>
      <c r="NQN1629" s="1"/>
      <c r="NQO1629" s="1"/>
      <c r="NQP1629" s="1"/>
      <c r="NQQ1629" s="1"/>
      <c r="NQR1629" s="1"/>
      <c r="NQS1629" s="1"/>
      <c r="NQT1629" s="1"/>
      <c r="NQU1629" s="1"/>
      <c r="NQV1629" s="1"/>
      <c r="NQW1629" s="1"/>
      <c r="NQX1629" s="1"/>
      <c r="NQY1629" s="1"/>
      <c r="NQZ1629" s="1"/>
      <c r="NRA1629" s="1"/>
      <c r="NRB1629" s="1"/>
      <c r="NRC1629" s="1"/>
      <c r="NRD1629" s="1"/>
      <c r="NRE1629" s="1"/>
      <c r="NRF1629" s="1"/>
      <c r="NRG1629" s="1"/>
      <c r="NRH1629" s="1"/>
      <c r="NRI1629" s="1"/>
      <c r="NRJ1629" s="1"/>
      <c r="NRK1629" s="1"/>
      <c r="NRL1629" s="1"/>
      <c r="NRM1629" s="1"/>
      <c r="NRN1629" s="1"/>
      <c r="NRO1629" s="1"/>
      <c r="NRP1629" s="1"/>
      <c r="NRQ1629" s="1"/>
      <c r="NRR1629" s="1"/>
      <c r="NRS1629" s="1"/>
      <c r="NRT1629" s="1"/>
      <c r="NRU1629" s="1"/>
      <c r="NRV1629" s="1"/>
      <c r="NRW1629" s="1"/>
      <c r="NRX1629" s="1"/>
      <c r="NRY1629" s="1"/>
      <c r="NRZ1629" s="1"/>
      <c r="NSA1629" s="1"/>
      <c r="NSB1629" s="1"/>
      <c r="NSC1629" s="1"/>
      <c r="NSD1629" s="1"/>
      <c r="NSE1629" s="1"/>
      <c r="NSF1629" s="1"/>
      <c r="NSG1629" s="1"/>
      <c r="NSH1629" s="1"/>
      <c r="NSI1629" s="1"/>
      <c r="NSJ1629" s="1"/>
      <c r="NSK1629" s="1"/>
      <c r="NSL1629" s="1"/>
      <c r="NSM1629" s="1"/>
      <c r="NSN1629" s="1"/>
      <c r="NSO1629" s="1"/>
      <c r="NSP1629" s="1"/>
      <c r="NSQ1629" s="1"/>
      <c r="NSR1629" s="1"/>
      <c r="NSS1629" s="1"/>
      <c r="NST1629" s="1"/>
      <c r="NSU1629" s="1"/>
      <c r="NSV1629" s="1"/>
      <c r="NSW1629" s="1"/>
      <c r="NSX1629" s="1"/>
      <c r="NSY1629" s="1"/>
      <c r="NSZ1629" s="1"/>
      <c r="NTA1629" s="1"/>
      <c r="NTB1629" s="1"/>
      <c r="NTC1629" s="1"/>
      <c r="NTD1629" s="1"/>
      <c r="NTE1629" s="1"/>
      <c r="NTF1629" s="1"/>
      <c r="NTG1629" s="1"/>
      <c r="NTH1629" s="1"/>
      <c r="NTI1629" s="1"/>
      <c r="NTJ1629" s="1"/>
      <c r="NTK1629" s="1"/>
      <c r="NTL1629" s="1"/>
      <c r="NTM1629" s="1"/>
      <c r="NTN1629" s="1"/>
      <c r="NTO1629" s="1"/>
      <c r="NTP1629" s="1"/>
      <c r="NTQ1629" s="1"/>
      <c r="NTR1629" s="1"/>
      <c r="NTS1629" s="1"/>
      <c r="NTT1629" s="1"/>
      <c r="NTU1629" s="1"/>
      <c r="NTV1629" s="1"/>
      <c r="NTW1629" s="1"/>
      <c r="NTX1629" s="1"/>
      <c r="NTY1629" s="1"/>
      <c r="NTZ1629" s="1"/>
      <c r="NUA1629" s="1"/>
      <c r="NUB1629" s="1"/>
      <c r="NUC1629" s="1"/>
      <c r="NUD1629" s="1"/>
      <c r="NUE1629" s="1"/>
      <c r="NUF1629" s="1"/>
      <c r="NUG1629" s="1"/>
      <c r="NUH1629" s="1"/>
      <c r="NUI1629" s="1"/>
      <c r="NUJ1629" s="1"/>
      <c r="NUK1629" s="1"/>
      <c r="NUL1629" s="1"/>
      <c r="NUM1629" s="1"/>
      <c r="NUN1629" s="1"/>
      <c r="NUO1629" s="1"/>
      <c r="NUP1629" s="1"/>
      <c r="NUQ1629" s="1"/>
      <c r="NUR1629" s="1"/>
      <c r="NUS1629" s="1"/>
      <c r="NUT1629" s="1"/>
      <c r="NUU1629" s="1"/>
      <c r="NUV1629" s="1"/>
      <c r="NUW1629" s="1"/>
      <c r="NUX1629" s="1"/>
      <c r="NUY1629" s="1"/>
      <c r="NUZ1629" s="1"/>
      <c r="NVA1629" s="1"/>
      <c r="NVB1629" s="1"/>
      <c r="NVC1629" s="1"/>
      <c r="NVD1629" s="1"/>
      <c r="NVE1629" s="1"/>
      <c r="NVF1629" s="1"/>
      <c r="NVG1629" s="1"/>
      <c r="NVH1629" s="1"/>
      <c r="NVI1629" s="1"/>
      <c r="NVJ1629" s="1"/>
      <c r="NVK1629" s="1"/>
      <c r="NVL1629" s="1"/>
      <c r="NVM1629" s="1"/>
      <c r="NVN1629" s="1"/>
      <c r="NVO1629" s="1"/>
      <c r="NVP1629" s="1"/>
      <c r="NVQ1629" s="1"/>
      <c r="NVR1629" s="1"/>
      <c r="NVS1629" s="1"/>
      <c r="NVT1629" s="1"/>
      <c r="NVU1629" s="1"/>
      <c r="NVV1629" s="1"/>
      <c r="NVW1629" s="1"/>
      <c r="NVX1629" s="1"/>
      <c r="NVY1629" s="1"/>
      <c r="NVZ1629" s="1"/>
      <c r="NWA1629" s="1"/>
      <c r="NWB1629" s="1"/>
      <c r="NWC1629" s="1"/>
      <c r="NWD1629" s="1"/>
      <c r="NWE1629" s="1"/>
      <c r="NWF1629" s="1"/>
      <c r="NWG1629" s="1"/>
      <c r="NWH1629" s="1"/>
      <c r="NWI1629" s="1"/>
      <c r="NWJ1629" s="1"/>
      <c r="NWK1629" s="1"/>
      <c r="NWL1629" s="1"/>
      <c r="NWM1629" s="1"/>
      <c r="NWN1629" s="1"/>
      <c r="NWO1629" s="1"/>
      <c r="NWP1629" s="1"/>
      <c r="NWQ1629" s="1"/>
      <c r="NWR1629" s="1"/>
      <c r="NWS1629" s="1"/>
      <c r="NWT1629" s="1"/>
      <c r="NWU1629" s="1"/>
      <c r="NWV1629" s="1"/>
      <c r="NWW1629" s="1"/>
      <c r="NWX1629" s="1"/>
      <c r="NWY1629" s="1"/>
      <c r="NWZ1629" s="1"/>
      <c r="NXA1629" s="1"/>
      <c r="NXB1629" s="1"/>
      <c r="NXC1629" s="1"/>
      <c r="NXD1629" s="1"/>
      <c r="NXE1629" s="1"/>
      <c r="NXF1629" s="1"/>
      <c r="NXG1629" s="1"/>
      <c r="NXH1629" s="1"/>
      <c r="NXI1629" s="1"/>
      <c r="NXJ1629" s="1"/>
      <c r="NXK1629" s="1"/>
      <c r="NXL1629" s="1"/>
      <c r="NXM1629" s="1"/>
      <c r="NXN1629" s="1"/>
      <c r="NXO1629" s="1"/>
      <c r="NXP1629" s="1"/>
      <c r="NXQ1629" s="1"/>
      <c r="NXR1629" s="1"/>
      <c r="NXS1629" s="1"/>
      <c r="NXT1629" s="1"/>
      <c r="NXU1629" s="1"/>
      <c r="NXV1629" s="1"/>
      <c r="NXW1629" s="1"/>
      <c r="NXX1629" s="1"/>
      <c r="NXY1629" s="1"/>
      <c r="NXZ1629" s="1"/>
      <c r="NYA1629" s="1"/>
      <c r="NYB1629" s="1"/>
      <c r="NYC1629" s="1"/>
      <c r="NYD1629" s="1"/>
      <c r="NYE1629" s="1"/>
      <c r="NYF1629" s="1"/>
      <c r="NYG1629" s="1"/>
      <c r="NYH1629" s="1"/>
      <c r="NYI1629" s="1"/>
      <c r="NYJ1629" s="1"/>
      <c r="NYK1629" s="1"/>
      <c r="NYL1629" s="1"/>
      <c r="NYM1629" s="1"/>
      <c r="NYN1629" s="1"/>
      <c r="NYO1629" s="1"/>
      <c r="NYP1629" s="1"/>
      <c r="NYQ1629" s="1"/>
      <c r="NYR1629" s="1"/>
      <c r="NYS1629" s="1"/>
      <c r="NYT1629" s="1"/>
      <c r="NYU1629" s="1"/>
      <c r="NYV1629" s="1"/>
      <c r="NYW1629" s="1"/>
      <c r="NYX1629" s="1"/>
      <c r="NYY1629" s="1"/>
      <c r="NYZ1629" s="1"/>
      <c r="NZA1629" s="1"/>
      <c r="NZB1629" s="1"/>
      <c r="NZC1629" s="1"/>
      <c r="NZD1629" s="1"/>
      <c r="NZE1629" s="1"/>
      <c r="NZF1629" s="1"/>
      <c r="NZG1629" s="1"/>
      <c r="NZH1629" s="1"/>
      <c r="NZI1629" s="1"/>
      <c r="NZJ1629" s="1"/>
      <c r="NZK1629" s="1"/>
      <c r="NZL1629" s="1"/>
      <c r="NZM1629" s="1"/>
      <c r="NZN1629" s="1"/>
      <c r="NZO1629" s="1"/>
      <c r="NZP1629" s="1"/>
      <c r="NZQ1629" s="1"/>
      <c r="NZR1629" s="1"/>
      <c r="NZS1629" s="1"/>
      <c r="NZT1629" s="1"/>
      <c r="NZU1629" s="1"/>
      <c r="NZV1629" s="1"/>
      <c r="NZW1629" s="1"/>
      <c r="NZX1629" s="1"/>
      <c r="NZY1629" s="1"/>
      <c r="NZZ1629" s="1"/>
      <c r="OAA1629" s="1"/>
      <c r="OAB1629" s="1"/>
      <c r="OAC1629" s="1"/>
      <c r="OAD1629" s="1"/>
      <c r="OAE1629" s="1"/>
      <c r="OAF1629" s="1"/>
      <c r="OAG1629" s="1"/>
      <c r="OAH1629" s="1"/>
      <c r="OAI1629" s="1"/>
      <c r="OAJ1629" s="1"/>
      <c r="OAK1629" s="1"/>
      <c r="OAL1629" s="1"/>
      <c r="OAM1629" s="1"/>
      <c r="OAN1629" s="1"/>
      <c r="OAO1629" s="1"/>
      <c r="OAP1629" s="1"/>
      <c r="OAQ1629" s="1"/>
      <c r="OAR1629" s="1"/>
      <c r="OAS1629" s="1"/>
      <c r="OAT1629" s="1"/>
      <c r="OAU1629" s="1"/>
      <c r="OAV1629" s="1"/>
      <c r="OAW1629" s="1"/>
      <c r="OAX1629" s="1"/>
      <c r="OAY1629" s="1"/>
      <c r="OAZ1629" s="1"/>
      <c r="OBA1629" s="1"/>
      <c r="OBB1629" s="1"/>
      <c r="OBC1629" s="1"/>
      <c r="OBD1629" s="1"/>
      <c r="OBE1629" s="1"/>
      <c r="OBF1629" s="1"/>
      <c r="OBG1629" s="1"/>
      <c r="OBH1629" s="1"/>
      <c r="OBI1629" s="1"/>
      <c r="OBJ1629" s="1"/>
      <c r="OBK1629" s="1"/>
      <c r="OBL1629" s="1"/>
      <c r="OBM1629" s="1"/>
      <c r="OBN1629" s="1"/>
      <c r="OBO1629" s="1"/>
      <c r="OBP1629" s="1"/>
      <c r="OBQ1629" s="1"/>
      <c r="OBR1629" s="1"/>
      <c r="OBS1629" s="1"/>
      <c r="OBT1629" s="1"/>
      <c r="OBU1629" s="1"/>
      <c r="OBV1629" s="1"/>
      <c r="OBW1629" s="1"/>
      <c r="OBX1629" s="1"/>
      <c r="OBY1629" s="1"/>
      <c r="OBZ1629" s="1"/>
      <c r="OCA1629" s="1"/>
      <c r="OCB1629" s="1"/>
      <c r="OCC1629" s="1"/>
      <c r="OCD1629" s="1"/>
      <c r="OCE1629" s="1"/>
      <c r="OCF1629" s="1"/>
      <c r="OCG1629" s="1"/>
      <c r="OCH1629" s="1"/>
      <c r="OCI1629" s="1"/>
      <c r="OCJ1629" s="1"/>
      <c r="OCK1629" s="1"/>
      <c r="OCL1629" s="1"/>
      <c r="OCM1629" s="1"/>
      <c r="OCN1629" s="1"/>
      <c r="OCO1629" s="1"/>
      <c r="OCP1629" s="1"/>
      <c r="OCQ1629" s="1"/>
      <c r="OCR1629" s="1"/>
      <c r="OCS1629" s="1"/>
      <c r="OCT1629" s="1"/>
      <c r="OCU1629" s="1"/>
      <c r="OCV1629" s="1"/>
      <c r="OCW1629" s="1"/>
      <c r="OCX1629" s="1"/>
      <c r="OCY1629" s="1"/>
      <c r="OCZ1629" s="1"/>
      <c r="ODA1629" s="1"/>
      <c r="ODB1629" s="1"/>
      <c r="ODC1629" s="1"/>
      <c r="ODD1629" s="1"/>
      <c r="ODE1629" s="1"/>
      <c r="ODF1629" s="1"/>
      <c r="ODG1629" s="1"/>
      <c r="ODH1629" s="1"/>
      <c r="ODI1629" s="1"/>
      <c r="ODJ1629" s="1"/>
      <c r="ODK1629" s="1"/>
      <c r="ODL1629" s="1"/>
      <c r="ODM1629" s="1"/>
      <c r="ODN1629" s="1"/>
      <c r="ODO1629" s="1"/>
      <c r="ODP1629" s="1"/>
      <c r="ODQ1629" s="1"/>
      <c r="ODR1629" s="1"/>
      <c r="ODS1629" s="1"/>
      <c r="ODT1629" s="1"/>
      <c r="ODU1629" s="1"/>
      <c r="ODV1629" s="1"/>
      <c r="ODW1629" s="1"/>
      <c r="ODX1629" s="1"/>
      <c r="ODY1629" s="1"/>
      <c r="ODZ1629" s="1"/>
      <c r="OEA1629" s="1"/>
      <c r="OEB1629" s="1"/>
      <c r="OEC1629" s="1"/>
      <c r="OED1629" s="1"/>
      <c r="OEE1629" s="1"/>
      <c r="OEF1629" s="1"/>
      <c r="OEG1629" s="1"/>
      <c r="OEH1629" s="1"/>
      <c r="OEI1629" s="1"/>
      <c r="OEJ1629" s="1"/>
      <c r="OEK1629" s="1"/>
      <c r="OEL1629" s="1"/>
      <c r="OEM1629" s="1"/>
      <c r="OEN1629" s="1"/>
      <c r="OEO1629" s="1"/>
      <c r="OEP1629" s="1"/>
      <c r="OEQ1629" s="1"/>
      <c r="OER1629" s="1"/>
      <c r="OES1629" s="1"/>
      <c r="OET1629" s="1"/>
      <c r="OEU1629" s="1"/>
      <c r="OEV1629" s="1"/>
      <c r="OEW1629" s="1"/>
      <c r="OEX1629" s="1"/>
      <c r="OEY1629" s="1"/>
      <c r="OEZ1629" s="1"/>
      <c r="OFA1629" s="1"/>
      <c r="OFB1629" s="1"/>
      <c r="OFC1629" s="1"/>
      <c r="OFD1629" s="1"/>
      <c r="OFE1629" s="1"/>
      <c r="OFF1629" s="1"/>
      <c r="OFG1629" s="1"/>
      <c r="OFH1629" s="1"/>
      <c r="OFI1629" s="1"/>
      <c r="OFJ1629" s="1"/>
      <c r="OFK1629" s="1"/>
      <c r="OFL1629" s="1"/>
      <c r="OFM1629" s="1"/>
      <c r="OFN1629" s="1"/>
      <c r="OFO1629" s="1"/>
      <c r="OFP1629" s="1"/>
      <c r="OFQ1629" s="1"/>
      <c r="OFR1629" s="1"/>
      <c r="OFS1629" s="1"/>
      <c r="OFT1629" s="1"/>
      <c r="OFU1629" s="1"/>
      <c r="OFV1629" s="1"/>
      <c r="OFW1629" s="1"/>
      <c r="OFX1629" s="1"/>
      <c r="OFY1629" s="1"/>
      <c r="OFZ1629" s="1"/>
      <c r="OGA1629" s="1"/>
      <c r="OGB1629" s="1"/>
      <c r="OGC1629" s="1"/>
      <c r="OGD1629" s="1"/>
      <c r="OGE1629" s="1"/>
      <c r="OGF1629" s="1"/>
      <c r="OGG1629" s="1"/>
      <c r="OGH1629" s="1"/>
      <c r="OGI1629" s="1"/>
      <c r="OGJ1629" s="1"/>
      <c r="OGK1629" s="1"/>
      <c r="OGL1629" s="1"/>
      <c r="OGM1629" s="1"/>
      <c r="OGN1629" s="1"/>
      <c r="OGO1629" s="1"/>
      <c r="OGP1629" s="1"/>
      <c r="OGQ1629" s="1"/>
      <c r="OGR1629" s="1"/>
      <c r="OGS1629" s="1"/>
      <c r="OGT1629" s="1"/>
      <c r="OGU1629" s="1"/>
      <c r="OGV1629" s="1"/>
      <c r="OGW1629" s="1"/>
      <c r="OGX1629" s="1"/>
      <c r="OGY1629" s="1"/>
      <c r="OGZ1629" s="1"/>
      <c r="OHA1629" s="1"/>
      <c r="OHB1629" s="1"/>
      <c r="OHC1629" s="1"/>
      <c r="OHD1629" s="1"/>
      <c r="OHE1629" s="1"/>
      <c r="OHF1629" s="1"/>
      <c r="OHG1629" s="1"/>
      <c r="OHH1629" s="1"/>
      <c r="OHI1629" s="1"/>
      <c r="OHJ1629" s="1"/>
      <c r="OHK1629" s="1"/>
      <c r="OHL1629" s="1"/>
      <c r="OHM1629" s="1"/>
      <c r="OHN1629" s="1"/>
      <c r="OHO1629" s="1"/>
      <c r="OHP1629" s="1"/>
      <c r="OHQ1629" s="1"/>
      <c r="OHR1629" s="1"/>
      <c r="OHS1629" s="1"/>
      <c r="OHT1629" s="1"/>
      <c r="OHU1629" s="1"/>
      <c r="OHV1629" s="1"/>
      <c r="OHW1629" s="1"/>
      <c r="OHX1629" s="1"/>
      <c r="OHY1629" s="1"/>
      <c r="OHZ1629" s="1"/>
      <c r="OIA1629" s="1"/>
      <c r="OIB1629" s="1"/>
      <c r="OIC1629" s="1"/>
      <c r="OID1629" s="1"/>
      <c r="OIE1629" s="1"/>
      <c r="OIF1629" s="1"/>
      <c r="OIG1629" s="1"/>
      <c r="OIH1629" s="1"/>
      <c r="OII1629" s="1"/>
      <c r="OIJ1629" s="1"/>
      <c r="OIK1629" s="1"/>
      <c r="OIL1629" s="1"/>
      <c r="OIM1629" s="1"/>
      <c r="OIN1629" s="1"/>
      <c r="OIO1629" s="1"/>
      <c r="OIP1629" s="1"/>
      <c r="OIQ1629" s="1"/>
      <c r="OIR1629" s="1"/>
      <c r="OIS1629" s="1"/>
      <c r="OIT1629" s="1"/>
      <c r="OIU1629" s="1"/>
      <c r="OIV1629" s="1"/>
      <c r="OIW1629" s="1"/>
      <c r="OIX1629" s="1"/>
      <c r="OIY1629" s="1"/>
      <c r="OIZ1629" s="1"/>
      <c r="OJA1629" s="1"/>
      <c r="OJB1629" s="1"/>
      <c r="OJC1629" s="1"/>
      <c r="OJD1629" s="1"/>
      <c r="OJE1629" s="1"/>
      <c r="OJF1629" s="1"/>
      <c r="OJG1629" s="1"/>
      <c r="OJH1629" s="1"/>
      <c r="OJI1629" s="1"/>
      <c r="OJJ1629" s="1"/>
      <c r="OJK1629" s="1"/>
      <c r="OJL1629" s="1"/>
      <c r="OJM1629" s="1"/>
      <c r="OJN1629" s="1"/>
      <c r="OJO1629" s="1"/>
      <c r="OJP1629" s="1"/>
      <c r="OJQ1629" s="1"/>
      <c r="OJR1629" s="1"/>
      <c r="OJS1629" s="1"/>
      <c r="OJT1629" s="1"/>
      <c r="OJU1629" s="1"/>
      <c r="OJV1629" s="1"/>
      <c r="OJW1629" s="1"/>
      <c r="OJX1629" s="1"/>
      <c r="OJY1629" s="1"/>
      <c r="OJZ1629" s="1"/>
      <c r="OKA1629" s="1"/>
      <c r="OKB1629" s="1"/>
      <c r="OKC1629" s="1"/>
      <c r="OKD1629" s="1"/>
      <c r="OKE1629" s="1"/>
      <c r="OKF1629" s="1"/>
      <c r="OKG1629" s="1"/>
      <c r="OKH1629" s="1"/>
      <c r="OKI1629" s="1"/>
      <c r="OKJ1629" s="1"/>
      <c r="OKK1629" s="1"/>
      <c r="OKL1629" s="1"/>
      <c r="OKM1629" s="1"/>
      <c r="OKN1629" s="1"/>
      <c r="OKO1629" s="1"/>
      <c r="OKP1629" s="1"/>
      <c r="OKQ1629" s="1"/>
      <c r="OKR1629" s="1"/>
      <c r="OKS1629" s="1"/>
      <c r="OKT1629" s="1"/>
      <c r="OKU1629" s="1"/>
      <c r="OKV1629" s="1"/>
      <c r="OKW1629" s="1"/>
      <c r="OKX1629" s="1"/>
      <c r="OKY1629" s="1"/>
      <c r="OKZ1629" s="1"/>
      <c r="OLA1629" s="1"/>
      <c r="OLB1629" s="1"/>
      <c r="OLC1629" s="1"/>
      <c r="OLD1629" s="1"/>
      <c r="OLE1629" s="1"/>
      <c r="OLF1629" s="1"/>
      <c r="OLG1629" s="1"/>
      <c r="OLH1629" s="1"/>
      <c r="OLI1629" s="1"/>
      <c r="OLJ1629" s="1"/>
      <c r="OLK1629" s="1"/>
      <c r="OLL1629" s="1"/>
      <c r="OLM1629" s="1"/>
      <c r="OLN1629" s="1"/>
      <c r="OLO1629" s="1"/>
      <c r="OLP1629" s="1"/>
      <c r="OLQ1629" s="1"/>
      <c r="OLR1629" s="1"/>
      <c r="OLS1629" s="1"/>
      <c r="OLT1629" s="1"/>
      <c r="OLU1629" s="1"/>
      <c r="OLV1629" s="1"/>
      <c r="OLW1629" s="1"/>
      <c r="OLX1629" s="1"/>
      <c r="OLY1629" s="1"/>
      <c r="OLZ1629" s="1"/>
      <c r="OMA1629" s="1"/>
      <c r="OMB1629" s="1"/>
      <c r="OMC1629" s="1"/>
      <c r="OMD1629" s="1"/>
      <c r="OME1629" s="1"/>
      <c r="OMF1629" s="1"/>
      <c r="OMG1629" s="1"/>
      <c r="OMH1629" s="1"/>
      <c r="OMI1629" s="1"/>
      <c r="OMJ1629" s="1"/>
      <c r="OMK1629" s="1"/>
      <c r="OML1629" s="1"/>
      <c r="OMM1629" s="1"/>
      <c r="OMN1629" s="1"/>
      <c r="OMO1629" s="1"/>
      <c r="OMP1629" s="1"/>
      <c r="OMQ1629" s="1"/>
      <c r="OMR1629" s="1"/>
      <c r="OMS1629" s="1"/>
      <c r="OMT1629" s="1"/>
      <c r="OMU1629" s="1"/>
      <c r="OMV1629" s="1"/>
      <c r="OMW1629" s="1"/>
      <c r="OMX1629" s="1"/>
      <c r="OMY1629" s="1"/>
      <c r="OMZ1629" s="1"/>
      <c r="ONA1629" s="1"/>
      <c r="ONB1629" s="1"/>
      <c r="ONC1629" s="1"/>
      <c r="OND1629" s="1"/>
      <c r="ONE1629" s="1"/>
      <c r="ONF1629" s="1"/>
      <c r="ONG1629" s="1"/>
      <c r="ONH1629" s="1"/>
      <c r="ONI1629" s="1"/>
      <c r="ONJ1629" s="1"/>
      <c r="ONK1629" s="1"/>
      <c r="ONL1629" s="1"/>
      <c r="ONM1629" s="1"/>
      <c r="ONN1629" s="1"/>
      <c r="ONO1629" s="1"/>
      <c r="ONP1629" s="1"/>
      <c r="ONQ1629" s="1"/>
      <c r="ONR1629" s="1"/>
      <c r="ONS1629" s="1"/>
      <c r="ONT1629" s="1"/>
      <c r="ONU1629" s="1"/>
      <c r="ONV1629" s="1"/>
      <c r="ONW1629" s="1"/>
      <c r="ONX1629" s="1"/>
      <c r="ONY1629" s="1"/>
      <c r="ONZ1629" s="1"/>
      <c r="OOA1629" s="1"/>
      <c r="OOB1629" s="1"/>
      <c r="OOC1629" s="1"/>
      <c r="OOD1629" s="1"/>
      <c r="OOE1629" s="1"/>
      <c r="OOF1629" s="1"/>
      <c r="OOG1629" s="1"/>
      <c r="OOH1629" s="1"/>
      <c r="OOI1629" s="1"/>
      <c r="OOJ1629" s="1"/>
      <c r="OOK1629" s="1"/>
      <c r="OOL1629" s="1"/>
      <c r="OOM1629" s="1"/>
      <c r="OON1629" s="1"/>
      <c r="OOO1629" s="1"/>
      <c r="OOP1629" s="1"/>
      <c r="OOQ1629" s="1"/>
      <c r="OOR1629" s="1"/>
      <c r="OOS1629" s="1"/>
      <c r="OOT1629" s="1"/>
      <c r="OOU1629" s="1"/>
      <c r="OOV1629" s="1"/>
      <c r="OOW1629" s="1"/>
      <c r="OOX1629" s="1"/>
      <c r="OOY1629" s="1"/>
      <c r="OOZ1629" s="1"/>
      <c r="OPA1629" s="1"/>
      <c r="OPB1629" s="1"/>
      <c r="OPC1629" s="1"/>
      <c r="OPD1629" s="1"/>
      <c r="OPE1629" s="1"/>
      <c r="OPF1629" s="1"/>
      <c r="OPG1629" s="1"/>
      <c r="OPH1629" s="1"/>
      <c r="OPI1629" s="1"/>
      <c r="OPJ1629" s="1"/>
      <c r="OPK1629" s="1"/>
      <c r="OPL1629" s="1"/>
      <c r="OPM1629" s="1"/>
      <c r="OPN1629" s="1"/>
      <c r="OPO1629" s="1"/>
      <c r="OPP1629" s="1"/>
      <c r="OPQ1629" s="1"/>
      <c r="OPR1629" s="1"/>
      <c r="OPS1629" s="1"/>
      <c r="OPT1629" s="1"/>
      <c r="OPU1629" s="1"/>
      <c r="OPV1629" s="1"/>
      <c r="OPW1629" s="1"/>
      <c r="OPX1629" s="1"/>
      <c r="OPY1629" s="1"/>
      <c r="OPZ1629" s="1"/>
      <c r="OQA1629" s="1"/>
      <c r="OQB1629" s="1"/>
      <c r="OQC1629" s="1"/>
      <c r="OQD1629" s="1"/>
      <c r="OQE1629" s="1"/>
      <c r="OQF1629" s="1"/>
      <c r="OQG1629" s="1"/>
      <c r="OQH1629" s="1"/>
      <c r="OQI1629" s="1"/>
      <c r="OQJ1629" s="1"/>
      <c r="OQK1629" s="1"/>
      <c r="OQL1629" s="1"/>
      <c r="OQM1629" s="1"/>
      <c r="OQN1629" s="1"/>
      <c r="OQO1629" s="1"/>
      <c r="OQP1629" s="1"/>
      <c r="OQQ1629" s="1"/>
      <c r="OQR1629" s="1"/>
      <c r="OQS1629" s="1"/>
      <c r="OQT1629" s="1"/>
      <c r="OQU1629" s="1"/>
      <c r="OQV1629" s="1"/>
      <c r="OQW1629" s="1"/>
      <c r="OQX1629" s="1"/>
      <c r="OQY1629" s="1"/>
      <c r="OQZ1629" s="1"/>
      <c r="ORA1629" s="1"/>
      <c r="ORB1629" s="1"/>
      <c r="ORC1629" s="1"/>
      <c r="ORD1629" s="1"/>
      <c r="ORE1629" s="1"/>
      <c r="ORF1629" s="1"/>
      <c r="ORG1629" s="1"/>
      <c r="ORH1629" s="1"/>
      <c r="ORI1629" s="1"/>
      <c r="ORJ1629" s="1"/>
      <c r="ORK1629" s="1"/>
      <c r="ORL1629" s="1"/>
      <c r="ORM1629" s="1"/>
      <c r="ORN1629" s="1"/>
      <c r="ORO1629" s="1"/>
      <c r="ORP1629" s="1"/>
      <c r="ORQ1629" s="1"/>
      <c r="ORR1629" s="1"/>
      <c r="ORS1629" s="1"/>
      <c r="ORT1629" s="1"/>
      <c r="ORU1629" s="1"/>
      <c r="ORV1629" s="1"/>
      <c r="ORW1629" s="1"/>
      <c r="ORX1629" s="1"/>
      <c r="ORY1629" s="1"/>
      <c r="ORZ1629" s="1"/>
      <c r="OSA1629" s="1"/>
      <c r="OSB1629" s="1"/>
      <c r="OSC1629" s="1"/>
      <c r="OSD1629" s="1"/>
      <c r="OSE1629" s="1"/>
      <c r="OSF1629" s="1"/>
      <c r="OSG1629" s="1"/>
      <c r="OSH1629" s="1"/>
      <c r="OSI1629" s="1"/>
      <c r="OSJ1629" s="1"/>
      <c r="OSK1629" s="1"/>
      <c r="OSL1629" s="1"/>
      <c r="OSM1629" s="1"/>
      <c r="OSN1629" s="1"/>
      <c r="OSO1629" s="1"/>
      <c r="OSP1629" s="1"/>
      <c r="OSQ1629" s="1"/>
      <c r="OSR1629" s="1"/>
      <c r="OSS1629" s="1"/>
      <c r="OST1629" s="1"/>
      <c r="OSU1629" s="1"/>
      <c r="OSV1629" s="1"/>
      <c r="OSW1629" s="1"/>
      <c r="OSX1629" s="1"/>
      <c r="OSY1629" s="1"/>
      <c r="OSZ1629" s="1"/>
      <c r="OTA1629" s="1"/>
      <c r="OTB1629" s="1"/>
      <c r="OTC1629" s="1"/>
      <c r="OTD1629" s="1"/>
      <c r="OTE1629" s="1"/>
      <c r="OTF1629" s="1"/>
      <c r="OTG1629" s="1"/>
      <c r="OTH1629" s="1"/>
      <c r="OTI1629" s="1"/>
      <c r="OTJ1629" s="1"/>
      <c r="OTK1629" s="1"/>
      <c r="OTL1629" s="1"/>
      <c r="OTM1629" s="1"/>
      <c r="OTN1629" s="1"/>
      <c r="OTO1629" s="1"/>
      <c r="OTP1629" s="1"/>
      <c r="OTQ1629" s="1"/>
      <c r="OTR1629" s="1"/>
      <c r="OTS1629" s="1"/>
      <c r="OTT1629" s="1"/>
      <c r="OTU1629" s="1"/>
      <c r="OTV1629" s="1"/>
      <c r="OTW1629" s="1"/>
      <c r="OTX1629" s="1"/>
      <c r="OTY1629" s="1"/>
      <c r="OTZ1629" s="1"/>
      <c r="OUA1629" s="1"/>
      <c r="OUB1629" s="1"/>
      <c r="OUC1629" s="1"/>
      <c r="OUD1629" s="1"/>
      <c r="OUE1629" s="1"/>
      <c r="OUF1629" s="1"/>
      <c r="OUG1629" s="1"/>
      <c r="OUH1629" s="1"/>
      <c r="OUI1629" s="1"/>
      <c r="OUJ1629" s="1"/>
      <c r="OUK1629" s="1"/>
      <c r="OUL1629" s="1"/>
      <c r="OUM1629" s="1"/>
      <c r="OUN1629" s="1"/>
      <c r="OUO1629" s="1"/>
      <c r="OUP1629" s="1"/>
      <c r="OUQ1629" s="1"/>
      <c r="OUR1629" s="1"/>
      <c r="OUS1629" s="1"/>
      <c r="OUT1629" s="1"/>
      <c r="OUU1629" s="1"/>
      <c r="OUV1629" s="1"/>
      <c r="OUW1629" s="1"/>
      <c r="OUX1629" s="1"/>
      <c r="OUY1629" s="1"/>
      <c r="OUZ1629" s="1"/>
      <c r="OVA1629" s="1"/>
      <c r="OVB1629" s="1"/>
      <c r="OVC1629" s="1"/>
      <c r="OVD1629" s="1"/>
      <c r="OVE1629" s="1"/>
      <c r="OVF1629" s="1"/>
      <c r="OVG1629" s="1"/>
      <c r="OVH1629" s="1"/>
      <c r="OVI1629" s="1"/>
      <c r="OVJ1629" s="1"/>
      <c r="OVK1629" s="1"/>
      <c r="OVL1629" s="1"/>
      <c r="OVM1629" s="1"/>
      <c r="OVN1629" s="1"/>
      <c r="OVO1629" s="1"/>
      <c r="OVP1629" s="1"/>
      <c r="OVQ1629" s="1"/>
      <c r="OVR1629" s="1"/>
      <c r="OVS1629" s="1"/>
      <c r="OVT1629" s="1"/>
      <c r="OVU1629" s="1"/>
      <c r="OVV1629" s="1"/>
      <c r="OVW1629" s="1"/>
      <c r="OVX1629" s="1"/>
      <c r="OVY1629" s="1"/>
      <c r="OVZ1629" s="1"/>
      <c r="OWA1629" s="1"/>
      <c r="OWB1629" s="1"/>
      <c r="OWC1629" s="1"/>
      <c r="OWD1629" s="1"/>
      <c r="OWE1629" s="1"/>
      <c r="OWF1629" s="1"/>
      <c r="OWG1629" s="1"/>
      <c r="OWH1629" s="1"/>
      <c r="OWI1629" s="1"/>
      <c r="OWJ1629" s="1"/>
      <c r="OWK1629" s="1"/>
      <c r="OWL1629" s="1"/>
      <c r="OWM1629" s="1"/>
      <c r="OWN1629" s="1"/>
      <c r="OWO1629" s="1"/>
      <c r="OWP1629" s="1"/>
      <c r="OWQ1629" s="1"/>
      <c r="OWR1629" s="1"/>
      <c r="OWS1629" s="1"/>
      <c r="OWT1629" s="1"/>
      <c r="OWU1629" s="1"/>
      <c r="OWV1629" s="1"/>
      <c r="OWW1629" s="1"/>
      <c r="OWX1629" s="1"/>
      <c r="OWY1629" s="1"/>
      <c r="OWZ1629" s="1"/>
      <c r="OXA1629" s="1"/>
      <c r="OXB1629" s="1"/>
      <c r="OXC1629" s="1"/>
      <c r="OXD1629" s="1"/>
      <c r="OXE1629" s="1"/>
      <c r="OXF1629" s="1"/>
      <c r="OXG1629" s="1"/>
      <c r="OXH1629" s="1"/>
      <c r="OXI1629" s="1"/>
      <c r="OXJ1629" s="1"/>
      <c r="OXK1629" s="1"/>
      <c r="OXL1629" s="1"/>
      <c r="OXM1629" s="1"/>
      <c r="OXN1629" s="1"/>
      <c r="OXO1629" s="1"/>
      <c r="OXP1629" s="1"/>
      <c r="OXQ1629" s="1"/>
      <c r="OXR1629" s="1"/>
      <c r="OXS1629" s="1"/>
      <c r="OXT1629" s="1"/>
      <c r="OXU1629" s="1"/>
      <c r="OXV1629" s="1"/>
      <c r="OXW1629" s="1"/>
      <c r="OXX1629" s="1"/>
      <c r="OXY1629" s="1"/>
      <c r="OXZ1629" s="1"/>
      <c r="OYA1629" s="1"/>
      <c r="OYB1629" s="1"/>
      <c r="OYC1629" s="1"/>
      <c r="OYD1629" s="1"/>
      <c r="OYE1629" s="1"/>
      <c r="OYF1629" s="1"/>
      <c r="OYG1629" s="1"/>
      <c r="OYH1629" s="1"/>
      <c r="OYI1629" s="1"/>
      <c r="OYJ1629" s="1"/>
      <c r="OYK1629" s="1"/>
      <c r="OYL1629" s="1"/>
      <c r="OYM1629" s="1"/>
      <c r="OYN1629" s="1"/>
      <c r="OYO1629" s="1"/>
      <c r="OYP1629" s="1"/>
      <c r="OYQ1629" s="1"/>
      <c r="OYR1629" s="1"/>
      <c r="OYS1629" s="1"/>
      <c r="OYT1629" s="1"/>
      <c r="OYU1629" s="1"/>
      <c r="OYV1629" s="1"/>
      <c r="OYW1629" s="1"/>
      <c r="OYX1629" s="1"/>
      <c r="OYY1629" s="1"/>
      <c r="OYZ1629" s="1"/>
      <c r="OZA1629" s="1"/>
      <c r="OZB1629" s="1"/>
      <c r="OZC1629" s="1"/>
      <c r="OZD1629" s="1"/>
      <c r="OZE1629" s="1"/>
      <c r="OZF1629" s="1"/>
      <c r="OZG1629" s="1"/>
      <c r="OZH1629" s="1"/>
      <c r="OZI1629" s="1"/>
      <c r="OZJ1629" s="1"/>
      <c r="OZK1629" s="1"/>
      <c r="OZL1629" s="1"/>
      <c r="OZM1629" s="1"/>
      <c r="OZN1629" s="1"/>
      <c r="OZO1629" s="1"/>
      <c r="OZP1629" s="1"/>
      <c r="OZQ1629" s="1"/>
      <c r="OZR1629" s="1"/>
      <c r="OZS1629" s="1"/>
      <c r="OZT1629" s="1"/>
      <c r="OZU1629" s="1"/>
      <c r="OZV1629" s="1"/>
      <c r="OZW1629" s="1"/>
      <c r="OZX1629" s="1"/>
      <c r="OZY1629" s="1"/>
      <c r="OZZ1629" s="1"/>
      <c r="PAA1629" s="1"/>
      <c r="PAB1629" s="1"/>
      <c r="PAC1629" s="1"/>
      <c r="PAD1629" s="1"/>
      <c r="PAE1629" s="1"/>
      <c r="PAF1629" s="1"/>
      <c r="PAG1629" s="1"/>
      <c r="PAH1629" s="1"/>
      <c r="PAI1629" s="1"/>
      <c r="PAJ1629" s="1"/>
      <c r="PAK1629" s="1"/>
      <c r="PAL1629" s="1"/>
      <c r="PAM1629" s="1"/>
      <c r="PAN1629" s="1"/>
      <c r="PAO1629" s="1"/>
      <c r="PAP1629" s="1"/>
      <c r="PAQ1629" s="1"/>
      <c r="PAR1629" s="1"/>
      <c r="PAS1629" s="1"/>
      <c r="PAT1629" s="1"/>
      <c r="PAU1629" s="1"/>
      <c r="PAV1629" s="1"/>
      <c r="PAW1629" s="1"/>
      <c r="PAX1629" s="1"/>
      <c r="PAY1629" s="1"/>
      <c r="PAZ1629" s="1"/>
      <c r="PBA1629" s="1"/>
      <c r="PBB1629" s="1"/>
      <c r="PBC1629" s="1"/>
      <c r="PBD1629" s="1"/>
      <c r="PBE1629" s="1"/>
      <c r="PBF1629" s="1"/>
      <c r="PBG1629" s="1"/>
      <c r="PBH1629" s="1"/>
      <c r="PBI1629" s="1"/>
      <c r="PBJ1629" s="1"/>
      <c r="PBK1629" s="1"/>
      <c r="PBL1629" s="1"/>
      <c r="PBM1629" s="1"/>
      <c r="PBN1629" s="1"/>
      <c r="PBO1629" s="1"/>
      <c r="PBP1629" s="1"/>
      <c r="PBQ1629" s="1"/>
      <c r="PBR1629" s="1"/>
      <c r="PBS1629" s="1"/>
      <c r="PBT1629" s="1"/>
      <c r="PBU1629" s="1"/>
      <c r="PBV1629" s="1"/>
      <c r="PBW1629" s="1"/>
      <c r="PBX1629" s="1"/>
      <c r="PBY1629" s="1"/>
      <c r="PBZ1629" s="1"/>
      <c r="PCA1629" s="1"/>
      <c r="PCB1629" s="1"/>
      <c r="PCC1629" s="1"/>
      <c r="PCD1629" s="1"/>
      <c r="PCE1629" s="1"/>
      <c r="PCF1629" s="1"/>
      <c r="PCG1629" s="1"/>
      <c r="PCH1629" s="1"/>
      <c r="PCI1629" s="1"/>
      <c r="PCJ1629" s="1"/>
      <c r="PCK1629" s="1"/>
      <c r="PCL1629" s="1"/>
      <c r="PCM1629" s="1"/>
      <c r="PCN1629" s="1"/>
      <c r="PCO1629" s="1"/>
      <c r="PCP1629" s="1"/>
      <c r="PCQ1629" s="1"/>
      <c r="PCR1629" s="1"/>
      <c r="PCS1629" s="1"/>
      <c r="PCT1629" s="1"/>
      <c r="PCU1629" s="1"/>
      <c r="PCV1629" s="1"/>
      <c r="PCW1629" s="1"/>
      <c r="PCX1629" s="1"/>
      <c r="PCY1629" s="1"/>
      <c r="PCZ1629" s="1"/>
      <c r="PDA1629" s="1"/>
      <c r="PDB1629" s="1"/>
      <c r="PDC1629" s="1"/>
      <c r="PDD1629" s="1"/>
      <c r="PDE1629" s="1"/>
      <c r="PDF1629" s="1"/>
      <c r="PDG1629" s="1"/>
      <c r="PDH1629" s="1"/>
      <c r="PDI1629" s="1"/>
      <c r="PDJ1629" s="1"/>
      <c r="PDK1629" s="1"/>
      <c r="PDL1629" s="1"/>
      <c r="PDM1629" s="1"/>
      <c r="PDN1629" s="1"/>
      <c r="PDO1629" s="1"/>
      <c r="PDP1629" s="1"/>
      <c r="PDQ1629" s="1"/>
      <c r="PDR1629" s="1"/>
      <c r="PDS1629" s="1"/>
      <c r="PDT1629" s="1"/>
      <c r="PDU1629" s="1"/>
      <c r="PDV1629" s="1"/>
      <c r="PDW1629" s="1"/>
      <c r="PDX1629" s="1"/>
      <c r="PDY1629" s="1"/>
      <c r="PDZ1629" s="1"/>
      <c r="PEA1629" s="1"/>
      <c r="PEB1629" s="1"/>
      <c r="PEC1629" s="1"/>
      <c r="PED1629" s="1"/>
      <c r="PEE1629" s="1"/>
      <c r="PEF1629" s="1"/>
      <c r="PEG1629" s="1"/>
      <c r="PEH1629" s="1"/>
      <c r="PEI1629" s="1"/>
      <c r="PEJ1629" s="1"/>
      <c r="PEK1629" s="1"/>
      <c r="PEL1629" s="1"/>
      <c r="PEM1629" s="1"/>
      <c r="PEN1629" s="1"/>
      <c r="PEO1629" s="1"/>
      <c r="PEP1629" s="1"/>
      <c r="PEQ1629" s="1"/>
      <c r="PER1629" s="1"/>
      <c r="PES1629" s="1"/>
      <c r="PET1629" s="1"/>
      <c r="PEU1629" s="1"/>
      <c r="PEV1629" s="1"/>
      <c r="PEW1629" s="1"/>
      <c r="PEX1629" s="1"/>
      <c r="PEY1629" s="1"/>
      <c r="PEZ1629" s="1"/>
      <c r="PFA1629" s="1"/>
      <c r="PFB1629" s="1"/>
      <c r="PFC1629" s="1"/>
      <c r="PFD1629" s="1"/>
      <c r="PFE1629" s="1"/>
      <c r="PFF1629" s="1"/>
      <c r="PFG1629" s="1"/>
      <c r="PFH1629" s="1"/>
      <c r="PFI1629" s="1"/>
      <c r="PFJ1629" s="1"/>
      <c r="PFK1629" s="1"/>
      <c r="PFL1629" s="1"/>
      <c r="PFM1629" s="1"/>
      <c r="PFN1629" s="1"/>
      <c r="PFO1629" s="1"/>
      <c r="PFP1629" s="1"/>
      <c r="PFQ1629" s="1"/>
      <c r="PFR1629" s="1"/>
      <c r="PFS1629" s="1"/>
      <c r="PFT1629" s="1"/>
      <c r="PFU1629" s="1"/>
      <c r="PFV1629" s="1"/>
      <c r="PFW1629" s="1"/>
      <c r="PFX1629" s="1"/>
      <c r="PFY1629" s="1"/>
      <c r="PFZ1629" s="1"/>
      <c r="PGA1629" s="1"/>
      <c r="PGB1629" s="1"/>
      <c r="PGC1629" s="1"/>
      <c r="PGD1629" s="1"/>
      <c r="PGE1629" s="1"/>
      <c r="PGF1629" s="1"/>
      <c r="PGG1629" s="1"/>
      <c r="PGH1629" s="1"/>
      <c r="PGI1629" s="1"/>
      <c r="PGJ1629" s="1"/>
      <c r="PGK1629" s="1"/>
      <c r="PGL1629" s="1"/>
      <c r="PGM1629" s="1"/>
      <c r="PGN1629" s="1"/>
      <c r="PGO1629" s="1"/>
      <c r="PGP1629" s="1"/>
      <c r="PGQ1629" s="1"/>
      <c r="PGR1629" s="1"/>
      <c r="PGS1629" s="1"/>
      <c r="PGT1629" s="1"/>
      <c r="PGU1629" s="1"/>
      <c r="PGV1629" s="1"/>
      <c r="PGW1629" s="1"/>
      <c r="PGX1629" s="1"/>
      <c r="PGY1629" s="1"/>
      <c r="PGZ1629" s="1"/>
      <c r="PHA1629" s="1"/>
      <c r="PHB1629" s="1"/>
      <c r="PHC1629" s="1"/>
      <c r="PHD1629" s="1"/>
      <c r="PHE1629" s="1"/>
      <c r="PHF1629" s="1"/>
      <c r="PHG1629" s="1"/>
      <c r="PHH1629" s="1"/>
      <c r="PHI1629" s="1"/>
      <c r="PHJ1629" s="1"/>
      <c r="PHK1629" s="1"/>
      <c r="PHL1629" s="1"/>
      <c r="PHM1629" s="1"/>
      <c r="PHN1629" s="1"/>
      <c r="PHO1629" s="1"/>
      <c r="PHP1629" s="1"/>
      <c r="PHQ1629" s="1"/>
      <c r="PHR1629" s="1"/>
      <c r="PHS1629" s="1"/>
      <c r="PHT1629" s="1"/>
      <c r="PHU1629" s="1"/>
      <c r="PHV1629" s="1"/>
      <c r="PHW1629" s="1"/>
      <c r="PHX1629" s="1"/>
      <c r="PHY1629" s="1"/>
      <c r="PHZ1629" s="1"/>
      <c r="PIA1629" s="1"/>
      <c r="PIB1629" s="1"/>
      <c r="PIC1629" s="1"/>
      <c r="PID1629" s="1"/>
      <c r="PIE1629" s="1"/>
      <c r="PIF1629" s="1"/>
      <c r="PIG1629" s="1"/>
      <c r="PIH1629" s="1"/>
      <c r="PII1629" s="1"/>
      <c r="PIJ1629" s="1"/>
      <c r="PIK1629" s="1"/>
      <c r="PIL1629" s="1"/>
      <c r="PIM1629" s="1"/>
      <c r="PIN1629" s="1"/>
      <c r="PIO1629" s="1"/>
      <c r="PIP1629" s="1"/>
      <c r="PIQ1629" s="1"/>
      <c r="PIR1629" s="1"/>
      <c r="PIS1629" s="1"/>
      <c r="PIT1629" s="1"/>
      <c r="PIU1629" s="1"/>
      <c r="PIV1629" s="1"/>
      <c r="PIW1629" s="1"/>
      <c r="PIX1629" s="1"/>
      <c r="PIY1629" s="1"/>
      <c r="PIZ1629" s="1"/>
      <c r="PJA1629" s="1"/>
      <c r="PJB1629" s="1"/>
      <c r="PJC1629" s="1"/>
      <c r="PJD1629" s="1"/>
      <c r="PJE1629" s="1"/>
      <c r="PJF1629" s="1"/>
      <c r="PJG1629" s="1"/>
      <c r="PJH1629" s="1"/>
      <c r="PJI1629" s="1"/>
      <c r="PJJ1629" s="1"/>
      <c r="PJK1629" s="1"/>
      <c r="PJL1629" s="1"/>
      <c r="PJM1629" s="1"/>
      <c r="PJN1629" s="1"/>
      <c r="PJO1629" s="1"/>
      <c r="PJP1629" s="1"/>
      <c r="PJQ1629" s="1"/>
      <c r="PJR1629" s="1"/>
      <c r="PJS1629" s="1"/>
      <c r="PJT1629" s="1"/>
      <c r="PJU1629" s="1"/>
      <c r="PJV1629" s="1"/>
      <c r="PJW1629" s="1"/>
      <c r="PJX1629" s="1"/>
      <c r="PJY1629" s="1"/>
      <c r="PJZ1629" s="1"/>
      <c r="PKA1629" s="1"/>
      <c r="PKB1629" s="1"/>
      <c r="PKC1629" s="1"/>
      <c r="PKD1629" s="1"/>
      <c r="PKE1629" s="1"/>
      <c r="PKF1629" s="1"/>
      <c r="PKG1629" s="1"/>
      <c r="PKH1629" s="1"/>
      <c r="PKI1629" s="1"/>
      <c r="PKJ1629" s="1"/>
      <c r="PKK1629" s="1"/>
      <c r="PKL1629" s="1"/>
      <c r="PKM1629" s="1"/>
      <c r="PKN1629" s="1"/>
      <c r="PKO1629" s="1"/>
      <c r="PKP1629" s="1"/>
      <c r="PKQ1629" s="1"/>
      <c r="PKR1629" s="1"/>
      <c r="PKS1629" s="1"/>
      <c r="PKT1629" s="1"/>
      <c r="PKU1629" s="1"/>
      <c r="PKV1629" s="1"/>
      <c r="PKW1629" s="1"/>
      <c r="PKX1629" s="1"/>
      <c r="PKY1629" s="1"/>
      <c r="PKZ1629" s="1"/>
      <c r="PLA1629" s="1"/>
      <c r="PLB1629" s="1"/>
      <c r="PLC1629" s="1"/>
      <c r="PLD1629" s="1"/>
      <c r="PLE1629" s="1"/>
      <c r="PLF1629" s="1"/>
      <c r="PLG1629" s="1"/>
      <c r="PLH1629" s="1"/>
      <c r="PLI1629" s="1"/>
      <c r="PLJ1629" s="1"/>
      <c r="PLK1629" s="1"/>
      <c r="PLL1629" s="1"/>
      <c r="PLM1629" s="1"/>
      <c r="PLN1629" s="1"/>
      <c r="PLO1629" s="1"/>
      <c r="PLP1629" s="1"/>
      <c r="PLQ1629" s="1"/>
      <c r="PLR1629" s="1"/>
      <c r="PLS1629" s="1"/>
      <c r="PLT1629" s="1"/>
      <c r="PLU1629" s="1"/>
      <c r="PLV1629" s="1"/>
      <c r="PLW1629" s="1"/>
      <c r="PLX1629" s="1"/>
      <c r="PLY1629" s="1"/>
      <c r="PLZ1629" s="1"/>
      <c r="PMA1629" s="1"/>
      <c r="PMB1629" s="1"/>
      <c r="PMC1629" s="1"/>
      <c r="PMD1629" s="1"/>
      <c r="PME1629" s="1"/>
      <c r="PMF1629" s="1"/>
      <c r="PMG1629" s="1"/>
      <c r="PMH1629" s="1"/>
      <c r="PMI1629" s="1"/>
      <c r="PMJ1629" s="1"/>
      <c r="PMK1629" s="1"/>
      <c r="PML1629" s="1"/>
      <c r="PMM1629" s="1"/>
      <c r="PMN1629" s="1"/>
      <c r="PMO1629" s="1"/>
      <c r="PMP1629" s="1"/>
      <c r="PMQ1629" s="1"/>
      <c r="PMR1629" s="1"/>
      <c r="PMS1629" s="1"/>
      <c r="PMT1629" s="1"/>
      <c r="PMU1629" s="1"/>
      <c r="PMV1629" s="1"/>
      <c r="PMW1629" s="1"/>
      <c r="PMX1629" s="1"/>
      <c r="PMY1629" s="1"/>
      <c r="PMZ1629" s="1"/>
      <c r="PNA1629" s="1"/>
      <c r="PNB1629" s="1"/>
      <c r="PNC1629" s="1"/>
      <c r="PND1629" s="1"/>
      <c r="PNE1629" s="1"/>
      <c r="PNF1629" s="1"/>
      <c r="PNG1629" s="1"/>
      <c r="PNH1629" s="1"/>
      <c r="PNI1629" s="1"/>
      <c r="PNJ1629" s="1"/>
      <c r="PNK1629" s="1"/>
      <c r="PNL1629" s="1"/>
      <c r="PNM1629" s="1"/>
      <c r="PNN1629" s="1"/>
      <c r="PNO1629" s="1"/>
      <c r="PNP1629" s="1"/>
      <c r="PNQ1629" s="1"/>
      <c r="PNR1629" s="1"/>
      <c r="PNS1629" s="1"/>
      <c r="PNT1629" s="1"/>
      <c r="PNU1629" s="1"/>
      <c r="PNV1629" s="1"/>
      <c r="PNW1629" s="1"/>
      <c r="PNX1629" s="1"/>
      <c r="PNY1629" s="1"/>
      <c r="PNZ1629" s="1"/>
      <c r="POA1629" s="1"/>
      <c r="POB1629" s="1"/>
      <c r="POC1629" s="1"/>
      <c r="POD1629" s="1"/>
      <c r="POE1629" s="1"/>
      <c r="POF1629" s="1"/>
      <c r="POG1629" s="1"/>
      <c r="POH1629" s="1"/>
      <c r="POI1629" s="1"/>
      <c r="POJ1629" s="1"/>
      <c r="POK1629" s="1"/>
      <c r="POL1629" s="1"/>
      <c r="POM1629" s="1"/>
      <c r="PON1629" s="1"/>
      <c r="POO1629" s="1"/>
      <c r="POP1629" s="1"/>
      <c r="POQ1629" s="1"/>
      <c r="POR1629" s="1"/>
      <c r="POS1629" s="1"/>
      <c r="POT1629" s="1"/>
      <c r="POU1629" s="1"/>
      <c r="POV1629" s="1"/>
      <c r="POW1629" s="1"/>
      <c r="POX1629" s="1"/>
      <c r="POY1629" s="1"/>
      <c r="POZ1629" s="1"/>
      <c r="PPA1629" s="1"/>
      <c r="PPB1629" s="1"/>
      <c r="PPC1629" s="1"/>
      <c r="PPD1629" s="1"/>
      <c r="PPE1629" s="1"/>
      <c r="PPF1629" s="1"/>
      <c r="PPG1629" s="1"/>
      <c r="PPH1629" s="1"/>
      <c r="PPI1629" s="1"/>
      <c r="PPJ1629" s="1"/>
      <c r="PPK1629" s="1"/>
      <c r="PPL1629" s="1"/>
      <c r="PPM1629" s="1"/>
      <c r="PPN1629" s="1"/>
      <c r="PPO1629" s="1"/>
      <c r="PPP1629" s="1"/>
      <c r="PPQ1629" s="1"/>
      <c r="PPR1629" s="1"/>
      <c r="PPS1629" s="1"/>
      <c r="PPT1629" s="1"/>
      <c r="PPU1629" s="1"/>
      <c r="PPV1629" s="1"/>
      <c r="PPW1629" s="1"/>
      <c r="PPX1629" s="1"/>
      <c r="PPY1629" s="1"/>
      <c r="PPZ1629" s="1"/>
      <c r="PQA1629" s="1"/>
      <c r="PQB1629" s="1"/>
      <c r="PQC1629" s="1"/>
      <c r="PQD1629" s="1"/>
      <c r="PQE1629" s="1"/>
      <c r="PQF1629" s="1"/>
      <c r="PQG1629" s="1"/>
      <c r="PQH1629" s="1"/>
      <c r="PQI1629" s="1"/>
      <c r="PQJ1629" s="1"/>
      <c r="PQK1629" s="1"/>
      <c r="PQL1629" s="1"/>
      <c r="PQM1629" s="1"/>
      <c r="PQN1629" s="1"/>
      <c r="PQO1629" s="1"/>
      <c r="PQP1629" s="1"/>
      <c r="PQQ1629" s="1"/>
      <c r="PQR1629" s="1"/>
      <c r="PQS1629" s="1"/>
      <c r="PQT1629" s="1"/>
      <c r="PQU1629" s="1"/>
      <c r="PQV1629" s="1"/>
      <c r="PQW1629" s="1"/>
      <c r="PQX1629" s="1"/>
      <c r="PQY1629" s="1"/>
      <c r="PQZ1629" s="1"/>
      <c r="PRA1629" s="1"/>
      <c r="PRB1629" s="1"/>
      <c r="PRC1629" s="1"/>
      <c r="PRD1629" s="1"/>
      <c r="PRE1629" s="1"/>
      <c r="PRF1629" s="1"/>
      <c r="PRG1629" s="1"/>
      <c r="PRH1629" s="1"/>
      <c r="PRI1629" s="1"/>
      <c r="PRJ1629" s="1"/>
      <c r="PRK1629" s="1"/>
      <c r="PRL1629" s="1"/>
      <c r="PRM1629" s="1"/>
      <c r="PRN1629" s="1"/>
      <c r="PRO1629" s="1"/>
      <c r="PRP1629" s="1"/>
      <c r="PRQ1629" s="1"/>
      <c r="PRR1629" s="1"/>
      <c r="PRS1629" s="1"/>
      <c r="PRT1629" s="1"/>
      <c r="PRU1629" s="1"/>
      <c r="PRV1629" s="1"/>
      <c r="PRW1629" s="1"/>
      <c r="PRX1629" s="1"/>
      <c r="PRY1629" s="1"/>
      <c r="PRZ1629" s="1"/>
      <c r="PSA1629" s="1"/>
      <c r="PSB1629" s="1"/>
      <c r="PSC1629" s="1"/>
      <c r="PSD1629" s="1"/>
      <c r="PSE1629" s="1"/>
      <c r="PSF1629" s="1"/>
      <c r="PSG1629" s="1"/>
      <c r="PSH1629" s="1"/>
      <c r="PSI1629" s="1"/>
      <c r="PSJ1629" s="1"/>
      <c r="PSK1629" s="1"/>
      <c r="PSL1629" s="1"/>
      <c r="PSM1629" s="1"/>
      <c r="PSN1629" s="1"/>
      <c r="PSO1629" s="1"/>
      <c r="PSP1629" s="1"/>
      <c r="PSQ1629" s="1"/>
      <c r="PSR1629" s="1"/>
      <c r="PSS1629" s="1"/>
      <c r="PST1629" s="1"/>
      <c r="PSU1629" s="1"/>
      <c r="PSV1629" s="1"/>
      <c r="PSW1629" s="1"/>
      <c r="PSX1629" s="1"/>
      <c r="PSY1629" s="1"/>
      <c r="PSZ1629" s="1"/>
      <c r="PTA1629" s="1"/>
      <c r="PTB1629" s="1"/>
      <c r="PTC1629" s="1"/>
      <c r="PTD1629" s="1"/>
      <c r="PTE1629" s="1"/>
      <c r="PTF1629" s="1"/>
      <c r="PTG1629" s="1"/>
      <c r="PTH1629" s="1"/>
      <c r="PTI1629" s="1"/>
      <c r="PTJ1629" s="1"/>
      <c r="PTK1629" s="1"/>
      <c r="PTL1629" s="1"/>
      <c r="PTM1629" s="1"/>
      <c r="PTN1629" s="1"/>
      <c r="PTO1629" s="1"/>
      <c r="PTP1629" s="1"/>
      <c r="PTQ1629" s="1"/>
      <c r="PTR1629" s="1"/>
      <c r="PTS1629" s="1"/>
      <c r="PTT1629" s="1"/>
      <c r="PTU1629" s="1"/>
      <c r="PTV1629" s="1"/>
      <c r="PTW1629" s="1"/>
      <c r="PTX1629" s="1"/>
      <c r="PTY1629" s="1"/>
      <c r="PTZ1629" s="1"/>
      <c r="PUA1629" s="1"/>
      <c r="PUB1629" s="1"/>
      <c r="PUC1629" s="1"/>
      <c r="PUD1629" s="1"/>
      <c r="PUE1629" s="1"/>
      <c r="PUF1629" s="1"/>
      <c r="PUG1629" s="1"/>
      <c r="PUH1629" s="1"/>
      <c r="PUI1629" s="1"/>
      <c r="PUJ1629" s="1"/>
      <c r="PUK1629" s="1"/>
      <c r="PUL1629" s="1"/>
      <c r="PUM1629" s="1"/>
      <c r="PUN1629" s="1"/>
      <c r="PUO1629" s="1"/>
      <c r="PUP1629" s="1"/>
      <c r="PUQ1629" s="1"/>
      <c r="PUR1629" s="1"/>
      <c r="PUS1629" s="1"/>
      <c r="PUT1629" s="1"/>
      <c r="PUU1629" s="1"/>
      <c r="PUV1629" s="1"/>
      <c r="PUW1629" s="1"/>
      <c r="PUX1629" s="1"/>
      <c r="PUY1629" s="1"/>
      <c r="PUZ1629" s="1"/>
      <c r="PVA1629" s="1"/>
      <c r="PVB1629" s="1"/>
      <c r="PVC1629" s="1"/>
      <c r="PVD1629" s="1"/>
      <c r="PVE1629" s="1"/>
      <c r="PVF1629" s="1"/>
      <c r="PVG1629" s="1"/>
      <c r="PVH1629" s="1"/>
      <c r="PVI1629" s="1"/>
      <c r="PVJ1629" s="1"/>
      <c r="PVK1629" s="1"/>
      <c r="PVL1629" s="1"/>
      <c r="PVM1629" s="1"/>
      <c r="PVN1629" s="1"/>
      <c r="PVO1629" s="1"/>
      <c r="PVP1629" s="1"/>
      <c r="PVQ1629" s="1"/>
      <c r="PVR1629" s="1"/>
      <c r="PVS1629" s="1"/>
      <c r="PVT1629" s="1"/>
      <c r="PVU1629" s="1"/>
      <c r="PVV1629" s="1"/>
      <c r="PVW1629" s="1"/>
      <c r="PVX1629" s="1"/>
      <c r="PVY1629" s="1"/>
      <c r="PVZ1629" s="1"/>
      <c r="PWA1629" s="1"/>
      <c r="PWB1629" s="1"/>
      <c r="PWC1629" s="1"/>
      <c r="PWD1629" s="1"/>
      <c r="PWE1629" s="1"/>
      <c r="PWF1629" s="1"/>
      <c r="PWG1629" s="1"/>
      <c r="PWH1629" s="1"/>
      <c r="PWI1629" s="1"/>
      <c r="PWJ1629" s="1"/>
      <c r="PWK1629" s="1"/>
      <c r="PWL1629" s="1"/>
      <c r="PWM1629" s="1"/>
      <c r="PWN1629" s="1"/>
      <c r="PWO1629" s="1"/>
      <c r="PWP1629" s="1"/>
      <c r="PWQ1629" s="1"/>
      <c r="PWR1629" s="1"/>
      <c r="PWS1629" s="1"/>
      <c r="PWT1629" s="1"/>
      <c r="PWU1629" s="1"/>
      <c r="PWV1629" s="1"/>
      <c r="PWW1629" s="1"/>
      <c r="PWX1629" s="1"/>
      <c r="PWY1629" s="1"/>
      <c r="PWZ1629" s="1"/>
      <c r="PXA1629" s="1"/>
      <c r="PXB1629" s="1"/>
      <c r="PXC1629" s="1"/>
      <c r="PXD1629" s="1"/>
      <c r="PXE1629" s="1"/>
      <c r="PXF1629" s="1"/>
      <c r="PXG1629" s="1"/>
      <c r="PXH1629" s="1"/>
      <c r="PXI1629" s="1"/>
      <c r="PXJ1629" s="1"/>
      <c r="PXK1629" s="1"/>
      <c r="PXL1629" s="1"/>
      <c r="PXM1629" s="1"/>
      <c r="PXN1629" s="1"/>
      <c r="PXO1629" s="1"/>
      <c r="PXP1629" s="1"/>
      <c r="PXQ1629" s="1"/>
      <c r="PXR1629" s="1"/>
      <c r="PXS1629" s="1"/>
      <c r="PXT1629" s="1"/>
      <c r="PXU1629" s="1"/>
      <c r="PXV1629" s="1"/>
      <c r="PXW1629" s="1"/>
      <c r="PXX1629" s="1"/>
      <c r="PXY1629" s="1"/>
      <c r="PXZ1629" s="1"/>
      <c r="PYA1629" s="1"/>
      <c r="PYB1629" s="1"/>
      <c r="PYC1629" s="1"/>
      <c r="PYD1629" s="1"/>
      <c r="PYE1629" s="1"/>
      <c r="PYF1629" s="1"/>
      <c r="PYG1629" s="1"/>
      <c r="PYH1629" s="1"/>
      <c r="PYI1629" s="1"/>
      <c r="PYJ1629" s="1"/>
      <c r="PYK1629" s="1"/>
      <c r="PYL1629" s="1"/>
      <c r="PYM1629" s="1"/>
      <c r="PYN1629" s="1"/>
      <c r="PYO1629" s="1"/>
      <c r="PYP1629" s="1"/>
      <c r="PYQ1629" s="1"/>
      <c r="PYR1629" s="1"/>
      <c r="PYS1629" s="1"/>
      <c r="PYT1629" s="1"/>
      <c r="PYU1629" s="1"/>
      <c r="PYV1629" s="1"/>
      <c r="PYW1629" s="1"/>
      <c r="PYX1629" s="1"/>
      <c r="PYY1629" s="1"/>
      <c r="PYZ1629" s="1"/>
      <c r="PZA1629" s="1"/>
      <c r="PZB1629" s="1"/>
      <c r="PZC1629" s="1"/>
      <c r="PZD1629" s="1"/>
      <c r="PZE1629" s="1"/>
      <c r="PZF1629" s="1"/>
      <c r="PZG1629" s="1"/>
      <c r="PZH1629" s="1"/>
      <c r="PZI1629" s="1"/>
      <c r="PZJ1629" s="1"/>
      <c r="PZK1629" s="1"/>
      <c r="PZL1629" s="1"/>
      <c r="PZM1629" s="1"/>
      <c r="PZN1629" s="1"/>
      <c r="PZO1629" s="1"/>
      <c r="PZP1629" s="1"/>
      <c r="PZQ1629" s="1"/>
      <c r="PZR1629" s="1"/>
      <c r="PZS1629" s="1"/>
      <c r="PZT1629" s="1"/>
      <c r="PZU1629" s="1"/>
      <c r="PZV1629" s="1"/>
      <c r="PZW1629" s="1"/>
      <c r="PZX1629" s="1"/>
      <c r="PZY1629" s="1"/>
      <c r="PZZ1629" s="1"/>
      <c r="QAA1629" s="1"/>
      <c r="QAB1629" s="1"/>
      <c r="QAC1629" s="1"/>
      <c r="QAD1629" s="1"/>
      <c r="QAE1629" s="1"/>
      <c r="QAF1629" s="1"/>
      <c r="QAG1629" s="1"/>
      <c r="QAH1629" s="1"/>
      <c r="QAI1629" s="1"/>
      <c r="QAJ1629" s="1"/>
      <c r="QAK1629" s="1"/>
      <c r="QAL1629" s="1"/>
      <c r="QAM1629" s="1"/>
      <c r="QAN1629" s="1"/>
      <c r="QAO1629" s="1"/>
      <c r="QAP1629" s="1"/>
      <c r="QAQ1629" s="1"/>
      <c r="QAR1629" s="1"/>
      <c r="QAS1629" s="1"/>
      <c r="QAT1629" s="1"/>
      <c r="QAU1629" s="1"/>
      <c r="QAV1629" s="1"/>
      <c r="QAW1629" s="1"/>
      <c r="QAX1629" s="1"/>
      <c r="QAY1629" s="1"/>
      <c r="QAZ1629" s="1"/>
      <c r="QBA1629" s="1"/>
      <c r="QBB1629" s="1"/>
      <c r="QBC1629" s="1"/>
      <c r="QBD1629" s="1"/>
      <c r="QBE1629" s="1"/>
      <c r="QBF1629" s="1"/>
      <c r="QBG1629" s="1"/>
      <c r="QBH1629" s="1"/>
      <c r="QBI1629" s="1"/>
      <c r="QBJ1629" s="1"/>
      <c r="QBK1629" s="1"/>
      <c r="QBL1629" s="1"/>
      <c r="QBM1629" s="1"/>
      <c r="QBN1629" s="1"/>
      <c r="QBO1629" s="1"/>
      <c r="QBP1629" s="1"/>
      <c r="QBQ1629" s="1"/>
      <c r="QBR1629" s="1"/>
      <c r="QBS1629" s="1"/>
      <c r="QBT1629" s="1"/>
      <c r="QBU1629" s="1"/>
      <c r="QBV1629" s="1"/>
      <c r="QBW1629" s="1"/>
      <c r="QBX1629" s="1"/>
      <c r="QBY1629" s="1"/>
      <c r="QBZ1629" s="1"/>
      <c r="QCA1629" s="1"/>
      <c r="QCB1629" s="1"/>
      <c r="QCC1629" s="1"/>
      <c r="QCD1629" s="1"/>
      <c r="QCE1629" s="1"/>
      <c r="QCF1629" s="1"/>
      <c r="QCG1629" s="1"/>
      <c r="QCH1629" s="1"/>
      <c r="QCI1629" s="1"/>
      <c r="QCJ1629" s="1"/>
      <c r="QCK1629" s="1"/>
      <c r="QCL1629" s="1"/>
      <c r="QCM1629" s="1"/>
      <c r="QCN1629" s="1"/>
      <c r="QCO1629" s="1"/>
      <c r="QCP1629" s="1"/>
      <c r="QCQ1629" s="1"/>
      <c r="QCR1629" s="1"/>
      <c r="QCS1629" s="1"/>
      <c r="QCT1629" s="1"/>
      <c r="QCU1629" s="1"/>
      <c r="QCV1629" s="1"/>
      <c r="QCW1629" s="1"/>
      <c r="QCX1629" s="1"/>
      <c r="QCY1629" s="1"/>
      <c r="QCZ1629" s="1"/>
      <c r="QDA1629" s="1"/>
      <c r="QDB1629" s="1"/>
      <c r="QDC1629" s="1"/>
      <c r="QDD1629" s="1"/>
      <c r="QDE1629" s="1"/>
      <c r="QDF1629" s="1"/>
      <c r="QDG1629" s="1"/>
      <c r="QDH1629" s="1"/>
      <c r="QDI1629" s="1"/>
      <c r="QDJ1629" s="1"/>
      <c r="QDK1629" s="1"/>
      <c r="QDL1629" s="1"/>
      <c r="QDM1629" s="1"/>
      <c r="QDN1629" s="1"/>
      <c r="QDO1629" s="1"/>
      <c r="QDP1629" s="1"/>
      <c r="QDQ1629" s="1"/>
      <c r="QDR1629" s="1"/>
      <c r="QDS1629" s="1"/>
      <c r="QDT1629" s="1"/>
      <c r="QDU1629" s="1"/>
      <c r="QDV1629" s="1"/>
      <c r="QDW1629" s="1"/>
      <c r="QDX1629" s="1"/>
      <c r="QDY1629" s="1"/>
      <c r="QDZ1629" s="1"/>
      <c r="QEA1629" s="1"/>
      <c r="QEB1629" s="1"/>
      <c r="QEC1629" s="1"/>
      <c r="QED1629" s="1"/>
      <c r="QEE1629" s="1"/>
      <c r="QEF1629" s="1"/>
      <c r="QEG1629" s="1"/>
      <c r="QEH1629" s="1"/>
      <c r="QEI1629" s="1"/>
      <c r="QEJ1629" s="1"/>
      <c r="QEK1629" s="1"/>
      <c r="QEL1629" s="1"/>
      <c r="QEM1629" s="1"/>
      <c r="QEN1629" s="1"/>
      <c r="QEO1629" s="1"/>
      <c r="QEP1629" s="1"/>
      <c r="QEQ1629" s="1"/>
      <c r="QER1629" s="1"/>
      <c r="QES1629" s="1"/>
      <c r="QET1629" s="1"/>
      <c r="QEU1629" s="1"/>
      <c r="QEV1629" s="1"/>
      <c r="QEW1629" s="1"/>
      <c r="QEX1629" s="1"/>
      <c r="QEY1629" s="1"/>
      <c r="QEZ1629" s="1"/>
      <c r="QFA1629" s="1"/>
      <c r="QFB1629" s="1"/>
      <c r="QFC1629" s="1"/>
      <c r="QFD1629" s="1"/>
      <c r="QFE1629" s="1"/>
      <c r="QFF1629" s="1"/>
      <c r="QFG1629" s="1"/>
      <c r="QFH1629" s="1"/>
      <c r="QFI1629" s="1"/>
      <c r="QFJ1629" s="1"/>
      <c r="QFK1629" s="1"/>
      <c r="QFL1629" s="1"/>
      <c r="QFM1629" s="1"/>
      <c r="QFN1629" s="1"/>
      <c r="QFO1629" s="1"/>
      <c r="QFP1629" s="1"/>
      <c r="QFQ1629" s="1"/>
      <c r="QFR1629" s="1"/>
      <c r="QFS1629" s="1"/>
      <c r="QFT1629" s="1"/>
      <c r="QFU1629" s="1"/>
      <c r="QFV1629" s="1"/>
      <c r="QFW1629" s="1"/>
      <c r="QFX1629" s="1"/>
      <c r="QFY1629" s="1"/>
      <c r="QFZ1629" s="1"/>
      <c r="QGA1629" s="1"/>
      <c r="QGB1629" s="1"/>
      <c r="QGC1629" s="1"/>
      <c r="QGD1629" s="1"/>
      <c r="QGE1629" s="1"/>
      <c r="QGF1629" s="1"/>
      <c r="QGG1629" s="1"/>
      <c r="QGH1629" s="1"/>
      <c r="QGI1629" s="1"/>
      <c r="QGJ1629" s="1"/>
      <c r="QGK1629" s="1"/>
      <c r="QGL1629" s="1"/>
      <c r="QGM1629" s="1"/>
      <c r="QGN1629" s="1"/>
      <c r="QGO1629" s="1"/>
      <c r="QGP1629" s="1"/>
      <c r="QGQ1629" s="1"/>
      <c r="QGR1629" s="1"/>
      <c r="QGS1629" s="1"/>
      <c r="QGT1629" s="1"/>
      <c r="QGU1629" s="1"/>
      <c r="QGV1629" s="1"/>
      <c r="QGW1629" s="1"/>
      <c r="QGX1629" s="1"/>
      <c r="QGY1629" s="1"/>
      <c r="QGZ1629" s="1"/>
      <c r="QHA1629" s="1"/>
      <c r="QHB1629" s="1"/>
      <c r="QHC1629" s="1"/>
      <c r="QHD1629" s="1"/>
      <c r="QHE1629" s="1"/>
      <c r="QHF1629" s="1"/>
      <c r="QHG1629" s="1"/>
      <c r="QHH1629" s="1"/>
      <c r="QHI1629" s="1"/>
      <c r="QHJ1629" s="1"/>
      <c r="QHK1629" s="1"/>
      <c r="QHL1629" s="1"/>
      <c r="QHM1629" s="1"/>
      <c r="QHN1629" s="1"/>
      <c r="QHO1629" s="1"/>
      <c r="QHP1629" s="1"/>
      <c r="QHQ1629" s="1"/>
      <c r="QHR1629" s="1"/>
      <c r="QHS1629" s="1"/>
      <c r="QHT1629" s="1"/>
      <c r="QHU1629" s="1"/>
      <c r="QHV1629" s="1"/>
      <c r="QHW1629" s="1"/>
      <c r="QHX1629" s="1"/>
      <c r="QHY1629" s="1"/>
      <c r="QHZ1629" s="1"/>
      <c r="QIA1629" s="1"/>
      <c r="QIB1629" s="1"/>
      <c r="QIC1629" s="1"/>
      <c r="QID1629" s="1"/>
      <c r="QIE1629" s="1"/>
      <c r="QIF1629" s="1"/>
      <c r="QIG1629" s="1"/>
      <c r="QIH1629" s="1"/>
      <c r="QII1629" s="1"/>
      <c r="QIJ1629" s="1"/>
      <c r="QIK1629" s="1"/>
      <c r="QIL1629" s="1"/>
      <c r="QIM1629" s="1"/>
      <c r="QIN1629" s="1"/>
      <c r="QIO1629" s="1"/>
      <c r="QIP1629" s="1"/>
      <c r="QIQ1629" s="1"/>
      <c r="QIR1629" s="1"/>
      <c r="QIS1629" s="1"/>
      <c r="QIT1629" s="1"/>
      <c r="QIU1629" s="1"/>
      <c r="QIV1629" s="1"/>
      <c r="QIW1629" s="1"/>
      <c r="QIX1629" s="1"/>
      <c r="QIY1629" s="1"/>
      <c r="QIZ1629" s="1"/>
      <c r="QJA1629" s="1"/>
      <c r="QJB1629" s="1"/>
      <c r="QJC1629" s="1"/>
      <c r="QJD1629" s="1"/>
      <c r="QJE1629" s="1"/>
      <c r="QJF1629" s="1"/>
      <c r="QJG1629" s="1"/>
      <c r="QJH1629" s="1"/>
      <c r="QJI1629" s="1"/>
      <c r="QJJ1629" s="1"/>
      <c r="QJK1629" s="1"/>
      <c r="QJL1629" s="1"/>
      <c r="QJM1629" s="1"/>
      <c r="QJN1629" s="1"/>
      <c r="QJO1629" s="1"/>
      <c r="QJP1629" s="1"/>
      <c r="QJQ1629" s="1"/>
      <c r="QJR1629" s="1"/>
      <c r="QJS1629" s="1"/>
      <c r="QJT1629" s="1"/>
      <c r="QJU1629" s="1"/>
      <c r="QJV1629" s="1"/>
      <c r="QJW1629" s="1"/>
      <c r="QJX1629" s="1"/>
      <c r="QJY1629" s="1"/>
      <c r="QJZ1629" s="1"/>
      <c r="QKA1629" s="1"/>
      <c r="QKB1629" s="1"/>
      <c r="QKC1629" s="1"/>
      <c r="QKD1629" s="1"/>
      <c r="QKE1629" s="1"/>
      <c r="QKF1629" s="1"/>
      <c r="QKG1629" s="1"/>
      <c r="QKH1629" s="1"/>
      <c r="QKI1629" s="1"/>
      <c r="QKJ1629" s="1"/>
      <c r="QKK1629" s="1"/>
      <c r="QKL1629" s="1"/>
      <c r="QKM1629" s="1"/>
      <c r="QKN1629" s="1"/>
      <c r="QKO1629" s="1"/>
      <c r="QKP1629" s="1"/>
      <c r="QKQ1629" s="1"/>
      <c r="QKR1629" s="1"/>
      <c r="QKS1629" s="1"/>
      <c r="QKT1629" s="1"/>
      <c r="QKU1629" s="1"/>
      <c r="QKV1629" s="1"/>
      <c r="QKW1629" s="1"/>
      <c r="QKX1629" s="1"/>
      <c r="QKY1629" s="1"/>
      <c r="QKZ1629" s="1"/>
      <c r="QLA1629" s="1"/>
      <c r="QLB1629" s="1"/>
      <c r="QLC1629" s="1"/>
      <c r="QLD1629" s="1"/>
      <c r="QLE1629" s="1"/>
      <c r="QLF1629" s="1"/>
      <c r="QLG1629" s="1"/>
      <c r="QLH1629" s="1"/>
      <c r="QLI1629" s="1"/>
      <c r="QLJ1629" s="1"/>
      <c r="QLK1629" s="1"/>
      <c r="QLL1629" s="1"/>
      <c r="QLM1629" s="1"/>
      <c r="QLN1629" s="1"/>
      <c r="QLO1629" s="1"/>
      <c r="QLP1629" s="1"/>
      <c r="QLQ1629" s="1"/>
      <c r="QLR1629" s="1"/>
      <c r="QLS1629" s="1"/>
      <c r="QLT1629" s="1"/>
      <c r="QLU1629" s="1"/>
      <c r="QLV1629" s="1"/>
      <c r="QLW1629" s="1"/>
      <c r="QLX1629" s="1"/>
      <c r="QLY1629" s="1"/>
      <c r="QLZ1629" s="1"/>
      <c r="QMA1629" s="1"/>
      <c r="QMB1629" s="1"/>
      <c r="QMC1629" s="1"/>
      <c r="QMD1629" s="1"/>
      <c r="QME1629" s="1"/>
      <c r="QMF1629" s="1"/>
      <c r="QMG1629" s="1"/>
      <c r="QMH1629" s="1"/>
      <c r="QMI1629" s="1"/>
      <c r="QMJ1629" s="1"/>
      <c r="QMK1629" s="1"/>
      <c r="QML1629" s="1"/>
      <c r="QMM1629" s="1"/>
      <c r="QMN1629" s="1"/>
      <c r="QMO1629" s="1"/>
      <c r="QMP1629" s="1"/>
      <c r="QMQ1629" s="1"/>
      <c r="QMR1629" s="1"/>
      <c r="QMS1629" s="1"/>
      <c r="QMT1629" s="1"/>
      <c r="QMU1629" s="1"/>
      <c r="QMV1629" s="1"/>
      <c r="QMW1629" s="1"/>
      <c r="QMX1629" s="1"/>
      <c r="QMY1629" s="1"/>
      <c r="QMZ1629" s="1"/>
      <c r="QNA1629" s="1"/>
      <c r="QNB1629" s="1"/>
      <c r="QNC1629" s="1"/>
      <c r="QND1629" s="1"/>
      <c r="QNE1629" s="1"/>
      <c r="QNF1629" s="1"/>
      <c r="QNG1629" s="1"/>
      <c r="QNH1629" s="1"/>
      <c r="QNI1629" s="1"/>
      <c r="QNJ1629" s="1"/>
      <c r="QNK1629" s="1"/>
      <c r="QNL1629" s="1"/>
      <c r="QNM1629" s="1"/>
      <c r="QNN1629" s="1"/>
      <c r="QNO1629" s="1"/>
      <c r="QNP1629" s="1"/>
      <c r="QNQ1629" s="1"/>
      <c r="QNR1629" s="1"/>
      <c r="QNS1629" s="1"/>
      <c r="QNT1629" s="1"/>
      <c r="QNU1629" s="1"/>
      <c r="QNV1629" s="1"/>
      <c r="QNW1629" s="1"/>
      <c r="QNX1629" s="1"/>
      <c r="QNY1629" s="1"/>
      <c r="QNZ1629" s="1"/>
      <c r="QOA1629" s="1"/>
      <c r="QOB1629" s="1"/>
      <c r="QOC1629" s="1"/>
      <c r="QOD1629" s="1"/>
      <c r="QOE1629" s="1"/>
      <c r="QOF1629" s="1"/>
      <c r="QOG1629" s="1"/>
      <c r="QOH1629" s="1"/>
      <c r="QOI1629" s="1"/>
      <c r="QOJ1629" s="1"/>
      <c r="QOK1629" s="1"/>
      <c r="QOL1629" s="1"/>
      <c r="QOM1629" s="1"/>
      <c r="QON1629" s="1"/>
      <c r="QOO1629" s="1"/>
      <c r="QOP1629" s="1"/>
      <c r="QOQ1629" s="1"/>
      <c r="QOR1629" s="1"/>
      <c r="QOS1629" s="1"/>
      <c r="QOT1629" s="1"/>
      <c r="QOU1629" s="1"/>
      <c r="QOV1629" s="1"/>
      <c r="QOW1629" s="1"/>
      <c r="QOX1629" s="1"/>
      <c r="QOY1629" s="1"/>
      <c r="QOZ1629" s="1"/>
      <c r="QPA1629" s="1"/>
      <c r="QPB1629" s="1"/>
      <c r="QPC1629" s="1"/>
      <c r="QPD1629" s="1"/>
      <c r="QPE1629" s="1"/>
      <c r="QPF1629" s="1"/>
      <c r="QPG1629" s="1"/>
      <c r="QPH1629" s="1"/>
      <c r="QPI1629" s="1"/>
      <c r="QPJ1629" s="1"/>
      <c r="QPK1629" s="1"/>
      <c r="QPL1629" s="1"/>
      <c r="QPM1629" s="1"/>
      <c r="QPN1629" s="1"/>
      <c r="QPO1629" s="1"/>
      <c r="QPP1629" s="1"/>
      <c r="QPQ1629" s="1"/>
      <c r="QPR1629" s="1"/>
      <c r="QPS1629" s="1"/>
      <c r="QPT1629" s="1"/>
      <c r="QPU1629" s="1"/>
      <c r="QPV1629" s="1"/>
      <c r="QPW1629" s="1"/>
      <c r="QPX1629" s="1"/>
      <c r="QPY1629" s="1"/>
      <c r="QPZ1629" s="1"/>
      <c r="QQA1629" s="1"/>
      <c r="QQB1629" s="1"/>
      <c r="QQC1629" s="1"/>
      <c r="QQD1629" s="1"/>
      <c r="QQE1629" s="1"/>
      <c r="QQF1629" s="1"/>
      <c r="QQG1629" s="1"/>
      <c r="QQH1629" s="1"/>
      <c r="QQI1629" s="1"/>
      <c r="QQJ1629" s="1"/>
      <c r="QQK1629" s="1"/>
      <c r="QQL1629" s="1"/>
      <c r="QQM1629" s="1"/>
      <c r="QQN1629" s="1"/>
      <c r="QQO1629" s="1"/>
      <c r="QQP1629" s="1"/>
      <c r="QQQ1629" s="1"/>
      <c r="QQR1629" s="1"/>
      <c r="QQS1629" s="1"/>
      <c r="QQT1629" s="1"/>
      <c r="QQU1629" s="1"/>
      <c r="QQV1629" s="1"/>
      <c r="QQW1629" s="1"/>
      <c r="QQX1629" s="1"/>
      <c r="QQY1629" s="1"/>
      <c r="QQZ1629" s="1"/>
      <c r="QRA1629" s="1"/>
      <c r="QRB1629" s="1"/>
      <c r="QRC1629" s="1"/>
      <c r="QRD1629" s="1"/>
      <c r="QRE1629" s="1"/>
      <c r="QRF1629" s="1"/>
      <c r="QRG1629" s="1"/>
      <c r="QRH1629" s="1"/>
      <c r="QRI1629" s="1"/>
      <c r="QRJ1629" s="1"/>
      <c r="QRK1629" s="1"/>
      <c r="QRL1629" s="1"/>
      <c r="QRM1629" s="1"/>
      <c r="QRN1629" s="1"/>
      <c r="QRO1629" s="1"/>
      <c r="QRP1629" s="1"/>
      <c r="QRQ1629" s="1"/>
      <c r="QRR1629" s="1"/>
      <c r="QRS1629" s="1"/>
      <c r="QRT1629" s="1"/>
      <c r="QRU1629" s="1"/>
      <c r="QRV1629" s="1"/>
      <c r="QRW1629" s="1"/>
      <c r="QRX1629" s="1"/>
      <c r="QRY1629" s="1"/>
      <c r="QRZ1629" s="1"/>
      <c r="QSA1629" s="1"/>
      <c r="QSB1629" s="1"/>
      <c r="QSC1629" s="1"/>
      <c r="QSD1629" s="1"/>
      <c r="QSE1629" s="1"/>
      <c r="QSF1629" s="1"/>
      <c r="QSG1629" s="1"/>
      <c r="QSH1629" s="1"/>
      <c r="QSI1629" s="1"/>
      <c r="QSJ1629" s="1"/>
      <c r="QSK1629" s="1"/>
      <c r="QSL1629" s="1"/>
      <c r="QSM1629" s="1"/>
      <c r="QSN1629" s="1"/>
      <c r="QSO1629" s="1"/>
      <c r="QSP1629" s="1"/>
      <c r="QSQ1629" s="1"/>
      <c r="QSR1629" s="1"/>
      <c r="QSS1629" s="1"/>
      <c r="QST1629" s="1"/>
      <c r="QSU1629" s="1"/>
      <c r="QSV1629" s="1"/>
      <c r="QSW1629" s="1"/>
      <c r="QSX1629" s="1"/>
      <c r="QSY1629" s="1"/>
      <c r="QSZ1629" s="1"/>
      <c r="QTA1629" s="1"/>
      <c r="QTB1629" s="1"/>
      <c r="QTC1629" s="1"/>
      <c r="QTD1629" s="1"/>
      <c r="QTE1629" s="1"/>
      <c r="QTF1629" s="1"/>
      <c r="QTG1629" s="1"/>
      <c r="QTH1629" s="1"/>
      <c r="QTI1629" s="1"/>
      <c r="QTJ1629" s="1"/>
      <c r="QTK1629" s="1"/>
      <c r="QTL1629" s="1"/>
      <c r="QTM1629" s="1"/>
      <c r="QTN1629" s="1"/>
      <c r="QTO1629" s="1"/>
      <c r="QTP1629" s="1"/>
      <c r="QTQ1629" s="1"/>
      <c r="QTR1629" s="1"/>
      <c r="QTS1629" s="1"/>
      <c r="QTT1629" s="1"/>
      <c r="QTU1629" s="1"/>
      <c r="QTV1629" s="1"/>
      <c r="QTW1629" s="1"/>
      <c r="QTX1629" s="1"/>
      <c r="QTY1629" s="1"/>
      <c r="QTZ1629" s="1"/>
      <c r="QUA1629" s="1"/>
      <c r="QUB1629" s="1"/>
      <c r="QUC1629" s="1"/>
      <c r="QUD1629" s="1"/>
      <c r="QUE1629" s="1"/>
      <c r="QUF1629" s="1"/>
      <c r="QUG1629" s="1"/>
      <c r="QUH1629" s="1"/>
      <c r="QUI1629" s="1"/>
      <c r="QUJ1629" s="1"/>
      <c r="QUK1629" s="1"/>
      <c r="QUL1629" s="1"/>
      <c r="QUM1629" s="1"/>
      <c r="QUN1629" s="1"/>
      <c r="QUO1629" s="1"/>
      <c r="QUP1629" s="1"/>
      <c r="QUQ1629" s="1"/>
      <c r="QUR1629" s="1"/>
      <c r="QUS1629" s="1"/>
      <c r="QUT1629" s="1"/>
      <c r="QUU1629" s="1"/>
      <c r="QUV1629" s="1"/>
      <c r="QUW1629" s="1"/>
      <c r="QUX1629" s="1"/>
      <c r="QUY1629" s="1"/>
      <c r="QUZ1629" s="1"/>
      <c r="QVA1629" s="1"/>
      <c r="QVB1629" s="1"/>
      <c r="QVC1629" s="1"/>
      <c r="QVD1629" s="1"/>
      <c r="QVE1629" s="1"/>
      <c r="QVF1629" s="1"/>
      <c r="QVG1629" s="1"/>
      <c r="QVH1629" s="1"/>
      <c r="QVI1629" s="1"/>
      <c r="QVJ1629" s="1"/>
      <c r="QVK1629" s="1"/>
      <c r="QVL1629" s="1"/>
      <c r="QVM1629" s="1"/>
      <c r="QVN1629" s="1"/>
      <c r="QVO1629" s="1"/>
      <c r="QVP1629" s="1"/>
      <c r="QVQ1629" s="1"/>
      <c r="QVR1629" s="1"/>
      <c r="QVS1629" s="1"/>
      <c r="QVT1629" s="1"/>
      <c r="QVU1629" s="1"/>
      <c r="QVV1629" s="1"/>
      <c r="QVW1629" s="1"/>
      <c r="QVX1629" s="1"/>
      <c r="QVY1629" s="1"/>
      <c r="QVZ1629" s="1"/>
      <c r="QWA1629" s="1"/>
      <c r="QWB1629" s="1"/>
      <c r="QWC1629" s="1"/>
      <c r="QWD1629" s="1"/>
      <c r="QWE1629" s="1"/>
      <c r="QWF1629" s="1"/>
      <c r="QWG1629" s="1"/>
      <c r="QWH1629" s="1"/>
      <c r="QWI1629" s="1"/>
      <c r="QWJ1629" s="1"/>
      <c r="QWK1629" s="1"/>
      <c r="QWL1629" s="1"/>
      <c r="QWM1629" s="1"/>
      <c r="QWN1629" s="1"/>
      <c r="QWO1629" s="1"/>
      <c r="QWP1629" s="1"/>
      <c r="QWQ1629" s="1"/>
      <c r="QWR1629" s="1"/>
      <c r="QWS1629" s="1"/>
      <c r="QWT1629" s="1"/>
      <c r="QWU1629" s="1"/>
      <c r="QWV1629" s="1"/>
      <c r="QWW1629" s="1"/>
      <c r="QWX1629" s="1"/>
      <c r="QWY1629" s="1"/>
      <c r="QWZ1629" s="1"/>
      <c r="QXA1629" s="1"/>
      <c r="QXB1629" s="1"/>
      <c r="QXC1629" s="1"/>
      <c r="QXD1629" s="1"/>
      <c r="QXE1629" s="1"/>
      <c r="QXF1629" s="1"/>
      <c r="QXG1629" s="1"/>
      <c r="QXH1629" s="1"/>
      <c r="QXI1629" s="1"/>
      <c r="QXJ1629" s="1"/>
      <c r="QXK1629" s="1"/>
      <c r="QXL1629" s="1"/>
      <c r="QXM1629" s="1"/>
      <c r="QXN1629" s="1"/>
      <c r="QXO1629" s="1"/>
      <c r="QXP1629" s="1"/>
      <c r="QXQ1629" s="1"/>
      <c r="QXR1629" s="1"/>
      <c r="QXS1629" s="1"/>
      <c r="QXT1629" s="1"/>
      <c r="QXU1629" s="1"/>
      <c r="QXV1629" s="1"/>
      <c r="QXW1629" s="1"/>
      <c r="QXX1629" s="1"/>
      <c r="QXY1629" s="1"/>
      <c r="QXZ1629" s="1"/>
      <c r="QYA1629" s="1"/>
      <c r="QYB1629" s="1"/>
      <c r="QYC1629" s="1"/>
      <c r="QYD1629" s="1"/>
      <c r="QYE1629" s="1"/>
      <c r="QYF1629" s="1"/>
      <c r="QYG1629" s="1"/>
      <c r="QYH1629" s="1"/>
      <c r="QYI1629" s="1"/>
      <c r="QYJ1629" s="1"/>
      <c r="QYK1629" s="1"/>
      <c r="QYL1629" s="1"/>
      <c r="QYM1629" s="1"/>
      <c r="QYN1629" s="1"/>
      <c r="QYO1629" s="1"/>
      <c r="QYP1629" s="1"/>
      <c r="QYQ1629" s="1"/>
      <c r="QYR1629" s="1"/>
      <c r="QYS1629" s="1"/>
      <c r="QYT1629" s="1"/>
      <c r="QYU1629" s="1"/>
      <c r="QYV1629" s="1"/>
      <c r="QYW1629" s="1"/>
      <c r="QYX1629" s="1"/>
      <c r="QYY1629" s="1"/>
      <c r="QYZ1629" s="1"/>
      <c r="QZA1629" s="1"/>
      <c r="QZB1629" s="1"/>
      <c r="QZC1629" s="1"/>
      <c r="QZD1629" s="1"/>
      <c r="QZE1629" s="1"/>
      <c r="QZF1629" s="1"/>
      <c r="QZG1629" s="1"/>
      <c r="QZH1629" s="1"/>
      <c r="QZI1629" s="1"/>
      <c r="QZJ1629" s="1"/>
      <c r="QZK1629" s="1"/>
      <c r="QZL1629" s="1"/>
      <c r="QZM1629" s="1"/>
      <c r="QZN1629" s="1"/>
      <c r="QZO1629" s="1"/>
      <c r="QZP1629" s="1"/>
      <c r="QZQ1629" s="1"/>
      <c r="QZR1629" s="1"/>
      <c r="QZS1629" s="1"/>
      <c r="QZT1629" s="1"/>
      <c r="QZU1629" s="1"/>
      <c r="QZV1629" s="1"/>
      <c r="QZW1629" s="1"/>
      <c r="QZX1629" s="1"/>
      <c r="QZY1629" s="1"/>
      <c r="QZZ1629" s="1"/>
      <c r="RAA1629" s="1"/>
      <c r="RAB1629" s="1"/>
      <c r="RAC1629" s="1"/>
      <c r="RAD1629" s="1"/>
      <c r="RAE1629" s="1"/>
      <c r="RAF1629" s="1"/>
      <c r="RAG1629" s="1"/>
      <c r="RAH1629" s="1"/>
      <c r="RAI1629" s="1"/>
      <c r="RAJ1629" s="1"/>
      <c r="RAK1629" s="1"/>
      <c r="RAL1629" s="1"/>
      <c r="RAM1629" s="1"/>
      <c r="RAN1629" s="1"/>
      <c r="RAO1629" s="1"/>
      <c r="RAP1629" s="1"/>
      <c r="RAQ1629" s="1"/>
      <c r="RAR1629" s="1"/>
      <c r="RAS1629" s="1"/>
      <c r="RAT1629" s="1"/>
      <c r="RAU1629" s="1"/>
      <c r="RAV1629" s="1"/>
      <c r="RAW1629" s="1"/>
      <c r="RAX1629" s="1"/>
      <c r="RAY1629" s="1"/>
      <c r="RAZ1629" s="1"/>
      <c r="RBA1629" s="1"/>
      <c r="RBB1629" s="1"/>
      <c r="RBC1629" s="1"/>
      <c r="RBD1629" s="1"/>
      <c r="RBE1629" s="1"/>
      <c r="RBF1629" s="1"/>
      <c r="RBG1629" s="1"/>
      <c r="RBH1629" s="1"/>
      <c r="RBI1629" s="1"/>
      <c r="RBJ1629" s="1"/>
      <c r="RBK1629" s="1"/>
      <c r="RBL1629" s="1"/>
      <c r="RBM1629" s="1"/>
      <c r="RBN1629" s="1"/>
      <c r="RBO1629" s="1"/>
      <c r="RBP1629" s="1"/>
      <c r="RBQ1629" s="1"/>
      <c r="RBR1629" s="1"/>
      <c r="RBS1629" s="1"/>
      <c r="RBT1629" s="1"/>
      <c r="RBU1629" s="1"/>
      <c r="RBV1629" s="1"/>
      <c r="RBW1629" s="1"/>
      <c r="RBX1629" s="1"/>
      <c r="RBY1629" s="1"/>
      <c r="RBZ1629" s="1"/>
      <c r="RCA1629" s="1"/>
      <c r="RCB1629" s="1"/>
      <c r="RCC1629" s="1"/>
      <c r="RCD1629" s="1"/>
      <c r="RCE1629" s="1"/>
      <c r="RCF1629" s="1"/>
      <c r="RCG1629" s="1"/>
      <c r="RCH1629" s="1"/>
      <c r="RCI1629" s="1"/>
      <c r="RCJ1629" s="1"/>
      <c r="RCK1629" s="1"/>
      <c r="RCL1629" s="1"/>
      <c r="RCM1629" s="1"/>
      <c r="RCN1629" s="1"/>
      <c r="RCO1629" s="1"/>
      <c r="RCP1629" s="1"/>
      <c r="RCQ1629" s="1"/>
      <c r="RCR1629" s="1"/>
      <c r="RCS1629" s="1"/>
      <c r="RCT1629" s="1"/>
      <c r="RCU1629" s="1"/>
      <c r="RCV1629" s="1"/>
      <c r="RCW1629" s="1"/>
      <c r="RCX1629" s="1"/>
      <c r="RCY1629" s="1"/>
      <c r="RCZ1629" s="1"/>
      <c r="RDA1629" s="1"/>
      <c r="RDB1629" s="1"/>
      <c r="RDC1629" s="1"/>
      <c r="RDD1629" s="1"/>
      <c r="RDE1629" s="1"/>
      <c r="RDF1629" s="1"/>
      <c r="RDG1629" s="1"/>
      <c r="RDH1629" s="1"/>
      <c r="RDI1629" s="1"/>
      <c r="RDJ1629" s="1"/>
      <c r="RDK1629" s="1"/>
      <c r="RDL1629" s="1"/>
      <c r="RDM1629" s="1"/>
      <c r="RDN1629" s="1"/>
      <c r="RDO1629" s="1"/>
      <c r="RDP1629" s="1"/>
      <c r="RDQ1629" s="1"/>
      <c r="RDR1629" s="1"/>
      <c r="RDS1629" s="1"/>
      <c r="RDT1629" s="1"/>
      <c r="RDU1629" s="1"/>
      <c r="RDV1629" s="1"/>
      <c r="RDW1629" s="1"/>
      <c r="RDX1629" s="1"/>
      <c r="RDY1629" s="1"/>
      <c r="RDZ1629" s="1"/>
      <c r="REA1629" s="1"/>
      <c r="REB1629" s="1"/>
      <c r="REC1629" s="1"/>
      <c r="RED1629" s="1"/>
      <c r="REE1629" s="1"/>
      <c r="REF1629" s="1"/>
      <c r="REG1629" s="1"/>
      <c r="REH1629" s="1"/>
      <c r="REI1629" s="1"/>
      <c r="REJ1629" s="1"/>
      <c r="REK1629" s="1"/>
      <c r="REL1629" s="1"/>
      <c r="REM1629" s="1"/>
      <c r="REN1629" s="1"/>
      <c r="REO1629" s="1"/>
      <c r="REP1629" s="1"/>
      <c r="REQ1629" s="1"/>
      <c r="RER1629" s="1"/>
      <c r="RES1629" s="1"/>
      <c r="RET1629" s="1"/>
      <c r="REU1629" s="1"/>
      <c r="REV1629" s="1"/>
      <c r="REW1629" s="1"/>
      <c r="REX1629" s="1"/>
      <c r="REY1629" s="1"/>
      <c r="REZ1629" s="1"/>
      <c r="RFA1629" s="1"/>
      <c r="RFB1629" s="1"/>
      <c r="RFC1629" s="1"/>
      <c r="RFD1629" s="1"/>
      <c r="RFE1629" s="1"/>
      <c r="RFF1629" s="1"/>
      <c r="RFG1629" s="1"/>
      <c r="RFH1629" s="1"/>
      <c r="RFI1629" s="1"/>
      <c r="RFJ1629" s="1"/>
      <c r="RFK1629" s="1"/>
      <c r="RFL1629" s="1"/>
      <c r="RFM1629" s="1"/>
      <c r="RFN1629" s="1"/>
      <c r="RFO1629" s="1"/>
      <c r="RFP1629" s="1"/>
      <c r="RFQ1629" s="1"/>
      <c r="RFR1629" s="1"/>
      <c r="RFS1629" s="1"/>
      <c r="RFT1629" s="1"/>
      <c r="RFU1629" s="1"/>
      <c r="RFV1629" s="1"/>
      <c r="RFW1629" s="1"/>
      <c r="RFX1629" s="1"/>
      <c r="RFY1629" s="1"/>
      <c r="RFZ1629" s="1"/>
      <c r="RGA1629" s="1"/>
      <c r="RGB1629" s="1"/>
      <c r="RGC1629" s="1"/>
      <c r="RGD1629" s="1"/>
      <c r="RGE1629" s="1"/>
      <c r="RGF1629" s="1"/>
      <c r="RGG1629" s="1"/>
      <c r="RGH1629" s="1"/>
      <c r="RGI1629" s="1"/>
      <c r="RGJ1629" s="1"/>
      <c r="RGK1629" s="1"/>
      <c r="RGL1629" s="1"/>
      <c r="RGM1629" s="1"/>
      <c r="RGN1629" s="1"/>
      <c r="RGO1629" s="1"/>
      <c r="RGP1629" s="1"/>
      <c r="RGQ1629" s="1"/>
      <c r="RGR1629" s="1"/>
      <c r="RGS1629" s="1"/>
      <c r="RGT1629" s="1"/>
      <c r="RGU1629" s="1"/>
      <c r="RGV1629" s="1"/>
      <c r="RGW1629" s="1"/>
      <c r="RGX1629" s="1"/>
      <c r="RGY1629" s="1"/>
      <c r="RGZ1629" s="1"/>
      <c r="RHA1629" s="1"/>
      <c r="RHB1629" s="1"/>
      <c r="RHC1629" s="1"/>
      <c r="RHD1629" s="1"/>
      <c r="RHE1629" s="1"/>
      <c r="RHF1629" s="1"/>
      <c r="RHG1629" s="1"/>
      <c r="RHH1629" s="1"/>
      <c r="RHI1629" s="1"/>
      <c r="RHJ1629" s="1"/>
      <c r="RHK1629" s="1"/>
      <c r="RHL1629" s="1"/>
      <c r="RHM1629" s="1"/>
      <c r="RHN1629" s="1"/>
      <c r="RHO1629" s="1"/>
      <c r="RHP1629" s="1"/>
      <c r="RHQ1629" s="1"/>
      <c r="RHR1629" s="1"/>
      <c r="RHS1629" s="1"/>
      <c r="RHT1629" s="1"/>
      <c r="RHU1629" s="1"/>
      <c r="RHV1629" s="1"/>
      <c r="RHW1629" s="1"/>
      <c r="RHX1629" s="1"/>
      <c r="RHY1629" s="1"/>
      <c r="RHZ1629" s="1"/>
      <c r="RIA1629" s="1"/>
      <c r="RIB1629" s="1"/>
      <c r="RIC1629" s="1"/>
      <c r="RID1629" s="1"/>
      <c r="RIE1629" s="1"/>
      <c r="RIF1629" s="1"/>
      <c r="RIG1629" s="1"/>
      <c r="RIH1629" s="1"/>
      <c r="RII1629" s="1"/>
      <c r="RIJ1629" s="1"/>
      <c r="RIK1629" s="1"/>
      <c r="RIL1629" s="1"/>
      <c r="RIM1629" s="1"/>
      <c r="RIN1629" s="1"/>
      <c r="RIO1629" s="1"/>
      <c r="RIP1629" s="1"/>
      <c r="RIQ1629" s="1"/>
      <c r="RIR1629" s="1"/>
      <c r="RIS1629" s="1"/>
      <c r="RIT1629" s="1"/>
      <c r="RIU1629" s="1"/>
      <c r="RIV1629" s="1"/>
      <c r="RIW1629" s="1"/>
      <c r="RIX1629" s="1"/>
      <c r="RIY1629" s="1"/>
      <c r="RIZ1629" s="1"/>
      <c r="RJA1629" s="1"/>
      <c r="RJB1629" s="1"/>
      <c r="RJC1629" s="1"/>
      <c r="RJD1629" s="1"/>
      <c r="RJE1629" s="1"/>
      <c r="RJF1629" s="1"/>
      <c r="RJG1629" s="1"/>
      <c r="RJH1629" s="1"/>
      <c r="RJI1629" s="1"/>
      <c r="RJJ1629" s="1"/>
      <c r="RJK1629" s="1"/>
      <c r="RJL1629" s="1"/>
      <c r="RJM1629" s="1"/>
      <c r="RJN1629" s="1"/>
      <c r="RJO1629" s="1"/>
      <c r="RJP1629" s="1"/>
      <c r="RJQ1629" s="1"/>
      <c r="RJR1629" s="1"/>
      <c r="RJS1629" s="1"/>
      <c r="RJT1629" s="1"/>
      <c r="RJU1629" s="1"/>
      <c r="RJV1629" s="1"/>
      <c r="RJW1629" s="1"/>
      <c r="RJX1629" s="1"/>
      <c r="RJY1629" s="1"/>
      <c r="RJZ1629" s="1"/>
      <c r="RKA1629" s="1"/>
      <c r="RKB1629" s="1"/>
      <c r="RKC1629" s="1"/>
      <c r="RKD1629" s="1"/>
      <c r="RKE1629" s="1"/>
      <c r="RKF1629" s="1"/>
      <c r="RKG1629" s="1"/>
      <c r="RKH1629" s="1"/>
      <c r="RKI1629" s="1"/>
      <c r="RKJ1629" s="1"/>
      <c r="RKK1629" s="1"/>
      <c r="RKL1629" s="1"/>
      <c r="RKM1629" s="1"/>
      <c r="RKN1629" s="1"/>
      <c r="RKO1629" s="1"/>
      <c r="RKP1629" s="1"/>
      <c r="RKQ1629" s="1"/>
      <c r="RKR1629" s="1"/>
      <c r="RKS1629" s="1"/>
      <c r="RKT1629" s="1"/>
      <c r="RKU1629" s="1"/>
      <c r="RKV1629" s="1"/>
      <c r="RKW1629" s="1"/>
      <c r="RKX1629" s="1"/>
      <c r="RKY1629" s="1"/>
      <c r="RKZ1629" s="1"/>
      <c r="RLA1629" s="1"/>
      <c r="RLB1629" s="1"/>
      <c r="RLC1629" s="1"/>
      <c r="RLD1629" s="1"/>
      <c r="RLE1629" s="1"/>
      <c r="RLF1629" s="1"/>
      <c r="RLG1629" s="1"/>
      <c r="RLH1629" s="1"/>
      <c r="RLI1629" s="1"/>
      <c r="RLJ1629" s="1"/>
      <c r="RLK1629" s="1"/>
      <c r="RLL1629" s="1"/>
      <c r="RLM1629" s="1"/>
      <c r="RLN1629" s="1"/>
      <c r="RLO1629" s="1"/>
      <c r="RLP1629" s="1"/>
      <c r="RLQ1629" s="1"/>
      <c r="RLR1629" s="1"/>
      <c r="RLS1629" s="1"/>
      <c r="RLT1629" s="1"/>
      <c r="RLU1629" s="1"/>
      <c r="RLV1629" s="1"/>
      <c r="RLW1629" s="1"/>
      <c r="RLX1629" s="1"/>
      <c r="RLY1629" s="1"/>
      <c r="RLZ1629" s="1"/>
      <c r="RMA1629" s="1"/>
      <c r="RMB1629" s="1"/>
      <c r="RMC1629" s="1"/>
      <c r="RMD1629" s="1"/>
      <c r="RME1629" s="1"/>
      <c r="RMF1629" s="1"/>
      <c r="RMG1629" s="1"/>
      <c r="RMH1629" s="1"/>
      <c r="RMI1629" s="1"/>
      <c r="RMJ1629" s="1"/>
      <c r="RMK1629" s="1"/>
      <c r="RML1629" s="1"/>
      <c r="RMM1629" s="1"/>
      <c r="RMN1629" s="1"/>
      <c r="RMO1629" s="1"/>
      <c r="RMP1629" s="1"/>
      <c r="RMQ1629" s="1"/>
      <c r="RMR1629" s="1"/>
      <c r="RMS1629" s="1"/>
      <c r="RMT1629" s="1"/>
      <c r="RMU1629" s="1"/>
      <c r="RMV1629" s="1"/>
      <c r="RMW1629" s="1"/>
      <c r="RMX1629" s="1"/>
      <c r="RMY1629" s="1"/>
      <c r="RMZ1629" s="1"/>
      <c r="RNA1629" s="1"/>
      <c r="RNB1629" s="1"/>
      <c r="RNC1629" s="1"/>
      <c r="RND1629" s="1"/>
      <c r="RNE1629" s="1"/>
      <c r="RNF1629" s="1"/>
      <c r="RNG1629" s="1"/>
      <c r="RNH1629" s="1"/>
      <c r="RNI1629" s="1"/>
      <c r="RNJ1629" s="1"/>
      <c r="RNK1629" s="1"/>
      <c r="RNL1629" s="1"/>
      <c r="RNM1629" s="1"/>
      <c r="RNN1629" s="1"/>
      <c r="RNO1629" s="1"/>
      <c r="RNP1629" s="1"/>
      <c r="RNQ1629" s="1"/>
      <c r="RNR1629" s="1"/>
      <c r="RNS1629" s="1"/>
      <c r="RNT1629" s="1"/>
      <c r="RNU1629" s="1"/>
      <c r="RNV1629" s="1"/>
      <c r="RNW1629" s="1"/>
      <c r="RNX1629" s="1"/>
      <c r="RNY1629" s="1"/>
      <c r="RNZ1629" s="1"/>
      <c r="ROA1629" s="1"/>
      <c r="ROB1629" s="1"/>
      <c r="ROC1629" s="1"/>
      <c r="ROD1629" s="1"/>
      <c r="ROE1629" s="1"/>
      <c r="ROF1629" s="1"/>
      <c r="ROG1629" s="1"/>
      <c r="ROH1629" s="1"/>
      <c r="ROI1629" s="1"/>
      <c r="ROJ1629" s="1"/>
      <c r="ROK1629" s="1"/>
      <c r="ROL1629" s="1"/>
      <c r="ROM1629" s="1"/>
      <c r="RON1629" s="1"/>
      <c r="ROO1629" s="1"/>
      <c r="ROP1629" s="1"/>
      <c r="ROQ1629" s="1"/>
      <c r="ROR1629" s="1"/>
      <c r="ROS1629" s="1"/>
      <c r="ROT1629" s="1"/>
      <c r="ROU1629" s="1"/>
      <c r="ROV1629" s="1"/>
      <c r="ROW1629" s="1"/>
      <c r="ROX1629" s="1"/>
      <c r="ROY1629" s="1"/>
      <c r="ROZ1629" s="1"/>
      <c r="RPA1629" s="1"/>
      <c r="RPB1629" s="1"/>
      <c r="RPC1629" s="1"/>
      <c r="RPD1629" s="1"/>
      <c r="RPE1629" s="1"/>
      <c r="RPF1629" s="1"/>
      <c r="RPG1629" s="1"/>
      <c r="RPH1629" s="1"/>
      <c r="RPI1629" s="1"/>
      <c r="RPJ1629" s="1"/>
      <c r="RPK1629" s="1"/>
      <c r="RPL1629" s="1"/>
      <c r="RPM1629" s="1"/>
      <c r="RPN1629" s="1"/>
      <c r="RPO1629" s="1"/>
      <c r="RPP1629" s="1"/>
      <c r="RPQ1629" s="1"/>
      <c r="RPR1629" s="1"/>
      <c r="RPS1629" s="1"/>
      <c r="RPT1629" s="1"/>
      <c r="RPU1629" s="1"/>
      <c r="RPV1629" s="1"/>
      <c r="RPW1629" s="1"/>
      <c r="RPX1629" s="1"/>
      <c r="RPY1629" s="1"/>
      <c r="RPZ1629" s="1"/>
      <c r="RQA1629" s="1"/>
      <c r="RQB1629" s="1"/>
      <c r="RQC1629" s="1"/>
      <c r="RQD1629" s="1"/>
      <c r="RQE1629" s="1"/>
      <c r="RQF1629" s="1"/>
      <c r="RQG1629" s="1"/>
      <c r="RQH1629" s="1"/>
      <c r="RQI1629" s="1"/>
      <c r="RQJ1629" s="1"/>
      <c r="RQK1629" s="1"/>
      <c r="RQL1629" s="1"/>
      <c r="RQM1629" s="1"/>
      <c r="RQN1629" s="1"/>
      <c r="RQO1629" s="1"/>
      <c r="RQP1629" s="1"/>
      <c r="RQQ1629" s="1"/>
      <c r="RQR1629" s="1"/>
      <c r="RQS1629" s="1"/>
      <c r="RQT1629" s="1"/>
      <c r="RQU1629" s="1"/>
      <c r="RQV1629" s="1"/>
      <c r="RQW1629" s="1"/>
      <c r="RQX1629" s="1"/>
      <c r="RQY1629" s="1"/>
      <c r="RQZ1629" s="1"/>
      <c r="RRA1629" s="1"/>
      <c r="RRB1629" s="1"/>
      <c r="RRC1629" s="1"/>
      <c r="RRD1629" s="1"/>
      <c r="RRE1629" s="1"/>
      <c r="RRF1629" s="1"/>
      <c r="RRG1629" s="1"/>
      <c r="RRH1629" s="1"/>
      <c r="RRI1629" s="1"/>
      <c r="RRJ1629" s="1"/>
      <c r="RRK1629" s="1"/>
      <c r="RRL1629" s="1"/>
      <c r="RRM1629" s="1"/>
      <c r="RRN1629" s="1"/>
      <c r="RRO1629" s="1"/>
      <c r="RRP1629" s="1"/>
      <c r="RRQ1629" s="1"/>
      <c r="RRR1629" s="1"/>
      <c r="RRS1629" s="1"/>
      <c r="RRT1629" s="1"/>
      <c r="RRU1629" s="1"/>
      <c r="RRV1629" s="1"/>
      <c r="RRW1629" s="1"/>
      <c r="RRX1629" s="1"/>
      <c r="RRY1629" s="1"/>
      <c r="RRZ1629" s="1"/>
      <c r="RSA1629" s="1"/>
      <c r="RSB1629" s="1"/>
      <c r="RSC1629" s="1"/>
      <c r="RSD1629" s="1"/>
      <c r="RSE1629" s="1"/>
      <c r="RSF1629" s="1"/>
      <c r="RSG1629" s="1"/>
      <c r="RSH1629" s="1"/>
      <c r="RSI1629" s="1"/>
      <c r="RSJ1629" s="1"/>
      <c r="RSK1629" s="1"/>
      <c r="RSL1629" s="1"/>
      <c r="RSM1629" s="1"/>
      <c r="RSN1629" s="1"/>
      <c r="RSO1629" s="1"/>
      <c r="RSP1629" s="1"/>
      <c r="RSQ1629" s="1"/>
      <c r="RSR1629" s="1"/>
      <c r="RSS1629" s="1"/>
      <c r="RST1629" s="1"/>
      <c r="RSU1629" s="1"/>
      <c r="RSV1629" s="1"/>
      <c r="RSW1629" s="1"/>
      <c r="RSX1629" s="1"/>
      <c r="RSY1629" s="1"/>
      <c r="RSZ1629" s="1"/>
      <c r="RTA1629" s="1"/>
      <c r="RTB1629" s="1"/>
      <c r="RTC1629" s="1"/>
      <c r="RTD1629" s="1"/>
      <c r="RTE1629" s="1"/>
      <c r="RTF1629" s="1"/>
      <c r="RTG1629" s="1"/>
      <c r="RTH1629" s="1"/>
      <c r="RTI1629" s="1"/>
      <c r="RTJ1629" s="1"/>
      <c r="RTK1629" s="1"/>
      <c r="RTL1629" s="1"/>
      <c r="RTM1629" s="1"/>
      <c r="RTN1629" s="1"/>
      <c r="RTO1629" s="1"/>
      <c r="RTP1629" s="1"/>
      <c r="RTQ1629" s="1"/>
      <c r="RTR1629" s="1"/>
      <c r="RTS1629" s="1"/>
      <c r="RTT1629" s="1"/>
      <c r="RTU1629" s="1"/>
      <c r="RTV1629" s="1"/>
      <c r="RTW1629" s="1"/>
      <c r="RTX1629" s="1"/>
      <c r="RTY1629" s="1"/>
      <c r="RTZ1629" s="1"/>
      <c r="RUA1629" s="1"/>
      <c r="RUB1629" s="1"/>
      <c r="RUC1629" s="1"/>
      <c r="RUD1629" s="1"/>
      <c r="RUE1629" s="1"/>
      <c r="RUF1629" s="1"/>
      <c r="RUG1629" s="1"/>
      <c r="RUH1629" s="1"/>
      <c r="RUI1629" s="1"/>
      <c r="RUJ1629" s="1"/>
      <c r="RUK1629" s="1"/>
      <c r="RUL1629" s="1"/>
      <c r="RUM1629" s="1"/>
      <c r="RUN1629" s="1"/>
      <c r="RUO1629" s="1"/>
      <c r="RUP1629" s="1"/>
      <c r="RUQ1629" s="1"/>
      <c r="RUR1629" s="1"/>
      <c r="RUS1629" s="1"/>
      <c r="RUT1629" s="1"/>
      <c r="RUU1629" s="1"/>
      <c r="RUV1629" s="1"/>
      <c r="RUW1629" s="1"/>
      <c r="RUX1629" s="1"/>
      <c r="RUY1629" s="1"/>
      <c r="RUZ1629" s="1"/>
      <c r="RVA1629" s="1"/>
      <c r="RVB1629" s="1"/>
      <c r="RVC1629" s="1"/>
      <c r="RVD1629" s="1"/>
      <c r="RVE1629" s="1"/>
      <c r="RVF1629" s="1"/>
      <c r="RVG1629" s="1"/>
      <c r="RVH1629" s="1"/>
      <c r="RVI1629" s="1"/>
      <c r="RVJ1629" s="1"/>
      <c r="RVK1629" s="1"/>
      <c r="RVL1629" s="1"/>
      <c r="RVM1629" s="1"/>
      <c r="RVN1629" s="1"/>
      <c r="RVO1629" s="1"/>
      <c r="RVP1629" s="1"/>
      <c r="RVQ1629" s="1"/>
      <c r="RVR1629" s="1"/>
      <c r="RVS1629" s="1"/>
      <c r="RVT1629" s="1"/>
      <c r="RVU1629" s="1"/>
      <c r="RVV1629" s="1"/>
      <c r="RVW1629" s="1"/>
      <c r="RVX1629" s="1"/>
      <c r="RVY1629" s="1"/>
      <c r="RVZ1629" s="1"/>
      <c r="RWA1629" s="1"/>
      <c r="RWB1629" s="1"/>
      <c r="RWC1629" s="1"/>
      <c r="RWD1629" s="1"/>
      <c r="RWE1629" s="1"/>
      <c r="RWF1629" s="1"/>
      <c r="RWG1629" s="1"/>
      <c r="RWH1629" s="1"/>
      <c r="RWI1629" s="1"/>
      <c r="RWJ1629" s="1"/>
      <c r="RWK1629" s="1"/>
      <c r="RWL1629" s="1"/>
      <c r="RWM1629" s="1"/>
      <c r="RWN1629" s="1"/>
      <c r="RWO1629" s="1"/>
      <c r="RWP1629" s="1"/>
      <c r="RWQ1629" s="1"/>
      <c r="RWR1629" s="1"/>
      <c r="RWS1629" s="1"/>
      <c r="RWT1629" s="1"/>
      <c r="RWU1629" s="1"/>
      <c r="RWV1629" s="1"/>
      <c r="RWW1629" s="1"/>
      <c r="RWX1629" s="1"/>
      <c r="RWY1629" s="1"/>
      <c r="RWZ1629" s="1"/>
      <c r="RXA1629" s="1"/>
      <c r="RXB1629" s="1"/>
      <c r="RXC1629" s="1"/>
      <c r="RXD1629" s="1"/>
      <c r="RXE1629" s="1"/>
      <c r="RXF1629" s="1"/>
      <c r="RXG1629" s="1"/>
      <c r="RXH1629" s="1"/>
      <c r="RXI1629" s="1"/>
      <c r="RXJ1629" s="1"/>
      <c r="RXK1629" s="1"/>
      <c r="RXL1629" s="1"/>
      <c r="RXM1629" s="1"/>
      <c r="RXN1629" s="1"/>
      <c r="RXO1629" s="1"/>
      <c r="RXP1629" s="1"/>
      <c r="RXQ1629" s="1"/>
      <c r="RXR1629" s="1"/>
      <c r="RXS1629" s="1"/>
      <c r="RXT1629" s="1"/>
      <c r="RXU1629" s="1"/>
      <c r="RXV1629" s="1"/>
      <c r="RXW1629" s="1"/>
      <c r="RXX1629" s="1"/>
      <c r="RXY1629" s="1"/>
      <c r="RXZ1629" s="1"/>
      <c r="RYA1629" s="1"/>
      <c r="RYB1629" s="1"/>
      <c r="RYC1629" s="1"/>
      <c r="RYD1629" s="1"/>
      <c r="RYE1629" s="1"/>
      <c r="RYF1629" s="1"/>
      <c r="RYG1629" s="1"/>
      <c r="RYH1629" s="1"/>
      <c r="RYI1629" s="1"/>
      <c r="RYJ1629" s="1"/>
      <c r="RYK1629" s="1"/>
      <c r="RYL1629" s="1"/>
      <c r="RYM1629" s="1"/>
      <c r="RYN1629" s="1"/>
      <c r="RYO1629" s="1"/>
      <c r="RYP1629" s="1"/>
      <c r="RYQ1629" s="1"/>
      <c r="RYR1629" s="1"/>
      <c r="RYS1629" s="1"/>
      <c r="RYT1629" s="1"/>
      <c r="RYU1629" s="1"/>
      <c r="RYV1629" s="1"/>
      <c r="RYW1629" s="1"/>
      <c r="RYX1629" s="1"/>
      <c r="RYY1629" s="1"/>
      <c r="RYZ1629" s="1"/>
      <c r="RZA1629" s="1"/>
      <c r="RZB1629" s="1"/>
      <c r="RZC1629" s="1"/>
      <c r="RZD1629" s="1"/>
      <c r="RZE1629" s="1"/>
      <c r="RZF1629" s="1"/>
      <c r="RZG1629" s="1"/>
      <c r="RZH1629" s="1"/>
      <c r="RZI1629" s="1"/>
      <c r="RZJ1629" s="1"/>
      <c r="RZK1629" s="1"/>
      <c r="RZL1629" s="1"/>
      <c r="RZM1629" s="1"/>
      <c r="RZN1629" s="1"/>
      <c r="RZO1629" s="1"/>
      <c r="RZP1629" s="1"/>
      <c r="RZQ1629" s="1"/>
      <c r="RZR1629" s="1"/>
      <c r="RZS1629" s="1"/>
      <c r="RZT1629" s="1"/>
      <c r="RZU1629" s="1"/>
      <c r="RZV1629" s="1"/>
      <c r="RZW1629" s="1"/>
      <c r="RZX1629" s="1"/>
      <c r="RZY1629" s="1"/>
      <c r="RZZ1629" s="1"/>
      <c r="SAA1629" s="1"/>
      <c r="SAB1629" s="1"/>
      <c r="SAC1629" s="1"/>
      <c r="SAD1629" s="1"/>
      <c r="SAE1629" s="1"/>
      <c r="SAF1629" s="1"/>
      <c r="SAG1629" s="1"/>
      <c r="SAH1629" s="1"/>
      <c r="SAI1629" s="1"/>
      <c r="SAJ1629" s="1"/>
      <c r="SAK1629" s="1"/>
      <c r="SAL1629" s="1"/>
      <c r="SAM1629" s="1"/>
      <c r="SAN1629" s="1"/>
      <c r="SAO1629" s="1"/>
      <c r="SAP1629" s="1"/>
      <c r="SAQ1629" s="1"/>
      <c r="SAR1629" s="1"/>
      <c r="SAS1629" s="1"/>
      <c r="SAT1629" s="1"/>
      <c r="SAU1629" s="1"/>
      <c r="SAV1629" s="1"/>
      <c r="SAW1629" s="1"/>
      <c r="SAX1629" s="1"/>
      <c r="SAY1629" s="1"/>
      <c r="SAZ1629" s="1"/>
      <c r="SBA1629" s="1"/>
      <c r="SBB1629" s="1"/>
      <c r="SBC1629" s="1"/>
      <c r="SBD1629" s="1"/>
      <c r="SBE1629" s="1"/>
      <c r="SBF1629" s="1"/>
      <c r="SBG1629" s="1"/>
      <c r="SBH1629" s="1"/>
      <c r="SBI1629" s="1"/>
      <c r="SBJ1629" s="1"/>
      <c r="SBK1629" s="1"/>
      <c r="SBL1629" s="1"/>
      <c r="SBM1629" s="1"/>
      <c r="SBN1629" s="1"/>
      <c r="SBO1629" s="1"/>
      <c r="SBP1629" s="1"/>
      <c r="SBQ1629" s="1"/>
      <c r="SBR1629" s="1"/>
      <c r="SBS1629" s="1"/>
      <c r="SBT1629" s="1"/>
      <c r="SBU1629" s="1"/>
      <c r="SBV1629" s="1"/>
      <c r="SBW1629" s="1"/>
      <c r="SBX1629" s="1"/>
      <c r="SBY1629" s="1"/>
      <c r="SBZ1629" s="1"/>
      <c r="SCA1629" s="1"/>
      <c r="SCB1629" s="1"/>
      <c r="SCC1629" s="1"/>
      <c r="SCD1629" s="1"/>
      <c r="SCE1629" s="1"/>
      <c r="SCF1629" s="1"/>
      <c r="SCG1629" s="1"/>
      <c r="SCH1629" s="1"/>
      <c r="SCI1629" s="1"/>
      <c r="SCJ1629" s="1"/>
      <c r="SCK1629" s="1"/>
      <c r="SCL1629" s="1"/>
      <c r="SCM1629" s="1"/>
      <c r="SCN1629" s="1"/>
      <c r="SCO1629" s="1"/>
      <c r="SCP1629" s="1"/>
      <c r="SCQ1629" s="1"/>
      <c r="SCR1629" s="1"/>
      <c r="SCS1629" s="1"/>
      <c r="SCT1629" s="1"/>
      <c r="SCU1629" s="1"/>
      <c r="SCV1629" s="1"/>
      <c r="SCW1629" s="1"/>
      <c r="SCX1629" s="1"/>
      <c r="SCY1629" s="1"/>
      <c r="SCZ1629" s="1"/>
      <c r="SDA1629" s="1"/>
      <c r="SDB1629" s="1"/>
      <c r="SDC1629" s="1"/>
      <c r="SDD1629" s="1"/>
      <c r="SDE1629" s="1"/>
      <c r="SDF1629" s="1"/>
      <c r="SDG1629" s="1"/>
      <c r="SDH1629" s="1"/>
      <c r="SDI1629" s="1"/>
      <c r="SDJ1629" s="1"/>
      <c r="SDK1629" s="1"/>
      <c r="SDL1629" s="1"/>
      <c r="SDM1629" s="1"/>
      <c r="SDN1629" s="1"/>
      <c r="SDO1629" s="1"/>
      <c r="SDP1629" s="1"/>
      <c r="SDQ1629" s="1"/>
      <c r="SDR1629" s="1"/>
      <c r="SDS1629" s="1"/>
      <c r="SDT1629" s="1"/>
      <c r="SDU1629" s="1"/>
      <c r="SDV1629" s="1"/>
      <c r="SDW1629" s="1"/>
      <c r="SDX1629" s="1"/>
      <c r="SDY1629" s="1"/>
      <c r="SDZ1629" s="1"/>
      <c r="SEA1629" s="1"/>
      <c r="SEB1629" s="1"/>
      <c r="SEC1629" s="1"/>
      <c r="SED1629" s="1"/>
      <c r="SEE1629" s="1"/>
      <c r="SEF1629" s="1"/>
      <c r="SEG1629" s="1"/>
      <c r="SEH1629" s="1"/>
      <c r="SEI1629" s="1"/>
      <c r="SEJ1629" s="1"/>
      <c r="SEK1629" s="1"/>
      <c r="SEL1629" s="1"/>
      <c r="SEM1629" s="1"/>
      <c r="SEN1629" s="1"/>
      <c r="SEO1629" s="1"/>
      <c r="SEP1629" s="1"/>
      <c r="SEQ1629" s="1"/>
      <c r="SER1629" s="1"/>
      <c r="SES1629" s="1"/>
      <c r="SET1629" s="1"/>
      <c r="SEU1629" s="1"/>
      <c r="SEV1629" s="1"/>
      <c r="SEW1629" s="1"/>
      <c r="SEX1629" s="1"/>
      <c r="SEY1629" s="1"/>
      <c r="SEZ1629" s="1"/>
      <c r="SFA1629" s="1"/>
      <c r="SFB1629" s="1"/>
      <c r="SFC1629" s="1"/>
      <c r="SFD1629" s="1"/>
      <c r="SFE1629" s="1"/>
      <c r="SFF1629" s="1"/>
      <c r="SFG1629" s="1"/>
      <c r="SFH1629" s="1"/>
      <c r="SFI1629" s="1"/>
      <c r="SFJ1629" s="1"/>
      <c r="SFK1629" s="1"/>
      <c r="SFL1629" s="1"/>
      <c r="SFM1629" s="1"/>
      <c r="SFN1629" s="1"/>
      <c r="SFO1629" s="1"/>
      <c r="SFP1629" s="1"/>
      <c r="SFQ1629" s="1"/>
      <c r="SFR1629" s="1"/>
      <c r="SFS1629" s="1"/>
      <c r="SFT1629" s="1"/>
      <c r="SFU1629" s="1"/>
      <c r="SFV1629" s="1"/>
      <c r="SFW1629" s="1"/>
      <c r="SFX1629" s="1"/>
      <c r="SFY1629" s="1"/>
      <c r="SFZ1629" s="1"/>
      <c r="SGA1629" s="1"/>
      <c r="SGB1629" s="1"/>
      <c r="SGC1629" s="1"/>
      <c r="SGD1629" s="1"/>
      <c r="SGE1629" s="1"/>
      <c r="SGF1629" s="1"/>
      <c r="SGG1629" s="1"/>
      <c r="SGH1629" s="1"/>
      <c r="SGI1629" s="1"/>
      <c r="SGJ1629" s="1"/>
      <c r="SGK1629" s="1"/>
      <c r="SGL1629" s="1"/>
      <c r="SGM1629" s="1"/>
      <c r="SGN1629" s="1"/>
      <c r="SGO1629" s="1"/>
      <c r="SGP1629" s="1"/>
      <c r="SGQ1629" s="1"/>
      <c r="SGR1629" s="1"/>
      <c r="SGS1629" s="1"/>
      <c r="SGT1629" s="1"/>
      <c r="SGU1629" s="1"/>
      <c r="SGV1629" s="1"/>
      <c r="SGW1629" s="1"/>
      <c r="SGX1629" s="1"/>
      <c r="SGY1629" s="1"/>
      <c r="SGZ1629" s="1"/>
      <c r="SHA1629" s="1"/>
      <c r="SHB1629" s="1"/>
      <c r="SHC1629" s="1"/>
      <c r="SHD1629" s="1"/>
      <c r="SHE1629" s="1"/>
      <c r="SHF1629" s="1"/>
      <c r="SHG1629" s="1"/>
      <c r="SHH1629" s="1"/>
      <c r="SHI1629" s="1"/>
      <c r="SHJ1629" s="1"/>
      <c r="SHK1629" s="1"/>
      <c r="SHL1629" s="1"/>
      <c r="SHM1629" s="1"/>
      <c r="SHN1629" s="1"/>
      <c r="SHO1629" s="1"/>
      <c r="SHP1629" s="1"/>
      <c r="SHQ1629" s="1"/>
      <c r="SHR1629" s="1"/>
      <c r="SHS1629" s="1"/>
      <c r="SHT1629" s="1"/>
      <c r="SHU1629" s="1"/>
      <c r="SHV1629" s="1"/>
      <c r="SHW1629" s="1"/>
      <c r="SHX1629" s="1"/>
      <c r="SHY1629" s="1"/>
      <c r="SHZ1629" s="1"/>
      <c r="SIA1629" s="1"/>
      <c r="SIB1629" s="1"/>
      <c r="SIC1629" s="1"/>
      <c r="SID1629" s="1"/>
      <c r="SIE1629" s="1"/>
      <c r="SIF1629" s="1"/>
      <c r="SIG1629" s="1"/>
      <c r="SIH1629" s="1"/>
      <c r="SII1629" s="1"/>
      <c r="SIJ1629" s="1"/>
      <c r="SIK1629" s="1"/>
      <c r="SIL1629" s="1"/>
      <c r="SIM1629" s="1"/>
      <c r="SIN1629" s="1"/>
      <c r="SIO1629" s="1"/>
      <c r="SIP1629" s="1"/>
      <c r="SIQ1629" s="1"/>
      <c r="SIR1629" s="1"/>
      <c r="SIS1629" s="1"/>
      <c r="SIT1629" s="1"/>
      <c r="SIU1629" s="1"/>
      <c r="SIV1629" s="1"/>
      <c r="SIW1629" s="1"/>
      <c r="SIX1629" s="1"/>
      <c r="SIY1629" s="1"/>
      <c r="SIZ1629" s="1"/>
      <c r="SJA1629" s="1"/>
      <c r="SJB1629" s="1"/>
      <c r="SJC1629" s="1"/>
      <c r="SJD1629" s="1"/>
      <c r="SJE1629" s="1"/>
      <c r="SJF1629" s="1"/>
      <c r="SJG1629" s="1"/>
      <c r="SJH1629" s="1"/>
      <c r="SJI1629" s="1"/>
      <c r="SJJ1629" s="1"/>
      <c r="SJK1629" s="1"/>
      <c r="SJL1629" s="1"/>
      <c r="SJM1629" s="1"/>
      <c r="SJN1629" s="1"/>
      <c r="SJO1629" s="1"/>
      <c r="SJP1629" s="1"/>
      <c r="SJQ1629" s="1"/>
      <c r="SJR1629" s="1"/>
      <c r="SJS1629" s="1"/>
      <c r="SJT1629" s="1"/>
      <c r="SJU1629" s="1"/>
      <c r="SJV1629" s="1"/>
      <c r="SJW1629" s="1"/>
      <c r="SJX1629" s="1"/>
      <c r="SJY1629" s="1"/>
      <c r="SJZ1629" s="1"/>
      <c r="SKA1629" s="1"/>
      <c r="SKB1629" s="1"/>
      <c r="SKC1629" s="1"/>
      <c r="SKD1629" s="1"/>
      <c r="SKE1629" s="1"/>
      <c r="SKF1629" s="1"/>
      <c r="SKG1629" s="1"/>
      <c r="SKH1629" s="1"/>
      <c r="SKI1629" s="1"/>
      <c r="SKJ1629" s="1"/>
      <c r="SKK1629" s="1"/>
      <c r="SKL1629" s="1"/>
      <c r="SKM1629" s="1"/>
      <c r="SKN1629" s="1"/>
      <c r="SKO1629" s="1"/>
      <c r="SKP1629" s="1"/>
      <c r="SKQ1629" s="1"/>
      <c r="SKR1629" s="1"/>
      <c r="SKS1629" s="1"/>
      <c r="SKT1629" s="1"/>
      <c r="SKU1629" s="1"/>
      <c r="SKV1629" s="1"/>
      <c r="SKW1629" s="1"/>
      <c r="SKX1629" s="1"/>
      <c r="SKY1629" s="1"/>
      <c r="SKZ1629" s="1"/>
      <c r="SLA1629" s="1"/>
      <c r="SLB1629" s="1"/>
      <c r="SLC1629" s="1"/>
      <c r="SLD1629" s="1"/>
      <c r="SLE1629" s="1"/>
      <c r="SLF1629" s="1"/>
      <c r="SLG1629" s="1"/>
      <c r="SLH1629" s="1"/>
      <c r="SLI1629" s="1"/>
      <c r="SLJ1629" s="1"/>
      <c r="SLK1629" s="1"/>
      <c r="SLL1629" s="1"/>
      <c r="SLM1629" s="1"/>
      <c r="SLN1629" s="1"/>
      <c r="SLO1629" s="1"/>
      <c r="SLP1629" s="1"/>
      <c r="SLQ1629" s="1"/>
      <c r="SLR1629" s="1"/>
      <c r="SLS1629" s="1"/>
      <c r="SLT1629" s="1"/>
      <c r="SLU1629" s="1"/>
      <c r="SLV1629" s="1"/>
      <c r="SLW1629" s="1"/>
      <c r="SLX1629" s="1"/>
      <c r="SLY1629" s="1"/>
      <c r="SLZ1629" s="1"/>
      <c r="SMA1629" s="1"/>
      <c r="SMB1629" s="1"/>
      <c r="SMC1629" s="1"/>
      <c r="SMD1629" s="1"/>
      <c r="SME1629" s="1"/>
      <c r="SMF1629" s="1"/>
      <c r="SMG1629" s="1"/>
      <c r="SMH1629" s="1"/>
      <c r="SMI1629" s="1"/>
      <c r="SMJ1629" s="1"/>
      <c r="SMK1629" s="1"/>
      <c r="SML1629" s="1"/>
      <c r="SMM1629" s="1"/>
      <c r="SMN1629" s="1"/>
      <c r="SMO1629" s="1"/>
      <c r="SMP1629" s="1"/>
      <c r="SMQ1629" s="1"/>
      <c r="SMR1629" s="1"/>
      <c r="SMS1629" s="1"/>
      <c r="SMT1629" s="1"/>
      <c r="SMU1629" s="1"/>
      <c r="SMV1629" s="1"/>
      <c r="SMW1629" s="1"/>
      <c r="SMX1629" s="1"/>
      <c r="SMY1629" s="1"/>
      <c r="SMZ1629" s="1"/>
      <c r="SNA1629" s="1"/>
      <c r="SNB1629" s="1"/>
      <c r="SNC1629" s="1"/>
      <c r="SND1629" s="1"/>
      <c r="SNE1629" s="1"/>
      <c r="SNF1629" s="1"/>
      <c r="SNG1629" s="1"/>
      <c r="SNH1629" s="1"/>
      <c r="SNI1629" s="1"/>
      <c r="SNJ1629" s="1"/>
      <c r="SNK1629" s="1"/>
      <c r="SNL1629" s="1"/>
      <c r="SNM1629" s="1"/>
      <c r="SNN1629" s="1"/>
      <c r="SNO1629" s="1"/>
      <c r="SNP1629" s="1"/>
      <c r="SNQ1629" s="1"/>
      <c r="SNR1629" s="1"/>
      <c r="SNS1629" s="1"/>
      <c r="SNT1629" s="1"/>
      <c r="SNU1629" s="1"/>
      <c r="SNV1629" s="1"/>
      <c r="SNW1629" s="1"/>
      <c r="SNX1629" s="1"/>
      <c r="SNY1629" s="1"/>
      <c r="SNZ1629" s="1"/>
      <c r="SOA1629" s="1"/>
      <c r="SOB1629" s="1"/>
      <c r="SOC1629" s="1"/>
      <c r="SOD1629" s="1"/>
      <c r="SOE1629" s="1"/>
      <c r="SOF1629" s="1"/>
      <c r="SOG1629" s="1"/>
      <c r="SOH1629" s="1"/>
      <c r="SOI1629" s="1"/>
      <c r="SOJ1629" s="1"/>
      <c r="SOK1629" s="1"/>
      <c r="SOL1629" s="1"/>
      <c r="SOM1629" s="1"/>
      <c r="SON1629" s="1"/>
      <c r="SOO1629" s="1"/>
      <c r="SOP1629" s="1"/>
      <c r="SOQ1629" s="1"/>
      <c r="SOR1629" s="1"/>
      <c r="SOS1629" s="1"/>
      <c r="SOT1629" s="1"/>
      <c r="SOU1629" s="1"/>
      <c r="SOV1629" s="1"/>
      <c r="SOW1629" s="1"/>
      <c r="SOX1629" s="1"/>
      <c r="SOY1629" s="1"/>
      <c r="SOZ1629" s="1"/>
      <c r="SPA1629" s="1"/>
      <c r="SPB1629" s="1"/>
      <c r="SPC1629" s="1"/>
      <c r="SPD1629" s="1"/>
      <c r="SPE1629" s="1"/>
      <c r="SPF1629" s="1"/>
      <c r="SPG1629" s="1"/>
      <c r="SPH1629" s="1"/>
      <c r="SPI1629" s="1"/>
      <c r="SPJ1629" s="1"/>
      <c r="SPK1629" s="1"/>
      <c r="SPL1629" s="1"/>
      <c r="SPM1629" s="1"/>
      <c r="SPN1629" s="1"/>
      <c r="SPO1629" s="1"/>
      <c r="SPP1629" s="1"/>
      <c r="SPQ1629" s="1"/>
      <c r="SPR1629" s="1"/>
      <c r="SPS1629" s="1"/>
      <c r="SPT1629" s="1"/>
      <c r="SPU1629" s="1"/>
      <c r="SPV1629" s="1"/>
      <c r="SPW1629" s="1"/>
      <c r="SPX1629" s="1"/>
      <c r="SPY1629" s="1"/>
      <c r="SPZ1629" s="1"/>
      <c r="SQA1629" s="1"/>
      <c r="SQB1629" s="1"/>
      <c r="SQC1629" s="1"/>
      <c r="SQD1629" s="1"/>
      <c r="SQE1629" s="1"/>
      <c r="SQF1629" s="1"/>
      <c r="SQG1629" s="1"/>
      <c r="SQH1629" s="1"/>
      <c r="SQI1629" s="1"/>
      <c r="SQJ1629" s="1"/>
      <c r="SQK1629" s="1"/>
      <c r="SQL1629" s="1"/>
      <c r="SQM1629" s="1"/>
      <c r="SQN1629" s="1"/>
      <c r="SQO1629" s="1"/>
      <c r="SQP1629" s="1"/>
      <c r="SQQ1629" s="1"/>
      <c r="SQR1629" s="1"/>
      <c r="SQS1629" s="1"/>
      <c r="SQT1629" s="1"/>
      <c r="SQU1629" s="1"/>
      <c r="SQV1629" s="1"/>
      <c r="SQW1629" s="1"/>
      <c r="SQX1629" s="1"/>
      <c r="SQY1629" s="1"/>
      <c r="SQZ1629" s="1"/>
      <c r="SRA1629" s="1"/>
      <c r="SRB1629" s="1"/>
      <c r="SRC1629" s="1"/>
      <c r="SRD1629" s="1"/>
      <c r="SRE1629" s="1"/>
      <c r="SRF1629" s="1"/>
      <c r="SRG1629" s="1"/>
      <c r="SRH1629" s="1"/>
      <c r="SRI1629" s="1"/>
      <c r="SRJ1629" s="1"/>
      <c r="SRK1629" s="1"/>
      <c r="SRL1629" s="1"/>
      <c r="SRM1629" s="1"/>
      <c r="SRN1629" s="1"/>
      <c r="SRO1629" s="1"/>
      <c r="SRP1629" s="1"/>
      <c r="SRQ1629" s="1"/>
      <c r="SRR1629" s="1"/>
      <c r="SRS1629" s="1"/>
      <c r="SRT1629" s="1"/>
      <c r="SRU1629" s="1"/>
      <c r="SRV1629" s="1"/>
      <c r="SRW1629" s="1"/>
      <c r="SRX1629" s="1"/>
      <c r="SRY1629" s="1"/>
      <c r="SRZ1629" s="1"/>
      <c r="SSA1629" s="1"/>
      <c r="SSB1629" s="1"/>
      <c r="SSC1629" s="1"/>
      <c r="SSD1629" s="1"/>
      <c r="SSE1629" s="1"/>
      <c r="SSF1629" s="1"/>
      <c r="SSG1629" s="1"/>
      <c r="SSH1629" s="1"/>
      <c r="SSI1629" s="1"/>
      <c r="SSJ1629" s="1"/>
      <c r="SSK1629" s="1"/>
      <c r="SSL1629" s="1"/>
      <c r="SSM1629" s="1"/>
      <c r="SSN1629" s="1"/>
      <c r="SSO1629" s="1"/>
      <c r="SSP1629" s="1"/>
      <c r="SSQ1629" s="1"/>
      <c r="SSR1629" s="1"/>
      <c r="SSS1629" s="1"/>
      <c r="SST1629" s="1"/>
      <c r="SSU1629" s="1"/>
      <c r="SSV1629" s="1"/>
      <c r="SSW1629" s="1"/>
      <c r="SSX1629" s="1"/>
      <c r="SSY1629" s="1"/>
      <c r="SSZ1629" s="1"/>
      <c r="STA1629" s="1"/>
      <c r="STB1629" s="1"/>
      <c r="STC1629" s="1"/>
      <c r="STD1629" s="1"/>
      <c r="STE1629" s="1"/>
      <c r="STF1629" s="1"/>
      <c r="STG1629" s="1"/>
      <c r="STH1629" s="1"/>
      <c r="STI1629" s="1"/>
      <c r="STJ1629" s="1"/>
      <c r="STK1629" s="1"/>
      <c r="STL1629" s="1"/>
      <c r="STM1629" s="1"/>
      <c r="STN1629" s="1"/>
      <c r="STO1629" s="1"/>
      <c r="STP1629" s="1"/>
      <c r="STQ1629" s="1"/>
      <c r="STR1629" s="1"/>
      <c r="STS1629" s="1"/>
      <c r="STT1629" s="1"/>
      <c r="STU1629" s="1"/>
      <c r="STV1629" s="1"/>
      <c r="STW1629" s="1"/>
      <c r="STX1629" s="1"/>
      <c r="STY1629" s="1"/>
      <c r="STZ1629" s="1"/>
      <c r="SUA1629" s="1"/>
      <c r="SUB1629" s="1"/>
      <c r="SUC1629" s="1"/>
      <c r="SUD1629" s="1"/>
      <c r="SUE1629" s="1"/>
      <c r="SUF1629" s="1"/>
      <c r="SUG1629" s="1"/>
      <c r="SUH1629" s="1"/>
      <c r="SUI1629" s="1"/>
      <c r="SUJ1629" s="1"/>
      <c r="SUK1629" s="1"/>
      <c r="SUL1629" s="1"/>
      <c r="SUM1629" s="1"/>
      <c r="SUN1629" s="1"/>
      <c r="SUO1629" s="1"/>
      <c r="SUP1629" s="1"/>
      <c r="SUQ1629" s="1"/>
      <c r="SUR1629" s="1"/>
      <c r="SUS1629" s="1"/>
      <c r="SUT1629" s="1"/>
      <c r="SUU1629" s="1"/>
      <c r="SUV1629" s="1"/>
      <c r="SUW1629" s="1"/>
      <c r="SUX1629" s="1"/>
      <c r="SUY1629" s="1"/>
      <c r="SUZ1629" s="1"/>
      <c r="SVA1629" s="1"/>
      <c r="SVB1629" s="1"/>
      <c r="SVC1629" s="1"/>
      <c r="SVD1629" s="1"/>
      <c r="SVE1629" s="1"/>
      <c r="SVF1629" s="1"/>
      <c r="SVG1629" s="1"/>
      <c r="SVH1629" s="1"/>
      <c r="SVI1629" s="1"/>
      <c r="SVJ1629" s="1"/>
      <c r="SVK1629" s="1"/>
      <c r="SVL1629" s="1"/>
      <c r="SVM1629" s="1"/>
      <c r="SVN1629" s="1"/>
      <c r="SVO1629" s="1"/>
      <c r="SVP1629" s="1"/>
      <c r="SVQ1629" s="1"/>
      <c r="SVR1629" s="1"/>
      <c r="SVS1629" s="1"/>
      <c r="SVT1629" s="1"/>
      <c r="SVU1629" s="1"/>
      <c r="SVV1629" s="1"/>
      <c r="SVW1629" s="1"/>
      <c r="SVX1629" s="1"/>
      <c r="SVY1629" s="1"/>
      <c r="SVZ1629" s="1"/>
      <c r="SWA1629" s="1"/>
      <c r="SWB1629" s="1"/>
      <c r="SWC1629" s="1"/>
      <c r="SWD1629" s="1"/>
      <c r="SWE1629" s="1"/>
      <c r="SWF1629" s="1"/>
      <c r="SWG1629" s="1"/>
      <c r="SWH1629" s="1"/>
      <c r="SWI1629" s="1"/>
      <c r="SWJ1629" s="1"/>
      <c r="SWK1629" s="1"/>
      <c r="SWL1629" s="1"/>
      <c r="SWM1629" s="1"/>
      <c r="SWN1629" s="1"/>
      <c r="SWO1629" s="1"/>
      <c r="SWP1629" s="1"/>
      <c r="SWQ1629" s="1"/>
      <c r="SWR1629" s="1"/>
      <c r="SWS1629" s="1"/>
      <c r="SWT1629" s="1"/>
      <c r="SWU1629" s="1"/>
      <c r="SWV1629" s="1"/>
      <c r="SWW1629" s="1"/>
      <c r="SWX1629" s="1"/>
      <c r="SWY1629" s="1"/>
      <c r="SWZ1629" s="1"/>
      <c r="SXA1629" s="1"/>
      <c r="SXB1629" s="1"/>
      <c r="SXC1629" s="1"/>
      <c r="SXD1629" s="1"/>
      <c r="SXE1629" s="1"/>
      <c r="SXF1629" s="1"/>
      <c r="SXG1629" s="1"/>
      <c r="SXH1629" s="1"/>
      <c r="SXI1629" s="1"/>
      <c r="SXJ1629" s="1"/>
      <c r="SXK1629" s="1"/>
      <c r="SXL1629" s="1"/>
      <c r="SXM1629" s="1"/>
      <c r="SXN1629" s="1"/>
      <c r="SXO1629" s="1"/>
      <c r="SXP1629" s="1"/>
      <c r="SXQ1629" s="1"/>
      <c r="SXR1629" s="1"/>
      <c r="SXS1629" s="1"/>
      <c r="SXT1629" s="1"/>
      <c r="SXU1629" s="1"/>
      <c r="SXV1629" s="1"/>
      <c r="SXW1629" s="1"/>
      <c r="SXX1629" s="1"/>
      <c r="SXY1629" s="1"/>
      <c r="SXZ1629" s="1"/>
      <c r="SYA1629" s="1"/>
      <c r="SYB1629" s="1"/>
      <c r="SYC1629" s="1"/>
      <c r="SYD1629" s="1"/>
      <c r="SYE1629" s="1"/>
      <c r="SYF1629" s="1"/>
      <c r="SYG1629" s="1"/>
      <c r="SYH1629" s="1"/>
      <c r="SYI1629" s="1"/>
      <c r="SYJ1629" s="1"/>
      <c r="SYK1629" s="1"/>
      <c r="SYL1629" s="1"/>
      <c r="SYM1629" s="1"/>
      <c r="SYN1629" s="1"/>
      <c r="SYO1629" s="1"/>
      <c r="SYP1629" s="1"/>
      <c r="SYQ1629" s="1"/>
      <c r="SYR1629" s="1"/>
      <c r="SYS1629" s="1"/>
      <c r="SYT1629" s="1"/>
      <c r="SYU1629" s="1"/>
      <c r="SYV1629" s="1"/>
      <c r="SYW1629" s="1"/>
      <c r="SYX1629" s="1"/>
      <c r="SYY1629" s="1"/>
      <c r="SYZ1629" s="1"/>
      <c r="SZA1629" s="1"/>
      <c r="SZB1629" s="1"/>
      <c r="SZC1629" s="1"/>
      <c r="SZD1629" s="1"/>
      <c r="SZE1629" s="1"/>
      <c r="SZF1629" s="1"/>
      <c r="SZG1629" s="1"/>
      <c r="SZH1629" s="1"/>
      <c r="SZI1629" s="1"/>
      <c r="SZJ1629" s="1"/>
      <c r="SZK1629" s="1"/>
      <c r="SZL1629" s="1"/>
      <c r="SZM1629" s="1"/>
      <c r="SZN1629" s="1"/>
      <c r="SZO1629" s="1"/>
      <c r="SZP1629" s="1"/>
      <c r="SZQ1629" s="1"/>
      <c r="SZR1629" s="1"/>
      <c r="SZS1629" s="1"/>
      <c r="SZT1629" s="1"/>
      <c r="SZU1629" s="1"/>
      <c r="SZV1629" s="1"/>
      <c r="SZW1629" s="1"/>
      <c r="SZX1629" s="1"/>
      <c r="SZY1629" s="1"/>
      <c r="SZZ1629" s="1"/>
      <c r="TAA1629" s="1"/>
      <c r="TAB1629" s="1"/>
      <c r="TAC1629" s="1"/>
      <c r="TAD1629" s="1"/>
      <c r="TAE1629" s="1"/>
      <c r="TAF1629" s="1"/>
      <c r="TAG1629" s="1"/>
      <c r="TAH1629" s="1"/>
      <c r="TAI1629" s="1"/>
      <c r="TAJ1629" s="1"/>
      <c r="TAK1629" s="1"/>
      <c r="TAL1629" s="1"/>
      <c r="TAM1629" s="1"/>
      <c r="TAN1629" s="1"/>
      <c r="TAO1629" s="1"/>
      <c r="TAP1629" s="1"/>
      <c r="TAQ1629" s="1"/>
      <c r="TAR1629" s="1"/>
      <c r="TAS1629" s="1"/>
      <c r="TAT1629" s="1"/>
      <c r="TAU1629" s="1"/>
      <c r="TAV1629" s="1"/>
      <c r="TAW1629" s="1"/>
      <c r="TAX1629" s="1"/>
      <c r="TAY1629" s="1"/>
      <c r="TAZ1629" s="1"/>
      <c r="TBA1629" s="1"/>
      <c r="TBB1629" s="1"/>
      <c r="TBC1629" s="1"/>
      <c r="TBD1629" s="1"/>
      <c r="TBE1629" s="1"/>
      <c r="TBF1629" s="1"/>
      <c r="TBG1629" s="1"/>
      <c r="TBH1629" s="1"/>
      <c r="TBI1629" s="1"/>
      <c r="TBJ1629" s="1"/>
      <c r="TBK1629" s="1"/>
      <c r="TBL1629" s="1"/>
      <c r="TBM1629" s="1"/>
      <c r="TBN1629" s="1"/>
      <c r="TBO1629" s="1"/>
      <c r="TBP1629" s="1"/>
      <c r="TBQ1629" s="1"/>
      <c r="TBR1629" s="1"/>
      <c r="TBS1629" s="1"/>
      <c r="TBT1629" s="1"/>
      <c r="TBU1629" s="1"/>
      <c r="TBV1629" s="1"/>
      <c r="TBW1629" s="1"/>
      <c r="TBX1629" s="1"/>
      <c r="TBY1629" s="1"/>
      <c r="TBZ1629" s="1"/>
      <c r="TCA1629" s="1"/>
      <c r="TCB1629" s="1"/>
      <c r="TCC1629" s="1"/>
      <c r="TCD1629" s="1"/>
      <c r="TCE1629" s="1"/>
      <c r="TCF1629" s="1"/>
      <c r="TCG1629" s="1"/>
      <c r="TCH1629" s="1"/>
      <c r="TCI1629" s="1"/>
      <c r="TCJ1629" s="1"/>
      <c r="TCK1629" s="1"/>
      <c r="TCL1629" s="1"/>
      <c r="TCM1629" s="1"/>
      <c r="TCN1629" s="1"/>
      <c r="TCO1629" s="1"/>
      <c r="TCP1629" s="1"/>
      <c r="TCQ1629" s="1"/>
      <c r="TCR1629" s="1"/>
      <c r="TCS1629" s="1"/>
      <c r="TCT1629" s="1"/>
      <c r="TCU1629" s="1"/>
      <c r="TCV1629" s="1"/>
      <c r="TCW1629" s="1"/>
      <c r="TCX1629" s="1"/>
      <c r="TCY1629" s="1"/>
      <c r="TCZ1629" s="1"/>
      <c r="TDA1629" s="1"/>
      <c r="TDB1629" s="1"/>
      <c r="TDC1629" s="1"/>
      <c r="TDD1629" s="1"/>
      <c r="TDE1629" s="1"/>
      <c r="TDF1629" s="1"/>
      <c r="TDG1629" s="1"/>
      <c r="TDH1629" s="1"/>
      <c r="TDI1629" s="1"/>
      <c r="TDJ1629" s="1"/>
      <c r="TDK1629" s="1"/>
      <c r="TDL1629" s="1"/>
      <c r="TDM1629" s="1"/>
      <c r="TDN1629" s="1"/>
      <c r="TDO1629" s="1"/>
      <c r="TDP1629" s="1"/>
      <c r="TDQ1629" s="1"/>
      <c r="TDR1629" s="1"/>
      <c r="TDS1629" s="1"/>
      <c r="TDT1629" s="1"/>
      <c r="TDU1629" s="1"/>
      <c r="TDV1629" s="1"/>
      <c r="TDW1629" s="1"/>
      <c r="TDX1629" s="1"/>
      <c r="TDY1629" s="1"/>
      <c r="TDZ1629" s="1"/>
      <c r="TEA1629" s="1"/>
      <c r="TEB1629" s="1"/>
      <c r="TEC1629" s="1"/>
      <c r="TED1629" s="1"/>
      <c r="TEE1629" s="1"/>
      <c r="TEF1629" s="1"/>
      <c r="TEG1629" s="1"/>
      <c r="TEH1629" s="1"/>
      <c r="TEI1629" s="1"/>
      <c r="TEJ1629" s="1"/>
      <c r="TEK1629" s="1"/>
      <c r="TEL1629" s="1"/>
      <c r="TEM1629" s="1"/>
      <c r="TEN1629" s="1"/>
      <c r="TEO1629" s="1"/>
      <c r="TEP1629" s="1"/>
      <c r="TEQ1629" s="1"/>
      <c r="TER1629" s="1"/>
      <c r="TES1629" s="1"/>
      <c r="TET1629" s="1"/>
      <c r="TEU1629" s="1"/>
      <c r="TEV1629" s="1"/>
      <c r="TEW1629" s="1"/>
      <c r="TEX1629" s="1"/>
      <c r="TEY1629" s="1"/>
      <c r="TEZ1629" s="1"/>
      <c r="TFA1629" s="1"/>
      <c r="TFB1629" s="1"/>
      <c r="TFC1629" s="1"/>
      <c r="TFD1629" s="1"/>
      <c r="TFE1629" s="1"/>
      <c r="TFF1629" s="1"/>
      <c r="TFG1629" s="1"/>
      <c r="TFH1629" s="1"/>
      <c r="TFI1629" s="1"/>
      <c r="TFJ1629" s="1"/>
      <c r="TFK1629" s="1"/>
      <c r="TFL1629" s="1"/>
      <c r="TFM1629" s="1"/>
      <c r="TFN1629" s="1"/>
      <c r="TFO1629" s="1"/>
      <c r="TFP1629" s="1"/>
      <c r="TFQ1629" s="1"/>
      <c r="TFR1629" s="1"/>
      <c r="TFS1629" s="1"/>
      <c r="TFT1629" s="1"/>
      <c r="TFU1629" s="1"/>
      <c r="TFV1629" s="1"/>
      <c r="TFW1629" s="1"/>
      <c r="TFX1629" s="1"/>
      <c r="TFY1629" s="1"/>
      <c r="TFZ1629" s="1"/>
      <c r="TGA1629" s="1"/>
      <c r="TGB1629" s="1"/>
      <c r="TGC1629" s="1"/>
      <c r="TGD1629" s="1"/>
      <c r="TGE1629" s="1"/>
      <c r="TGF1629" s="1"/>
      <c r="TGG1629" s="1"/>
      <c r="TGH1629" s="1"/>
      <c r="TGI1629" s="1"/>
      <c r="TGJ1629" s="1"/>
      <c r="TGK1629" s="1"/>
      <c r="TGL1629" s="1"/>
      <c r="TGM1629" s="1"/>
      <c r="TGN1629" s="1"/>
      <c r="TGO1629" s="1"/>
      <c r="TGP1629" s="1"/>
      <c r="TGQ1629" s="1"/>
      <c r="TGR1629" s="1"/>
      <c r="TGS1629" s="1"/>
      <c r="TGT1629" s="1"/>
      <c r="TGU1629" s="1"/>
      <c r="TGV1629" s="1"/>
      <c r="TGW1629" s="1"/>
      <c r="TGX1629" s="1"/>
      <c r="TGY1629" s="1"/>
      <c r="TGZ1629" s="1"/>
      <c r="THA1629" s="1"/>
      <c r="THB1629" s="1"/>
      <c r="THC1629" s="1"/>
      <c r="THD1629" s="1"/>
      <c r="THE1629" s="1"/>
      <c r="THF1629" s="1"/>
      <c r="THG1629" s="1"/>
      <c r="THH1629" s="1"/>
      <c r="THI1629" s="1"/>
      <c r="THJ1629" s="1"/>
      <c r="THK1629" s="1"/>
      <c r="THL1629" s="1"/>
      <c r="THM1629" s="1"/>
      <c r="THN1629" s="1"/>
      <c r="THO1629" s="1"/>
      <c r="THP1629" s="1"/>
      <c r="THQ1629" s="1"/>
      <c r="THR1629" s="1"/>
      <c r="THS1629" s="1"/>
      <c r="THT1629" s="1"/>
      <c r="THU1629" s="1"/>
      <c r="THV1629" s="1"/>
      <c r="THW1629" s="1"/>
      <c r="THX1629" s="1"/>
      <c r="THY1629" s="1"/>
      <c r="THZ1629" s="1"/>
      <c r="TIA1629" s="1"/>
      <c r="TIB1629" s="1"/>
      <c r="TIC1629" s="1"/>
      <c r="TID1629" s="1"/>
      <c r="TIE1629" s="1"/>
      <c r="TIF1629" s="1"/>
      <c r="TIG1629" s="1"/>
      <c r="TIH1629" s="1"/>
      <c r="TII1629" s="1"/>
      <c r="TIJ1629" s="1"/>
      <c r="TIK1629" s="1"/>
      <c r="TIL1629" s="1"/>
      <c r="TIM1629" s="1"/>
      <c r="TIN1629" s="1"/>
      <c r="TIO1629" s="1"/>
      <c r="TIP1629" s="1"/>
      <c r="TIQ1629" s="1"/>
      <c r="TIR1629" s="1"/>
      <c r="TIS1629" s="1"/>
      <c r="TIT1629" s="1"/>
      <c r="TIU1629" s="1"/>
      <c r="TIV1629" s="1"/>
      <c r="TIW1629" s="1"/>
      <c r="TIX1629" s="1"/>
      <c r="TIY1629" s="1"/>
      <c r="TIZ1629" s="1"/>
      <c r="TJA1629" s="1"/>
      <c r="TJB1629" s="1"/>
      <c r="TJC1629" s="1"/>
      <c r="TJD1629" s="1"/>
      <c r="TJE1629" s="1"/>
      <c r="TJF1629" s="1"/>
      <c r="TJG1629" s="1"/>
      <c r="TJH1629" s="1"/>
      <c r="TJI1629" s="1"/>
      <c r="TJJ1629" s="1"/>
      <c r="TJK1629" s="1"/>
      <c r="TJL1629" s="1"/>
      <c r="TJM1629" s="1"/>
      <c r="TJN1629" s="1"/>
      <c r="TJO1629" s="1"/>
      <c r="TJP1629" s="1"/>
      <c r="TJQ1629" s="1"/>
      <c r="TJR1629" s="1"/>
      <c r="TJS1629" s="1"/>
      <c r="TJT1629" s="1"/>
      <c r="TJU1629" s="1"/>
      <c r="TJV1629" s="1"/>
      <c r="TJW1629" s="1"/>
      <c r="TJX1629" s="1"/>
      <c r="TJY1629" s="1"/>
      <c r="TJZ1629" s="1"/>
      <c r="TKA1629" s="1"/>
      <c r="TKB1629" s="1"/>
      <c r="TKC1629" s="1"/>
      <c r="TKD1629" s="1"/>
      <c r="TKE1629" s="1"/>
      <c r="TKF1629" s="1"/>
      <c r="TKG1629" s="1"/>
      <c r="TKH1629" s="1"/>
      <c r="TKI1629" s="1"/>
      <c r="TKJ1629" s="1"/>
      <c r="TKK1629" s="1"/>
      <c r="TKL1629" s="1"/>
      <c r="TKM1629" s="1"/>
      <c r="TKN1629" s="1"/>
      <c r="TKO1629" s="1"/>
      <c r="TKP1629" s="1"/>
      <c r="TKQ1629" s="1"/>
      <c r="TKR1629" s="1"/>
      <c r="TKS1629" s="1"/>
      <c r="TKT1629" s="1"/>
      <c r="TKU1629" s="1"/>
      <c r="TKV1629" s="1"/>
      <c r="TKW1629" s="1"/>
      <c r="TKX1629" s="1"/>
      <c r="TKY1629" s="1"/>
      <c r="TKZ1629" s="1"/>
      <c r="TLA1629" s="1"/>
      <c r="TLB1629" s="1"/>
      <c r="TLC1629" s="1"/>
      <c r="TLD1629" s="1"/>
      <c r="TLE1629" s="1"/>
      <c r="TLF1629" s="1"/>
      <c r="TLG1629" s="1"/>
      <c r="TLH1629" s="1"/>
      <c r="TLI1629" s="1"/>
      <c r="TLJ1629" s="1"/>
      <c r="TLK1629" s="1"/>
      <c r="TLL1629" s="1"/>
      <c r="TLM1629" s="1"/>
      <c r="TLN1629" s="1"/>
      <c r="TLO1629" s="1"/>
      <c r="TLP1629" s="1"/>
      <c r="TLQ1629" s="1"/>
      <c r="TLR1629" s="1"/>
      <c r="TLS1629" s="1"/>
      <c r="TLT1629" s="1"/>
      <c r="TLU1629" s="1"/>
      <c r="TLV1629" s="1"/>
      <c r="TLW1629" s="1"/>
      <c r="TLX1629" s="1"/>
      <c r="TLY1629" s="1"/>
      <c r="TLZ1629" s="1"/>
      <c r="TMA1629" s="1"/>
      <c r="TMB1629" s="1"/>
      <c r="TMC1629" s="1"/>
      <c r="TMD1629" s="1"/>
      <c r="TME1629" s="1"/>
      <c r="TMF1629" s="1"/>
      <c r="TMG1629" s="1"/>
      <c r="TMH1629" s="1"/>
      <c r="TMI1629" s="1"/>
      <c r="TMJ1629" s="1"/>
      <c r="TMK1629" s="1"/>
      <c r="TML1629" s="1"/>
      <c r="TMM1629" s="1"/>
      <c r="TMN1629" s="1"/>
      <c r="TMO1629" s="1"/>
      <c r="TMP1629" s="1"/>
      <c r="TMQ1629" s="1"/>
      <c r="TMR1629" s="1"/>
      <c r="TMS1629" s="1"/>
      <c r="TMT1629" s="1"/>
      <c r="TMU1629" s="1"/>
      <c r="TMV1629" s="1"/>
      <c r="TMW1629" s="1"/>
      <c r="TMX1629" s="1"/>
      <c r="TMY1629" s="1"/>
      <c r="TMZ1629" s="1"/>
      <c r="TNA1629" s="1"/>
      <c r="TNB1629" s="1"/>
      <c r="TNC1629" s="1"/>
      <c r="TND1629" s="1"/>
      <c r="TNE1629" s="1"/>
      <c r="TNF1629" s="1"/>
      <c r="TNG1629" s="1"/>
      <c r="TNH1629" s="1"/>
      <c r="TNI1629" s="1"/>
      <c r="TNJ1629" s="1"/>
      <c r="TNK1629" s="1"/>
      <c r="TNL1629" s="1"/>
      <c r="TNM1629" s="1"/>
      <c r="TNN1629" s="1"/>
      <c r="TNO1629" s="1"/>
      <c r="TNP1629" s="1"/>
      <c r="TNQ1629" s="1"/>
      <c r="TNR1629" s="1"/>
      <c r="TNS1629" s="1"/>
      <c r="TNT1629" s="1"/>
      <c r="TNU1629" s="1"/>
      <c r="TNV1629" s="1"/>
      <c r="TNW1629" s="1"/>
      <c r="TNX1629" s="1"/>
      <c r="TNY1629" s="1"/>
      <c r="TNZ1629" s="1"/>
      <c r="TOA1629" s="1"/>
      <c r="TOB1629" s="1"/>
      <c r="TOC1629" s="1"/>
      <c r="TOD1629" s="1"/>
      <c r="TOE1629" s="1"/>
      <c r="TOF1629" s="1"/>
      <c r="TOG1629" s="1"/>
      <c r="TOH1629" s="1"/>
      <c r="TOI1629" s="1"/>
      <c r="TOJ1629" s="1"/>
      <c r="TOK1629" s="1"/>
      <c r="TOL1629" s="1"/>
      <c r="TOM1629" s="1"/>
      <c r="TON1629" s="1"/>
      <c r="TOO1629" s="1"/>
      <c r="TOP1629" s="1"/>
      <c r="TOQ1629" s="1"/>
      <c r="TOR1629" s="1"/>
      <c r="TOS1629" s="1"/>
      <c r="TOT1629" s="1"/>
      <c r="TOU1629" s="1"/>
      <c r="TOV1629" s="1"/>
      <c r="TOW1629" s="1"/>
      <c r="TOX1629" s="1"/>
      <c r="TOY1629" s="1"/>
      <c r="TOZ1629" s="1"/>
      <c r="TPA1629" s="1"/>
      <c r="TPB1629" s="1"/>
      <c r="TPC1629" s="1"/>
      <c r="TPD1629" s="1"/>
      <c r="TPE1629" s="1"/>
      <c r="TPF1629" s="1"/>
      <c r="TPG1629" s="1"/>
      <c r="TPH1629" s="1"/>
      <c r="TPI1629" s="1"/>
      <c r="TPJ1629" s="1"/>
      <c r="TPK1629" s="1"/>
      <c r="TPL1629" s="1"/>
      <c r="TPM1629" s="1"/>
      <c r="TPN1629" s="1"/>
      <c r="TPO1629" s="1"/>
      <c r="TPP1629" s="1"/>
      <c r="TPQ1629" s="1"/>
      <c r="TPR1629" s="1"/>
      <c r="TPS1629" s="1"/>
      <c r="TPT1629" s="1"/>
      <c r="TPU1629" s="1"/>
      <c r="TPV1629" s="1"/>
      <c r="TPW1629" s="1"/>
      <c r="TPX1629" s="1"/>
      <c r="TPY1629" s="1"/>
      <c r="TPZ1629" s="1"/>
      <c r="TQA1629" s="1"/>
      <c r="TQB1629" s="1"/>
      <c r="TQC1629" s="1"/>
      <c r="TQD1629" s="1"/>
      <c r="TQE1629" s="1"/>
      <c r="TQF1629" s="1"/>
      <c r="TQG1629" s="1"/>
      <c r="TQH1629" s="1"/>
      <c r="TQI1629" s="1"/>
      <c r="TQJ1629" s="1"/>
      <c r="TQK1629" s="1"/>
      <c r="TQL1629" s="1"/>
      <c r="TQM1629" s="1"/>
      <c r="TQN1629" s="1"/>
      <c r="TQO1629" s="1"/>
      <c r="TQP1629" s="1"/>
      <c r="TQQ1629" s="1"/>
      <c r="TQR1629" s="1"/>
      <c r="TQS1629" s="1"/>
      <c r="TQT1629" s="1"/>
      <c r="TQU1629" s="1"/>
      <c r="TQV1629" s="1"/>
      <c r="TQW1629" s="1"/>
      <c r="TQX1629" s="1"/>
      <c r="TQY1629" s="1"/>
      <c r="TQZ1629" s="1"/>
      <c r="TRA1629" s="1"/>
      <c r="TRB1629" s="1"/>
      <c r="TRC1629" s="1"/>
      <c r="TRD1629" s="1"/>
      <c r="TRE1629" s="1"/>
      <c r="TRF1629" s="1"/>
      <c r="TRG1629" s="1"/>
      <c r="TRH1629" s="1"/>
      <c r="TRI1629" s="1"/>
      <c r="TRJ1629" s="1"/>
      <c r="TRK1629" s="1"/>
      <c r="TRL1629" s="1"/>
      <c r="TRM1629" s="1"/>
      <c r="TRN1629" s="1"/>
      <c r="TRO1629" s="1"/>
      <c r="TRP1629" s="1"/>
      <c r="TRQ1629" s="1"/>
      <c r="TRR1629" s="1"/>
      <c r="TRS1629" s="1"/>
      <c r="TRT1629" s="1"/>
      <c r="TRU1629" s="1"/>
      <c r="TRV1629" s="1"/>
      <c r="TRW1629" s="1"/>
      <c r="TRX1629" s="1"/>
      <c r="TRY1629" s="1"/>
      <c r="TRZ1629" s="1"/>
      <c r="TSA1629" s="1"/>
      <c r="TSB1629" s="1"/>
      <c r="TSC1629" s="1"/>
      <c r="TSD1629" s="1"/>
      <c r="TSE1629" s="1"/>
      <c r="TSF1629" s="1"/>
      <c r="TSG1629" s="1"/>
      <c r="TSH1629" s="1"/>
      <c r="TSI1629" s="1"/>
      <c r="TSJ1629" s="1"/>
      <c r="TSK1629" s="1"/>
      <c r="TSL1629" s="1"/>
      <c r="TSM1629" s="1"/>
      <c r="TSN1629" s="1"/>
      <c r="TSO1629" s="1"/>
      <c r="TSP1629" s="1"/>
      <c r="TSQ1629" s="1"/>
      <c r="TSR1629" s="1"/>
      <c r="TSS1629" s="1"/>
      <c r="TST1629" s="1"/>
      <c r="TSU1629" s="1"/>
      <c r="TSV1629" s="1"/>
      <c r="TSW1629" s="1"/>
      <c r="TSX1629" s="1"/>
      <c r="TSY1629" s="1"/>
      <c r="TSZ1629" s="1"/>
      <c r="TTA1629" s="1"/>
      <c r="TTB1629" s="1"/>
      <c r="TTC1629" s="1"/>
      <c r="TTD1629" s="1"/>
      <c r="TTE1629" s="1"/>
      <c r="TTF1629" s="1"/>
      <c r="TTG1629" s="1"/>
      <c r="TTH1629" s="1"/>
      <c r="TTI1629" s="1"/>
      <c r="TTJ1629" s="1"/>
      <c r="TTK1629" s="1"/>
      <c r="TTL1629" s="1"/>
      <c r="TTM1629" s="1"/>
      <c r="TTN1629" s="1"/>
      <c r="TTO1629" s="1"/>
      <c r="TTP1629" s="1"/>
      <c r="TTQ1629" s="1"/>
      <c r="TTR1629" s="1"/>
      <c r="TTS1629" s="1"/>
      <c r="TTT1629" s="1"/>
      <c r="TTU1629" s="1"/>
      <c r="TTV1629" s="1"/>
      <c r="TTW1629" s="1"/>
      <c r="TTX1629" s="1"/>
      <c r="TTY1629" s="1"/>
      <c r="TTZ1629" s="1"/>
      <c r="TUA1629" s="1"/>
      <c r="TUB1629" s="1"/>
      <c r="TUC1629" s="1"/>
      <c r="TUD1629" s="1"/>
      <c r="TUE1629" s="1"/>
      <c r="TUF1629" s="1"/>
      <c r="TUG1629" s="1"/>
      <c r="TUH1629" s="1"/>
      <c r="TUI1629" s="1"/>
      <c r="TUJ1629" s="1"/>
      <c r="TUK1629" s="1"/>
      <c r="TUL1629" s="1"/>
      <c r="TUM1629" s="1"/>
      <c r="TUN1629" s="1"/>
      <c r="TUO1629" s="1"/>
      <c r="TUP1629" s="1"/>
      <c r="TUQ1629" s="1"/>
      <c r="TUR1629" s="1"/>
      <c r="TUS1629" s="1"/>
      <c r="TUT1629" s="1"/>
      <c r="TUU1629" s="1"/>
      <c r="TUV1629" s="1"/>
      <c r="TUW1629" s="1"/>
      <c r="TUX1629" s="1"/>
      <c r="TUY1629" s="1"/>
      <c r="TUZ1629" s="1"/>
      <c r="TVA1629" s="1"/>
      <c r="TVB1629" s="1"/>
      <c r="TVC1629" s="1"/>
      <c r="TVD1629" s="1"/>
      <c r="TVE1629" s="1"/>
      <c r="TVF1629" s="1"/>
      <c r="TVG1629" s="1"/>
      <c r="TVH1629" s="1"/>
      <c r="TVI1629" s="1"/>
      <c r="TVJ1629" s="1"/>
      <c r="TVK1629" s="1"/>
      <c r="TVL1629" s="1"/>
      <c r="TVM1629" s="1"/>
      <c r="TVN1629" s="1"/>
      <c r="TVO1629" s="1"/>
      <c r="TVP1629" s="1"/>
      <c r="TVQ1629" s="1"/>
      <c r="TVR1629" s="1"/>
      <c r="TVS1629" s="1"/>
      <c r="TVT1629" s="1"/>
      <c r="TVU1629" s="1"/>
      <c r="TVV1629" s="1"/>
      <c r="TVW1629" s="1"/>
      <c r="TVX1629" s="1"/>
      <c r="TVY1629" s="1"/>
      <c r="TVZ1629" s="1"/>
      <c r="TWA1629" s="1"/>
      <c r="TWB1629" s="1"/>
      <c r="TWC1629" s="1"/>
      <c r="TWD1629" s="1"/>
      <c r="TWE1629" s="1"/>
      <c r="TWF1629" s="1"/>
      <c r="TWG1629" s="1"/>
      <c r="TWH1629" s="1"/>
      <c r="TWI1629" s="1"/>
      <c r="TWJ1629" s="1"/>
      <c r="TWK1629" s="1"/>
      <c r="TWL1629" s="1"/>
      <c r="TWM1629" s="1"/>
      <c r="TWN1629" s="1"/>
      <c r="TWO1629" s="1"/>
      <c r="TWP1629" s="1"/>
      <c r="TWQ1629" s="1"/>
      <c r="TWR1629" s="1"/>
      <c r="TWS1629" s="1"/>
      <c r="TWT1629" s="1"/>
      <c r="TWU1629" s="1"/>
      <c r="TWV1629" s="1"/>
      <c r="TWW1629" s="1"/>
      <c r="TWX1629" s="1"/>
      <c r="TWY1629" s="1"/>
      <c r="TWZ1629" s="1"/>
      <c r="TXA1629" s="1"/>
      <c r="TXB1629" s="1"/>
      <c r="TXC1629" s="1"/>
      <c r="TXD1629" s="1"/>
      <c r="TXE1629" s="1"/>
      <c r="TXF1629" s="1"/>
      <c r="TXG1629" s="1"/>
      <c r="TXH1629" s="1"/>
      <c r="TXI1629" s="1"/>
      <c r="TXJ1629" s="1"/>
      <c r="TXK1629" s="1"/>
      <c r="TXL1629" s="1"/>
      <c r="TXM1629" s="1"/>
      <c r="TXN1629" s="1"/>
      <c r="TXO1629" s="1"/>
      <c r="TXP1629" s="1"/>
      <c r="TXQ1629" s="1"/>
      <c r="TXR1629" s="1"/>
      <c r="TXS1629" s="1"/>
      <c r="TXT1629" s="1"/>
      <c r="TXU1629" s="1"/>
      <c r="TXV1629" s="1"/>
      <c r="TXW1629" s="1"/>
      <c r="TXX1629" s="1"/>
      <c r="TXY1629" s="1"/>
      <c r="TXZ1629" s="1"/>
      <c r="TYA1629" s="1"/>
      <c r="TYB1629" s="1"/>
      <c r="TYC1629" s="1"/>
      <c r="TYD1629" s="1"/>
      <c r="TYE1629" s="1"/>
      <c r="TYF1629" s="1"/>
      <c r="TYG1629" s="1"/>
      <c r="TYH1629" s="1"/>
      <c r="TYI1629" s="1"/>
      <c r="TYJ1629" s="1"/>
      <c r="TYK1629" s="1"/>
      <c r="TYL1629" s="1"/>
      <c r="TYM1629" s="1"/>
      <c r="TYN1629" s="1"/>
      <c r="TYO1629" s="1"/>
      <c r="TYP1629" s="1"/>
      <c r="TYQ1629" s="1"/>
      <c r="TYR1629" s="1"/>
      <c r="TYS1629" s="1"/>
      <c r="TYT1629" s="1"/>
      <c r="TYU1629" s="1"/>
      <c r="TYV1629" s="1"/>
      <c r="TYW1629" s="1"/>
      <c r="TYX1629" s="1"/>
      <c r="TYY1629" s="1"/>
      <c r="TYZ1629" s="1"/>
      <c r="TZA1629" s="1"/>
      <c r="TZB1629" s="1"/>
      <c r="TZC1629" s="1"/>
      <c r="TZD1629" s="1"/>
      <c r="TZE1629" s="1"/>
      <c r="TZF1629" s="1"/>
      <c r="TZG1629" s="1"/>
      <c r="TZH1629" s="1"/>
      <c r="TZI1629" s="1"/>
      <c r="TZJ1629" s="1"/>
      <c r="TZK1629" s="1"/>
      <c r="TZL1629" s="1"/>
      <c r="TZM1629" s="1"/>
      <c r="TZN1629" s="1"/>
      <c r="TZO1629" s="1"/>
      <c r="TZP1629" s="1"/>
      <c r="TZQ1629" s="1"/>
      <c r="TZR1629" s="1"/>
      <c r="TZS1629" s="1"/>
      <c r="TZT1629" s="1"/>
      <c r="TZU1629" s="1"/>
      <c r="TZV1629" s="1"/>
      <c r="TZW1629" s="1"/>
      <c r="TZX1629" s="1"/>
      <c r="TZY1629" s="1"/>
      <c r="TZZ1629" s="1"/>
      <c r="UAA1629" s="1"/>
      <c r="UAB1629" s="1"/>
      <c r="UAC1629" s="1"/>
      <c r="UAD1629" s="1"/>
      <c r="UAE1629" s="1"/>
      <c r="UAF1629" s="1"/>
      <c r="UAG1629" s="1"/>
      <c r="UAH1629" s="1"/>
      <c r="UAI1629" s="1"/>
      <c r="UAJ1629" s="1"/>
      <c r="UAK1629" s="1"/>
      <c r="UAL1629" s="1"/>
      <c r="UAM1629" s="1"/>
      <c r="UAN1629" s="1"/>
      <c r="UAO1629" s="1"/>
      <c r="UAP1629" s="1"/>
      <c r="UAQ1629" s="1"/>
      <c r="UAR1629" s="1"/>
      <c r="UAS1629" s="1"/>
      <c r="UAT1629" s="1"/>
      <c r="UAU1629" s="1"/>
      <c r="UAV1629" s="1"/>
      <c r="UAW1629" s="1"/>
      <c r="UAX1629" s="1"/>
      <c r="UAY1629" s="1"/>
      <c r="UAZ1629" s="1"/>
      <c r="UBA1629" s="1"/>
      <c r="UBB1629" s="1"/>
      <c r="UBC1629" s="1"/>
      <c r="UBD1629" s="1"/>
      <c r="UBE1629" s="1"/>
      <c r="UBF1629" s="1"/>
      <c r="UBG1629" s="1"/>
      <c r="UBH1629" s="1"/>
      <c r="UBI1629" s="1"/>
      <c r="UBJ1629" s="1"/>
      <c r="UBK1629" s="1"/>
      <c r="UBL1629" s="1"/>
      <c r="UBM1629" s="1"/>
      <c r="UBN1629" s="1"/>
      <c r="UBO1629" s="1"/>
      <c r="UBP1629" s="1"/>
      <c r="UBQ1629" s="1"/>
      <c r="UBR1629" s="1"/>
      <c r="UBS1629" s="1"/>
      <c r="UBT1629" s="1"/>
      <c r="UBU1629" s="1"/>
      <c r="UBV1629" s="1"/>
      <c r="UBW1629" s="1"/>
      <c r="UBX1629" s="1"/>
      <c r="UBY1629" s="1"/>
      <c r="UBZ1629" s="1"/>
      <c r="UCA1629" s="1"/>
      <c r="UCB1629" s="1"/>
      <c r="UCC1629" s="1"/>
      <c r="UCD1629" s="1"/>
      <c r="UCE1629" s="1"/>
      <c r="UCF1629" s="1"/>
      <c r="UCG1629" s="1"/>
      <c r="UCH1629" s="1"/>
      <c r="UCI1629" s="1"/>
      <c r="UCJ1629" s="1"/>
      <c r="UCK1629" s="1"/>
      <c r="UCL1629" s="1"/>
      <c r="UCM1629" s="1"/>
      <c r="UCN1629" s="1"/>
      <c r="UCO1629" s="1"/>
      <c r="UCP1629" s="1"/>
      <c r="UCQ1629" s="1"/>
      <c r="UCR1629" s="1"/>
      <c r="UCS1629" s="1"/>
      <c r="UCT1629" s="1"/>
      <c r="UCU1629" s="1"/>
      <c r="UCV1629" s="1"/>
      <c r="UCW1629" s="1"/>
      <c r="UCX1629" s="1"/>
      <c r="UCY1629" s="1"/>
      <c r="UCZ1629" s="1"/>
      <c r="UDA1629" s="1"/>
      <c r="UDB1629" s="1"/>
      <c r="UDC1629" s="1"/>
      <c r="UDD1629" s="1"/>
      <c r="UDE1629" s="1"/>
      <c r="UDF1629" s="1"/>
      <c r="UDG1629" s="1"/>
      <c r="UDH1629" s="1"/>
      <c r="UDI1629" s="1"/>
      <c r="UDJ1629" s="1"/>
      <c r="UDK1629" s="1"/>
      <c r="UDL1629" s="1"/>
      <c r="UDM1629" s="1"/>
      <c r="UDN1629" s="1"/>
      <c r="UDO1629" s="1"/>
      <c r="UDP1629" s="1"/>
      <c r="UDQ1629" s="1"/>
      <c r="UDR1629" s="1"/>
      <c r="UDS1629" s="1"/>
      <c r="UDT1629" s="1"/>
      <c r="UDU1629" s="1"/>
      <c r="UDV1629" s="1"/>
      <c r="UDW1629" s="1"/>
      <c r="UDX1629" s="1"/>
      <c r="UDY1629" s="1"/>
      <c r="UDZ1629" s="1"/>
      <c r="UEA1629" s="1"/>
      <c r="UEB1629" s="1"/>
      <c r="UEC1629" s="1"/>
      <c r="UED1629" s="1"/>
      <c r="UEE1629" s="1"/>
      <c r="UEF1629" s="1"/>
      <c r="UEG1629" s="1"/>
      <c r="UEH1629" s="1"/>
      <c r="UEI1629" s="1"/>
      <c r="UEJ1629" s="1"/>
      <c r="UEK1629" s="1"/>
      <c r="UEL1629" s="1"/>
      <c r="UEM1629" s="1"/>
      <c r="UEN1629" s="1"/>
      <c r="UEO1629" s="1"/>
      <c r="UEP1629" s="1"/>
      <c r="UEQ1629" s="1"/>
      <c r="UER1629" s="1"/>
      <c r="UES1629" s="1"/>
      <c r="UET1629" s="1"/>
      <c r="UEU1629" s="1"/>
      <c r="UEV1629" s="1"/>
      <c r="UEW1629" s="1"/>
      <c r="UEX1629" s="1"/>
      <c r="UEY1629" s="1"/>
      <c r="UEZ1629" s="1"/>
      <c r="UFA1629" s="1"/>
      <c r="UFB1629" s="1"/>
      <c r="UFC1629" s="1"/>
      <c r="UFD1629" s="1"/>
      <c r="UFE1629" s="1"/>
      <c r="UFF1629" s="1"/>
      <c r="UFG1629" s="1"/>
      <c r="UFH1629" s="1"/>
      <c r="UFI1629" s="1"/>
      <c r="UFJ1629" s="1"/>
      <c r="UFK1629" s="1"/>
      <c r="UFL1629" s="1"/>
      <c r="UFM1629" s="1"/>
      <c r="UFN1629" s="1"/>
      <c r="UFO1629" s="1"/>
      <c r="UFP1629" s="1"/>
      <c r="UFQ1629" s="1"/>
      <c r="UFR1629" s="1"/>
      <c r="UFS1629" s="1"/>
      <c r="UFT1629" s="1"/>
      <c r="UFU1629" s="1"/>
      <c r="UFV1629" s="1"/>
      <c r="UFW1629" s="1"/>
      <c r="UFX1629" s="1"/>
      <c r="UFY1629" s="1"/>
      <c r="UFZ1629" s="1"/>
      <c r="UGA1629" s="1"/>
      <c r="UGB1629" s="1"/>
      <c r="UGC1629" s="1"/>
      <c r="UGD1629" s="1"/>
      <c r="UGE1629" s="1"/>
      <c r="UGF1629" s="1"/>
      <c r="UGG1629" s="1"/>
      <c r="UGH1629" s="1"/>
      <c r="UGI1629" s="1"/>
      <c r="UGJ1629" s="1"/>
      <c r="UGK1629" s="1"/>
      <c r="UGL1629" s="1"/>
      <c r="UGM1629" s="1"/>
      <c r="UGN1629" s="1"/>
      <c r="UGO1629" s="1"/>
      <c r="UGP1629" s="1"/>
      <c r="UGQ1629" s="1"/>
      <c r="UGR1629" s="1"/>
      <c r="UGS1629" s="1"/>
      <c r="UGT1629" s="1"/>
      <c r="UGU1629" s="1"/>
      <c r="UGV1629" s="1"/>
      <c r="UGW1629" s="1"/>
      <c r="UGX1629" s="1"/>
      <c r="UGY1629" s="1"/>
      <c r="UGZ1629" s="1"/>
      <c r="UHA1629" s="1"/>
      <c r="UHB1629" s="1"/>
      <c r="UHC1629" s="1"/>
      <c r="UHD1629" s="1"/>
      <c r="UHE1629" s="1"/>
      <c r="UHF1629" s="1"/>
      <c r="UHG1629" s="1"/>
      <c r="UHH1629" s="1"/>
      <c r="UHI1629" s="1"/>
      <c r="UHJ1629" s="1"/>
      <c r="UHK1629" s="1"/>
      <c r="UHL1629" s="1"/>
      <c r="UHM1629" s="1"/>
      <c r="UHN1629" s="1"/>
      <c r="UHO1629" s="1"/>
      <c r="UHP1629" s="1"/>
      <c r="UHQ1629" s="1"/>
      <c r="UHR1629" s="1"/>
      <c r="UHS1629" s="1"/>
      <c r="UHT1629" s="1"/>
      <c r="UHU1629" s="1"/>
      <c r="UHV1629" s="1"/>
      <c r="UHW1629" s="1"/>
      <c r="UHX1629" s="1"/>
      <c r="UHY1629" s="1"/>
      <c r="UHZ1629" s="1"/>
      <c r="UIA1629" s="1"/>
      <c r="UIB1629" s="1"/>
      <c r="UIC1629" s="1"/>
      <c r="UID1629" s="1"/>
      <c r="UIE1629" s="1"/>
      <c r="UIF1629" s="1"/>
      <c r="UIG1629" s="1"/>
      <c r="UIH1629" s="1"/>
      <c r="UII1629" s="1"/>
      <c r="UIJ1629" s="1"/>
      <c r="UIK1629" s="1"/>
      <c r="UIL1629" s="1"/>
      <c r="UIM1629" s="1"/>
      <c r="UIN1629" s="1"/>
      <c r="UIO1629" s="1"/>
      <c r="UIP1629" s="1"/>
      <c r="UIQ1629" s="1"/>
      <c r="UIR1629" s="1"/>
      <c r="UIS1629" s="1"/>
      <c r="UIT1629" s="1"/>
      <c r="UIU1629" s="1"/>
      <c r="UIV1629" s="1"/>
      <c r="UIW1629" s="1"/>
      <c r="UIX1629" s="1"/>
      <c r="UIY1629" s="1"/>
      <c r="UIZ1629" s="1"/>
      <c r="UJA1629" s="1"/>
      <c r="UJB1629" s="1"/>
      <c r="UJC1629" s="1"/>
      <c r="UJD1629" s="1"/>
      <c r="UJE1629" s="1"/>
      <c r="UJF1629" s="1"/>
      <c r="UJG1629" s="1"/>
      <c r="UJH1629" s="1"/>
      <c r="UJI1629" s="1"/>
      <c r="UJJ1629" s="1"/>
      <c r="UJK1629" s="1"/>
      <c r="UJL1629" s="1"/>
      <c r="UJM1629" s="1"/>
      <c r="UJN1629" s="1"/>
      <c r="UJO1629" s="1"/>
      <c r="UJP1629" s="1"/>
      <c r="UJQ1629" s="1"/>
      <c r="UJR1629" s="1"/>
      <c r="UJS1629" s="1"/>
      <c r="UJT1629" s="1"/>
      <c r="UJU1629" s="1"/>
      <c r="UJV1629" s="1"/>
      <c r="UJW1629" s="1"/>
      <c r="UJX1629" s="1"/>
      <c r="UJY1629" s="1"/>
      <c r="UJZ1629" s="1"/>
      <c r="UKA1629" s="1"/>
      <c r="UKB1629" s="1"/>
      <c r="UKC1629" s="1"/>
      <c r="UKD1629" s="1"/>
      <c r="UKE1629" s="1"/>
      <c r="UKF1629" s="1"/>
      <c r="UKG1629" s="1"/>
      <c r="UKH1629" s="1"/>
      <c r="UKI1629" s="1"/>
      <c r="UKJ1629" s="1"/>
      <c r="UKK1629" s="1"/>
      <c r="UKL1629" s="1"/>
      <c r="UKM1629" s="1"/>
      <c r="UKN1629" s="1"/>
      <c r="UKO1629" s="1"/>
      <c r="UKP1629" s="1"/>
      <c r="UKQ1629" s="1"/>
      <c r="UKR1629" s="1"/>
      <c r="UKS1629" s="1"/>
      <c r="UKT1629" s="1"/>
      <c r="UKU1629" s="1"/>
      <c r="UKV1629" s="1"/>
      <c r="UKW1629" s="1"/>
      <c r="UKX1629" s="1"/>
      <c r="UKY1629" s="1"/>
      <c r="UKZ1629" s="1"/>
      <c r="ULA1629" s="1"/>
      <c r="ULB1629" s="1"/>
      <c r="ULC1629" s="1"/>
      <c r="ULD1629" s="1"/>
      <c r="ULE1629" s="1"/>
      <c r="ULF1629" s="1"/>
      <c r="ULG1629" s="1"/>
      <c r="ULH1629" s="1"/>
      <c r="ULI1629" s="1"/>
      <c r="ULJ1629" s="1"/>
      <c r="ULK1629" s="1"/>
      <c r="ULL1629" s="1"/>
      <c r="ULM1629" s="1"/>
      <c r="ULN1629" s="1"/>
      <c r="ULO1629" s="1"/>
      <c r="ULP1629" s="1"/>
      <c r="ULQ1629" s="1"/>
      <c r="ULR1629" s="1"/>
      <c r="ULS1629" s="1"/>
      <c r="ULT1629" s="1"/>
      <c r="ULU1629" s="1"/>
      <c r="ULV1629" s="1"/>
      <c r="ULW1629" s="1"/>
      <c r="ULX1629" s="1"/>
      <c r="ULY1629" s="1"/>
      <c r="ULZ1629" s="1"/>
      <c r="UMA1629" s="1"/>
      <c r="UMB1629" s="1"/>
      <c r="UMC1629" s="1"/>
      <c r="UMD1629" s="1"/>
      <c r="UME1629" s="1"/>
      <c r="UMF1629" s="1"/>
      <c r="UMG1629" s="1"/>
      <c r="UMH1629" s="1"/>
      <c r="UMI1629" s="1"/>
      <c r="UMJ1629" s="1"/>
      <c r="UMK1629" s="1"/>
      <c r="UML1629" s="1"/>
      <c r="UMM1629" s="1"/>
      <c r="UMN1629" s="1"/>
      <c r="UMO1629" s="1"/>
      <c r="UMP1629" s="1"/>
      <c r="UMQ1629" s="1"/>
      <c r="UMR1629" s="1"/>
      <c r="UMS1629" s="1"/>
      <c r="UMT1629" s="1"/>
      <c r="UMU1629" s="1"/>
      <c r="UMV1629" s="1"/>
      <c r="UMW1629" s="1"/>
      <c r="UMX1629" s="1"/>
      <c r="UMY1629" s="1"/>
      <c r="UMZ1629" s="1"/>
      <c r="UNA1629" s="1"/>
      <c r="UNB1629" s="1"/>
      <c r="UNC1629" s="1"/>
      <c r="UND1629" s="1"/>
      <c r="UNE1629" s="1"/>
      <c r="UNF1629" s="1"/>
      <c r="UNG1629" s="1"/>
      <c r="UNH1629" s="1"/>
      <c r="UNI1629" s="1"/>
      <c r="UNJ1629" s="1"/>
      <c r="UNK1629" s="1"/>
      <c r="UNL1629" s="1"/>
      <c r="UNM1629" s="1"/>
      <c r="UNN1629" s="1"/>
      <c r="UNO1629" s="1"/>
      <c r="UNP1629" s="1"/>
      <c r="UNQ1629" s="1"/>
      <c r="UNR1629" s="1"/>
      <c r="UNS1629" s="1"/>
      <c r="UNT1629" s="1"/>
      <c r="UNU1629" s="1"/>
      <c r="UNV1629" s="1"/>
      <c r="UNW1629" s="1"/>
      <c r="UNX1629" s="1"/>
      <c r="UNY1629" s="1"/>
      <c r="UNZ1629" s="1"/>
      <c r="UOA1629" s="1"/>
      <c r="UOB1629" s="1"/>
      <c r="UOC1629" s="1"/>
      <c r="UOD1629" s="1"/>
      <c r="UOE1629" s="1"/>
      <c r="UOF1629" s="1"/>
      <c r="UOG1629" s="1"/>
      <c r="UOH1629" s="1"/>
      <c r="UOI1629" s="1"/>
      <c r="UOJ1629" s="1"/>
      <c r="UOK1629" s="1"/>
      <c r="UOL1629" s="1"/>
      <c r="UOM1629" s="1"/>
      <c r="UON1629" s="1"/>
      <c r="UOO1629" s="1"/>
      <c r="UOP1629" s="1"/>
      <c r="UOQ1629" s="1"/>
      <c r="UOR1629" s="1"/>
      <c r="UOS1629" s="1"/>
      <c r="UOT1629" s="1"/>
      <c r="UOU1629" s="1"/>
      <c r="UOV1629" s="1"/>
      <c r="UOW1629" s="1"/>
      <c r="UOX1629" s="1"/>
      <c r="UOY1629" s="1"/>
      <c r="UOZ1629" s="1"/>
      <c r="UPA1629" s="1"/>
      <c r="UPB1629" s="1"/>
      <c r="UPC1629" s="1"/>
      <c r="UPD1629" s="1"/>
      <c r="UPE1629" s="1"/>
      <c r="UPF1629" s="1"/>
      <c r="UPG1629" s="1"/>
      <c r="UPH1629" s="1"/>
      <c r="UPI1629" s="1"/>
      <c r="UPJ1629" s="1"/>
      <c r="UPK1629" s="1"/>
      <c r="UPL1629" s="1"/>
      <c r="UPM1629" s="1"/>
      <c r="UPN1629" s="1"/>
      <c r="UPO1629" s="1"/>
      <c r="UPP1629" s="1"/>
      <c r="UPQ1629" s="1"/>
      <c r="UPR1629" s="1"/>
      <c r="UPS1629" s="1"/>
      <c r="UPT1629" s="1"/>
      <c r="UPU1629" s="1"/>
      <c r="UPV1629" s="1"/>
      <c r="UPW1629" s="1"/>
      <c r="UPX1629" s="1"/>
      <c r="UPY1629" s="1"/>
      <c r="UPZ1629" s="1"/>
      <c r="UQA1629" s="1"/>
      <c r="UQB1629" s="1"/>
      <c r="UQC1629" s="1"/>
      <c r="UQD1629" s="1"/>
      <c r="UQE1629" s="1"/>
      <c r="UQF1629" s="1"/>
      <c r="UQG1629" s="1"/>
      <c r="UQH1629" s="1"/>
      <c r="UQI1629" s="1"/>
      <c r="UQJ1629" s="1"/>
      <c r="UQK1629" s="1"/>
      <c r="UQL1629" s="1"/>
      <c r="UQM1629" s="1"/>
      <c r="UQN1629" s="1"/>
      <c r="UQO1629" s="1"/>
      <c r="UQP1629" s="1"/>
      <c r="UQQ1629" s="1"/>
      <c r="UQR1629" s="1"/>
      <c r="UQS1629" s="1"/>
      <c r="UQT1629" s="1"/>
      <c r="UQU1629" s="1"/>
      <c r="UQV1629" s="1"/>
      <c r="UQW1629" s="1"/>
      <c r="UQX1629" s="1"/>
      <c r="UQY1629" s="1"/>
      <c r="UQZ1629" s="1"/>
      <c r="URA1629" s="1"/>
      <c r="URB1629" s="1"/>
      <c r="URC1629" s="1"/>
      <c r="URD1629" s="1"/>
      <c r="URE1629" s="1"/>
      <c r="URF1629" s="1"/>
      <c r="URG1629" s="1"/>
      <c r="URH1629" s="1"/>
      <c r="URI1629" s="1"/>
      <c r="URJ1629" s="1"/>
      <c r="URK1629" s="1"/>
      <c r="URL1629" s="1"/>
      <c r="URM1629" s="1"/>
      <c r="URN1629" s="1"/>
      <c r="URO1629" s="1"/>
      <c r="URP1629" s="1"/>
      <c r="URQ1629" s="1"/>
      <c r="URR1629" s="1"/>
      <c r="URS1629" s="1"/>
      <c r="URT1629" s="1"/>
      <c r="URU1629" s="1"/>
      <c r="URV1629" s="1"/>
      <c r="URW1629" s="1"/>
      <c r="URX1629" s="1"/>
      <c r="URY1629" s="1"/>
      <c r="URZ1629" s="1"/>
      <c r="USA1629" s="1"/>
      <c r="USB1629" s="1"/>
      <c r="USC1629" s="1"/>
      <c r="USD1629" s="1"/>
      <c r="USE1629" s="1"/>
      <c r="USF1629" s="1"/>
      <c r="USG1629" s="1"/>
      <c r="USH1629" s="1"/>
      <c r="USI1629" s="1"/>
      <c r="USJ1629" s="1"/>
      <c r="USK1629" s="1"/>
      <c r="USL1629" s="1"/>
      <c r="USM1629" s="1"/>
      <c r="USN1629" s="1"/>
      <c r="USO1629" s="1"/>
      <c r="USP1629" s="1"/>
      <c r="USQ1629" s="1"/>
      <c r="USR1629" s="1"/>
      <c r="USS1629" s="1"/>
      <c r="UST1629" s="1"/>
      <c r="USU1629" s="1"/>
      <c r="USV1629" s="1"/>
      <c r="USW1629" s="1"/>
      <c r="USX1629" s="1"/>
      <c r="USY1629" s="1"/>
      <c r="USZ1629" s="1"/>
      <c r="UTA1629" s="1"/>
      <c r="UTB1629" s="1"/>
      <c r="UTC1629" s="1"/>
      <c r="UTD1629" s="1"/>
      <c r="UTE1629" s="1"/>
      <c r="UTF1629" s="1"/>
      <c r="UTG1629" s="1"/>
      <c r="UTH1629" s="1"/>
      <c r="UTI1629" s="1"/>
      <c r="UTJ1629" s="1"/>
      <c r="UTK1629" s="1"/>
      <c r="UTL1629" s="1"/>
      <c r="UTM1629" s="1"/>
      <c r="UTN1629" s="1"/>
      <c r="UTO1629" s="1"/>
      <c r="UTP1629" s="1"/>
      <c r="UTQ1629" s="1"/>
      <c r="UTR1629" s="1"/>
      <c r="UTS1629" s="1"/>
      <c r="UTT1629" s="1"/>
      <c r="UTU1629" s="1"/>
      <c r="UTV1629" s="1"/>
      <c r="UTW1629" s="1"/>
      <c r="UTX1629" s="1"/>
      <c r="UTY1629" s="1"/>
      <c r="UTZ1629" s="1"/>
      <c r="UUA1629" s="1"/>
      <c r="UUB1629" s="1"/>
      <c r="UUC1629" s="1"/>
      <c r="UUD1629" s="1"/>
      <c r="UUE1629" s="1"/>
      <c r="UUF1629" s="1"/>
      <c r="UUG1629" s="1"/>
      <c r="UUH1629" s="1"/>
      <c r="UUI1629" s="1"/>
      <c r="UUJ1629" s="1"/>
      <c r="UUK1629" s="1"/>
      <c r="UUL1629" s="1"/>
      <c r="UUM1629" s="1"/>
      <c r="UUN1629" s="1"/>
      <c r="UUO1629" s="1"/>
      <c r="UUP1629" s="1"/>
      <c r="UUQ1629" s="1"/>
      <c r="UUR1629" s="1"/>
      <c r="UUS1629" s="1"/>
      <c r="UUT1629" s="1"/>
      <c r="UUU1629" s="1"/>
      <c r="UUV1629" s="1"/>
      <c r="UUW1629" s="1"/>
      <c r="UUX1629" s="1"/>
      <c r="UUY1629" s="1"/>
      <c r="UUZ1629" s="1"/>
      <c r="UVA1629" s="1"/>
      <c r="UVB1629" s="1"/>
      <c r="UVC1629" s="1"/>
      <c r="UVD1629" s="1"/>
      <c r="UVE1629" s="1"/>
      <c r="UVF1629" s="1"/>
      <c r="UVG1629" s="1"/>
      <c r="UVH1629" s="1"/>
      <c r="UVI1629" s="1"/>
      <c r="UVJ1629" s="1"/>
      <c r="UVK1629" s="1"/>
      <c r="UVL1629" s="1"/>
      <c r="UVM1629" s="1"/>
      <c r="UVN1629" s="1"/>
      <c r="UVO1629" s="1"/>
      <c r="UVP1629" s="1"/>
      <c r="UVQ1629" s="1"/>
      <c r="UVR1629" s="1"/>
      <c r="UVS1629" s="1"/>
      <c r="UVT1629" s="1"/>
      <c r="UVU1629" s="1"/>
      <c r="UVV1629" s="1"/>
      <c r="UVW1629" s="1"/>
      <c r="UVX1629" s="1"/>
      <c r="UVY1629" s="1"/>
      <c r="UVZ1629" s="1"/>
      <c r="UWA1629" s="1"/>
      <c r="UWB1629" s="1"/>
      <c r="UWC1629" s="1"/>
      <c r="UWD1629" s="1"/>
      <c r="UWE1629" s="1"/>
      <c r="UWF1629" s="1"/>
      <c r="UWG1629" s="1"/>
      <c r="UWH1629" s="1"/>
      <c r="UWI1629" s="1"/>
      <c r="UWJ1629" s="1"/>
      <c r="UWK1629" s="1"/>
      <c r="UWL1629" s="1"/>
      <c r="UWM1629" s="1"/>
      <c r="UWN1629" s="1"/>
      <c r="UWO1629" s="1"/>
      <c r="UWP1629" s="1"/>
      <c r="UWQ1629" s="1"/>
      <c r="UWR1629" s="1"/>
      <c r="UWS1629" s="1"/>
      <c r="UWT1629" s="1"/>
      <c r="UWU1629" s="1"/>
      <c r="UWV1629" s="1"/>
      <c r="UWW1629" s="1"/>
      <c r="UWX1629" s="1"/>
      <c r="UWY1629" s="1"/>
      <c r="UWZ1629" s="1"/>
      <c r="UXA1629" s="1"/>
      <c r="UXB1629" s="1"/>
      <c r="UXC1629" s="1"/>
      <c r="UXD1629" s="1"/>
      <c r="UXE1629" s="1"/>
      <c r="UXF1629" s="1"/>
      <c r="UXG1629" s="1"/>
      <c r="UXH1629" s="1"/>
      <c r="UXI1629" s="1"/>
      <c r="UXJ1629" s="1"/>
      <c r="UXK1629" s="1"/>
      <c r="UXL1629" s="1"/>
      <c r="UXM1629" s="1"/>
      <c r="UXN1629" s="1"/>
      <c r="UXO1629" s="1"/>
      <c r="UXP1629" s="1"/>
      <c r="UXQ1629" s="1"/>
      <c r="UXR1629" s="1"/>
      <c r="UXS1629" s="1"/>
      <c r="UXT1629" s="1"/>
      <c r="UXU1629" s="1"/>
      <c r="UXV1629" s="1"/>
      <c r="UXW1629" s="1"/>
      <c r="UXX1629" s="1"/>
      <c r="UXY1629" s="1"/>
      <c r="UXZ1629" s="1"/>
      <c r="UYA1629" s="1"/>
      <c r="UYB1629" s="1"/>
      <c r="UYC1629" s="1"/>
      <c r="UYD1629" s="1"/>
      <c r="UYE1629" s="1"/>
      <c r="UYF1629" s="1"/>
      <c r="UYG1629" s="1"/>
      <c r="UYH1629" s="1"/>
      <c r="UYI1629" s="1"/>
      <c r="UYJ1629" s="1"/>
      <c r="UYK1629" s="1"/>
      <c r="UYL1629" s="1"/>
      <c r="UYM1629" s="1"/>
      <c r="UYN1629" s="1"/>
      <c r="UYO1629" s="1"/>
      <c r="UYP1629" s="1"/>
      <c r="UYQ1629" s="1"/>
      <c r="UYR1629" s="1"/>
      <c r="UYS1629" s="1"/>
      <c r="UYT1629" s="1"/>
      <c r="UYU1629" s="1"/>
      <c r="UYV1629" s="1"/>
      <c r="UYW1629" s="1"/>
      <c r="UYX1629" s="1"/>
      <c r="UYY1629" s="1"/>
      <c r="UYZ1629" s="1"/>
      <c r="UZA1629" s="1"/>
      <c r="UZB1629" s="1"/>
      <c r="UZC1629" s="1"/>
      <c r="UZD1629" s="1"/>
      <c r="UZE1629" s="1"/>
      <c r="UZF1629" s="1"/>
      <c r="UZG1629" s="1"/>
      <c r="UZH1629" s="1"/>
      <c r="UZI1629" s="1"/>
      <c r="UZJ1629" s="1"/>
      <c r="UZK1629" s="1"/>
      <c r="UZL1629" s="1"/>
      <c r="UZM1629" s="1"/>
      <c r="UZN1629" s="1"/>
      <c r="UZO1629" s="1"/>
      <c r="UZP1629" s="1"/>
      <c r="UZQ1629" s="1"/>
      <c r="UZR1629" s="1"/>
      <c r="UZS1629" s="1"/>
      <c r="UZT1629" s="1"/>
      <c r="UZU1629" s="1"/>
      <c r="UZV1629" s="1"/>
      <c r="UZW1629" s="1"/>
      <c r="UZX1629" s="1"/>
      <c r="UZY1629" s="1"/>
      <c r="UZZ1629" s="1"/>
      <c r="VAA1629" s="1"/>
      <c r="VAB1629" s="1"/>
      <c r="VAC1629" s="1"/>
      <c r="VAD1629" s="1"/>
      <c r="VAE1629" s="1"/>
      <c r="VAF1629" s="1"/>
      <c r="VAG1629" s="1"/>
      <c r="VAH1629" s="1"/>
      <c r="VAI1629" s="1"/>
      <c r="VAJ1629" s="1"/>
      <c r="VAK1629" s="1"/>
      <c r="VAL1629" s="1"/>
      <c r="VAM1629" s="1"/>
      <c r="VAN1629" s="1"/>
      <c r="VAO1629" s="1"/>
      <c r="VAP1629" s="1"/>
      <c r="VAQ1629" s="1"/>
      <c r="VAR1629" s="1"/>
      <c r="VAS1629" s="1"/>
      <c r="VAT1629" s="1"/>
      <c r="VAU1629" s="1"/>
      <c r="VAV1629" s="1"/>
      <c r="VAW1629" s="1"/>
      <c r="VAX1629" s="1"/>
      <c r="VAY1629" s="1"/>
      <c r="VAZ1629" s="1"/>
      <c r="VBA1629" s="1"/>
      <c r="VBB1629" s="1"/>
      <c r="VBC1629" s="1"/>
      <c r="VBD1629" s="1"/>
      <c r="VBE1629" s="1"/>
      <c r="VBF1629" s="1"/>
      <c r="VBG1629" s="1"/>
      <c r="VBH1629" s="1"/>
      <c r="VBI1629" s="1"/>
      <c r="VBJ1629" s="1"/>
      <c r="VBK1629" s="1"/>
      <c r="VBL1629" s="1"/>
      <c r="VBM1629" s="1"/>
      <c r="VBN1629" s="1"/>
      <c r="VBO1629" s="1"/>
      <c r="VBP1629" s="1"/>
      <c r="VBQ1629" s="1"/>
      <c r="VBR1629" s="1"/>
      <c r="VBS1629" s="1"/>
      <c r="VBT1629" s="1"/>
      <c r="VBU1629" s="1"/>
      <c r="VBV1629" s="1"/>
      <c r="VBW1629" s="1"/>
      <c r="VBX1629" s="1"/>
      <c r="VBY1629" s="1"/>
      <c r="VBZ1629" s="1"/>
      <c r="VCA1629" s="1"/>
      <c r="VCB1629" s="1"/>
      <c r="VCC1629" s="1"/>
      <c r="VCD1629" s="1"/>
      <c r="VCE1629" s="1"/>
      <c r="VCF1629" s="1"/>
      <c r="VCG1629" s="1"/>
      <c r="VCH1629" s="1"/>
      <c r="VCI1629" s="1"/>
      <c r="VCJ1629" s="1"/>
      <c r="VCK1629" s="1"/>
      <c r="VCL1629" s="1"/>
      <c r="VCM1629" s="1"/>
      <c r="VCN1629" s="1"/>
      <c r="VCO1629" s="1"/>
      <c r="VCP1629" s="1"/>
      <c r="VCQ1629" s="1"/>
      <c r="VCR1629" s="1"/>
      <c r="VCS1629" s="1"/>
      <c r="VCT1629" s="1"/>
      <c r="VCU1629" s="1"/>
      <c r="VCV1629" s="1"/>
      <c r="VCW1629" s="1"/>
      <c r="VCX1629" s="1"/>
      <c r="VCY1629" s="1"/>
      <c r="VCZ1629" s="1"/>
      <c r="VDA1629" s="1"/>
      <c r="VDB1629" s="1"/>
      <c r="VDC1629" s="1"/>
      <c r="VDD1629" s="1"/>
      <c r="VDE1629" s="1"/>
      <c r="VDF1629" s="1"/>
      <c r="VDG1629" s="1"/>
      <c r="VDH1629" s="1"/>
      <c r="VDI1629" s="1"/>
      <c r="VDJ1629" s="1"/>
      <c r="VDK1629" s="1"/>
      <c r="VDL1629" s="1"/>
      <c r="VDM1629" s="1"/>
      <c r="VDN1629" s="1"/>
      <c r="VDO1629" s="1"/>
      <c r="VDP1629" s="1"/>
      <c r="VDQ1629" s="1"/>
      <c r="VDR1629" s="1"/>
      <c r="VDS1629" s="1"/>
      <c r="VDT1629" s="1"/>
      <c r="VDU1629" s="1"/>
      <c r="VDV1629" s="1"/>
      <c r="VDW1629" s="1"/>
      <c r="VDX1629" s="1"/>
      <c r="VDY1629" s="1"/>
      <c r="VDZ1629" s="1"/>
      <c r="VEA1629" s="1"/>
      <c r="VEB1629" s="1"/>
      <c r="VEC1629" s="1"/>
      <c r="VED1629" s="1"/>
      <c r="VEE1629" s="1"/>
      <c r="VEF1629" s="1"/>
      <c r="VEG1629" s="1"/>
      <c r="VEH1629" s="1"/>
      <c r="VEI1629" s="1"/>
      <c r="VEJ1629" s="1"/>
      <c r="VEK1629" s="1"/>
      <c r="VEL1629" s="1"/>
      <c r="VEM1629" s="1"/>
      <c r="VEN1629" s="1"/>
      <c r="VEO1629" s="1"/>
      <c r="VEP1629" s="1"/>
      <c r="VEQ1629" s="1"/>
      <c r="VER1629" s="1"/>
      <c r="VES1629" s="1"/>
      <c r="VET1629" s="1"/>
      <c r="VEU1629" s="1"/>
      <c r="VEV1629" s="1"/>
      <c r="VEW1629" s="1"/>
      <c r="VEX1629" s="1"/>
      <c r="VEY1629" s="1"/>
      <c r="VEZ1629" s="1"/>
      <c r="VFA1629" s="1"/>
      <c r="VFB1629" s="1"/>
      <c r="VFC1629" s="1"/>
      <c r="VFD1629" s="1"/>
      <c r="VFE1629" s="1"/>
      <c r="VFF1629" s="1"/>
      <c r="VFG1629" s="1"/>
      <c r="VFH1629" s="1"/>
      <c r="VFI1629" s="1"/>
      <c r="VFJ1629" s="1"/>
      <c r="VFK1629" s="1"/>
      <c r="VFL1629" s="1"/>
      <c r="VFM1629" s="1"/>
      <c r="VFN1629" s="1"/>
      <c r="VFO1629" s="1"/>
      <c r="VFP1629" s="1"/>
      <c r="VFQ1629" s="1"/>
      <c r="VFR1629" s="1"/>
      <c r="VFS1629" s="1"/>
      <c r="VFT1629" s="1"/>
      <c r="VFU1629" s="1"/>
      <c r="VFV1629" s="1"/>
      <c r="VFW1629" s="1"/>
      <c r="VFX1629" s="1"/>
      <c r="VFY1629" s="1"/>
      <c r="VFZ1629" s="1"/>
      <c r="VGA1629" s="1"/>
      <c r="VGB1629" s="1"/>
      <c r="VGC1629" s="1"/>
      <c r="VGD1629" s="1"/>
      <c r="VGE1629" s="1"/>
      <c r="VGF1629" s="1"/>
      <c r="VGG1629" s="1"/>
      <c r="VGH1629" s="1"/>
      <c r="VGI1629" s="1"/>
      <c r="VGJ1629" s="1"/>
      <c r="VGK1629" s="1"/>
      <c r="VGL1629" s="1"/>
      <c r="VGM1629" s="1"/>
      <c r="VGN1629" s="1"/>
      <c r="VGO1629" s="1"/>
      <c r="VGP1629" s="1"/>
      <c r="VGQ1629" s="1"/>
      <c r="VGR1629" s="1"/>
      <c r="VGS1629" s="1"/>
      <c r="VGT1629" s="1"/>
      <c r="VGU1629" s="1"/>
      <c r="VGV1629" s="1"/>
      <c r="VGW1629" s="1"/>
      <c r="VGX1629" s="1"/>
      <c r="VGY1629" s="1"/>
      <c r="VGZ1629" s="1"/>
      <c r="VHA1629" s="1"/>
      <c r="VHB1629" s="1"/>
      <c r="VHC1629" s="1"/>
      <c r="VHD1629" s="1"/>
      <c r="VHE1629" s="1"/>
      <c r="VHF1629" s="1"/>
      <c r="VHG1629" s="1"/>
      <c r="VHH1629" s="1"/>
      <c r="VHI1629" s="1"/>
      <c r="VHJ1629" s="1"/>
      <c r="VHK1629" s="1"/>
      <c r="VHL1629" s="1"/>
      <c r="VHM1629" s="1"/>
      <c r="VHN1629" s="1"/>
      <c r="VHO1629" s="1"/>
      <c r="VHP1629" s="1"/>
      <c r="VHQ1629" s="1"/>
      <c r="VHR1629" s="1"/>
      <c r="VHS1629" s="1"/>
      <c r="VHT1629" s="1"/>
      <c r="VHU1629" s="1"/>
      <c r="VHV1629" s="1"/>
      <c r="VHW1629" s="1"/>
      <c r="VHX1629" s="1"/>
      <c r="VHY1629" s="1"/>
      <c r="VHZ1629" s="1"/>
      <c r="VIA1629" s="1"/>
      <c r="VIB1629" s="1"/>
      <c r="VIC1629" s="1"/>
      <c r="VID1629" s="1"/>
      <c r="VIE1629" s="1"/>
      <c r="VIF1629" s="1"/>
      <c r="VIG1629" s="1"/>
      <c r="VIH1629" s="1"/>
      <c r="VII1629" s="1"/>
      <c r="VIJ1629" s="1"/>
      <c r="VIK1629" s="1"/>
      <c r="VIL1629" s="1"/>
      <c r="VIM1629" s="1"/>
      <c r="VIN1629" s="1"/>
      <c r="VIO1629" s="1"/>
      <c r="VIP1629" s="1"/>
      <c r="VIQ1629" s="1"/>
      <c r="VIR1629" s="1"/>
      <c r="VIS1629" s="1"/>
      <c r="VIT1629" s="1"/>
      <c r="VIU1629" s="1"/>
      <c r="VIV1629" s="1"/>
      <c r="VIW1629" s="1"/>
      <c r="VIX1629" s="1"/>
      <c r="VIY1629" s="1"/>
      <c r="VIZ1629" s="1"/>
      <c r="VJA1629" s="1"/>
      <c r="VJB1629" s="1"/>
      <c r="VJC1629" s="1"/>
      <c r="VJD1629" s="1"/>
      <c r="VJE1629" s="1"/>
      <c r="VJF1629" s="1"/>
      <c r="VJG1629" s="1"/>
      <c r="VJH1629" s="1"/>
      <c r="VJI1629" s="1"/>
      <c r="VJJ1629" s="1"/>
      <c r="VJK1629" s="1"/>
      <c r="VJL1629" s="1"/>
      <c r="VJM1629" s="1"/>
      <c r="VJN1629" s="1"/>
      <c r="VJO1629" s="1"/>
      <c r="VJP1629" s="1"/>
      <c r="VJQ1629" s="1"/>
      <c r="VJR1629" s="1"/>
      <c r="VJS1629" s="1"/>
      <c r="VJT1629" s="1"/>
      <c r="VJU1629" s="1"/>
      <c r="VJV1629" s="1"/>
      <c r="VJW1629" s="1"/>
      <c r="VJX1629" s="1"/>
      <c r="VJY1629" s="1"/>
      <c r="VJZ1629" s="1"/>
      <c r="VKA1629" s="1"/>
      <c r="VKB1629" s="1"/>
      <c r="VKC1629" s="1"/>
      <c r="VKD1629" s="1"/>
      <c r="VKE1629" s="1"/>
      <c r="VKF1629" s="1"/>
      <c r="VKG1629" s="1"/>
      <c r="VKH1629" s="1"/>
      <c r="VKI1629" s="1"/>
      <c r="VKJ1629" s="1"/>
      <c r="VKK1629" s="1"/>
      <c r="VKL1629" s="1"/>
      <c r="VKM1629" s="1"/>
      <c r="VKN1629" s="1"/>
      <c r="VKO1629" s="1"/>
      <c r="VKP1629" s="1"/>
      <c r="VKQ1629" s="1"/>
      <c r="VKR1629" s="1"/>
      <c r="VKS1629" s="1"/>
      <c r="VKT1629" s="1"/>
      <c r="VKU1629" s="1"/>
      <c r="VKV1629" s="1"/>
      <c r="VKW1629" s="1"/>
      <c r="VKX1629" s="1"/>
      <c r="VKY1629" s="1"/>
      <c r="VKZ1629" s="1"/>
      <c r="VLA1629" s="1"/>
      <c r="VLB1629" s="1"/>
      <c r="VLC1629" s="1"/>
      <c r="VLD1629" s="1"/>
      <c r="VLE1629" s="1"/>
      <c r="VLF1629" s="1"/>
      <c r="VLG1629" s="1"/>
      <c r="VLH1629" s="1"/>
      <c r="VLI1629" s="1"/>
      <c r="VLJ1629" s="1"/>
      <c r="VLK1629" s="1"/>
      <c r="VLL1629" s="1"/>
      <c r="VLM1629" s="1"/>
      <c r="VLN1629" s="1"/>
      <c r="VLO1629" s="1"/>
      <c r="VLP1629" s="1"/>
      <c r="VLQ1629" s="1"/>
      <c r="VLR1629" s="1"/>
      <c r="VLS1629" s="1"/>
      <c r="VLT1629" s="1"/>
      <c r="VLU1629" s="1"/>
      <c r="VLV1629" s="1"/>
      <c r="VLW1629" s="1"/>
      <c r="VLX1629" s="1"/>
      <c r="VLY1629" s="1"/>
      <c r="VLZ1629" s="1"/>
      <c r="VMA1629" s="1"/>
      <c r="VMB1629" s="1"/>
      <c r="VMC1629" s="1"/>
      <c r="VMD1629" s="1"/>
      <c r="VME1629" s="1"/>
      <c r="VMF1629" s="1"/>
      <c r="VMG1629" s="1"/>
      <c r="VMH1629" s="1"/>
      <c r="VMI1629" s="1"/>
      <c r="VMJ1629" s="1"/>
      <c r="VMK1629" s="1"/>
      <c r="VML1629" s="1"/>
      <c r="VMM1629" s="1"/>
      <c r="VMN1629" s="1"/>
      <c r="VMO1629" s="1"/>
      <c r="VMP1629" s="1"/>
      <c r="VMQ1629" s="1"/>
      <c r="VMR1629" s="1"/>
      <c r="VMS1629" s="1"/>
      <c r="VMT1629" s="1"/>
      <c r="VMU1629" s="1"/>
      <c r="VMV1629" s="1"/>
      <c r="VMW1629" s="1"/>
      <c r="VMX1629" s="1"/>
      <c r="VMY1629" s="1"/>
      <c r="VMZ1629" s="1"/>
      <c r="VNA1629" s="1"/>
      <c r="VNB1629" s="1"/>
      <c r="VNC1629" s="1"/>
      <c r="VND1629" s="1"/>
      <c r="VNE1629" s="1"/>
      <c r="VNF1629" s="1"/>
      <c r="VNG1629" s="1"/>
      <c r="VNH1629" s="1"/>
      <c r="VNI1629" s="1"/>
      <c r="VNJ1629" s="1"/>
      <c r="VNK1629" s="1"/>
      <c r="VNL1629" s="1"/>
      <c r="VNM1629" s="1"/>
      <c r="VNN1629" s="1"/>
      <c r="VNO1629" s="1"/>
      <c r="VNP1629" s="1"/>
      <c r="VNQ1629" s="1"/>
      <c r="VNR1629" s="1"/>
      <c r="VNS1629" s="1"/>
      <c r="VNT1629" s="1"/>
      <c r="VNU1629" s="1"/>
      <c r="VNV1629" s="1"/>
      <c r="VNW1629" s="1"/>
      <c r="VNX1629" s="1"/>
      <c r="VNY1629" s="1"/>
      <c r="VNZ1629" s="1"/>
      <c r="VOA1629" s="1"/>
      <c r="VOB1629" s="1"/>
      <c r="VOC1629" s="1"/>
      <c r="VOD1629" s="1"/>
      <c r="VOE1629" s="1"/>
      <c r="VOF1629" s="1"/>
      <c r="VOG1629" s="1"/>
      <c r="VOH1629" s="1"/>
      <c r="VOI1629" s="1"/>
      <c r="VOJ1629" s="1"/>
      <c r="VOK1629" s="1"/>
      <c r="VOL1629" s="1"/>
      <c r="VOM1629" s="1"/>
      <c r="VON1629" s="1"/>
      <c r="VOO1629" s="1"/>
      <c r="VOP1629" s="1"/>
      <c r="VOQ1629" s="1"/>
      <c r="VOR1629" s="1"/>
      <c r="VOS1629" s="1"/>
      <c r="VOT1629" s="1"/>
      <c r="VOU1629" s="1"/>
      <c r="VOV1629" s="1"/>
      <c r="VOW1629" s="1"/>
      <c r="VOX1629" s="1"/>
      <c r="VOY1629" s="1"/>
      <c r="VOZ1629" s="1"/>
      <c r="VPA1629" s="1"/>
      <c r="VPB1629" s="1"/>
      <c r="VPC1629" s="1"/>
      <c r="VPD1629" s="1"/>
      <c r="VPE1629" s="1"/>
      <c r="VPF1629" s="1"/>
      <c r="VPG1629" s="1"/>
      <c r="VPH1629" s="1"/>
      <c r="VPI1629" s="1"/>
      <c r="VPJ1629" s="1"/>
      <c r="VPK1629" s="1"/>
      <c r="VPL1629" s="1"/>
      <c r="VPM1629" s="1"/>
      <c r="VPN1629" s="1"/>
      <c r="VPO1629" s="1"/>
      <c r="VPP1629" s="1"/>
      <c r="VPQ1629" s="1"/>
      <c r="VPR1629" s="1"/>
      <c r="VPS1629" s="1"/>
      <c r="VPT1629" s="1"/>
      <c r="VPU1629" s="1"/>
      <c r="VPV1629" s="1"/>
      <c r="VPW1629" s="1"/>
      <c r="VPX1629" s="1"/>
      <c r="VPY1629" s="1"/>
      <c r="VPZ1629" s="1"/>
      <c r="VQA1629" s="1"/>
      <c r="VQB1629" s="1"/>
      <c r="VQC1629" s="1"/>
      <c r="VQD1629" s="1"/>
      <c r="VQE1629" s="1"/>
      <c r="VQF1629" s="1"/>
      <c r="VQG1629" s="1"/>
      <c r="VQH1629" s="1"/>
      <c r="VQI1629" s="1"/>
      <c r="VQJ1629" s="1"/>
      <c r="VQK1629" s="1"/>
      <c r="VQL1629" s="1"/>
      <c r="VQM1629" s="1"/>
      <c r="VQN1629" s="1"/>
      <c r="VQO1629" s="1"/>
      <c r="VQP1629" s="1"/>
      <c r="VQQ1629" s="1"/>
      <c r="VQR1629" s="1"/>
      <c r="VQS1629" s="1"/>
      <c r="VQT1629" s="1"/>
      <c r="VQU1629" s="1"/>
      <c r="VQV1629" s="1"/>
      <c r="VQW1629" s="1"/>
      <c r="VQX1629" s="1"/>
      <c r="VQY1629" s="1"/>
      <c r="VQZ1629" s="1"/>
      <c r="VRA1629" s="1"/>
      <c r="VRB1629" s="1"/>
      <c r="VRC1629" s="1"/>
      <c r="VRD1629" s="1"/>
      <c r="VRE1629" s="1"/>
      <c r="VRF1629" s="1"/>
      <c r="VRG1629" s="1"/>
      <c r="VRH1629" s="1"/>
      <c r="VRI1629" s="1"/>
      <c r="VRJ1629" s="1"/>
      <c r="VRK1629" s="1"/>
      <c r="VRL1629" s="1"/>
      <c r="VRM1629" s="1"/>
      <c r="VRN1629" s="1"/>
      <c r="VRO1629" s="1"/>
      <c r="VRP1629" s="1"/>
      <c r="VRQ1629" s="1"/>
      <c r="VRR1629" s="1"/>
      <c r="VRS1629" s="1"/>
      <c r="VRT1629" s="1"/>
      <c r="VRU1629" s="1"/>
      <c r="VRV1629" s="1"/>
      <c r="VRW1629" s="1"/>
      <c r="VRX1629" s="1"/>
      <c r="VRY1629" s="1"/>
      <c r="VRZ1629" s="1"/>
      <c r="VSA1629" s="1"/>
      <c r="VSB1629" s="1"/>
      <c r="VSC1629" s="1"/>
      <c r="VSD1629" s="1"/>
      <c r="VSE1629" s="1"/>
      <c r="VSF1629" s="1"/>
      <c r="VSG1629" s="1"/>
      <c r="VSH1629" s="1"/>
      <c r="VSI1629" s="1"/>
      <c r="VSJ1629" s="1"/>
      <c r="VSK1629" s="1"/>
      <c r="VSL1629" s="1"/>
      <c r="VSM1629" s="1"/>
      <c r="VSN1629" s="1"/>
      <c r="VSO1629" s="1"/>
      <c r="VSP1629" s="1"/>
      <c r="VSQ1629" s="1"/>
      <c r="VSR1629" s="1"/>
      <c r="VSS1629" s="1"/>
      <c r="VST1629" s="1"/>
      <c r="VSU1629" s="1"/>
      <c r="VSV1629" s="1"/>
      <c r="VSW1629" s="1"/>
      <c r="VSX1629" s="1"/>
      <c r="VSY1629" s="1"/>
      <c r="VSZ1629" s="1"/>
      <c r="VTA1629" s="1"/>
      <c r="VTB1629" s="1"/>
      <c r="VTC1629" s="1"/>
      <c r="VTD1629" s="1"/>
      <c r="VTE1629" s="1"/>
      <c r="VTF1629" s="1"/>
      <c r="VTG1629" s="1"/>
      <c r="VTH1629" s="1"/>
      <c r="VTI1629" s="1"/>
      <c r="VTJ1629" s="1"/>
      <c r="VTK1629" s="1"/>
      <c r="VTL1629" s="1"/>
      <c r="VTM1629" s="1"/>
      <c r="VTN1629" s="1"/>
      <c r="VTO1629" s="1"/>
      <c r="VTP1629" s="1"/>
      <c r="VTQ1629" s="1"/>
      <c r="VTR1629" s="1"/>
      <c r="VTS1629" s="1"/>
      <c r="VTT1629" s="1"/>
      <c r="VTU1629" s="1"/>
      <c r="VTV1629" s="1"/>
      <c r="VTW1629" s="1"/>
      <c r="VTX1629" s="1"/>
      <c r="VTY1629" s="1"/>
      <c r="VTZ1629" s="1"/>
      <c r="VUA1629" s="1"/>
      <c r="VUB1629" s="1"/>
      <c r="VUC1629" s="1"/>
      <c r="VUD1629" s="1"/>
      <c r="VUE1629" s="1"/>
      <c r="VUF1629" s="1"/>
      <c r="VUG1629" s="1"/>
      <c r="VUH1629" s="1"/>
      <c r="VUI1629" s="1"/>
      <c r="VUJ1629" s="1"/>
      <c r="VUK1629" s="1"/>
      <c r="VUL1629" s="1"/>
      <c r="VUM1629" s="1"/>
      <c r="VUN1629" s="1"/>
      <c r="VUO1629" s="1"/>
      <c r="VUP1629" s="1"/>
      <c r="VUQ1629" s="1"/>
      <c r="VUR1629" s="1"/>
      <c r="VUS1629" s="1"/>
      <c r="VUT1629" s="1"/>
      <c r="VUU1629" s="1"/>
      <c r="VUV1629" s="1"/>
      <c r="VUW1629" s="1"/>
      <c r="VUX1629" s="1"/>
      <c r="VUY1629" s="1"/>
      <c r="VUZ1629" s="1"/>
      <c r="VVA1629" s="1"/>
      <c r="VVB1629" s="1"/>
      <c r="VVC1629" s="1"/>
      <c r="VVD1629" s="1"/>
      <c r="VVE1629" s="1"/>
      <c r="VVF1629" s="1"/>
      <c r="VVG1629" s="1"/>
      <c r="VVH1629" s="1"/>
      <c r="VVI1629" s="1"/>
      <c r="VVJ1629" s="1"/>
      <c r="VVK1629" s="1"/>
      <c r="VVL1629" s="1"/>
      <c r="VVM1629" s="1"/>
      <c r="VVN1629" s="1"/>
      <c r="VVO1629" s="1"/>
      <c r="VVP1629" s="1"/>
      <c r="VVQ1629" s="1"/>
      <c r="VVR1629" s="1"/>
      <c r="VVS1629" s="1"/>
      <c r="VVT1629" s="1"/>
      <c r="VVU1629" s="1"/>
      <c r="VVV1629" s="1"/>
      <c r="VVW1629" s="1"/>
      <c r="VVX1629" s="1"/>
      <c r="VVY1629" s="1"/>
      <c r="VVZ1629" s="1"/>
      <c r="VWA1629" s="1"/>
      <c r="VWB1629" s="1"/>
      <c r="VWC1629" s="1"/>
      <c r="VWD1629" s="1"/>
      <c r="VWE1629" s="1"/>
      <c r="VWF1629" s="1"/>
      <c r="VWG1629" s="1"/>
      <c r="VWH1629" s="1"/>
      <c r="VWI1629" s="1"/>
      <c r="VWJ1629" s="1"/>
      <c r="VWK1629" s="1"/>
      <c r="VWL1629" s="1"/>
      <c r="VWM1629" s="1"/>
      <c r="VWN1629" s="1"/>
      <c r="VWO1629" s="1"/>
      <c r="VWP1629" s="1"/>
      <c r="VWQ1629" s="1"/>
      <c r="VWR1629" s="1"/>
      <c r="VWS1629" s="1"/>
      <c r="VWT1629" s="1"/>
      <c r="VWU1629" s="1"/>
      <c r="VWV1629" s="1"/>
      <c r="VWW1629" s="1"/>
      <c r="VWX1629" s="1"/>
      <c r="VWY1629" s="1"/>
      <c r="VWZ1629" s="1"/>
      <c r="VXA1629" s="1"/>
      <c r="VXB1629" s="1"/>
      <c r="VXC1629" s="1"/>
      <c r="VXD1629" s="1"/>
      <c r="VXE1629" s="1"/>
      <c r="VXF1629" s="1"/>
      <c r="VXG1629" s="1"/>
      <c r="VXH1629" s="1"/>
      <c r="VXI1629" s="1"/>
      <c r="VXJ1629" s="1"/>
      <c r="VXK1629" s="1"/>
      <c r="VXL1629" s="1"/>
      <c r="VXM1629" s="1"/>
      <c r="VXN1629" s="1"/>
      <c r="VXO1629" s="1"/>
      <c r="VXP1629" s="1"/>
      <c r="VXQ1629" s="1"/>
      <c r="VXR1629" s="1"/>
      <c r="VXS1629" s="1"/>
      <c r="VXT1629" s="1"/>
      <c r="VXU1629" s="1"/>
      <c r="VXV1629" s="1"/>
      <c r="VXW1629" s="1"/>
      <c r="VXX1629" s="1"/>
      <c r="VXY1629" s="1"/>
      <c r="VXZ1629" s="1"/>
      <c r="VYA1629" s="1"/>
      <c r="VYB1629" s="1"/>
      <c r="VYC1629" s="1"/>
      <c r="VYD1629" s="1"/>
      <c r="VYE1629" s="1"/>
      <c r="VYF1629" s="1"/>
      <c r="VYG1629" s="1"/>
      <c r="VYH1629" s="1"/>
      <c r="VYI1629" s="1"/>
      <c r="VYJ1629" s="1"/>
      <c r="VYK1629" s="1"/>
      <c r="VYL1629" s="1"/>
      <c r="VYM1629" s="1"/>
      <c r="VYN1629" s="1"/>
      <c r="VYO1629" s="1"/>
      <c r="VYP1629" s="1"/>
      <c r="VYQ1629" s="1"/>
      <c r="VYR1629" s="1"/>
      <c r="VYS1629" s="1"/>
      <c r="VYT1629" s="1"/>
      <c r="VYU1629" s="1"/>
      <c r="VYV1629" s="1"/>
      <c r="VYW1629" s="1"/>
      <c r="VYX1629" s="1"/>
      <c r="VYY1629" s="1"/>
      <c r="VYZ1629" s="1"/>
      <c r="VZA1629" s="1"/>
      <c r="VZB1629" s="1"/>
      <c r="VZC1629" s="1"/>
      <c r="VZD1629" s="1"/>
      <c r="VZE1629" s="1"/>
      <c r="VZF1629" s="1"/>
      <c r="VZG1629" s="1"/>
      <c r="VZH1629" s="1"/>
      <c r="VZI1629" s="1"/>
      <c r="VZJ1629" s="1"/>
      <c r="VZK1629" s="1"/>
      <c r="VZL1629" s="1"/>
      <c r="VZM1629" s="1"/>
      <c r="VZN1629" s="1"/>
      <c r="VZO1629" s="1"/>
      <c r="VZP1629" s="1"/>
      <c r="VZQ1629" s="1"/>
      <c r="VZR1629" s="1"/>
      <c r="VZS1629" s="1"/>
      <c r="VZT1629" s="1"/>
      <c r="VZU1629" s="1"/>
      <c r="VZV1629" s="1"/>
      <c r="VZW1629" s="1"/>
      <c r="VZX1629" s="1"/>
      <c r="VZY1629" s="1"/>
      <c r="VZZ1629" s="1"/>
      <c r="WAA1629" s="1"/>
      <c r="WAB1629" s="1"/>
      <c r="WAC1629" s="1"/>
      <c r="WAD1629" s="1"/>
      <c r="WAE1629" s="1"/>
      <c r="WAF1629" s="1"/>
      <c r="WAG1629" s="1"/>
      <c r="WAH1629" s="1"/>
      <c r="WAI1629" s="1"/>
      <c r="WAJ1629" s="1"/>
      <c r="WAK1629" s="1"/>
      <c r="WAL1629" s="1"/>
      <c r="WAM1629" s="1"/>
      <c r="WAN1629" s="1"/>
      <c r="WAO1629" s="1"/>
      <c r="WAP1629" s="1"/>
      <c r="WAQ1629" s="1"/>
      <c r="WAR1629" s="1"/>
      <c r="WAS1629" s="1"/>
      <c r="WAT1629" s="1"/>
      <c r="WAU1629" s="1"/>
      <c r="WAV1629" s="1"/>
      <c r="WAW1629" s="1"/>
      <c r="WAX1629" s="1"/>
      <c r="WAY1629" s="1"/>
      <c r="WAZ1629" s="1"/>
      <c r="WBA1629" s="1"/>
      <c r="WBB1629" s="1"/>
      <c r="WBC1629" s="1"/>
      <c r="WBD1629" s="1"/>
      <c r="WBE1629" s="1"/>
      <c r="WBF1629" s="1"/>
      <c r="WBG1629" s="1"/>
      <c r="WBH1629" s="1"/>
      <c r="WBI1629" s="1"/>
      <c r="WBJ1629" s="1"/>
      <c r="WBK1629" s="1"/>
      <c r="WBL1629" s="1"/>
      <c r="WBM1629" s="1"/>
      <c r="WBN1629" s="1"/>
      <c r="WBO1629" s="1"/>
      <c r="WBP1629" s="1"/>
      <c r="WBQ1629" s="1"/>
      <c r="WBR1629" s="1"/>
      <c r="WBS1629" s="1"/>
      <c r="WBT1629" s="1"/>
      <c r="WBU1629" s="1"/>
      <c r="WBV1629" s="1"/>
      <c r="WBW1629" s="1"/>
      <c r="WBX1629" s="1"/>
      <c r="WBY1629" s="1"/>
      <c r="WBZ1629" s="1"/>
      <c r="WCA1629" s="1"/>
      <c r="WCB1629" s="1"/>
      <c r="WCC1629" s="1"/>
      <c r="WCD1629" s="1"/>
      <c r="WCE1629" s="1"/>
      <c r="WCF1629" s="1"/>
      <c r="WCG1629" s="1"/>
      <c r="WCH1629" s="1"/>
      <c r="WCI1629" s="1"/>
      <c r="WCJ1629" s="1"/>
      <c r="WCK1629" s="1"/>
      <c r="WCL1629" s="1"/>
      <c r="WCM1629" s="1"/>
      <c r="WCN1629" s="1"/>
      <c r="WCO1629" s="1"/>
      <c r="WCP1629" s="1"/>
      <c r="WCQ1629" s="1"/>
      <c r="WCR1629" s="1"/>
      <c r="WCS1629" s="1"/>
      <c r="WCT1629" s="1"/>
      <c r="WCU1629" s="1"/>
      <c r="WCV1629" s="1"/>
      <c r="WCW1629" s="1"/>
      <c r="WCX1629" s="1"/>
      <c r="WCY1629" s="1"/>
      <c r="WCZ1629" s="1"/>
      <c r="WDA1629" s="1"/>
      <c r="WDB1629" s="1"/>
      <c r="WDC1629" s="1"/>
      <c r="WDD1629" s="1"/>
      <c r="WDE1629" s="1"/>
      <c r="WDF1629" s="1"/>
      <c r="WDG1629" s="1"/>
      <c r="WDH1629" s="1"/>
      <c r="WDI1629" s="1"/>
      <c r="WDJ1629" s="1"/>
      <c r="WDK1629" s="1"/>
      <c r="WDL1629" s="1"/>
      <c r="WDM1629" s="1"/>
      <c r="WDN1629" s="1"/>
      <c r="WDO1629" s="1"/>
      <c r="WDP1629" s="1"/>
      <c r="WDQ1629" s="1"/>
      <c r="WDR1629" s="1"/>
      <c r="WDS1629" s="1"/>
      <c r="WDT1629" s="1"/>
      <c r="WDU1629" s="1"/>
      <c r="WDV1629" s="1"/>
      <c r="WDW1629" s="1"/>
      <c r="WDX1629" s="1"/>
      <c r="WDY1629" s="1"/>
      <c r="WDZ1629" s="1"/>
      <c r="WEA1629" s="1"/>
      <c r="WEB1629" s="1"/>
      <c r="WEC1629" s="1"/>
      <c r="WED1629" s="1"/>
      <c r="WEE1629" s="1"/>
      <c r="WEF1629" s="1"/>
      <c r="WEG1629" s="1"/>
      <c r="WEH1629" s="1"/>
      <c r="WEI1629" s="1"/>
      <c r="WEJ1629" s="1"/>
      <c r="WEK1629" s="1"/>
      <c r="WEL1629" s="1"/>
      <c r="WEM1629" s="1"/>
      <c r="WEN1629" s="1"/>
      <c r="WEO1629" s="1"/>
      <c r="WEP1629" s="1"/>
      <c r="WEQ1629" s="1"/>
      <c r="WER1629" s="1"/>
      <c r="WES1629" s="1"/>
      <c r="WET1629" s="1"/>
      <c r="WEU1629" s="1"/>
      <c r="WEV1629" s="1"/>
      <c r="WEW1629" s="1"/>
      <c r="WEX1629" s="1"/>
      <c r="WEY1629" s="1"/>
      <c r="WEZ1629" s="1"/>
      <c r="WFA1629" s="1"/>
      <c r="WFB1629" s="1"/>
      <c r="WFC1629" s="1"/>
      <c r="WFD1629" s="1"/>
      <c r="WFE1629" s="1"/>
      <c r="WFF1629" s="1"/>
      <c r="WFG1629" s="1"/>
      <c r="WFH1629" s="1"/>
      <c r="WFI1629" s="1"/>
      <c r="WFJ1629" s="1"/>
      <c r="WFK1629" s="1"/>
      <c r="WFL1629" s="1"/>
      <c r="WFM1629" s="1"/>
      <c r="WFN1629" s="1"/>
      <c r="WFO1629" s="1"/>
      <c r="WFP1629" s="1"/>
      <c r="WFQ1629" s="1"/>
      <c r="WFR1629" s="1"/>
      <c r="WFS1629" s="1"/>
      <c r="WFT1629" s="1"/>
      <c r="WFU1629" s="1"/>
      <c r="WFV1629" s="1"/>
      <c r="WFW1629" s="1"/>
      <c r="WFX1629" s="1"/>
      <c r="WFY1629" s="1"/>
      <c r="WFZ1629" s="1"/>
      <c r="WGA1629" s="1"/>
      <c r="WGB1629" s="1"/>
      <c r="WGC1629" s="1"/>
      <c r="WGD1629" s="1"/>
      <c r="WGE1629" s="1"/>
      <c r="WGF1629" s="1"/>
      <c r="WGG1629" s="1"/>
      <c r="WGH1629" s="1"/>
      <c r="WGI1629" s="1"/>
      <c r="WGJ1629" s="1"/>
      <c r="WGK1629" s="1"/>
      <c r="WGL1629" s="1"/>
      <c r="WGM1629" s="1"/>
      <c r="WGN1629" s="1"/>
      <c r="WGO1629" s="1"/>
      <c r="WGP1629" s="1"/>
      <c r="WGQ1629" s="1"/>
      <c r="WGR1629" s="1"/>
      <c r="WGS1629" s="1"/>
      <c r="WGT1629" s="1"/>
      <c r="WGU1629" s="1"/>
      <c r="WGV1629" s="1"/>
      <c r="WGW1629" s="1"/>
      <c r="WGX1629" s="1"/>
      <c r="WGY1629" s="1"/>
      <c r="WGZ1629" s="1"/>
      <c r="WHA1629" s="1"/>
      <c r="WHB1629" s="1"/>
      <c r="WHC1629" s="1"/>
      <c r="WHD1629" s="1"/>
      <c r="WHE1629" s="1"/>
      <c r="WHF1629" s="1"/>
      <c r="WHG1629" s="1"/>
      <c r="WHH1629" s="1"/>
      <c r="WHI1629" s="1"/>
      <c r="WHJ1629" s="1"/>
      <c r="WHK1629" s="1"/>
      <c r="WHL1629" s="1"/>
      <c r="WHM1629" s="1"/>
      <c r="WHN1629" s="1"/>
      <c r="WHO1629" s="1"/>
      <c r="WHP1629" s="1"/>
      <c r="WHQ1629" s="1"/>
      <c r="WHR1629" s="1"/>
      <c r="WHS1629" s="1"/>
      <c r="WHT1629" s="1"/>
      <c r="WHU1629" s="1"/>
      <c r="WHV1629" s="1"/>
      <c r="WHW1629" s="1"/>
      <c r="WHX1629" s="1"/>
      <c r="WHY1629" s="1"/>
      <c r="WHZ1629" s="1"/>
      <c r="WIA1629" s="1"/>
      <c r="WIB1629" s="1"/>
      <c r="WIC1629" s="1"/>
      <c r="WID1629" s="1"/>
      <c r="WIE1629" s="1"/>
      <c r="WIF1629" s="1"/>
      <c r="WIG1629" s="1"/>
      <c r="WIH1629" s="1"/>
      <c r="WII1629" s="1"/>
      <c r="WIJ1629" s="1"/>
      <c r="WIK1629" s="1"/>
      <c r="WIL1629" s="1"/>
      <c r="WIM1629" s="1"/>
      <c r="WIN1629" s="1"/>
      <c r="WIO1629" s="1"/>
      <c r="WIP1629" s="1"/>
      <c r="WIQ1629" s="1"/>
      <c r="WIR1629" s="1"/>
      <c r="WIS1629" s="1"/>
      <c r="WIT1629" s="1"/>
      <c r="WIU1629" s="1"/>
      <c r="WIV1629" s="1"/>
      <c r="WIW1629" s="1"/>
      <c r="WIX1629" s="1"/>
      <c r="WIY1629" s="1"/>
      <c r="WIZ1629" s="1"/>
      <c r="WJA1629" s="1"/>
      <c r="WJB1629" s="1"/>
      <c r="WJC1629" s="1"/>
      <c r="WJD1629" s="1"/>
      <c r="WJE1629" s="1"/>
      <c r="WJF1629" s="1"/>
      <c r="WJG1629" s="1"/>
      <c r="WJH1629" s="1"/>
      <c r="WJI1629" s="1"/>
      <c r="WJJ1629" s="1"/>
      <c r="WJK1629" s="1"/>
      <c r="WJL1629" s="1"/>
      <c r="WJM1629" s="1"/>
      <c r="WJN1629" s="1"/>
      <c r="WJO1629" s="1"/>
      <c r="WJP1629" s="1"/>
      <c r="WJQ1629" s="1"/>
      <c r="WJR1629" s="1"/>
      <c r="WJS1629" s="1"/>
      <c r="WJT1629" s="1"/>
      <c r="WJU1629" s="1"/>
      <c r="WJV1629" s="1"/>
      <c r="WJW1629" s="1"/>
      <c r="WJX1629" s="1"/>
      <c r="WJY1629" s="1"/>
      <c r="WJZ1629" s="1"/>
      <c r="WKA1629" s="1"/>
      <c r="WKB1629" s="1"/>
      <c r="WKC1629" s="1"/>
      <c r="WKD1629" s="1"/>
      <c r="WKE1629" s="1"/>
      <c r="WKF1629" s="1"/>
      <c r="WKG1629" s="1"/>
      <c r="WKH1629" s="1"/>
      <c r="WKI1629" s="1"/>
      <c r="WKJ1629" s="1"/>
      <c r="WKK1629" s="1"/>
      <c r="WKL1629" s="1"/>
      <c r="WKM1629" s="1"/>
      <c r="WKN1629" s="1"/>
      <c r="WKO1629" s="1"/>
      <c r="WKP1629" s="1"/>
      <c r="WKQ1629" s="1"/>
      <c r="WKR1629" s="1"/>
      <c r="WKS1629" s="1"/>
      <c r="WKT1629" s="1"/>
      <c r="WKU1629" s="1"/>
      <c r="WKV1629" s="1"/>
      <c r="WKW1629" s="1"/>
      <c r="WKX1629" s="1"/>
      <c r="WKY1629" s="1"/>
      <c r="WKZ1629" s="1"/>
      <c r="WLA1629" s="1"/>
      <c r="WLB1629" s="1"/>
      <c r="WLC1629" s="1"/>
      <c r="WLD1629" s="1"/>
      <c r="WLE1629" s="1"/>
      <c r="WLF1629" s="1"/>
      <c r="WLG1629" s="1"/>
      <c r="WLH1629" s="1"/>
      <c r="WLI1629" s="1"/>
      <c r="WLJ1629" s="1"/>
      <c r="WLK1629" s="1"/>
      <c r="WLL1629" s="1"/>
      <c r="WLM1629" s="1"/>
      <c r="WLN1629" s="1"/>
      <c r="WLO1629" s="1"/>
      <c r="WLP1629" s="1"/>
      <c r="WLQ1629" s="1"/>
      <c r="WLR1629" s="1"/>
      <c r="WLS1629" s="1"/>
      <c r="WLT1629" s="1"/>
      <c r="WLU1629" s="1"/>
      <c r="WLV1629" s="1"/>
      <c r="WLW1629" s="1"/>
      <c r="WLX1629" s="1"/>
      <c r="WLY1629" s="1"/>
      <c r="WLZ1629" s="1"/>
      <c r="WMA1629" s="1"/>
      <c r="WMB1629" s="1"/>
      <c r="WMC1629" s="1"/>
      <c r="WMD1629" s="1"/>
      <c r="WME1629" s="1"/>
      <c r="WMF1629" s="1"/>
      <c r="WMG1629" s="1"/>
      <c r="WMH1629" s="1"/>
      <c r="WMI1629" s="1"/>
      <c r="WMJ1629" s="1"/>
      <c r="WMK1629" s="1"/>
      <c r="WML1629" s="1"/>
      <c r="WMM1629" s="1"/>
      <c r="WMN1629" s="1"/>
      <c r="WMO1629" s="1"/>
      <c r="WMP1629" s="1"/>
      <c r="WMQ1629" s="1"/>
      <c r="WMR1629" s="1"/>
      <c r="WMS1629" s="1"/>
      <c r="WMT1629" s="1"/>
      <c r="WMU1629" s="1"/>
      <c r="WMV1629" s="1"/>
      <c r="WMW1629" s="1"/>
      <c r="WMX1629" s="1"/>
      <c r="WMY1629" s="1"/>
      <c r="WMZ1629" s="1"/>
      <c r="WNA1629" s="1"/>
      <c r="WNB1629" s="1"/>
      <c r="WNC1629" s="1"/>
      <c r="WND1629" s="1"/>
      <c r="WNE1629" s="1"/>
      <c r="WNF1629" s="1"/>
      <c r="WNG1629" s="1"/>
      <c r="WNH1629" s="1"/>
      <c r="WNI1629" s="1"/>
      <c r="WNJ1629" s="1"/>
      <c r="WNK1629" s="1"/>
      <c r="WNL1629" s="1"/>
      <c r="WNM1629" s="1"/>
      <c r="WNN1629" s="1"/>
      <c r="WNO1629" s="1"/>
      <c r="WNP1629" s="1"/>
      <c r="WNQ1629" s="1"/>
      <c r="WNR1629" s="1"/>
      <c r="WNS1629" s="1"/>
      <c r="WNT1629" s="1"/>
      <c r="WNU1629" s="1"/>
      <c r="WNV1629" s="1"/>
      <c r="WNW1629" s="1"/>
      <c r="WNX1629" s="1"/>
      <c r="WNY1629" s="1"/>
      <c r="WNZ1629" s="1"/>
      <c r="WOA1629" s="1"/>
      <c r="WOB1629" s="1"/>
      <c r="WOC1629" s="1"/>
      <c r="WOD1629" s="1"/>
      <c r="WOE1629" s="1"/>
      <c r="WOF1629" s="1"/>
      <c r="WOG1629" s="1"/>
      <c r="WOH1629" s="1"/>
      <c r="WOI1629" s="1"/>
      <c r="WOJ1629" s="1"/>
      <c r="WOK1629" s="1"/>
      <c r="WOL1629" s="1"/>
      <c r="WOM1629" s="1"/>
      <c r="WON1629" s="1"/>
      <c r="WOO1629" s="1"/>
      <c r="WOP1629" s="1"/>
      <c r="WOQ1629" s="1"/>
      <c r="WOR1629" s="1"/>
      <c r="WOS1629" s="1"/>
      <c r="WOT1629" s="1"/>
      <c r="WOU1629" s="1"/>
      <c r="WOV1629" s="1"/>
      <c r="WOW1629" s="1"/>
      <c r="WOX1629" s="1"/>
      <c r="WOY1629" s="1"/>
      <c r="WOZ1629" s="1"/>
      <c r="WPA1629" s="1"/>
      <c r="WPB1629" s="1"/>
      <c r="WPC1629" s="1"/>
      <c r="WPD1629" s="1"/>
      <c r="WPE1629" s="1"/>
      <c r="WPF1629" s="1"/>
      <c r="WPG1629" s="1"/>
      <c r="WPH1629" s="1"/>
      <c r="WPI1629" s="1"/>
      <c r="WPJ1629" s="1"/>
      <c r="WPK1629" s="1"/>
      <c r="WPL1629" s="1"/>
      <c r="WPM1629" s="1"/>
      <c r="WPN1629" s="1"/>
      <c r="WPO1629" s="1"/>
      <c r="WPP1629" s="1"/>
      <c r="WPQ1629" s="1"/>
      <c r="WPR1629" s="1"/>
      <c r="WPS1629" s="1"/>
      <c r="WPT1629" s="1"/>
      <c r="WPU1629" s="1"/>
      <c r="WPV1629" s="1"/>
      <c r="WPW1629" s="1"/>
      <c r="WPX1629" s="1"/>
      <c r="WPY1629" s="1"/>
      <c r="WPZ1629" s="1"/>
      <c r="WQA1629" s="1"/>
      <c r="WQB1629" s="1"/>
      <c r="WQC1629" s="1"/>
      <c r="WQD1629" s="1"/>
      <c r="WQE1629" s="1"/>
      <c r="WQF1629" s="1"/>
      <c r="WQG1629" s="1"/>
      <c r="WQH1629" s="1"/>
      <c r="WQI1629" s="1"/>
      <c r="WQJ1629" s="1"/>
      <c r="WQK1629" s="1"/>
      <c r="WQL1629" s="1"/>
      <c r="WQM1629" s="1"/>
      <c r="WQN1629" s="1"/>
      <c r="WQO1629" s="1"/>
      <c r="WQP1629" s="1"/>
      <c r="WQQ1629" s="1"/>
      <c r="WQR1629" s="1"/>
      <c r="WQS1629" s="1"/>
      <c r="WQT1629" s="1"/>
      <c r="WQU1629" s="1"/>
      <c r="WQV1629" s="1"/>
      <c r="WQW1629" s="1"/>
      <c r="WQX1629" s="1"/>
      <c r="WQY1629" s="1"/>
      <c r="WQZ1629" s="1"/>
      <c r="WRA1629" s="1"/>
      <c r="WRB1629" s="1"/>
      <c r="WRC1629" s="1"/>
      <c r="WRD1629" s="1"/>
      <c r="WRE1629" s="1"/>
      <c r="WRF1629" s="1"/>
      <c r="WRG1629" s="1"/>
      <c r="WRH1629" s="1"/>
      <c r="WRI1629" s="1"/>
      <c r="WRJ1629" s="1"/>
      <c r="WRK1629" s="1"/>
      <c r="WRL1629" s="1"/>
      <c r="WRM1629" s="1"/>
      <c r="WRN1629" s="1"/>
      <c r="WRO1629" s="1"/>
      <c r="WRP1629" s="1"/>
      <c r="WRQ1629" s="1"/>
      <c r="WRR1629" s="1"/>
      <c r="WRS1629" s="1"/>
      <c r="WRT1629" s="1"/>
      <c r="WRU1629" s="1"/>
      <c r="WRV1629" s="1"/>
      <c r="WRW1629" s="1"/>
      <c r="WRX1629" s="1"/>
      <c r="WRY1629" s="1"/>
      <c r="WRZ1629" s="1"/>
      <c r="WSA1629" s="1"/>
      <c r="WSB1629" s="1"/>
      <c r="WSC1629" s="1"/>
      <c r="WSD1629" s="1"/>
      <c r="WSE1629" s="1"/>
      <c r="WSF1629" s="1"/>
      <c r="WSG1629" s="1"/>
      <c r="WSH1629" s="1"/>
      <c r="WSI1629" s="1"/>
      <c r="WSJ1629" s="1"/>
      <c r="WSK1629" s="1"/>
      <c r="WSL1629" s="1"/>
      <c r="WSM1629" s="1"/>
      <c r="WSN1629" s="1"/>
      <c r="WSO1629" s="1"/>
      <c r="WSP1629" s="1"/>
      <c r="WSQ1629" s="1"/>
      <c r="WSR1629" s="1"/>
      <c r="WSS1629" s="1"/>
      <c r="WST1629" s="1"/>
      <c r="WSU1629" s="1"/>
      <c r="WSV1629" s="1"/>
      <c r="WSW1629" s="1"/>
      <c r="WSX1629" s="1"/>
      <c r="WSY1629" s="1"/>
      <c r="WSZ1629" s="1"/>
      <c r="WTA1629" s="1"/>
      <c r="WTB1629" s="1"/>
      <c r="WTC1629" s="1"/>
      <c r="WTD1629" s="1"/>
      <c r="WTE1629" s="1"/>
      <c r="WTF1629" s="1"/>
      <c r="WTG1629" s="1"/>
      <c r="WTH1629" s="1"/>
      <c r="WTI1629" s="1"/>
      <c r="WTJ1629" s="1"/>
      <c r="WTK1629" s="1"/>
      <c r="WTL1629" s="1"/>
      <c r="WTM1629" s="1"/>
      <c r="WTN1629" s="1"/>
      <c r="WTO1629" s="1"/>
      <c r="WTP1629" s="1"/>
      <c r="WTQ1629" s="1"/>
      <c r="WTR1629" s="1"/>
      <c r="WTS1629" s="1"/>
      <c r="WTT1629" s="1"/>
      <c r="WTU1629" s="1"/>
      <c r="WTV1629" s="1"/>
      <c r="WTW1629" s="1"/>
      <c r="WTX1629" s="1"/>
      <c r="WTY1629" s="1"/>
      <c r="WTZ1629" s="1"/>
      <c r="WUA1629" s="1"/>
      <c r="WUB1629" s="1"/>
      <c r="WUC1629" s="1"/>
      <c r="WUD1629" s="1"/>
      <c r="WUE1629" s="1"/>
      <c r="WUF1629" s="1"/>
      <c r="WUG1629" s="1"/>
      <c r="WUH1629" s="1"/>
      <c r="WUI1629" s="1"/>
      <c r="WUJ1629" s="1"/>
      <c r="WUK1629" s="1"/>
      <c r="WUL1629" s="1"/>
      <c r="WUM1629" s="1"/>
      <c r="WUN1629" s="1"/>
      <c r="WUO1629" s="1"/>
      <c r="WUP1629" s="1"/>
      <c r="WUQ1629" s="1"/>
      <c r="WUR1629" s="1"/>
      <c r="WUS1629" s="1"/>
      <c r="WUT1629" s="1"/>
      <c r="WUU1629" s="1"/>
      <c r="WUV1629" s="1"/>
      <c r="WUW1629" s="1"/>
      <c r="WUX1629" s="1"/>
      <c r="WUY1629" s="1"/>
      <c r="WUZ1629" s="1"/>
      <c r="WVA1629" s="1"/>
      <c r="WVB1629" s="1"/>
      <c r="WVC1629" s="1"/>
      <c r="WVD1629" s="1"/>
      <c r="WVE1629" s="1"/>
      <c r="WVF1629" s="1"/>
      <c r="WVG1629" s="1"/>
      <c r="WVH1629" s="1"/>
      <c r="WVI1629" s="1"/>
      <c r="WVJ1629" s="1"/>
      <c r="WVK1629" s="1"/>
      <c r="WVL1629" s="1"/>
      <c r="WVM1629" s="1"/>
      <c r="WVN1629" s="1"/>
      <c r="WVO1629" s="1"/>
      <c r="WVP1629" s="1"/>
      <c r="WVQ1629" s="1"/>
      <c r="WVR1629" s="1"/>
      <c r="WVS1629" s="1"/>
      <c r="WVT1629" s="1"/>
      <c r="WVU1629" s="1"/>
      <c r="WVV1629" s="1"/>
      <c r="WVW1629" s="1"/>
      <c r="WVX1629" s="1"/>
      <c r="WVY1629" s="1"/>
      <c r="WVZ1629" s="1"/>
      <c r="WWA1629" s="1"/>
      <c r="WWB1629" s="1"/>
      <c r="WWC1629" s="1"/>
      <c r="WWD1629" s="1"/>
      <c r="WWE1629" s="1"/>
      <c r="WWF1629" s="1"/>
      <c r="WWG1629" s="1"/>
      <c r="WWH1629" s="1"/>
      <c r="WWI1629" s="1"/>
      <c r="WWJ1629" s="1"/>
      <c r="WWK1629" s="1"/>
      <c r="WWL1629" s="1"/>
      <c r="WWM1629" s="1"/>
      <c r="WWN1629" s="1"/>
      <c r="WWO1629" s="1"/>
      <c r="WWP1629" s="1"/>
      <c r="WWQ1629" s="1"/>
      <c r="WWR1629" s="1"/>
      <c r="WWS1629" s="1"/>
      <c r="WWT1629" s="1"/>
      <c r="WWU1629" s="1"/>
      <c r="WWV1629" s="1"/>
      <c r="WWW1629" s="1"/>
      <c r="WWX1629" s="1"/>
      <c r="WWY1629" s="1"/>
      <c r="WWZ1629" s="1"/>
      <c r="WXA1629" s="1"/>
      <c r="WXB1629" s="1"/>
      <c r="WXC1629" s="1"/>
      <c r="WXD1629" s="1"/>
      <c r="WXE1629" s="1"/>
      <c r="WXF1629" s="1"/>
      <c r="WXG1629" s="1"/>
      <c r="WXH1629" s="1"/>
      <c r="WXI1629" s="1"/>
      <c r="WXJ1629" s="1"/>
      <c r="WXK1629" s="1"/>
      <c r="WXL1629" s="1"/>
      <c r="WXM1629" s="1"/>
      <c r="WXN1629" s="1"/>
      <c r="WXO1629" s="1"/>
      <c r="WXP1629" s="1"/>
      <c r="WXQ1629" s="1"/>
      <c r="WXR1629" s="1"/>
      <c r="WXS1629" s="1"/>
      <c r="WXT1629" s="1"/>
      <c r="WXU1629" s="1"/>
      <c r="WXV1629" s="1"/>
      <c r="WXW1629" s="1"/>
      <c r="WXX1629" s="1"/>
      <c r="WXY1629" s="1"/>
      <c r="WXZ1629" s="1"/>
      <c r="WYA1629" s="1"/>
      <c r="WYB1629" s="1"/>
      <c r="WYC1629" s="1"/>
      <c r="WYD1629" s="1"/>
      <c r="WYE1629" s="1"/>
      <c r="WYF1629" s="1"/>
      <c r="WYG1629" s="1"/>
      <c r="WYH1629" s="1"/>
      <c r="WYI1629" s="1"/>
      <c r="WYJ1629" s="1"/>
      <c r="WYK1629" s="1"/>
      <c r="WYL1629" s="1"/>
      <c r="WYM1629" s="1"/>
      <c r="WYN1629" s="1"/>
      <c r="WYO1629" s="1"/>
      <c r="WYP1629" s="1"/>
      <c r="WYQ1629" s="1"/>
      <c r="WYR1629" s="1"/>
      <c r="WYS1629" s="1"/>
      <c r="WYT1629" s="1"/>
      <c r="WYU1629" s="1"/>
      <c r="WYV1629" s="1"/>
      <c r="WYW1629" s="1"/>
      <c r="WYX1629" s="1"/>
      <c r="WYY1629" s="1"/>
      <c r="WYZ1629" s="1"/>
      <c r="WZA1629" s="1"/>
      <c r="WZB1629" s="1"/>
      <c r="WZC1629" s="1"/>
      <c r="WZD1629" s="1"/>
      <c r="WZE1629" s="1"/>
      <c r="WZF1629" s="1"/>
      <c r="WZG1629" s="1"/>
      <c r="WZH1629" s="1"/>
      <c r="WZI1629" s="1"/>
      <c r="WZJ1629" s="1"/>
      <c r="WZK1629" s="1"/>
      <c r="WZL1629" s="1"/>
      <c r="WZM1629" s="1"/>
      <c r="WZN1629" s="1"/>
      <c r="WZO1629" s="1"/>
      <c r="WZP1629" s="1"/>
      <c r="WZQ1629" s="1"/>
      <c r="WZR1629" s="1"/>
      <c r="WZS1629" s="1"/>
      <c r="WZT1629" s="1"/>
      <c r="WZU1629" s="1"/>
      <c r="WZV1629" s="1"/>
      <c r="WZW1629" s="1"/>
      <c r="WZX1629" s="1"/>
      <c r="WZY1629" s="1"/>
      <c r="WZZ1629" s="1"/>
      <c r="XAA1629" s="1"/>
      <c r="XAB1629" s="1"/>
      <c r="XAC1629" s="1"/>
      <c r="XAD1629" s="1"/>
      <c r="XAE1629" s="1"/>
      <c r="XAF1629" s="1"/>
      <c r="XAG1629" s="1"/>
      <c r="XAH1629" s="1"/>
      <c r="XAI1629" s="1"/>
      <c r="XAJ1629" s="1"/>
      <c r="XAK1629" s="1"/>
      <c r="XAL1629" s="1"/>
      <c r="XAM1629" s="1"/>
      <c r="XAN1629" s="1"/>
      <c r="XAO1629" s="1"/>
      <c r="XAP1629" s="1"/>
      <c r="XAQ1629" s="1"/>
      <c r="XAR1629" s="1"/>
      <c r="XAS1629" s="1"/>
      <c r="XAT1629" s="1"/>
      <c r="XAU1629" s="1"/>
      <c r="XAV1629" s="1"/>
      <c r="XAW1629" s="1"/>
      <c r="XAX1629" s="1"/>
      <c r="XAY1629" s="1"/>
      <c r="XAZ1629" s="1"/>
      <c r="XBA1629" s="1"/>
      <c r="XBB1629" s="1"/>
      <c r="XBC1629" s="1"/>
      <c r="XBD1629" s="1"/>
      <c r="XBE1629" s="1"/>
      <c r="XBF1629" s="1"/>
      <c r="XBG1629" s="1"/>
      <c r="XBH1629" s="1"/>
      <c r="XBI1629" s="1"/>
      <c r="XBJ1629" s="1"/>
      <c r="XBK1629" s="1"/>
      <c r="XBL1629" s="1"/>
      <c r="XBM1629" s="1"/>
      <c r="XBN1629" s="1"/>
      <c r="XBO1629" s="1"/>
      <c r="XBP1629" s="1"/>
      <c r="XBQ1629" s="1"/>
      <c r="XBR1629" s="1"/>
      <c r="XBS1629" s="1"/>
      <c r="XBT1629" s="1"/>
      <c r="XBU1629" s="1"/>
      <c r="XBV1629" s="1"/>
      <c r="XBW1629" s="1"/>
      <c r="XBX1629" s="1"/>
      <c r="XBY1629" s="1"/>
      <c r="XBZ1629" s="1"/>
      <c r="XCA1629" s="1"/>
      <c r="XCB1629" s="1"/>
      <c r="XCC1629" s="1"/>
      <c r="XCD1629" s="1"/>
      <c r="XCE1629" s="1"/>
      <c r="XCF1629" s="1"/>
      <c r="XCG1629" s="1"/>
      <c r="XCH1629" s="1"/>
      <c r="XCI1629" s="1"/>
      <c r="XCJ1629" s="1"/>
      <c r="XCK1629" s="1"/>
      <c r="XCL1629" s="1"/>
      <c r="XCM1629" s="1"/>
      <c r="XCN1629" s="1"/>
      <c r="XCO1629" s="1"/>
      <c r="XCP1629" s="1"/>
      <c r="XCQ1629" s="1"/>
      <c r="XCR1629" s="1"/>
      <c r="XCS1629" s="1"/>
      <c r="XCT1629" s="1"/>
      <c r="XCU1629" s="1"/>
      <c r="XCV1629" s="1"/>
      <c r="XCW1629" s="1"/>
      <c r="XCX1629" s="1"/>
      <c r="XCY1629" s="1"/>
      <c r="XCZ1629" s="1"/>
      <c r="XDA1629" s="1"/>
      <c r="XDB1629" s="1"/>
      <c r="XDC1629" s="1"/>
      <c r="XDD1629" s="1"/>
      <c r="XDE1629" s="1"/>
      <c r="XDF1629" s="1"/>
      <c r="XDG1629" s="1"/>
      <c r="XDH1629" s="1"/>
      <c r="XDI1629" s="1"/>
      <c r="XDJ1629" s="1"/>
      <c r="XDK1629" s="1"/>
      <c r="XDL1629" s="1"/>
      <c r="XDM1629" s="1"/>
      <c r="XDN1629" s="1"/>
      <c r="XDO1629" s="1"/>
      <c r="XDP1629" s="1"/>
      <c r="XDQ1629" s="1"/>
      <c r="XDR1629" s="1"/>
      <c r="XDS1629" s="1"/>
    </row>
    <row r="1630" spans="1:16347" s="26" customFormat="1" x14ac:dyDescent="0.25">
      <c r="A1630" s="1" t="s">
        <v>1014</v>
      </c>
      <c r="B1630" s="1" t="s">
        <v>1468</v>
      </c>
      <c r="C1630" s="1">
        <v>944</v>
      </c>
      <c r="D1630" s="1">
        <v>0.5</v>
      </c>
      <c r="E1630" s="3">
        <f t="shared" si="104"/>
        <v>472</v>
      </c>
      <c r="F1630" s="1">
        <f t="shared" si="105"/>
        <v>566.4</v>
      </c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  <c r="BF1630" s="1"/>
      <c r="BG1630" s="1"/>
      <c r="BH1630" s="1"/>
      <c r="BI1630" s="1"/>
      <c r="BJ1630" s="1"/>
      <c r="BK1630" s="1"/>
      <c r="BL1630" s="1"/>
      <c r="BM1630" s="1"/>
      <c r="BN1630" s="1"/>
      <c r="BO1630" s="1"/>
      <c r="BP1630" s="1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  <c r="CC1630" s="1"/>
      <c r="CD1630" s="1"/>
      <c r="CE1630" s="1"/>
      <c r="CF1630" s="1"/>
      <c r="CG1630" s="1"/>
      <c r="CH1630" s="1"/>
      <c r="CI1630" s="1"/>
      <c r="CJ1630" s="1"/>
      <c r="CK1630" s="1"/>
      <c r="CL1630" s="1"/>
      <c r="CM1630" s="1"/>
      <c r="CN1630" s="1"/>
      <c r="CO1630" s="1"/>
      <c r="CP1630" s="1"/>
      <c r="CQ1630" s="1"/>
      <c r="CR1630" s="1"/>
      <c r="CS1630" s="1"/>
      <c r="CT1630" s="1"/>
      <c r="CU1630" s="1"/>
      <c r="CV1630" s="1"/>
      <c r="CW1630" s="1"/>
      <c r="CX1630" s="1"/>
      <c r="CY1630" s="1"/>
      <c r="CZ1630" s="1"/>
      <c r="DA1630" s="1"/>
      <c r="DB1630" s="1"/>
      <c r="DC1630" s="1"/>
      <c r="DD1630" s="1"/>
      <c r="DE1630" s="1"/>
      <c r="DF1630" s="1"/>
      <c r="DG1630" s="1"/>
      <c r="DH1630" s="1"/>
      <c r="DI1630" s="1"/>
      <c r="DJ1630" s="1"/>
      <c r="DK1630" s="1"/>
      <c r="DL1630" s="1"/>
      <c r="DM1630" s="1"/>
      <c r="DN1630" s="1"/>
      <c r="DO1630" s="1"/>
      <c r="DP1630" s="1"/>
      <c r="DQ1630" s="1"/>
      <c r="DR1630" s="1"/>
      <c r="DS1630" s="1"/>
      <c r="DT1630" s="1"/>
      <c r="DU1630" s="1"/>
      <c r="DV1630" s="1"/>
      <c r="DW1630" s="1"/>
      <c r="DX1630" s="1"/>
      <c r="DY1630" s="1"/>
      <c r="DZ1630" s="1"/>
      <c r="EA1630" s="1"/>
      <c r="EB1630" s="1"/>
      <c r="EC1630" s="1"/>
      <c r="ED1630" s="1"/>
      <c r="EE1630" s="1"/>
      <c r="EF1630" s="1"/>
      <c r="EG1630" s="1"/>
      <c r="EH1630" s="1"/>
      <c r="EI1630" s="1"/>
      <c r="EJ1630" s="1"/>
      <c r="EK1630" s="1"/>
      <c r="EL1630" s="1"/>
      <c r="EM1630" s="1"/>
      <c r="EN1630" s="1"/>
      <c r="EO1630" s="1"/>
      <c r="EP1630" s="1"/>
      <c r="EQ1630" s="1"/>
      <c r="ER1630" s="1"/>
      <c r="ES1630" s="1"/>
      <c r="ET1630" s="1"/>
      <c r="EU1630" s="1"/>
      <c r="EV1630" s="1"/>
      <c r="EW1630" s="1"/>
      <c r="EX1630" s="1"/>
      <c r="EY1630" s="1"/>
      <c r="EZ1630" s="1"/>
      <c r="FA1630" s="1"/>
      <c r="FB1630" s="1"/>
      <c r="FC1630" s="1"/>
      <c r="FD1630" s="1"/>
      <c r="FE1630" s="1"/>
      <c r="FF1630" s="1"/>
      <c r="FG1630" s="1"/>
      <c r="FH1630" s="1"/>
      <c r="FI1630" s="1"/>
      <c r="FJ1630" s="1"/>
      <c r="FK1630" s="1"/>
      <c r="FL1630" s="1"/>
      <c r="FM1630" s="1"/>
      <c r="FN1630" s="1"/>
      <c r="FO1630" s="1"/>
      <c r="FP1630" s="1"/>
      <c r="FQ1630" s="1"/>
      <c r="FR1630" s="1"/>
      <c r="FS1630" s="1"/>
      <c r="FT1630" s="1"/>
      <c r="FU1630" s="1"/>
      <c r="FV1630" s="1"/>
      <c r="FW1630" s="1"/>
      <c r="FX1630" s="1"/>
      <c r="FY1630" s="1"/>
      <c r="FZ1630" s="1"/>
      <c r="GA1630" s="1"/>
      <c r="GB1630" s="1"/>
      <c r="GC1630" s="1"/>
      <c r="GD1630" s="1"/>
      <c r="GE1630" s="1"/>
      <c r="GF1630" s="1"/>
      <c r="GG1630" s="1"/>
      <c r="GH1630" s="1"/>
      <c r="GI1630" s="1"/>
      <c r="GJ1630" s="1"/>
      <c r="GK1630" s="1"/>
      <c r="GL1630" s="1"/>
      <c r="GM1630" s="1"/>
      <c r="GN1630" s="1"/>
      <c r="GO1630" s="1"/>
      <c r="GP1630" s="1"/>
      <c r="GQ1630" s="1"/>
      <c r="GR1630" s="1"/>
      <c r="GS1630" s="1"/>
      <c r="GT1630" s="1"/>
      <c r="GU1630" s="1"/>
      <c r="GV1630" s="1"/>
      <c r="GW1630" s="1"/>
      <c r="GX1630" s="1"/>
      <c r="GY1630" s="1"/>
      <c r="GZ1630" s="1"/>
      <c r="HA1630" s="1"/>
      <c r="HB1630" s="1"/>
      <c r="HC1630" s="1"/>
      <c r="HD1630" s="1"/>
      <c r="HE1630" s="1"/>
      <c r="HF1630" s="1"/>
      <c r="HG1630" s="1"/>
      <c r="HH1630" s="1"/>
      <c r="HI1630" s="1"/>
      <c r="HJ1630" s="1"/>
      <c r="HK1630" s="1"/>
      <c r="HL1630" s="1"/>
      <c r="HM1630" s="1"/>
      <c r="HN1630" s="1"/>
      <c r="HO1630" s="1"/>
      <c r="HP1630" s="1"/>
      <c r="HQ1630" s="1"/>
      <c r="HR1630" s="1"/>
      <c r="HS1630" s="1"/>
      <c r="HT1630" s="1"/>
      <c r="HU1630" s="1"/>
      <c r="HV1630" s="1"/>
      <c r="HW1630" s="1"/>
      <c r="HX1630" s="1"/>
      <c r="HY1630" s="1"/>
      <c r="HZ1630" s="1"/>
      <c r="IA1630" s="1"/>
      <c r="IB1630" s="1"/>
      <c r="IC1630" s="1"/>
      <c r="ID1630" s="1"/>
      <c r="IE1630" s="1"/>
      <c r="IF1630" s="1"/>
      <c r="IG1630" s="1"/>
      <c r="IH1630" s="1"/>
      <c r="II1630" s="1"/>
      <c r="IJ1630" s="1"/>
      <c r="IK1630" s="1"/>
      <c r="IL1630" s="1"/>
      <c r="IM1630" s="1"/>
      <c r="IN1630" s="1"/>
      <c r="IO1630" s="1"/>
      <c r="IP1630" s="1"/>
      <c r="IQ1630" s="1"/>
      <c r="IR1630" s="1"/>
      <c r="IS1630" s="1"/>
      <c r="IT1630" s="1"/>
      <c r="IU1630" s="1"/>
      <c r="IV1630" s="1"/>
      <c r="IW1630" s="1"/>
      <c r="IX1630" s="1"/>
      <c r="IY1630" s="1"/>
      <c r="IZ1630" s="1"/>
      <c r="JA1630" s="1"/>
      <c r="JB1630" s="1"/>
      <c r="JC1630" s="1"/>
      <c r="JD1630" s="1"/>
      <c r="JE1630" s="1"/>
      <c r="JF1630" s="1"/>
      <c r="JG1630" s="1"/>
      <c r="JH1630" s="1"/>
      <c r="JI1630" s="1"/>
      <c r="JJ1630" s="1"/>
      <c r="JK1630" s="1"/>
      <c r="JL1630" s="1"/>
      <c r="JM1630" s="1"/>
      <c r="JN1630" s="1"/>
      <c r="JO1630" s="1"/>
      <c r="JP1630" s="1"/>
      <c r="JQ1630" s="1"/>
      <c r="JR1630" s="1"/>
      <c r="JS1630" s="1"/>
      <c r="JT1630" s="1"/>
      <c r="JU1630" s="1"/>
      <c r="JV1630" s="1"/>
      <c r="JW1630" s="1"/>
      <c r="JX1630" s="1"/>
      <c r="JY1630" s="1"/>
      <c r="JZ1630" s="1"/>
      <c r="KA1630" s="1"/>
      <c r="KB1630" s="1"/>
      <c r="KC1630" s="1"/>
      <c r="KD1630" s="1"/>
      <c r="KE1630" s="1"/>
      <c r="KF1630" s="1"/>
      <c r="KG1630" s="1"/>
      <c r="KH1630" s="1"/>
      <c r="KI1630" s="1"/>
      <c r="KJ1630" s="1"/>
      <c r="KK1630" s="1"/>
      <c r="KL1630" s="1"/>
      <c r="KM1630" s="1"/>
      <c r="KN1630" s="1"/>
      <c r="KO1630" s="1"/>
      <c r="KP1630" s="1"/>
      <c r="KQ1630" s="1"/>
      <c r="KR1630" s="1"/>
      <c r="KS1630" s="1"/>
      <c r="KT1630" s="1"/>
      <c r="KU1630" s="1"/>
      <c r="KV1630" s="1"/>
      <c r="KW1630" s="1"/>
      <c r="KX1630" s="1"/>
      <c r="KY1630" s="1"/>
      <c r="KZ1630" s="1"/>
      <c r="LA1630" s="1"/>
      <c r="LB1630" s="1"/>
      <c r="LC1630" s="1"/>
      <c r="LD1630" s="1"/>
      <c r="LE1630" s="1"/>
      <c r="LF1630" s="1"/>
      <c r="LG1630" s="1"/>
      <c r="LH1630" s="1"/>
      <c r="LI1630" s="1"/>
      <c r="LJ1630" s="1"/>
      <c r="LK1630" s="1"/>
      <c r="LL1630" s="1"/>
      <c r="LM1630" s="1"/>
      <c r="LN1630" s="1"/>
      <c r="LO1630" s="1"/>
      <c r="LP1630" s="1"/>
      <c r="LQ1630" s="1"/>
      <c r="LR1630" s="1"/>
      <c r="LS1630" s="1"/>
      <c r="LT1630" s="1"/>
      <c r="LU1630" s="1"/>
      <c r="LV1630" s="1"/>
      <c r="LW1630" s="1"/>
      <c r="LX1630" s="1"/>
      <c r="LY1630" s="1"/>
      <c r="LZ1630" s="1"/>
      <c r="MA1630" s="1"/>
      <c r="MB1630" s="1"/>
      <c r="MC1630" s="1"/>
      <c r="MD1630" s="1"/>
      <c r="ME1630" s="1"/>
      <c r="MF1630" s="1"/>
      <c r="MG1630" s="1"/>
      <c r="MH1630" s="1"/>
      <c r="MI1630" s="1"/>
      <c r="MJ1630" s="1"/>
      <c r="MK1630" s="1"/>
      <c r="ML1630" s="1"/>
      <c r="MM1630" s="1"/>
      <c r="MN1630" s="1"/>
      <c r="MO1630" s="1"/>
      <c r="MP1630" s="1"/>
      <c r="MQ1630" s="1"/>
      <c r="MR1630" s="1"/>
      <c r="MS1630" s="1"/>
      <c r="MT1630" s="1"/>
      <c r="MU1630" s="1"/>
      <c r="MV1630" s="1"/>
      <c r="MW1630" s="1"/>
      <c r="MX1630" s="1"/>
      <c r="MY1630" s="1"/>
      <c r="MZ1630" s="1"/>
      <c r="NA1630" s="1"/>
      <c r="NB1630" s="1"/>
      <c r="NC1630" s="1"/>
      <c r="ND1630" s="1"/>
      <c r="NE1630" s="1"/>
      <c r="NF1630" s="1"/>
      <c r="NG1630" s="1"/>
      <c r="NH1630" s="1"/>
      <c r="NI1630" s="1"/>
      <c r="NJ1630" s="1"/>
      <c r="NK1630" s="1"/>
      <c r="NL1630" s="1"/>
      <c r="NM1630" s="1"/>
      <c r="NN1630" s="1"/>
      <c r="NO1630" s="1"/>
      <c r="NP1630" s="1"/>
      <c r="NQ1630" s="1"/>
      <c r="NR1630" s="1"/>
      <c r="NS1630" s="1"/>
      <c r="NT1630" s="1"/>
      <c r="NU1630" s="1"/>
      <c r="NV1630" s="1"/>
      <c r="NW1630" s="1"/>
      <c r="NX1630" s="1"/>
      <c r="NY1630" s="1"/>
      <c r="NZ1630" s="1"/>
      <c r="OA1630" s="1"/>
      <c r="OB1630" s="1"/>
      <c r="OC1630" s="1"/>
      <c r="OD1630" s="1"/>
      <c r="OE1630" s="1"/>
      <c r="OF1630" s="1"/>
      <c r="OG1630" s="1"/>
      <c r="OH1630" s="1"/>
      <c r="OI1630" s="1"/>
      <c r="OJ1630" s="1"/>
      <c r="OK1630" s="1"/>
      <c r="OL1630" s="1"/>
      <c r="OM1630" s="1"/>
      <c r="ON1630" s="1"/>
      <c r="OO1630" s="1"/>
      <c r="OP1630" s="1"/>
      <c r="OQ1630" s="1"/>
      <c r="OR1630" s="1"/>
      <c r="OS1630" s="1"/>
      <c r="OT1630" s="1"/>
      <c r="OU1630" s="1"/>
      <c r="OV1630" s="1"/>
      <c r="OW1630" s="1"/>
      <c r="OX1630" s="1"/>
      <c r="OY1630" s="1"/>
      <c r="OZ1630" s="1"/>
      <c r="PA1630" s="1"/>
      <c r="PB1630" s="1"/>
      <c r="PC1630" s="1"/>
      <c r="PD1630" s="1"/>
      <c r="PE1630" s="1"/>
      <c r="PF1630" s="1"/>
      <c r="PG1630" s="1"/>
      <c r="PH1630" s="1"/>
      <c r="PI1630" s="1"/>
      <c r="PJ1630" s="1"/>
      <c r="PK1630" s="1"/>
      <c r="PL1630" s="1"/>
      <c r="PM1630" s="1"/>
      <c r="PN1630" s="1"/>
      <c r="PO1630" s="1"/>
      <c r="PP1630" s="1"/>
      <c r="PQ1630" s="1"/>
      <c r="PR1630" s="1"/>
      <c r="PS1630" s="1"/>
      <c r="PT1630" s="1"/>
      <c r="PU1630" s="1"/>
      <c r="PV1630" s="1"/>
      <c r="PW1630" s="1"/>
      <c r="PX1630" s="1"/>
      <c r="PY1630" s="1"/>
      <c r="PZ1630" s="1"/>
      <c r="QA1630" s="1"/>
      <c r="QB1630" s="1"/>
      <c r="QC1630" s="1"/>
      <c r="QD1630" s="1"/>
      <c r="QE1630" s="1"/>
      <c r="QF1630" s="1"/>
      <c r="QG1630" s="1"/>
      <c r="QH1630" s="1"/>
      <c r="QI1630" s="1"/>
      <c r="QJ1630" s="1"/>
      <c r="QK1630" s="1"/>
      <c r="QL1630" s="1"/>
      <c r="QM1630" s="1"/>
      <c r="QN1630" s="1"/>
      <c r="QO1630" s="1"/>
      <c r="QP1630" s="1"/>
      <c r="QQ1630" s="1"/>
      <c r="QR1630" s="1"/>
      <c r="QS1630" s="1"/>
      <c r="QT1630" s="1"/>
      <c r="QU1630" s="1"/>
      <c r="QV1630" s="1"/>
      <c r="QW1630" s="1"/>
      <c r="QX1630" s="1"/>
      <c r="QY1630" s="1"/>
      <c r="QZ1630" s="1"/>
      <c r="RA1630" s="1"/>
      <c r="RB1630" s="1"/>
      <c r="RC1630" s="1"/>
      <c r="RD1630" s="1"/>
      <c r="RE1630" s="1"/>
      <c r="RF1630" s="1"/>
      <c r="RG1630" s="1"/>
      <c r="RH1630" s="1"/>
      <c r="RI1630" s="1"/>
      <c r="RJ1630" s="1"/>
      <c r="RK1630" s="1"/>
      <c r="RL1630" s="1"/>
      <c r="RM1630" s="1"/>
      <c r="RN1630" s="1"/>
      <c r="RO1630" s="1"/>
      <c r="RP1630" s="1"/>
      <c r="RQ1630" s="1"/>
      <c r="RR1630" s="1"/>
      <c r="RS1630" s="1"/>
      <c r="RT1630" s="1"/>
      <c r="RU1630" s="1"/>
      <c r="RV1630" s="1"/>
      <c r="RW1630" s="1"/>
      <c r="RX1630" s="1"/>
      <c r="RY1630" s="1"/>
      <c r="RZ1630" s="1"/>
      <c r="SA1630" s="1"/>
      <c r="SB1630" s="1"/>
      <c r="SC1630" s="1"/>
      <c r="SD1630" s="1"/>
      <c r="SE1630" s="1"/>
      <c r="SF1630" s="1"/>
      <c r="SG1630" s="1"/>
      <c r="SH1630" s="1"/>
      <c r="SI1630" s="1"/>
      <c r="SJ1630" s="1"/>
      <c r="SK1630" s="1"/>
      <c r="SL1630" s="1"/>
      <c r="SM1630" s="1"/>
      <c r="SN1630" s="1"/>
      <c r="SO1630" s="1"/>
      <c r="SP1630" s="1"/>
      <c r="SQ1630" s="1"/>
      <c r="SR1630" s="1"/>
      <c r="SS1630" s="1"/>
      <c r="ST1630" s="1"/>
      <c r="SU1630" s="1"/>
      <c r="SV1630" s="1"/>
      <c r="SW1630" s="1"/>
      <c r="SX1630" s="1"/>
      <c r="SY1630" s="1"/>
      <c r="SZ1630" s="1"/>
      <c r="TA1630" s="1"/>
      <c r="TB1630" s="1"/>
      <c r="TC1630" s="1"/>
      <c r="TD1630" s="1"/>
      <c r="TE1630" s="1"/>
      <c r="TF1630" s="1"/>
      <c r="TG1630" s="1"/>
      <c r="TH1630" s="1"/>
      <c r="TI1630" s="1"/>
      <c r="TJ1630" s="1"/>
      <c r="TK1630" s="1"/>
      <c r="TL1630" s="1"/>
      <c r="TM1630" s="1"/>
      <c r="TN1630" s="1"/>
      <c r="TO1630" s="1"/>
      <c r="TP1630" s="1"/>
      <c r="TQ1630" s="1"/>
      <c r="TR1630" s="1"/>
      <c r="TS1630" s="1"/>
      <c r="TT1630" s="1"/>
      <c r="TU1630" s="1"/>
      <c r="TV1630" s="1"/>
      <c r="TW1630" s="1"/>
      <c r="TX1630" s="1"/>
      <c r="TY1630" s="1"/>
      <c r="TZ1630" s="1"/>
      <c r="UA1630" s="1"/>
      <c r="UB1630" s="1"/>
      <c r="UC1630" s="1"/>
      <c r="UD1630" s="1"/>
      <c r="UE1630" s="1"/>
      <c r="UF1630" s="1"/>
      <c r="UG1630" s="1"/>
      <c r="UH1630" s="1"/>
      <c r="UI1630" s="1"/>
      <c r="UJ1630" s="1"/>
      <c r="UK1630" s="1"/>
      <c r="UL1630" s="1"/>
      <c r="UM1630" s="1"/>
      <c r="UN1630" s="1"/>
      <c r="UO1630" s="1"/>
      <c r="UP1630" s="1"/>
      <c r="UQ1630" s="1"/>
      <c r="UR1630" s="1"/>
      <c r="US1630" s="1"/>
      <c r="UT1630" s="1"/>
      <c r="UU1630" s="1"/>
      <c r="UV1630" s="1"/>
      <c r="UW1630" s="1"/>
      <c r="UX1630" s="1"/>
      <c r="UY1630" s="1"/>
      <c r="UZ1630" s="1"/>
      <c r="VA1630" s="1"/>
      <c r="VB1630" s="1"/>
      <c r="VC1630" s="1"/>
      <c r="VD1630" s="1"/>
      <c r="VE1630" s="1"/>
      <c r="VF1630" s="1"/>
      <c r="VG1630" s="1"/>
      <c r="VH1630" s="1"/>
      <c r="VI1630" s="1"/>
      <c r="VJ1630" s="1"/>
      <c r="VK1630" s="1"/>
      <c r="VL1630" s="1"/>
      <c r="VM1630" s="1"/>
      <c r="VN1630" s="1"/>
      <c r="VO1630" s="1"/>
      <c r="VP1630" s="1"/>
      <c r="VQ1630" s="1"/>
      <c r="VR1630" s="1"/>
      <c r="VS1630" s="1"/>
      <c r="VT1630" s="1"/>
      <c r="VU1630" s="1"/>
      <c r="VV1630" s="1"/>
      <c r="VW1630" s="1"/>
      <c r="VX1630" s="1"/>
      <c r="VY1630" s="1"/>
      <c r="VZ1630" s="1"/>
      <c r="WA1630" s="1"/>
      <c r="WB1630" s="1"/>
      <c r="WC1630" s="1"/>
      <c r="WD1630" s="1"/>
      <c r="WE1630" s="1"/>
      <c r="WF1630" s="1"/>
      <c r="WG1630" s="1"/>
      <c r="WH1630" s="1"/>
      <c r="WI1630" s="1"/>
      <c r="WJ1630" s="1"/>
      <c r="WK1630" s="1"/>
      <c r="WL1630" s="1"/>
      <c r="WM1630" s="1"/>
      <c r="WN1630" s="1"/>
      <c r="WO1630" s="1"/>
      <c r="WP1630" s="1"/>
      <c r="WQ1630" s="1"/>
      <c r="WR1630" s="1"/>
      <c r="WS1630" s="1"/>
      <c r="WT1630" s="1"/>
      <c r="WU1630" s="1"/>
      <c r="WV1630" s="1"/>
      <c r="WW1630" s="1"/>
      <c r="WX1630" s="1"/>
      <c r="WY1630" s="1"/>
      <c r="WZ1630" s="1"/>
      <c r="XA1630" s="1"/>
      <c r="XB1630" s="1"/>
      <c r="XC1630" s="1"/>
      <c r="XD1630" s="1"/>
      <c r="XE1630" s="1"/>
      <c r="XF1630" s="1"/>
      <c r="XG1630" s="1"/>
      <c r="XH1630" s="1"/>
      <c r="XI1630" s="1"/>
      <c r="XJ1630" s="1"/>
      <c r="XK1630" s="1"/>
      <c r="XL1630" s="1"/>
      <c r="XM1630" s="1"/>
      <c r="XN1630" s="1"/>
      <c r="XO1630" s="1"/>
      <c r="XP1630" s="1"/>
      <c r="XQ1630" s="1"/>
      <c r="XR1630" s="1"/>
      <c r="XS1630" s="1"/>
      <c r="XT1630" s="1"/>
      <c r="XU1630" s="1"/>
      <c r="XV1630" s="1"/>
      <c r="XW1630" s="1"/>
      <c r="XX1630" s="1"/>
      <c r="XY1630" s="1"/>
      <c r="XZ1630" s="1"/>
      <c r="YA1630" s="1"/>
      <c r="YB1630" s="1"/>
      <c r="YC1630" s="1"/>
      <c r="YD1630" s="1"/>
      <c r="YE1630" s="1"/>
      <c r="YF1630" s="1"/>
      <c r="YG1630" s="1"/>
      <c r="YH1630" s="1"/>
      <c r="YI1630" s="1"/>
      <c r="YJ1630" s="1"/>
      <c r="YK1630" s="1"/>
      <c r="YL1630" s="1"/>
      <c r="YM1630" s="1"/>
      <c r="YN1630" s="1"/>
      <c r="YO1630" s="1"/>
      <c r="YP1630" s="1"/>
      <c r="YQ1630" s="1"/>
      <c r="YR1630" s="1"/>
      <c r="YS1630" s="1"/>
      <c r="YT1630" s="1"/>
      <c r="YU1630" s="1"/>
      <c r="YV1630" s="1"/>
      <c r="YW1630" s="1"/>
      <c r="YX1630" s="1"/>
      <c r="YY1630" s="1"/>
      <c r="YZ1630" s="1"/>
      <c r="ZA1630" s="1"/>
      <c r="ZB1630" s="1"/>
      <c r="ZC1630" s="1"/>
      <c r="ZD1630" s="1"/>
      <c r="ZE1630" s="1"/>
      <c r="ZF1630" s="1"/>
      <c r="ZG1630" s="1"/>
      <c r="ZH1630" s="1"/>
      <c r="ZI1630" s="1"/>
      <c r="ZJ1630" s="1"/>
      <c r="ZK1630" s="1"/>
      <c r="ZL1630" s="1"/>
      <c r="ZM1630" s="1"/>
      <c r="ZN1630" s="1"/>
      <c r="ZO1630" s="1"/>
      <c r="ZP1630" s="1"/>
      <c r="ZQ1630" s="1"/>
      <c r="ZR1630" s="1"/>
      <c r="ZS1630" s="1"/>
      <c r="ZT1630" s="1"/>
      <c r="ZU1630" s="1"/>
      <c r="ZV1630" s="1"/>
      <c r="ZW1630" s="1"/>
      <c r="ZX1630" s="1"/>
      <c r="ZY1630" s="1"/>
      <c r="ZZ1630" s="1"/>
      <c r="AAA1630" s="1"/>
      <c r="AAB1630" s="1"/>
      <c r="AAC1630" s="1"/>
      <c r="AAD1630" s="1"/>
      <c r="AAE1630" s="1"/>
      <c r="AAF1630" s="1"/>
      <c r="AAG1630" s="1"/>
      <c r="AAH1630" s="1"/>
      <c r="AAI1630" s="1"/>
      <c r="AAJ1630" s="1"/>
      <c r="AAK1630" s="1"/>
      <c r="AAL1630" s="1"/>
      <c r="AAM1630" s="1"/>
      <c r="AAN1630" s="1"/>
      <c r="AAO1630" s="1"/>
      <c r="AAP1630" s="1"/>
      <c r="AAQ1630" s="1"/>
      <c r="AAR1630" s="1"/>
      <c r="AAS1630" s="1"/>
      <c r="AAT1630" s="1"/>
      <c r="AAU1630" s="1"/>
      <c r="AAV1630" s="1"/>
      <c r="AAW1630" s="1"/>
      <c r="AAX1630" s="1"/>
      <c r="AAY1630" s="1"/>
      <c r="AAZ1630" s="1"/>
      <c r="ABA1630" s="1"/>
      <c r="ABB1630" s="1"/>
      <c r="ABC1630" s="1"/>
      <c r="ABD1630" s="1"/>
      <c r="ABE1630" s="1"/>
      <c r="ABF1630" s="1"/>
      <c r="ABG1630" s="1"/>
      <c r="ABH1630" s="1"/>
      <c r="ABI1630" s="1"/>
      <c r="ABJ1630" s="1"/>
      <c r="ABK1630" s="1"/>
      <c r="ABL1630" s="1"/>
      <c r="ABM1630" s="1"/>
      <c r="ABN1630" s="1"/>
      <c r="ABO1630" s="1"/>
      <c r="ABP1630" s="1"/>
      <c r="ABQ1630" s="1"/>
      <c r="ABR1630" s="1"/>
      <c r="ABS1630" s="1"/>
      <c r="ABT1630" s="1"/>
      <c r="ABU1630" s="1"/>
      <c r="ABV1630" s="1"/>
      <c r="ABW1630" s="1"/>
      <c r="ABX1630" s="1"/>
      <c r="ABY1630" s="1"/>
      <c r="ABZ1630" s="1"/>
      <c r="ACA1630" s="1"/>
      <c r="ACB1630" s="1"/>
      <c r="ACC1630" s="1"/>
      <c r="ACD1630" s="1"/>
      <c r="ACE1630" s="1"/>
      <c r="ACF1630" s="1"/>
      <c r="ACG1630" s="1"/>
      <c r="ACH1630" s="1"/>
      <c r="ACI1630" s="1"/>
      <c r="ACJ1630" s="1"/>
      <c r="ACK1630" s="1"/>
      <c r="ACL1630" s="1"/>
      <c r="ACM1630" s="1"/>
      <c r="ACN1630" s="1"/>
      <c r="ACO1630" s="1"/>
      <c r="ACP1630" s="1"/>
      <c r="ACQ1630" s="1"/>
      <c r="ACR1630" s="1"/>
      <c r="ACS1630" s="1"/>
      <c r="ACT1630" s="1"/>
      <c r="ACU1630" s="1"/>
      <c r="ACV1630" s="1"/>
      <c r="ACW1630" s="1"/>
      <c r="ACX1630" s="1"/>
      <c r="ACY1630" s="1"/>
      <c r="ACZ1630" s="1"/>
      <c r="ADA1630" s="1"/>
      <c r="ADB1630" s="1"/>
      <c r="ADC1630" s="1"/>
      <c r="ADD1630" s="1"/>
      <c r="ADE1630" s="1"/>
      <c r="ADF1630" s="1"/>
      <c r="ADG1630" s="1"/>
      <c r="ADH1630" s="1"/>
      <c r="ADI1630" s="1"/>
      <c r="ADJ1630" s="1"/>
      <c r="ADK1630" s="1"/>
      <c r="ADL1630" s="1"/>
      <c r="ADM1630" s="1"/>
      <c r="ADN1630" s="1"/>
      <c r="ADO1630" s="1"/>
      <c r="ADP1630" s="1"/>
      <c r="ADQ1630" s="1"/>
      <c r="ADR1630" s="1"/>
      <c r="ADS1630" s="1"/>
      <c r="ADT1630" s="1"/>
      <c r="ADU1630" s="1"/>
      <c r="ADV1630" s="1"/>
      <c r="ADW1630" s="1"/>
      <c r="ADX1630" s="1"/>
      <c r="ADY1630" s="1"/>
      <c r="ADZ1630" s="1"/>
      <c r="AEA1630" s="1"/>
      <c r="AEB1630" s="1"/>
      <c r="AEC1630" s="1"/>
      <c r="AED1630" s="1"/>
      <c r="AEE1630" s="1"/>
      <c r="AEF1630" s="1"/>
      <c r="AEG1630" s="1"/>
      <c r="AEH1630" s="1"/>
      <c r="AEI1630" s="1"/>
      <c r="AEJ1630" s="1"/>
      <c r="AEK1630" s="1"/>
      <c r="AEL1630" s="1"/>
      <c r="AEM1630" s="1"/>
      <c r="AEN1630" s="1"/>
      <c r="AEO1630" s="1"/>
      <c r="AEP1630" s="1"/>
      <c r="AEQ1630" s="1"/>
      <c r="AER1630" s="1"/>
      <c r="AES1630" s="1"/>
      <c r="AET1630" s="1"/>
      <c r="AEU1630" s="1"/>
      <c r="AEV1630" s="1"/>
      <c r="AEW1630" s="1"/>
      <c r="AEX1630" s="1"/>
      <c r="AEY1630" s="1"/>
      <c r="AEZ1630" s="1"/>
      <c r="AFA1630" s="1"/>
      <c r="AFB1630" s="1"/>
      <c r="AFC1630" s="1"/>
      <c r="AFD1630" s="1"/>
      <c r="AFE1630" s="1"/>
      <c r="AFF1630" s="1"/>
      <c r="AFG1630" s="1"/>
      <c r="AFH1630" s="1"/>
      <c r="AFI1630" s="1"/>
      <c r="AFJ1630" s="1"/>
      <c r="AFK1630" s="1"/>
      <c r="AFL1630" s="1"/>
      <c r="AFM1630" s="1"/>
      <c r="AFN1630" s="1"/>
      <c r="AFO1630" s="1"/>
      <c r="AFP1630" s="1"/>
      <c r="AFQ1630" s="1"/>
      <c r="AFR1630" s="1"/>
      <c r="AFS1630" s="1"/>
      <c r="AFT1630" s="1"/>
      <c r="AFU1630" s="1"/>
      <c r="AFV1630" s="1"/>
      <c r="AFW1630" s="1"/>
      <c r="AFX1630" s="1"/>
      <c r="AFY1630" s="1"/>
      <c r="AFZ1630" s="1"/>
      <c r="AGA1630" s="1"/>
      <c r="AGB1630" s="1"/>
      <c r="AGC1630" s="1"/>
      <c r="AGD1630" s="1"/>
      <c r="AGE1630" s="1"/>
      <c r="AGF1630" s="1"/>
      <c r="AGG1630" s="1"/>
      <c r="AGH1630" s="1"/>
      <c r="AGI1630" s="1"/>
      <c r="AGJ1630" s="1"/>
      <c r="AGK1630" s="1"/>
      <c r="AGL1630" s="1"/>
      <c r="AGM1630" s="1"/>
      <c r="AGN1630" s="1"/>
      <c r="AGO1630" s="1"/>
      <c r="AGP1630" s="1"/>
      <c r="AGQ1630" s="1"/>
      <c r="AGR1630" s="1"/>
      <c r="AGS1630" s="1"/>
      <c r="AGT1630" s="1"/>
      <c r="AGU1630" s="1"/>
      <c r="AGV1630" s="1"/>
      <c r="AGW1630" s="1"/>
      <c r="AGX1630" s="1"/>
      <c r="AGY1630" s="1"/>
      <c r="AGZ1630" s="1"/>
      <c r="AHA1630" s="1"/>
      <c r="AHB1630" s="1"/>
      <c r="AHC1630" s="1"/>
      <c r="AHD1630" s="1"/>
      <c r="AHE1630" s="1"/>
      <c r="AHF1630" s="1"/>
      <c r="AHG1630" s="1"/>
      <c r="AHH1630" s="1"/>
      <c r="AHI1630" s="1"/>
      <c r="AHJ1630" s="1"/>
      <c r="AHK1630" s="1"/>
      <c r="AHL1630" s="1"/>
      <c r="AHM1630" s="1"/>
      <c r="AHN1630" s="1"/>
      <c r="AHO1630" s="1"/>
      <c r="AHP1630" s="1"/>
      <c r="AHQ1630" s="1"/>
      <c r="AHR1630" s="1"/>
      <c r="AHS1630" s="1"/>
      <c r="AHT1630" s="1"/>
      <c r="AHU1630" s="1"/>
      <c r="AHV1630" s="1"/>
      <c r="AHW1630" s="1"/>
      <c r="AHX1630" s="1"/>
      <c r="AHY1630" s="1"/>
      <c r="AHZ1630" s="1"/>
      <c r="AIA1630" s="1"/>
      <c r="AIB1630" s="1"/>
      <c r="AIC1630" s="1"/>
      <c r="AID1630" s="1"/>
      <c r="AIE1630" s="1"/>
      <c r="AIF1630" s="1"/>
      <c r="AIG1630" s="1"/>
      <c r="AIH1630" s="1"/>
      <c r="AII1630" s="1"/>
      <c r="AIJ1630" s="1"/>
      <c r="AIK1630" s="1"/>
      <c r="AIL1630" s="1"/>
      <c r="AIM1630" s="1"/>
      <c r="AIN1630" s="1"/>
      <c r="AIO1630" s="1"/>
      <c r="AIP1630" s="1"/>
      <c r="AIQ1630" s="1"/>
      <c r="AIR1630" s="1"/>
      <c r="AIS1630" s="1"/>
      <c r="AIT1630" s="1"/>
      <c r="AIU1630" s="1"/>
      <c r="AIV1630" s="1"/>
      <c r="AIW1630" s="1"/>
      <c r="AIX1630" s="1"/>
      <c r="AIY1630" s="1"/>
      <c r="AIZ1630" s="1"/>
      <c r="AJA1630" s="1"/>
      <c r="AJB1630" s="1"/>
      <c r="AJC1630" s="1"/>
      <c r="AJD1630" s="1"/>
      <c r="AJE1630" s="1"/>
      <c r="AJF1630" s="1"/>
      <c r="AJG1630" s="1"/>
      <c r="AJH1630" s="1"/>
      <c r="AJI1630" s="1"/>
      <c r="AJJ1630" s="1"/>
      <c r="AJK1630" s="1"/>
      <c r="AJL1630" s="1"/>
      <c r="AJM1630" s="1"/>
      <c r="AJN1630" s="1"/>
      <c r="AJO1630" s="1"/>
      <c r="AJP1630" s="1"/>
      <c r="AJQ1630" s="1"/>
      <c r="AJR1630" s="1"/>
      <c r="AJS1630" s="1"/>
      <c r="AJT1630" s="1"/>
      <c r="AJU1630" s="1"/>
      <c r="AJV1630" s="1"/>
      <c r="AJW1630" s="1"/>
      <c r="AJX1630" s="1"/>
      <c r="AJY1630" s="1"/>
      <c r="AJZ1630" s="1"/>
      <c r="AKA1630" s="1"/>
      <c r="AKB1630" s="1"/>
      <c r="AKC1630" s="1"/>
      <c r="AKD1630" s="1"/>
      <c r="AKE1630" s="1"/>
      <c r="AKF1630" s="1"/>
      <c r="AKG1630" s="1"/>
      <c r="AKH1630" s="1"/>
      <c r="AKI1630" s="1"/>
      <c r="AKJ1630" s="1"/>
      <c r="AKK1630" s="1"/>
      <c r="AKL1630" s="1"/>
      <c r="AKM1630" s="1"/>
      <c r="AKN1630" s="1"/>
      <c r="AKO1630" s="1"/>
      <c r="AKP1630" s="1"/>
      <c r="AKQ1630" s="1"/>
      <c r="AKR1630" s="1"/>
      <c r="AKS1630" s="1"/>
      <c r="AKT1630" s="1"/>
      <c r="AKU1630" s="1"/>
      <c r="AKV1630" s="1"/>
      <c r="AKW1630" s="1"/>
      <c r="AKX1630" s="1"/>
      <c r="AKY1630" s="1"/>
      <c r="AKZ1630" s="1"/>
      <c r="ALA1630" s="1"/>
      <c r="ALB1630" s="1"/>
      <c r="ALC1630" s="1"/>
      <c r="ALD1630" s="1"/>
      <c r="ALE1630" s="1"/>
      <c r="ALF1630" s="1"/>
      <c r="ALG1630" s="1"/>
      <c r="ALH1630" s="1"/>
      <c r="ALI1630" s="1"/>
      <c r="ALJ1630" s="1"/>
      <c r="ALK1630" s="1"/>
      <c r="ALL1630" s="1"/>
      <c r="ALM1630" s="1"/>
      <c r="ALN1630" s="1"/>
      <c r="ALO1630" s="1"/>
      <c r="ALP1630" s="1"/>
      <c r="ALQ1630" s="1"/>
      <c r="ALR1630" s="1"/>
      <c r="ALS1630" s="1"/>
      <c r="ALT1630" s="1"/>
      <c r="ALU1630" s="1"/>
      <c r="ALV1630" s="1"/>
      <c r="ALW1630" s="1"/>
      <c r="ALX1630" s="1"/>
      <c r="ALY1630" s="1"/>
      <c r="ALZ1630" s="1"/>
      <c r="AMA1630" s="1"/>
      <c r="AMB1630" s="1"/>
      <c r="AMC1630" s="1"/>
      <c r="AMD1630" s="1"/>
      <c r="AME1630" s="1"/>
      <c r="AMF1630" s="1"/>
      <c r="AMG1630" s="1"/>
      <c r="AMH1630" s="1"/>
      <c r="AMI1630" s="1"/>
      <c r="AMJ1630" s="1"/>
      <c r="AMK1630" s="1"/>
      <c r="AML1630" s="1"/>
      <c r="AMM1630" s="1"/>
      <c r="AMN1630" s="1"/>
      <c r="AMO1630" s="1"/>
      <c r="AMP1630" s="1"/>
      <c r="AMQ1630" s="1"/>
      <c r="AMR1630" s="1"/>
      <c r="AMS1630" s="1"/>
      <c r="AMT1630" s="1"/>
      <c r="AMU1630" s="1"/>
      <c r="AMV1630" s="1"/>
      <c r="AMW1630" s="1"/>
      <c r="AMX1630" s="1"/>
      <c r="AMY1630" s="1"/>
      <c r="AMZ1630" s="1"/>
      <c r="ANA1630" s="1"/>
      <c r="ANB1630" s="1"/>
      <c r="ANC1630" s="1"/>
      <c r="AND1630" s="1"/>
      <c r="ANE1630" s="1"/>
      <c r="ANF1630" s="1"/>
      <c r="ANG1630" s="1"/>
      <c r="ANH1630" s="1"/>
      <c r="ANI1630" s="1"/>
      <c r="ANJ1630" s="1"/>
      <c r="ANK1630" s="1"/>
      <c r="ANL1630" s="1"/>
      <c r="ANM1630" s="1"/>
      <c r="ANN1630" s="1"/>
      <c r="ANO1630" s="1"/>
      <c r="ANP1630" s="1"/>
      <c r="ANQ1630" s="1"/>
      <c r="ANR1630" s="1"/>
      <c r="ANS1630" s="1"/>
      <c r="ANT1630" s="1"/>
      <c r="ANU1630" s="1"/>
      <c r="ANV1630" s="1"/>
      <c r="ANW1630" s="1"/>
      <c r="ANX1630" s="1"/>
      <c r="ANY1630" s="1"/>
      <c r="ANZ1630" s="1"/>
      <c r="AOA1630" s="1"/>
      <c r="AOB1630" s="1"/>
      <c r="AOC1630" s="1"/>
      <c r="AOD1630" s="1"/>
      <c r="AOE1630" s="1"/>
      <c r="AOF1630" s="1"/>
      <c r="AOG1630" s="1"/>
      <c r="AOH1630" s="1"/>
      <c r="AOI1630" s="1"/>
      <c r="AOJ1630" s="1"/>
      <c r="AOK1630" s="1"/>
      <c r="AOL1630" s="1"/>
      <c r="AOM1630" s="1"/>
      <c r="AON1630" s="1"/>
      <c r="AOO1630" s="1"/>
      <c r="AOP1630" s="1"/>
      <c r="AOQ1630" s="1"/>
      <c r="AOR1630" s="1"/>
      <c r="AOS1630" s="1"/>
      <c r="AOT1630" s="1"/>
      <c r="AOU1630" s="1"/>
      <c r="AOV1630" s="1"/>
      <c r="AOW1630" s="1"/>
      <c r="AOX1630" s="1"/>
      <c r="AOY1630" s="1"/>
      <c r="AOZ1630" s="1"/>
      <c r="APA1630" s="1"/>
      <c r="APB1630" s="1"/>
      <c r="APC1630" s="1"/>
      <c r="APD1630" s="1"/>
      <c r="APE1630" s="1"/>
      <c r="APF1630" s="1"/>
      <c r="APG1630" s="1"/>
      <c r="APH1630" s="1"/>
      <c r="API1630" s="1"/>
      <c r="APJ1630" s="1"/>
      <c r="APK1630" s="1"/>
      <c r="APL1630" s="1"/>
      <c r="APM1630" s="1"/>
      <c r="APN1630" s="1"/>
      <c r="APO1630" s="1"/>
      <c r="APP1630" s="1"/>
      <c r="APQ1630" s="1"/>
      <c r="APR1630" s="1"/>
      <c r="APS1630" s="1"/>
      <c r="APT1630" s="1"/>
      <c r="APU1630" s="1"/>
      <c r="APV1630" s="1"/>
      <c r="APW1630" s="1"/>
      <c r="APX1630" s="1"/>
      <c r="APY1630" s="1"/>
      <c r="APZ1630" s="1"/>
      <c r="AQA1630" s="1"/>
      <c r="AQB1630" s="1"/>
      <c r="AQC1630" s="1"/>
      <c r="AQD1630" s="1"/>
      <c r="AQE1630" s="1"/>
      <c r="AQF1630" s="1"/>
      <c r="AQG1630" s="1"/>
      <c r="AQH1630" s="1"/>
      <c r="AQI1630" s="1"/>
      <c r="AQJ1630" s="1"/>
      <c r="AQK1630" s="1"/>
      <c r="AQL1630" s="1"/>
      <c r="AQM1630" s="1"/>
      <c r="AQN1630" s="1"/>
      <c r="AQO1630" s="1"/>
      <c r="AQP1630" s="1"/>
      <c r="AQQ1630" s="1"/>
      <c r="AQR1630" s="1"/>
      <c r="AQS1630" s="1"/>
      <c r="AQT1630" s="1"/>
      <c r="AQU1630" s="1"/>
      <c r="AQV1630" s="1"/>
      <c r="AQW1630" s="1"/>
      <c r="AQX1630" s="1"/>
      <c r="AQY1630" s="1"/>
      <c r="AQZ1630" s="1"/>
      <c r="ARA1630" s="1"/>
      <c r="ARB1630" s="1"/>
      <c r="ARC1630" s="1"/>
      <c r="ARD1630" s="1"/>
      <c r="ARE1630" s="1"/>
      <c r="ARF1630" s="1"/>
      <c r="ARG1630" s="1"/>
      <c r="ARH1630" s="1"/>
      <c r="ARI1630" s="1"/>
      <c r="ARJ1630" s="1"/>
      <c r="ARK1630" s="1"/>
      <c r="ARL1630" s="1"/>
      <c r="ARM1630" s="1"/>
      <c r="ARN1630" s="1"/>
      <c r="ARO1630" s="1"/>
      <c r="ARP1630" s="1"/>
      <c r="ARQ1630" s="1"/>
      <c r="ARR1630" s="1"/>
      <c r="ARS1630" s="1"/>
      <c r="ART1630" s="1"/>
      <c r="ARU1630" s="1"/>
      <c r="ARV1630" s="1"/>
      <c r="ARW1630" s="1"/>
      <c r="ARX1630" s="1"/>
      <c r="ARY1630" s="1"/>
      <c r="ARZ1630" s="1"/>
      <c r="ASA1630" s="1"/>
      <c r="ASB1630" s="1"/>
      <c r="ASC1630" s="1"/>
      <c r="ASD1630" s="1"/>
      <c r="ASE1630" s="1"/>
      <c r="ASF1630" s="1"/>
      <c r="ASG1630" s="1"/>
      <c r="ASH1630" s="1"/>
      <c r="ASI1630" s="1"/>
      <c r="ASJ1630" s="1"/>
      <c r="ASK1630" s="1"/>
      <c r="ASL1630" s="1"/>
      <c r="ASM1630" s="1"/>
      <c r="ASN1630" s="1"/>
      <c r="ASO1630" s="1"/>
      <c r="ASP1630" s="1"/>
      <c r="ASQ1630" s="1"/>
      <c r="ASR1630" s="1"/>
      <c r="ASS1630" s="1"/>
      <c r="AST1630" s="1"/>
      <c r="ASU1630" s="1"/>
      <c r="ASV1630" s="1"/>
      <c r="ASW1630" s="1"/>
      <c r="ASX1630" s="1"/>
      <c r="ASY1630" s="1"/>
      <c r="ASZ1630" s="1"/>
      <c r="ATA1630" s="1"/>
      <c r="ATB1630" s="1"/>
      <c r="ATC1630" s="1"/>
      <c r="ATD1630" s="1"/>
      <c r="ATE1630" s="1"/>
      <c r="ATF1630" s="1"/>
      <c r="ATG1630" s="1"/>
      <c r="ATH1630" s="1"/>
      <c r="ATI1630" s="1"/>
      <c r="ATJ1630" s="1"/>
      <c r="ATK1630" s="1"/>
      <c r="ATL1630" s="1"/>
      <c r="ATM1630" s="1"/>
      <c r="ATN1630" s="1"/>
      <c r="ATO1630" s="1"/>
      <c r="ATP1630" s="1"/>
      <c r="ATQ1630" s="1"/>
      <c r="ATR1630" s="1"/>
      <c r="ATS1630" s="1"/>
      <c r="ATT1630" s="1"/>
      <c r="ATU1630" s="1"/>
      <c r="ATV1630" s="1"/>
      <c r="ATW1630" s="1"/>
      <c r="ATX1630" s="1"/>
      <c r="ATY1630" s="1"/>
      <c r="ATZ1630" s="1"/>
      <c r="AUA1630" s="1"/>
      <c r="AUB1630" s="1"/>
      <c r="AUC1630" s="1"/>
      <c r="AUD1630" s="1"/>
      <c r="AUE1630" s="1"/>
      <c r="AUF1630" s="1"/>
      <c r="AUG1630" s="1"/>
      <c r="AUH1630" s="1"/>
      <c r="AUI1630" s="1"/>
      <c r="AUJ1630" s="1"/>
      <c r="AUK1630" s="1"/>
      <c r="AUL1630" s="1"/>
      <c r="AUM1630" s="1"/>
      <c r="AUN1630" s="1"/>
      <c r="AUO1630" s="1"/>
      <c r="AUP1630" s="1"/>
      <c r="AUQ1630" s="1"/>
      <c r="AUR1630" s="1"/>
      <c r="AUS1630" s="1"/>
      <c r="AUT1630" s="1"/>
      <c r="AUU1630" s="1"/>
      <c r="AUV1630" s="1"/>
      <c r="AUW1630" s="1"/>
      <c r="AUX1630" s="1"/>
      <c r="AUY1630" s="1"/>
      <c r="AUZ1630" s="1"/>
      <c r="AVA1630" s="1"/>
      <c r="AVB1630" s="1"/>
      <c r="AVC1630" s="1"/>
      <c r="AVD1630" s="1"/>
      <c r="AVE1630" s="1"/>
      <c r="AVF1630" s="1"/>
      <c r="AVG1630" s="1"/>
      <c r="AVH1630" s="1"/>
      <c r="AVI1630" s="1"/>
      <c r="AVJ1630" s="1"/>
      <c r="AVK1630" s="1"/>
      <c r="AVL1630" s="1"/>
      <c r="AVM1630" s="1"/>
      <c r="AVN1630" s="1"/>
      <c r="AVO1630" s="1"/>
      <c r="AVP1630" s="1"/>
      <c r="AVQ1630" s="1"/>
      <c r="AVR1630" s="1"/>
      <c r="AVS1630" s="1"/>
      <c r="AVT1630" s="1"/>
      <c r="AVU1630" s="1"/>
      <c r="AVV1630" s="1"/>
      <c r="AVW1630" s="1"/>
      <c r="AVX1630" s="1"/>
      <c r="AVY1630" s="1"/>
      <c r="AVZ1630" s="1"/>
      <c r="AWA1630" s="1"/>
      <c r="AWB1630" s="1"/>
      <c r="AWC1630" s="1"/>
      <c r="AWD1630" s="1"/>
      <c r="AWE1630" s="1"/>
      <c r="AWF1630" s="1"/>
      <c r="AWG1630" s="1"/>
      <c r="AWH1630" s="1"/>
      <c r="AWI1630" s="1"/>
      <c r="AWJ1630" s="1"/>
      <c r="AWK1630" s="1"/>
      <c r="AWL1630" s="1"/>
      <c r="AWM1630" s="1"/>
      <c r="AWN1630" s="1"/>
      <c r="AWO1630" s="1"/>
      <c r="AWP1630" s="1"/>
      <c r="AWQ1630" s="1"/>
      <c r="AWR1630" s="1"/>
      <c r="AWS1630" s="1"/>
      <c r="AWT1630" s="1"/>
      <c r="AWU1630" s="1"/>
      <c r="AWV1630" s="1"/>
      <c r="AWW1630" s="1"/>
      <c r="AWX1630" s="1"/>
      <c r="AWY1630" s="1"/>
      <c r="AWZ1630" s="1"/>
      <c r="AXA1630" s="1"/>
      <c r="AXB1630" s="1"/>
      <c r="AXC1630" s="1"/>
      <c r="AXD1630" s="1"/>
      <c r="AXE1630" s="1"/>
      <c r="AXF1630" s="1"/>
      <c r="AXG1630" s="1"/>
      <c r="AXH1630" s="1"/>
      <c r="AXI1630" s="1"/>
      <c r="AXJ1630" s="1"/>
      <c r="AXK1630" s="1"/>
      <c r="AXL1630" s="1"/>
      <c r="AXM1630" s="1"/>
      <c r="AXN1630" s="1"/>
      <c r="AXO1630" s="1"/>
      <c r="AXP1630" s="1"/>
      <c r="AXQ1630" s="1"/>
      <c r="AXR1630" s="1"/>
      <c r="AXS1630" s="1"/>
      <c r="AXT1630" s="1"/>
      <c r="AXU1630" s="1"/>
      <c r="AXV1630" s="1"/>
      <c r="AXW1630" s="1"/>
      <c r="AXX1630" s="1"/>
      <c r="AXY1630" s="1"/>
      <c r="AXZ1630" s="1"/>
      <c r="AYA1630" s="1"/>
      <c r="AYB1630" s="1"/>
      <c r="AYC1630" s="1"/>
      <c r="AYD1630" s="1"/>
      <c r="AYE1630" s="1"/>
      <c r="AYF1630" s="1"/>
      <c r="AYG1630" s="1"/>
      <c r="AYH1630" s="1"/>
      <c r="AYI1630" s="1"/>
      <c r="AYJ1630" s="1"/>
      <c r="AYK1630" s="1"/>
      <c r="AYL1630" s="1"/>
      <c r="AYM1630" s="1"/>
      <c r="AYN1630" s="1"/>
      <c r="AYO1630" s="1"/>
      <c r="AYP1630" s="1"/>
      <c r="AYQ1630" s="1"/>
      <c r="AYR1630" s="1"/>
      <c r="AYS1630" s="1"/>
      <c r="AYT1630" s="1"/>
      <c r="AYU1630" s="1"/>
      <c r="AYV1630" s="1"/>
      <c r="AYW1630" s="1"/>
      <c r="AYX1630" s="1"/>
      <c r="AYY1630" s="1"/>
      <c r="AYZ1630" s="1"/>
      <c r="AZA1630" s="1"/>
      <c r="AZB1630" s="1"/>
      <c r="AZC1630" s="1"/>
      <c r="AZD1630" s="1"/>
      <c r="AZE1630" s="1"/>
      <c r="AZF1630" s="1"/>
      <c r="AZG1630" s="1"/>
      <c r="AZH1630" s="1"/>
      <c r="AZI1630" s="1"/>
      <c r="AZJ1630" s="1"/>
      <c r="AZK1630" s="1"/>
      <c r="AZL1630" s="1"/>
      <c r="AZM1630" s="1"/>
      <c r="AZN1630" s="1"/>
      <c r="AZO1630" s="1"/>
      <c r="AZP1630" s="1"/>
      <c r="AZQ1630" s="1"/>
      <c r="AZR1630" s="1"/>
      <c r="AZS1630" s="1"/>
      <c r="AZT1630" s="1"/>
      <c r="AZU1630" s="1"/>
      <c r="AZV1630" s="1"/>
      <c r="AZW1630" s="1"/>
      <c r="AZX1630" s="1"/>
      <c r="AZY1630" s="1"/>
      <c r="AZZ1630" s="1"/>
      <c r="BAA1630" s="1"/>
      <c r="BAB1630" s="1"/>
      <c r="BAC1630" s="1"/>
      <c r="BAD1630" s="1"/>
      <c r="BAE1630" s="1"/>
      <c r="BAF1630" s="1"/>
      <c r="BAG1630" s="1"/>
      <c r="BAH1630" s="1"/>
      <c r="BAI1630" s="1"/>
      <c r="BAJ1630" s="1"/>
      <c r="BAK1630" s="1"/>
      <c r="BAL1630" s="1"/>
      <c r="BAM1630" s="1"/>
      <c r="BAN1630" s="1"/>
      <c r="BAO1630" s="1"/>
      <c r="BAP1630" s="1"/>
      <c r="BAQ1630" s="1"/>
      <c r="BAR1630" s="1"/>
      <c r="BAS1630" s="1"/>
      <c r="BAT1630" s="1"/>
      <c r="BAU1630" s="1"/>
      <c r="BAV1630" s="1"/>
      <c r="BAW1630" s="1"/>
      <c r="BAX1630" s="1"/>
      <c r="BAY1630" s="1"/>
      <c r="BAZ1630" s="1"/>
      <c r="BBA1630" s="1"/>
      <c r="BBB1630" s="1"/>
      <c r="BBC1630" s="1"/>
      <c r="BBD1630" s="1"/>
      <c r="BBE1630" s="1"/>
      <c r="BBF1630" s="1"/>
      <c r="BBG1630" s="1"/>
      <c r="BBH1630" s="1"/>
      <c r="BBI1630" s="1"/>
      <c r="BBJ1630" s="1"/>
      <c r="BBK1630" s="1"/>
      <c r="BBL1630" s="1"/>
      <c r="BBM1630" s="1"/>
      <c r="BBN1630" s="1"/>
      <c r="BBO1630" s="1"/>
      <c r="BBP1630" s="1"/>
      <c r="BBQ1630" s="1"/>
      <c r="BBR1630" s="1"/>
      <c r="BBS1630" s="1"/>
      <c r="BBT1630" s="1"/>
      <c r="BBU1630" s="1"/>
      <c r="BBV1630" s="1"/>
      <c r="BBW1630" s="1"/>
      <c r="BBX1630" s="1"/>
      <c r="BBY1630" s="1"/>
      <c r="BBZ1630" s="1"/>
      <c r="BCA1630" s="1"/>
      <c r="BCB1630" s="1"/>
      <c r="BCC1630" s="1"/>
      <c r="BCD1630" s="1"/>
      <c r="BCE1630" s="1"/>
      <c r="BCF1630" s="1"/>
      <c r="BCG1630" s="1"/>
      <c r="BCH1630" s="1"/>
      <c r="BCI1630" s="1"/>
      <c r="BCJ1630" s="1"/>
      <c r="BCK1630" s="1"/>
      <c r="BCL1630" s="1"/>
      <c r="BCM1630" s="1"/>
      <c r="BCN1630" s="1"/>
      <c r="BCO1630" s="1"/>
      <c r="BCP1630" s="1"/>
      <c r="BCQ1630" s="1"/>
      <c r="BCR1630" s="1"/>
      <c r="BCS1630" s="1"/>
      <c r="BCT1630" s="1"/>
      <c r="BCU1630" s="1"/>
      <c r="BCV1630" s="1"/>
      <c r="BCW1630" s="1"/>
      <c r="BCX1630" s="1"/>
      <c r="BCY1630" s="1"/>
      <c r="BCZ1630" s="1"/>
      <c r="BDA1630" s="1"/>
      <c r="BDB1630" s="1"/>
      <c r="BDC1630" s="1"/>
      <c r="BDD1630" s="1"/>
      <c r="BDE1630" s="1"/>
      <c r="BDF1630" s="1"/>
      <c r="BDG1630" s="1"/>
      <c r="BDH1630" s="1"/>
      <c r="BDI1630" s="1"/>
      <c r="BDJ1630" s="1"/>
      <c r="BDK1630" s="1"/>
      <c r="BDL1630" s="1"/>
      <c r="BDM1630" s="1"/>
      <c r="BDN1630" s="1"/>
      <c r="BDO1630" s="1"/>
      <c r="BDP1630" s="1"/>
      <c r="BDQ1630" s="1"/>
      <c r="BDR1630" s="1"/>
      <c r="BDS1630" s="1"/>
      <c r="BDT1630" s="1"/>
      <c r="BDU1630" s="1"/>
      <c r="BDV1630" s="1"/>
      <c r="BDW1630" s="1"/>
      <c r="BDX1630" s="1"/>
      <c r="BDY1630" s="1"/>
      <c r="BDZ1630" s="1"/>
      <c r="BEA1630" s="1"/>
      <c r="BEB1630" s="1"/>
      <c r="BEC1630" s="1"/>
      <c r="BED1630" s="1"/>
      <c r="BEE1630" s="1"/>
      <c r="BEF1630" s="1"/>
      <c r="BEG1630" s="1"/>
      <c r="BEH1630" s="1"/>
      <c r="BEI1630" s="1"/>
      <c r="BEJ1630" s="1"/>
      <c r="BEK1630" s="1"/>
      <c r="BEL1630" s="1"/>
      <c r="BEM1630" s="1"/>
      <c r="BEN1630" s="1"/>
      <c r="BEO1630" s="1"/>
      <c r="BEP1630" s="1"/>
      <c r="BEQ1630" s="1"/>
      <c r="BER1630" s="1"/>
      <c r="BES1630" s="1"/>
      <c r="BET1630" s="1"/>
      <c r="BEU1630" s="1"/>
      <c r="BEV1630" s="1"/>
      <c r="BEW1630" s="1"/>
      <c r="BEX1630" s="1"/>
      <c r="BEY1630" s="1"/>
      <c r="BEZ1630" s="1"/>
      <c r="BFA1630" s="1"/>
      <c r="BFB1630" s="1"/>
      <c r="BFC1630" s="1"/>
      <c r="BFD1630" s="1"/>
      <c r="BFE1630" s="1"/>
      <c r="BFF1630" s="1"/>
      <c r="BFG1630" s="1"/>
      <c r="BFH1630" s="1"/>
      <c r="BFI1630" s="1"/>
      <c r="BFJ1630" s="1"/>
      <c r="BFK1630" s="1"/>
      <c r="BFL1630" s="1"/>
      <c r="BFM1630" s="1"/>
      <c r="BFN1630" s="1"/>
      <c r="BFO1630" s="1"/>
      <c r="BFP1630" s="1"/>
      <c r="BFQ1630" s="1"/>
      <c r="BFR1630" s="1"/>
      <c r="BFS1630" s="1"/>
      <c r="BFT1630" s="1"/>
      <c r="BFU1630" s="1"/>
      <c r="BFV1630" s="1"/>
      <c r="BFW1630" s="1"/>
      <c r="BFX1630" s="1"/>
      <c r="BFY1630" s="1"/>
      <c r="BFZ1630" s="1"/>
      <c r="BGA1630" s="1"/>
      <c r="BGB1630" s="1"/>
      <c r="BGC1630" s="1"/>
      <c r="BGD1630" s="1"/>
      <c r="BGE1630" s="1"/>
      <c r="BGF1630" s="1"/>
      <c r="BGG1630" s="1"/>
      <c r="BGH1630" s="1"/>
      <c r="BGI1630" s="1"/>
      <c r="BGJ1630" s="1"/>
      <c r="BGK1630" s="1"/>
      <c r="BGL1630" s="1"/>
      <c r="BGM1630" s="1"/>
      <c r="BGN1630" s="1"/>
      <c r="BGO1630" s="1"/>
      <c r="BGP1630" s="1"/>
      <c r="BGQ1630" s="1"/>
      <c r="BGR1630" s="1"/>
      <c r="BGS1630" s="1"/>
      <c r="BGT1630" s="1"/>
      <c r="BGU1630" s="1"/>
      <c r="BGV1630" s="1"/>
      <c r="BGW1630" s="1"/>
      <c r="BGX1630" s="1"/>
      <c r="BGY1630" s="1"/>
      <c r="BGZ1630" s="1"/>
      <c r="BHA1630" s="1"/>
      <c r="BHB1630" s="1"/>
      <c r="BHC1630" s="1"/>
      <c r="BHD1630" s="1"/>
      <c r="BHE1630" s="1"/>
      <c r="BHF1630" s="1"/>
      <c r="BHG1630" s="1"/>
      <c r="BHH1630" s="1"/>
      <c r="BHI1630" s="1"/>
      <c r="BHJ1630" s="1"/>
      <c r="BHK1630" s="1"/>
      <c r="BHL1630" s="1"/>
      <c r="BHM1630" s="1"/>
      <c r="BHN1630" s="1"/>
      <c r="BHO1630" s="1"/>
      <c r="BHP1630" s="1"/>
      <c r="BHQ1630" s="1"/>
      <c r="BHR1630" s="1"/>
      <c r="BHS1630" s="1"/>
      <c r="BHT1630" s="1"/>
      <c r="BHU1630" s="1"/>
      <c r="BHV1630" s="1"/>
      <c r="BHW1630" s="1"/>
      <c r="BHX1630" s="1"/>
      <c r="BHY1630" s="1"/>
      <c r="BHZ1630" s="1"/>
      <c r="BIA1630" s="1"/>
      <c r="BIB1630" s="1"/>
      <c r="BIC1630" s="1"/>
      <c r="BID1630" s="1"/>
      <c r="BIE1630" s="1"/>
      <c r="BIF1630" s="1"/>
      <c r="BIG1630" s="1"/>
      <c r="BIH1630" s="1"/>
      <c r="BII1630" s="1"/>
      <c r="BIJ1630" s="1"/>
      <c r="BIK1630" s="1"/>
      <c r="BIL1630" s="1"/>
      <c r="BIM1630" s="1"/>
      <c r="BIN1630" s="1"/>
      <c r="BIO1630" s="1"/>
      <c r="BIP1630" s="1"/>
      <c r="BIQ1630" s="1"/>
      <c r="BIR1630" s="1"/>
      <c r="BIS1630" s="1"/>
      <c r="BIT1630" s="1"/>
      <c r="BIU1630" s="1"/>
      <c r="BIV1630" s="1"/>
      <c r="BIW1630" s="1"/>
      <c r="BIX1630" s="1"/>
      <c r="BIY1630" s="1"/>
      <c r="BIZ1630" s="1"/>
      <c r="BJA1630" s="1"/>
      <c r="BJB1630" s="1"/>
      <c r="BJC1630" s="1"/>
      <c r="BJD1630" s="1"/>
      <c r="BJE1630" s="1"/>
      <c r="BJF1630" s="1"/>
      <c r="BJG1630" s="1"/>
      <c r="BJH1630" s="1"/>
      <c r="BJI1630" s="1"/>
      <c r="BJJ1630" s="1"/>
      <c r="BJK1630" s="1"/>
      <c r="BJL1630" s="1"/>
      <c r="BJM1630" s="1"/>
      <c r="BJN1630" s="1"/>
      <c r="BJO1630" s="1"/>
      <c r="BJP1630" s="1"/>
      <c r="BJQ1630" s="1"/>
      <c r="BJR1630" s="1"/>
      <c r="BJS1630" s="1"/>
      <c r="BJT1630" s="1"/>
      <c r="BJU1630" s="1"/>
      <c r="BJV1630" s="1"/>
      <c r="BJW1630" s="1"/>
      <c r="BJX1630" s="1"/>
      <c r="BJY1630" s="1"/>
      <c r="BJZ1630" s="1"/>
      <c r="BKA1630" s="1"/>
      <c r="BKB1630" s="1"/>
      <c r="BKC1630" s="1"/>
      <c r="BKD1630" s="1"/>
      <c r="BKE1630" s="1"/>
      <c r="BKF1630" s="1"/>
      <c r="BKG1630" s="1"/>
      <c r="BKH1630" s="1"/>
      <c r="BKI1630" s="1"/>
      <c r="BKJ1630" s="1"/>
      <c r="BKK1630" s="1"/>
      <c r="BKL1630" s="1"/>
      <c r="BKM1630" s="1"/>
      <c r="BKN1630" s="1"/>
      <c r="BKO1630" s="1"/>
      <c r="BKP1630" s="1"/>
      <c r="BKQ1630" s="1"/>
      <c r="BKR1630" s="1"/>
      <c r="BKS1630" s="1"/>
      <c r="BKT1630" s="1"/>
      <c r="BKU1630" s="1"/>
      <c r="BKV1630" s="1"/>
      <c r="BKW1630" s="1"/>
      <c r="BKX1630" s="1"/>
      <c r="BKY1630" s="1"/>
      <c r="BKZ1630" s="1"/>
      <c r="BLA1630" s="1"/>
      <c r="BLB1630" s="1"/>
      <c r="BLC1630" s="1"/>
      <c r="BLD1630" s="1"/>
      <c r="BLE1630" s="1"/>
      <c r="BLF1630" s="1"/>
      <c r="BLG1630" s="1"/>
      <c r="BLH1630" s="1"/>
      <c r="BLI1630" s="1"/>
      <c r="BLJ1630" s="1"/>
      <c r="BLK1630" s="1"/>
      <c r="BLL1630" s="1"/>
      <c r="BLM1630" s="1"/>
      <c r="BLN1630" s="1"/>
      <c r="BLO1630" s="1"/>
      <c r="BLP1630" s="1"/>
      <c r="BLQ1630" s="1"/>
      <c r="BLR1630" s="1"/>
      <c r="BLS1630" s="1"/>
      <c r="BLT1630" s="1"/>
      <c r="BLU1630" s="1"/>
      <c r="BLV1630" s="1"/>
      <c r="BLW1630" s="1"/>
      <c r="BLX1630" s="1"/>
      <c r="BLY1630" s="1"/>
      <c r="BLZ1630" s="1"/>
      <c r="BMA1630" s="1"/>
      <c r="BMB1630" s="1"/>
      <c r="BMC1630" s="1"/>
      <c r="BMD1630" s="1"/>
      <c r="BME1630" s="1"/>
      <c r="BMF1630" s="1"/>
      <c r="BMG1630" s="1"/>
      <c r="BMH1630" s="1"/>
      <c r="BMI1630" s="1"/>
      <c r="BMJ1630" s="1"/>
      <c r="BMK1630" s="1"/>
      <c r="BML1630" s="1"/>
      <c r="BMM1630" s="1"/>
      <c r="BMN1630" s="1"/>
      <c r="BMO1630" s="1"/>
      <c r="BMP1630" s="1"/>
      <c r="BMQ1630" s="1"/>
      <c r="BMR1630" s="1"/>
      <c r="BMS1630" s="1"/>
      <c r="BMT1630" s="1"/>
      <c r="BMU1630" s="1"/>
      <c r="BMV1630" s="1"/>
      <c r="BMW1630" s="1"/>
      <c r="BMX1630" s="1"/>
      <c r="BMY1630" s="1"/>
      <c r="BMZ1630" s="1"/>
      <c r="BNA1630" s="1"/>
      <c r="BNB1630" s="1"/>
      <c r="BNC1630" s="1"/>
      <c r="BND1630" s="1"/>
      <c r="BNE1630" s="1"/>
      <c r="BNF1630" s="1"/>
      <c r="BNG1630" s="1"/>
      <c r="BNH1630" s="1"/>
      <c r="BNI1630" s="1"/>
      <c r="BNJ1630" s="1"/>
      <c r="BNK1630" s="1"/>
      <c r="BNL1630" s="1"/>
      <c r="BNM1630" s="1"/>
      <c r="BNN1630" s="1"/>
      <c r="BNO1630" s="1"/>
      <c r="BNP1630" s="1"/>
      <c r="BNQ1630" s="1"/>
      <c r="BNR1630" s="1"/>
      <c r="BNS1630" s="1"/>
      <c r="BNT1630" s="1"/>
      <c r="BNU1630" s="1"/>
      <c r="BNV1630" s="1"/>
      <c r="BNW1630" s="1"/>
      <c r="BNX1630" s="1"/>
      <c r="BNY1630" s="1"/>
      <c r="BNZ1630" s="1"/>
      <c r="BOA1630" s="1"/>
      <c r="BOB1630" s="1"/>
      <c r="BOC1630" s="1"/>
      <c r="BOD1630" s="1"/>
      <c r="BOE1630" s="1"/>
      <c r="BOF1630" s="1"/>
      <c r="BOG1630" s="1"/>
      <c r="BOH1630" s="1"/>
      <c r="BOI1630" s="1"/>
      <c r="BOJ1630" s="1"/>
      <c r="BOK1630" s="1"/>
      <c r="BOL1630" s="1"/>
      <c r="BOM1630" s="1"/>
      <c r="BON1630" s="1"/>
      <c r="BOO1630" s="1"/>
      <c r="BOP1630" s="1"/>
      <c r="BOQ1630" s="1"/>
      <c r="BOR1630" s="1"/>
      <c r="BOS1630" s="1"/>
      <c r="BOT1630" s="1"/>
      <c r="BOU1630" s="1"/>
      <c r="BOV1630" s="1"/>
      <c r="BOW1630" s="1"/>
      <c r="BOX1630" s="1"/>
      <c r="BOY1630" s="1"/>
      <c r="BOZ1630" s="1"/>
      <c r="BPA1630" s="1"/>
      <c r="BPB1630" s="1"/>
      <c r="BPC1630" s="1"/>
      <c r="BPD1630" s="1"/>
      <c r="BPE1630" s="1"/>
      <c r="BPF1630" s="1"/>
      <c r="BPG1630" s="1"/>
      <c r="BPH1630" s="1"/>
      <c r="BPI1630" s="1"/>
      <c r="BPJ1630" s="1"/>
      <c r="BPK1630" s="1"/>
      <c r="BPL1630" s="1"/>
      <c r="BPM1630" s="1"/>
      <c r="BPN1630" s="1"/>
      <c r="BPO1630" s="1"/>
      <c r="BPP1630" s="1"/>
      <c r="BPQ1630" s="1"/>
      <c r="BPR1630" s="1"/>
      <c r="BPS1630" s="1"/>
      <c r="BPT1630" s="1"/>
      <c r="BPU1630" s="1"/>
      <c r="BPV1630" s="1"/>
      <c r="BPW1630" s="1"/>
      <c r="BPX1630" s="1"/>
      <c r="BPY1630" s="1"/>
      <c r="BPZ1630" s="1"/>
      <c r="BQA1630" s="1"/>
      <c r="BQB1630" s="1"/>
      <c r="BQC1630" s="1"/>
      <c r="BQD1630" s="1"/>
      <c r="BQE1630" s="1"/>
      <c r="BQF1630" s="1"/>
      <c r="BQG1630" s="1"/>
      <c r="BQH1630" s="1"/>
      <c r="BQI1630" s="1"/>
      <c r="BQJ1630" s="1"/>
      <c r="BQK1630" s="1"/>
      <c r="BQL1630" s="1"/>
      <c r="BQM1630" s="1"/>
      <c r="BQN1630" s="1"/>
      <c r="BQO1630" s="1"/>
      <c r="BQP1630" s="1"/>
      <c r="BQQ1630" s="1"/>
      <c r="BQR1630" s="1"/>
      <c r="BQS1630" s="1"/>
      <c r="BQT1630" s="1"/>
      <c r="BQU1630" s="1"/>
      <c r="BQV1630" s="1"/>
      <c r="BQW1630" s="1"/>
      <c r="BQX1630" s="1"/>
      <c r="BQY1630" s="1"/>
      <c r="BQZ1630" s="1"/>
      <c r="BRA1630" s="1"/>
      <c r="BRB1630" s="1"/>
      <c r="BRC1630" s="1"/>
      <c r="BRD1630" s="1"/>
      <c r="BRE1630" s="1"/>
      <c r="BRF1630" s="1"/>
      <c r="BRG1630" s="1"/>
      <c r="BRH1630" s="1"/>
      <c r="BRI1630" s="1"/>
      <c r="BRJ1630" s="1"/>
      <c r="BRK1630" s="1"/>
      <c r="BRL1630" s="1"/>
      <c r="BRM1630" s="1"/>
      <c r="BRN1630" s="1"/>
      <c r="BRO1630" s="1"/>
      <c r="BRP1630" s="1"/>
      <c r="BRQ1630" s="1"/>
      <c r="BRR1630" s="1"/>
      <c r="BRS1630" s="1"/>
      <c r="BRT1630" s="1"/>
      <c r="BRU1630" s="1"/>
      <c r="BRV1630" s="1"/>
      <c r="BRW1630" s="1"/>
      <c r="BRX1630" s="1"/>
      <c r="BRY1630" s="1"/>
      <c r="BRZ1630" s="1"/>
      <c r="BSA1630" s="1"/>
      <c r="BSB1630" s="1"/>
      <c r="BSC1630" s="1"/>
      <c r="BSD1630" s="1"/>
      <c r="BSE1630" s="1"/>
      <c r="BSF1630" s="1"/>
      <c r="BSG1630" s="1"/>
      <c r="BSH1630" s="1"/>
      <c r="BSI1630" s="1"/>
      <c r="BSJ1630" s="1"/>
      <c r="BSK1630" s="1"/>
      <c r="BSL1630" s="1"/>
      <c r="BSM1630" s="1"/>
      <c r="BSN1630" s="1"/>
      <c r="BSO1630" s="1"/>
      <c r="BSP1630" s="1"/>
      <c r="BSQ1630" s="1"/>
      <c r="BSR1630" s="1"/>
      <c r="BSS1630" s="1"/>
      <c r="BST1630" s="1"/>
      <c r="BSU1630" s="1"/>
      <c r="BSV1630" s="1"/>
      <c r="BSW1630" s="1"/>
      <c r="BSX1630" s="1"/>
      <c r="BSY1630" s="1"/>
      <c r="BSZ1630" s="1"/>
      <c r="BTA1630" s="1"/>
      <c r="BTB1630" s="1"/>
      <c r="BTC1630" s="1"/>
      <c r="BTD1630" s="1"/>
      <c r="BTE1630" s="1"/>
      <c r="BTF1630" s="1"/>
      <c r="BTG1630" s="1"/>
      <c r="BTH1630" s="1"/>
      <c r="BTI1630" s="1"/>
      <c r="BTJ1630" s="1"/>
      <c r="BTK1630" s="1"/>
      <c r="BTL1630" s="1"/>
      <c r="BTM1630" s="1"/>
      <c r="BTN1630" s="1"/>
      <c r="BTO1630" s="1"/>
      <c r="BTP1630" s="1"/>
      <c r="BTQ1630" s="1"/>
      <c r="BTR1630" s="1"/>
      <c r="BTS1630" s="1"/>
      <c r="BTT1630" s="1"/>
      <c r="BTU1630" s="1"/>
      <c r="BTV1630" s="1"/>
      <c r="BTW1630" s="1"/>
      <c r="BTX1630" s="1"/>
      <c r="BTY1630" s="1"/>
      <c r="BTZ1630" s="1"/>
      <c r="BUA1630" s="1"/>
      <c r="BUB1630" s="1"/>
      <c r="BUC1630" s="1"/>
      <c r="BUD1630" s="1"/>
      <c r="BUE1630" s="1"/>
      <c r="BUF1630" s="1"/>
      <c r="BUG1630" s="1"/>
      <c r="BUH1630" s="1"/>
      <c r="BUI1630" s="1"/>
      <c r="BUJ1630" s="1"/>
      <c r="BUK1630" s="1"/>
      <c r="BUL1630" s="1"/>
      <c r="BUM1630" s="1"/>
      <c r="BUN1630" s="1"/>
      <c r="BUO1630" s="1"/>
      <c r="BUP1630" s="1"/>
      <c r="BUQ1630" s="1"/>
      <c r="BUR1630" s="1"/>
      <c r="BUS1630" s="1"/>
      <c r="BUT1630" s="1"/>
      <c r="BUU1630" s="1"/>
      <c r="BUV1630" s="1"/>
      <c r="BUW1630" s="1"/>
      <c r="BUX1630" s="1"/>
      <c r="BUY1630" s="1"/>
      <c r="BUZ1630" s="1"/>
      <c r="BVA1630" s="1"/>
      <c r="BVB1630" s="1"/>
      <c r="BVC1630" s="1"/>
      <c r="BVD1630" s="1"/>
      <c r="BVE1630" s="1"/>
      <c r="BVF1630" s="1"/>
      <c r="BVG1630" s="1"/>
      <c r="BVH1630" s="1"/>
      <c r="BVI1630" s="1"/>
      <c r="BVJ1630" s="1"/>
      <c r="BVK1630" s="1"/>
      <c r="BVL1630" s="1"/>
      <c r="BVM1630" s="1"/>
      <c r="BVN1630" s="1"/>
      <c r="BVO1630" s="1"/>
      <c r="BVP1630" s="1"/>
      <c r="BVQ1630" s="1"/>
      <c r="BVR1630" s="1"/>
      <c r="BVS1630" s="1"/>
      <c r="BVT1630" s="1"/>
      <c r="BVU1630" s="1"/>
      <c r="BVV1630" s="1"/>
      <c r="BVW1630" s="1"/>
      <c r="BVX1630" s="1"/>
      <c r="BVY1630" s="1"/>
      <c r="BVZ1630" s="1"/>
      <c r="BWA1630" s="1"/>
      <c r="BWB1630" s="1"/>
      <c r="BWC1630" s="1"/>
      <c r="BWD1630" s="1"/>
      <c r="BWE1630" s="1"/>
      <c r="BWF1630" s="1"/>
      <c r="BWG1630" s="1"/>
      <c r="BWH1630" s="1"/>
      <c r="BWI1630" s="1"/>
      <c r="BWJ1630" s="1"/>
      <c r="BWK1630" s="1"/>
      <c r="BWL1630" s="1"/>
      <c r="BWM1630" s="1"/>
      <c r="BWN1630" s="1"/>
      <c r="BWO1630" s="1"/>
      <c r="BWP1630" s="1"/>
      <c r="BWQ1630" s="1"/>
      <c r="BWR1630" s="1"/>
      <c r="BWS1630" s="1"/>
      <c r="BWT1630" s="1"/>
      <c r="BWU1630" s="1"/>
      <c r="BWV1630" s="1"/>
      <c r="BWW1630" s="1"/>
      <c r="BWX1630" s="1"/>
      <c r="BWY1630" s="1"/>
      <c r="BWZ1630" s="1"/>
      <c r="BXA1630" s="1"/>
      <c r="BXB1630" s="1"/>
      <c r="BXC1630" s="1"/>
      <c r="BXD1630" s="1"/>
      <c r="BXE1630" s="1"/>
      <c r="BXF1630" s="1"/>
      <c r="BXG1630" s="1"/>
      <c r="BXH1630" s="1"/>
      <c r="BXI1630" s="1"/>
      <c r="BXJ1630" s="1"/>
      <c r="BXK1630" s="1"/>
      <c r="BXL1630" s="1"/>
      <c r="BXM1630" s="1"/>
      <c r="BXN1630" s="1"/>
      <c r="BXO1630" s="1"/>
      <c r="BXP1630" s="1"/>
      <c r="BXQ1630" s="1"/>
      <c r="BXR1630" s="1"/>
      <c r="BXS1630" s="1"/>
      <c r="BXT1630" s="1"/>
      <c r="BXU1630" s="1"/>
      <c r="BXV1630" s="1"/>
      <c r="BXW1630" s="1"/>
      <c r="BXX1630" s="1"/>
      <c r="BXY1630" s="1"/>
      <c r="BXZ1630" s="1"/>
      <c r="BYA1630" s="1"/>
      <c r="BYB1630" s="1"/>
      <c r="BYC1630" s="1"/>
      <c r="BYD1630" s="1"/>
      <c r="BYE1630" s="1"/>
      <c r="BYF1630" s="1"/>
      <c r="BYG1630" s="1"/>
      <c r="BYH1630" s="1"/>
      <c r="BYI1630" s="1"/>
      <c r="BYJ1630" s="1"/>
      <c r="BYK1630" s="1"/>
      <c r="BYL1630" s="1"/>
      <c r="BYM1630" s="1"/>
      <c r="BYN1630" s="1"/>
      <c r="BYO1630" s="1"/>
      <c r="BYP1630" s="1"/>
      <c r="BYQ1630" s="1"/>
      <c r="BYR1630" s="1"/>
      <c r="BYS1630" s="1"/>
      <c r="BYT1630" s="1"/>
      <c r="BYU1630" s="1"/>
      <c r="BYV1630" s="1"/>
      <c r="BYW1630" s="1"/>
      <c r="BYX1630" s="1"/>
      <c r="BYY1630" s="1"/>
      <c r="BYZ1630" s="1"/>
      <c r="BZA1630" s="1"/>
      <c r="BZB1630" s="1"/>
      <c r="BZC1630" s="1"/>
      <c r="BZD1630" s="1"/>
      <c r="BZE1630" s="1"/>
      <c r="BZF1630" s="1"/>
      <c r="BZG1630" s="1"/>
      <c r="BZH1630" s="1"/>
      <c r="BZI1630" s="1"/>
      <c r="BZJ1630" s="1"/>
      <c r="BZK1630" s="1"/>
      <c r="BZL1630" s="1"/>
      <c r="BZM1630" s="1"/>
      <c r="BZN1630" s="1"/>
      <c r="BZO1630" s="1"/>
      <c r="BZP1630" s="1"/>
      <c r="BZQ1630" s="1"/>
      <c r="BZR1630" s="1"/>
      <c r="BZS1630" s="1"/>
      <c r="BZT1630" s="1"/>
      <c r="BZU1630" s="1"/>
      <c r="BZV1630" s="1"/>
      <c r="BZW1630" s="1"/>
      <c r="BZX1630" s="1"/>
      <c r="BZY1630" s="1"/>
      <c r="BZZ1630" s="1"/>
      <c r="CAA1630" s="1"/>
      <c r="CAB1630" s="1"/>
      <c r="CAC1630" s="1"/>
      <c r="CAD1630" s="1"/>
      <c r="CAE1630" s="1"/>
      <c r="CAF1630" s="1"/>
      <c r="CAG1630" s="1"/>
      <c r="CAH1630" s="1"/>
      <c r="CAI1630" s="1"/>
      <c r="CAJ1630" s="1"/>
      <c r="CAK1630" s="1"/>
      <c r="CAL1630" s="1"/>
      <c r="CAM1630" s="1"/>
      <c r="CAN1630" s="1"/>
      <c r="CAO1630" s="1"/>
      <c r="CAP1630" s="1"/>
      <c r="CAQ1630" s="1"/>
      <c r="CAR1630" s="1"/>
      <c r="CAS1630" s="1"/>
      <c r="CAT1630" s="1"/>
      <c r="CAU1630" s="1"/>
      <c r="CAV1630" s="1"/>
      <c r="CAW1630" s="1"/>
      <c r="CAX1630" s="1"/>
      <c r="CAY1630" s="1"/>
      <c r="CAZ1630" s="1"/>
      <c r="CBA1630" s="1"/>
      <c r="CBB1630" s="1"/>
      <c r="CBC1630" s="1"/>
      <c r="CBD1630" s="1"/>
      <c r="CBE1630" s="1"/>
      <c r="CBF1630" s="1"/>
      <c r="CBG1630" s="1"/>
      <c r="CBH1630" s="1"/>
      <c r="CBI1630" s="1"/>
      <c r="CBJ1630" s="1"/>
      <c r="CBK1630" s="1"/>
      <c r="CBL1630" s="1"/>
      <c r="CBM1630" s="1"/>
      <c r="CBN1630" s="1"/>
      <c r="CBO1630" s="1"/>
      <c r="CBP1630" s="1"/>
      <c r="CBQ1630" s="1"/>
      <c r="CBR1630" s="1"/>
      <c r="CBS1630" s="1"/>
      <c r="CBT1630" s="1"/>
      <c r="CBU1630" s="1"/>
      <c r="CBV1630" s="1"/>
      <c r="CBW1630" s="1"/>
      <c r="CBX1630" s="1"/>
      <c r="CBY1630" s="1"/>
      <c r="CBZ1630" s="1"/>
      <c r="CCA1630" s="1"/>
      <c r="CCB1630" s="1"/>
      <c r="CCC1630" s="1"/>
      <c r="CCD1630" s="1"/>
      <c r="CCE1630" s="1"/>
      <c r="CCF1630" s="1"/>
      <c r="CCG1630" s="1"/>
      <c r="CCH1630" s="1"/>
      <c r="CCI1630" s="1"/>
      <c r="CCJ1630" s="1"/>
      <c r="CCK1630" s="1"/>
      <c r="CCL1630" s="1"/>
      <c r="CCM1630" s="1"/>
      <c r="CCN1630" s="1"/>
      <c r="CCO1630" s="1"/>
      <c r="CCP1630" s="1"/>
      <c r="CCQ1630" s="1"/>
      <c r="CCR1630" s="1"/>
      <c r="CCS1630" s="1"/>
      <c r="CCT1630" s="1"/>
      <c r="CCU1630" s="1"/>
      <c r="CCV1630" s="1"/>
      <c r="CCW1630" s="1"/>
      <c r="CCX1630" s="1"/>
      <c r="CCY1630" s="1"/>
      <c r="CCZ1630" s="1"/>
      <c r="CDA1630" s="1"/>
      <c r="CDB1630" s="1"/>
      <c r="CDC1630" s="1"/>
      <c r="CDD1630" s="1"/>
      <c r="CDE1630" s="1"/>
      <c r="CDF1630" s="1"/>
      <c r="CDG1630" s="1"/>
      <c r="CDH1630" s="1"/>
      <c r="CDI1630" s="1"/>
      <c r="CDJ1630" s="1"/>
      <c r="CDK1630" s="1"/>
      <c r="CDL1630" s="1"/>
      <c r="CDM1630" s="1"/>
      <c r="CDN1630" s="1"/>
      <c r="CDO1630" s="1"/>
      <c r="CDP1630" s="1"/>
      <c r="CDQ1630" s="1"/>
      <c r="CDR1630" s="1"/>
      <c r="CDS1630" s="1"/>
      <c r="CDT1630" s="1"/>
      <c r="CDU1630" s="1"/>
      <c r="CDV1630" s="1"/>
      <c r="CDW1630" s="1"/>
      <c r="CDX1630" s="1"/>
      <c r="CDY1630" s="1"/>
      <c r="CDZ1630" s="1"/>
      <c r="CEA1630" s="1"/>
      <c r="CEB1630" s="1"/>
      <c r="CEC1630" s="1"/>
      <c r="CED1630" s="1"/>
      <c r="CEE1630" s="1"/>
      <c r="CEF1630" s="1"/>
      <c r="CEG1630" s="1"/>
      <c r="CEH1630" s="1"/>
      <c r="CEI1630" s="1"/>
      <c r="CEJ1630" s="1"/>
      <c r="CEK1630" s="1"/>
      <c r="CEL1630" s="1"/>
      <c r="CEM1630" s="1"/>
      <c r="CEN1630" s="1"/>
      <c r="CEO1630" s="1"/>
      <c r="CEP1630" s="1"/>
      <c r="CEQ1630" s="1"/>
      <c r="CER1630" s="1"/>
      <c r="CES1630" s="1"/>
      <c r="CET1630" s="1"/>
      <c r="CEU1630" s="1"/>
      <c r="CEV1630" s="1"/>
      <c r="CEW1630" s="1"/>
      <c r="CEX1630" s="1"/>
      <c r="CEY1630" s="1"/>
      <c r="CEZ1630" s="1"/>
      <c r="CFA1630" s="1"/>
      <c r="CFB1630" s="1"/>
      <c r="CFC1630" s="1"/>
      <c r="CFD1630" s="1"/>
      <c r="CFE1630" s="1"/>
      <c r="CFF1630" s="1"/>
      <c r="CFG1630" s="1"/>
      <c r="CFH1630" s="1"/>
      <c r="CFI1630" s="1"/>
      <c r="CFJ1630" s="1"/>
      <c r="CFK1630" s="1"/>
      <c r="CFL1630" s="1"/>
      <c r="CFM1630" s="1"/>
      <c r="CFN1630" s="1"/>
      <c r="CFO1630" s="1"/>
      <c r="CFP1630" s="1"/>
      <c r="CFQ1630" s="1"/>
      <c r="CFR1630" s="1"/>
      <c r="CFS1630" s="1"/>
      <c r="CFT1630" s="1"/>
      <c r="CFU1630" s="1"/>
      <c r="CFV1630" s="1"/>
      <c r="CFW1630" s="1"/>
      <c r="CFX1630" s="1"/>
      <c r="CFY1630" s="1"/>
      <c r="CFZ1630" s="1"/>
      <c r="CGA1630" s="1"/>
      <c r="CGB1630" s="1"/>
      <c r="CGC1630" s="1"/>
      <c r="CGD1630" s="1"/>
      <c r="CGE1630" s="1"/>
      <c r="CGF1630" s="1"/>
      <c r="CGG1630" s="1"/>
      <c r="CGH1630" s="1"/>
      <c r="CGI1630" s="1"/>
      <c r="CGJ1630" s="1"/>
      <c r="CGK1630" s="1"/>
      <c r="CGL1630" s="1"/>
      <c r="CGM1630" s="1"/>
      <c r="CGN1630" s="1"/>
      <c r="CGO1630" s="1"/>
      <c r="CGP1630" s="1"/>
      <c r="CGQ1630" s="1"/>
      <c r="CGR1630" s="1"/>
      <c r="CGS1630" s="1"/>
      <c r="CGT1630" s="1"/>
      <c r="CGU1630" s="1"/>
      <c r="CGV1630" s="1"/>
      <c r="CGW1630" s="1"/>
      <c r="CGX1630" s="1"/>
      <c r="CGY1630" s="1"/>
      <c r="CGZ1630" s="1"/>
      <c r="CHA1630" s="1"/>
      <c r="CHB1630" s="1"/>
      <c r="CHC1630" s="1"/>
      <c r="CHD1630" s="1"/>
      <c r="CHE1630" s="1"/>
      <c r="CHF1630" s="1"/>
      <c r="CHG1630" s="1"/>
      <c r="CHH1630" s="1"/>
      <c r="CHI1630" s="1"/>
      <c r="CHJ1630" s="1"/>
      <c r="CHK1630" s="1"/>
      <c r="CHL1630" s="1"/>
      <c r="CHM1630" s="1"/>
      <c r="CHN1630" s="1"/>
      <c r="CHO1630" s="1"/>
      <c r="CHP1630" s="1"/>
      <c r="CHQ1630" s="1"/>
      <c r="CHR1630" s="1"/>
      <c r="CHS1630" s="1"/>
      <c r="CHT1630" s="1"/>
      <c r="CHU1630" s="1"/>
      <c r="CHV1630" s="1"/>
      <c r="CHW1630" s="1"/>
      <c r="CHX1630" s="1"/>
      <c r="CHY1630" s="1"/>
      <c r="CHZ1630" s="1"/>
      <c r="CIA1630" s="1"/>
      <c r="CIB1630" s="1"/>
      <c r="CIC1630" s="1"/>
      <c r="CID1630" s="1"/>
      <c r="CIE1630" s="1"/>
      <c r="CIF1630" s="1"/>
      <c r="CIG1630" s="1"/>
      <c r="CIH1630" s="1"/>
      <c r="CII1630" s="1"/>
      <c r="CIJ1630" s="1"/>
      <c r="CIK1630" s="1"/>
      <c r="CIL1630" s="1"/>
      <c r="CIM1630" s="1"/>
      <c r="CIN1630" s="1"/>
      <c r="CIO1630" s="1"/>
      <c r="CIP1630" s="1"/>
      <c r="CIQ1630" s="1"/>
      <c r="CIR1630" s="1"/>
      <c r="CIS1630" s="1"/>
      <c r="CIT1630" s="1"/>
      <c r="CIU1630" s="1"/>
      <c r="CIV1630" s="1"/>
      <c r="CIW1630" s="1"/>
      <c r="CIX1630" s="1"/>
      <c r="CIY1630" s="1"/>
      <c r="CIZ1630" s="1"/>
      <c r="CJA1630" s="1"/>
      <c r="CJB1630" s="1"/>
      <c r="CJC1630" s="1"/>
      <c r="CJD1630" s="1"/>
      <c r="CJE1630" s="1"/>
      <c r="CJF1630" s="1"/>
      <c r="CJG1630" s="1"/>
      <c r="CJH1630" s="1"/>
      <c r="CJI1630" s="1"/>
      <c r="CJJ1630" s="1"/>
      <c r="CJK1630" s="1"/>
      <c r="CJL1630" s="1"/>
      <c r="CJM1630" s="1"/>
      <c r="CJN1630" s="1"/>
      <c r="CJO1630" s="1"/>
      <c r="CJP1630" s="1"/>
      <c r="CJQ1630" s="1"/>
      <c r="CJR1630" s="1"/>
      <c r="CJS1630" s="1"/>
      <c r="CJT1630" s="1"/>
      <c r="CJU1630" s="1"/>
      <c r="CJV1630" s="1"/>
      <c r="CJW1630" s="1"/>
      <c r="CJX1630" s="1"/>
      <c r="CJY1630" s="1"/>
      <c r="CJZ1630" s="1"/>
      <c r="CKA1630" s="1"/>
      <c r="CKB1630" s="1"/>
      <c r="CKC1630" s="1"/>
      <c r="CKD1630" s="1"/>
      <c r="CKE1630" s="1"/>
      <c r="CKF1630" s="1"/>
      <c r="CKG1630" s="1"/>
      <c r="CKH1630" s="1"/>
      <c r="CKI1630" s="1"/>
      <c r="CKJ1630" s="1"/>
      <c r="CKK1630" s="1"/>
      <c r="CKL1630" s="1"/>
      <c r="CKM1630" s="1"/>
      <c r="CKN1630" s="1"/>
      <c r="CKO1630" s="1"/>
      <c r="CKP1630" s="1"/>
      <c r="CKQ1630" s="1"/>
      <c r="CKR1630" s="1"/>
      <c r="CKS1630" s="1"/>
      <c r="CKT1630" s="1"/>
      <c r="CKU1630" s="1"/>
      <c r="CKV1630" s="1"/>
      <c r="CKW1630" s="1"/>
      <c r="CKX1630" s="1"/>
      <c r="CKY1630" s="1"/>
      <c r="CKZ1630" s="1"/>
      <c r="CLA1630" s="1"/>
      <c r="CLB1630" s="1"/>
      <c r="CLC1630" s="1"/>
      <c r="CLD1630" s="1"/>
      <c r="CLE1630" s="1"/>
      <c r="CLF1630" s="1"/>
      <c r="CLG1630" s="1"/>
      <c r="CLH1630" s="1"/>
      <c r="CLI1630" s="1"/>
      <c r="CLJ1630" s="1"/>
      <c r="CLK1630" s="1"/>
      <c r="CLL1630" s="1"/>
      <c r="CLM1630" s="1"/>
      <c r="CLN1630" s="1"/>
      <c r="CLO1630" s="1"/>
      <c r="CLP1630" s="1"/>
      <c r="CLQ1630" s="1"/>
      <c r="CLR1630" s="1"/>
      <c r="CLS1630" s="1"/>
      <c r="CLT1630" s="1"/>
      <c r="CLU1630" s="1"/>
      <c r="CLV1630" s="1"/>
      <c r="CLW1630" s="1"/>
      <c r="CLX1630" s="1"/>
      <c r="CLY1630" s="1"/>
      <c r="CLZ1630" s="1"/>
      <c r="CMA1630" s="1"/>
      <c r="CMB1630" s="1"/>
      <c r="CMC1630" s="1"/>
      <c r="CMD1630" s="1"/>
      <c r="CME1630" s="1"/>
      <c r="CMF1630" s="1"/>
      <c r="CMG1630" s="1"/>
      <c r="CMH1630" s="1"/>
      <c r="CMI1630" s="1"/>
      <c r="CMJ1630" s="1"/>
      <c r="CMK1630" s="1"/>
      <c r="CML1630" s="1"/>
      <c r="CMM1630" s="1"/>
      <c r="CMN1630" s="1"/>
      <c r="CMO1630" s="1"/>
      <c r="CMP1630" s="1"/>
      <c r="CMQ1630" s="1"/>
      <c r="CMR1630" s="1"/>
      <c r="CMS1630" s="1"/>
      <c r="CMT1630" s="1"/>
      <c r="CMU1630" s="1"/>
      <c r="CMV1630" s="1"/>
      <c r="CMW1630" s="1"/>
      <c r="CMX1630" s="1"/>
      <c r="CMY1630" s="1"/>
      <c r="CMZ1630" s="1"/>
      <c r="CNA1630" s="1"/>
      <c r="CNB1630" s="1"/>
      <c r="CNC1630" s="1"/>
      <c r="CND1630" s="1"/>
      <c r="CNE1630" s="1"/>
      <c r="CNF1630" s="1"/>
      <c r="CNG1630" s="1"/>
      <c r="CNH1630" s="1"/>
      <c r="CNI1630" s="1"/>
      <c r="CNJ1630" s="1"/>
      <c r="CNK1630" s="1"/>
      <c r="CNL1630" s="1"/>
      <c r="CNM1630" s="1"/>
      <c r="CNN1630" s="1"/>
      <c r="CNO1630" s="1"/>
      <c r="CNP1630" s="1"/>
      <c r="CNQ1630" s="1"/>
      <c r="CNR1630" s="1"/>
      <c r="CNS1630" s="1"/>
      <c r="CNT1630" s="1"/>
      <c r="CNU1630" s="1"/>
      <c r="CNV1630" s="1"/>
      <c r="CNW1630" s="1"/>
      <c r="CNX1630" s="1"/>
      <c r="CNY1630" s="1"/>
      <c r="CNZ1630" s="1"/>
      <c r="COA1630" s="1"/>
      <c r="COB1630" s="1"/>
      <c r="COC1630" s="1"/>
      <c r="COD1630" s="1"/>
      <c r="COE1630" s="1"/>
      <c r="COF1630" s="1"/>
      <c r="COG1630" s="1"/>
      <c r="COH1630" s="1"/>
      <c r="COI1630" s="1"/>
      <c r="COJ1630" s="1"/>
      <c r="COK1630" s="1"/>
      <c r="COL1630" s="1"/>
      <c r="COM1630" s="1"/>
      <c r="CON1630" s="1"/>
      <c r="COO1630" s="1"/>
      <c r="COP1630" s="1"/>
      <c r="COQ1630" s="1"/>
      <c r="COR1630" s="1"/>
      <c r="COS1630" s="1"/>
      <c r="COT1630" s="1"/>
      <c r="COU1630" s="1"/>
      <c r="COV1630" s="1"/>
      <c r="COW1630" s="1"/>
      <c r="COX1630" s="1"/>
      <c r="COY1630" s="1"/>
      <c r="COZ1630" s="1"/>
      <c r="CPA1630" s="1"/>
      <c r="CPB1630" s="1"/>
      <c r="CPC1630" s="1"/>
      <c r="CPD1630" s="1"/>
      <c r="CPE1630" s="1"/>
      <c r="CPF1630" s="1"/>
      <c r="CPG1630" s="1"/>
      <c r="CPH1630" s="1"/>
      <c r="CPI1630" s="1"/>
      <c r="CPJ1630" s="1"/>
      <c r="CPK1630" s="1"/>
      <c r="CPL1630" s="1"/>
      <c r="CPM1630" s="1"/>
      <c r="CPN1630" s="1"/>
      <c r="CPO1630" s="1"/>
      <c r="CPP1630" s="1"/>
      <c r="CPQ1630" s="1"/>
      <c r="CPR1630" s="1"/>
      <c r="CPS1630" s="1"/>
      <c r="CPT1630" s="1"/>
      <c r="CPU1630" s="1"/>
      <c r="CPV1630" s="1"/>
      <c r="CPW1630" s="1"/>
      <c r="CPX1630" s="1"/>
      <c r="CPY1630" s="1"/>
      <c r="CPZ1630" s="1"/>
      <c r="CQA1630" s="1"/>
      <c r="CQB1630" s="1"/>
      <c r="CQC1630" s="1"/>
      <c r="CQD1630" s="1"/>
      <c r="CQE1630" s="1"/>
      <c r="CQF1630" s="1"/>
      <c r="CQG1630" s="1"/>
      <c r="CQH1630" s="1"/>
      <c r="CQI1630" s="1"/>
      <c r="CQJ1630" s="1"/>
      <c r="CQK1630" s="1"/>
      <c r="CQL1630" s="1"/>
      <c r="CQM1630" s="1"/>
      <c r="CQN1630" s="1"/>
      <c r="CQO1630" s="1"/>
      <c r="CQP1630" s="1"/>
      <c r="CQQ1630" s="1"/>
      <c r="CQR1630" s="1"/>
      <c r="CQS1630" s="1"/>
      <c r="CQT1630" s="1"/>
      <c r="CQU1630" s="1"/>
      <c r="CQV1630" s="1"/>
      <c r="CQW1630" s="1"/>
      <c r="CQX1630" s="1"/>
      <c r="CQY1630" s="1"/>
      <c r="CQZ1630" s="1"/>
      <c r="CRA1630" s="1"/>
      <c r="CRB1630" s="1"/>
      <c r="CRC1630" s="1"/>
      <c r="CRD1630" s="1"/>
      <c r="CRE1630" s="1"/>
      <c r="CRF1630" s="1"/>
      <c r="CRG1630" s="1"/>
      <c r="CRH1630" s="1"/>
      <c r="CRI1630" s="1"/>
      <c r="CRJ1630" s="1"/>
      <c r="CRK1630" s="1"/>
      <c r="CRL1630" s="1"/>
      <c r="CRM1630" s="1"/>
      <c r="CRN1630" s="1"/>
      <c r="CRO1630" s="1"/>
      <c r="CRP1630" s="1"/>
      <c r="CRQ1630" s="1"/>
      <c r="CRR1630" s="1"/>
      <c r="CRS1630" s="1"/>
      <c r="CRT1630" s="1"/>
      <c r="CRU1630" s="1"/>
      <c r="CRV1630" s="1"/>
      <c r="CRW1630" s="1"/>
      <c r="CRX1630" s="1"/>
      <c r="CRY1630" s="1"/>
      <c r="CRZ1630" s="1"/>
      <c r="CSA1630" s="1"/>
      <c r="CSB1630" s="1"/>
      <c r="CSC1630" s="1"/>
      <c r="CSD1630" s="1"/>
      <c r="CSE1630" s="1"/>
      <c r="CSF1630" s="1"/>
      <c r="CSG1630" s="1"/>
      <c r="CSH1630" s="1"/>
      <c r="CSI1630" s="1"/>
      <c r="CSJ1630" s="1"/>
      <c r="CSK1630" s="1"/>
      <c r="CSL1630" s="1"/>
      <c r="CSM1630" s="1"/>
      <c r="CSN1630" s="1"/>
      <c r="CSO1630" s="1"/>
      <c r="CSP1630" s="1"/>
      <c r="CSQ1630" s="1"/>
      <c r="CSR1630" s="1"/>
      <c r="CSS1630" s="1"/>
      <c r="CST1630" s="1"/>
      <c r="CSU1630" s="1"/>
      <c r="CSV1630" s="1"/>
      <c r="CSW1630" s="1"/>
      <c r="CSX1630" s="1"/>
      <c r="CSY1630" s="1"/>
      <c r="CSZ1630" s="1"/>
      <c r="CTA1630" s="1"/>
      <c r="CTB1630" s="1"/>
      <c r="CTC1630" s="1"/>
      <c r="CTD1630" s="1"/>
      <c r="CTE1630" s="1"/>
      <c r="CTF1630" s="1"/>
      <c r="CTG1630" s="1"/>
      <c r="CTH1630" s="1"/>
      <c r="CTI1630" s="1"/>
      <c r="CTJ1630" s="1"/>
      <c r="CTK1630" s="1"/>
      <c r="CTL1630" s="1"/>
      <c r="CTM1630" s="1"/>
      <c r="CTN1630" s="1"/>
      <c r="CTO1630" s="1"/>
      <c r="CTP1630" s="1"/>
      <c r="CTQ1630" s="1"/>
      <c r="CTR1630" s="1"/>
      <c r="CTS1630" s="1"/>
      <c r="CTT1630" s="1"/>
      <c r="CTU1630" s="1"/>
      <c r="CTV1630" s="1"/>
      <c r="CTW1630" s="1"/>
      <c r="CTX1630" s="1"/>
      <c r="CTY1630" s="1"/>
      <c r="CTZ1630" s="1"/>
      <c r="CUA1630" s="1"/>
      <c r="CUB1630" s="1"/>
      <c r="CUC1630" s="1"/>
      <c r="CUD1630" s="1"/>
      <c r="CUE1630" s="1"/>
      <c r="CUF1630" s="1"/>
      <c r="CUG1630" s="1"/>
      <c r="CUH1630" s="1"/>
      <c r="CUI1630" s="1"/>
      <c r="CUJ1630" s="1"/>
      <c r="CUK1630" s="1"/>
      <c r="CUL1630" s="1"/>
      <c r="CUM1630" s="1"/>
      <c r="CUN1630" s="1"/>
      <c r="CUO1630" s="1"/>
      <c r="CUP1630" s="1"/>
      <c r="CUQ1630" s="1"/>
      <c r="CUR1630" s="1"/>
      <c r="CUS1630" s="1"/>
      <c r="CUT1630" s="1"/>
      <c r="CUU1630" s="1"/>
      <c r="CUV1630" s="1"/>
      <c r="CUW1630" s="1"/>
      <c r="CUX1630" s="1"/>
      <c r="CUY1630" s="1"/>
      <c r="CUZ1630" s="1"/>
      <c r="CVA1630" s="1"/>
      <c r="CVB1630" s="1"/>
      <c r="CVC1630" s="1"/>
      <c r="CVD1630" s="1"/>
      <c r="CVE1630" s="1"/>
      <c r="CVF1630" s="1"/>
      <c r="CVG1630" s="1"/>
      <c r="CVH1630" s="1"/>
      <c r="CVI1630" s="1"/>
      <c r="CVJ1630" s="1"/>
      <c r="CVK1630" s="1"/>
      <c r="CVL1630" s="1"/>
      <c r="CVM1630" s="1"/>
      <c r="CVN1630" s="1"/>
      <c r="CVO1630" s="1"/>
      <c r="CVP1630" s="1"/>
      <c r="CVQ1630" s="1"/>
      <c r="CVR1630" s="1"/>
      <c r="CVS1630" s="1"/>
      <c r="CVT1630" s="1"/>
      <c r="CVU1630" s="1"/>
      <c r="CVV1630" s="1"/>
      <c r="CVW1630" s="1"/>
      <c r="CVX1630" s="1"/>
      <c r="CVY1630" s="1"/>
      <c r="CVZ1630" s="1"/>
      <c r="CWA1630" s="1"/>
      <c r="CWB1630" s="1"/>
      <c r="CWC1630" s="1"/>
      <c r="CWD1630" s="1"/>
      <c r="CWE1630" s="1"/>
      <c r="CWF1630" s="1"/>
      <c r="CWG1630" s="1"/>
      <c r="CWH1630" s="1"/>
      <c r="CWI1630" s="1"/>
      <c r="CWJ1630" s="1"/>
      <c r="CWK1630" s="1"/>
      <c r="CWL1630" s="1"/>
      <c r="CWM1630" s="1"/>
      <c r="CWN1630" s="1"/>
      <c r="CWO1630" s="1"/>
      <c r="CWP1630" s="1"/>
      <c r="CWQ1630" s="1"/>
      <c r="CWR1630" s="1"/>
      <c r="CWS1630" s="1"/>
      <c r="CWT1630" s="1"/>
      <c r="CWU1630" s="1"/>
      <c r="CWV1630" s="1"/>
      <c r="CWW1630" s="1"/>
      <c r="CWX1630" s="1"/>
      <c r="CWY1630" s="1"/>
      <c r="CWZ1630" s="1"/>
      <c r="CXA1630" s="1"/>
      <c r="CXB1630" s="1"/>
      <c r="CXC1630" s="1"/>
      <c r="CXD1630" s="1"/>
      <c r="CXE1630" s="1"/>
      <c r="CXF1630" s="1"/>
      <c r="CXG1630" s="1"/>
      <c r="CXH1630" s="1"/>
      <c r="CXI1630" s="1"/>
      <c r="CXJ1630" s="1"/>
      <c r="CXK1630" s="1"/>
      <c r="CXL1630" s="1"/>
      <c r="CXM1630" s="1"/>
      <c r="CXN1630" s="1"/>
      <c r="CXO1630" s="1"/>
      <c r="CXP1630" s="1"/>
      <c r="CXQ1630" s="1"/>
      <c r="CXR1630" s="1"/>
      <c r="CXS1630" s="1"/>
      <c r="CXT1630" s="1"/>
      <c r="CXU1630" s="1"/>
      <c r="CXV1630" s="1"/>
      <c r="CXW1630" s="1"/>
      <c r="CXX1630" s="1"/>
      <c r="CXY1630" s="1"/>
      <c r="CXZ1630" s="1"/>
      <c r="CYA1630" s="1"/>
      <c r="CYB1630" s="1"/>
      <c r="CYC1630" s="1"/>
      <c r="CYD1630" s="1"/>
      <c r="CYE1630" s="1"/>
      <c r="CYF1630" s="1"/>
      <c r="CYG1630" s="1"/>
      <c r="CYH1630" s="1"/>
      <c r="CYI1630" s="1"/>
      <c r="CYJ1630" s="1"/>
      <c r="CYK1630" s="1"/>
      <c r="CYL1630" s="1"/>
      <c r="CYM1630" s="1"/>
      <c r="CYN1630" s="1"/>
      <c r="CYO1630" s="1"/>
      <c r="CYP1630" s="1"/>
      <c r="CYQ1630" s="1"/>
      <c r="CYR1630" s="1"/>
      <c r="CYS1630" s="1"/>
      <c r="CYT1630" s="1"/>
      <c r="CYU1630" s="1"/>
      <c r="CYV1630" s="1"/>
      <c r="CYW1630" s="1"/>
      <c r="CYX1630" s="1"/>
      <c r="CYY1630" s="1"/>
      <c r="CYZ1630" s="1"/>
      <c r="CZA1630" s="1"/>
      <c r="CZB1630" s="1"/>
      <c r="CZC1630" s="1"/>
      <c r="CZD1630" s="1"/>
      <c r="CZE1630" s="1"/>
      <c r="CZF1630" s="1"/>
      <c r="CZG1630" s="1"/>
      <c r="CZH1630" s="1"/>
      <c r="CZI1630" s="1"/>
      <c r="CZJ1630" s="1"/>
      <c r="CZK1630" s="1"/>
      <c r="CZL1630" s="1"/>
      <c r="CZM1630" s="1"/>
      <c r="CZN1630" s="1"/>
      <c r="CZO1630" s="1"/>
      <c r="CZP1630" s="1"/>
      <c r="CZQ1630" s="1"/>
      <c r="CZR1630" s="1"/>
      <c r="CZS1630" s="1"/>
      <c r="CZT1630" s="1"/>
      <c r="CZU1630" s="1"/>
      <c r="CZV1630" s="1"/>
      <c r="CZW1630" s="1"/>
      <c r="CZX1630" s="1"/>
      <c r="CZY1630" s="1"/>
      <c r="CZZ1630" s="1"/>
      <c r="DAA1630" s="1"/>
      <c r="DAB1630" s="1"/>
      <c r="DAC1630" s="1"/>
      <c r="DAD1630" s="1"/>
      <c r="DAE1630" s="1"/>
      <c r="DAF1630" s="1"/>
      <c r="DAG1630" s="1"/>
      <c r="DAH1630" s="1"/>
      <c r="DAI1630" s="1"/>
      <c r="DAJ1630" s="1"/>
      <c r="DAK1630" s="1"/>
      <c r="DAL1630" s="1"/>
      <c r="DAM1630" s="1"/>
      <c r="DAN1630" s="1"/>
      <c r="DAO1630" s="1"/>
      <c r="DAP1630" s="1"/>
      <c r="DAQ1630" s="1"/>
      <c r="DAR1630" s="1"/>
      <c r="DAS1630" s="1"/>
      <c r="DAT1630" s="1"/>
      <c r="DAU1630" s="1"/>
      <c r="DAV1630" s="1"/>
      <c r="DAW1630" s="1"/>
      <c r="DAX1630" s="1"/>
      <c r="DAY1630" s="1"/>
      <c r="DAZ1630" s="1"/>
      <c r="DBA1630" s="1"/>
      <c r="DBB1630" s="1"/>
      <c r="DBC1630" s="1"/>
      <c r="DBD1630" s="1"/>
      <c r="DBE1630" s="1"/>
      <c r="DBF1630" s="1"/>
      <c r="DBG1630" s="1"/>
      <c r="DBH1630" s="1"/>
      <c r="DBI1630" s="1"/>
      <c r="DBJ1630" s="1"/>
      <c r="DBK1630" s="1"/>
      <c r="DBL1630" s="1"/>
      <c r="DBM1630" s="1"/>
      <c r="DBN1630" s="1"/>
      <c r="DBO1630" s="1"/>
      <c r="DBP1630" s="1"/>
      <c r="DBQ1630" s="1"/>
      <c r="DBR1630" s="1"/>
      <c r="DBS1630" s="1"/>
      <c r="DBT1630" s="1"/>
      <c r="DBU1630" s="1"/>
      <c r="DBV1630" s="1"/>
      <c r="DBW1630" s="1"/>
      <c r="DBX1630" s="1"/>
      <c r="DBY1630" s="1"/>
      <c r="DBZ1630" s="1"/>
      <c r="DCA1630" s="1"/>
      <c r="DCB1630" s="1"/>
      <c r="DCC1630" s="1"/>
      <c r="DCD1630" s="1"/>
      <c r="DCE1630" s="1"/>
      <c r="DCF1630" s="1"/>
      <c r="DCG1630" s="1"/>
      <c r="DCH1630" s="1"/>
      <c r="DCI1630" s="1"/>
      <c r="DCJ1630" s="1"/>
      <c r="DCK1630" s="1"/>
      <c r="DCL1630" s="1"/>
      <c r="DCM1630" s="1"/>
      <c r="DCN1630" s="1"/>
      <c r="DCO1630" s="1"/>
      <c r="DCP1630" s="1"/>
      <c r="DCQ1630" s="1"/>
      <c r="DCR1630" s="1"/>
      <c r="DCS1630" s="1"/>
      <c r="DCT1630" s="1"/>
      <c r="DCU1630" s="1"/>
      <c r="DCV1630" s="1"/>
      <c r="DCW1630" s="1"/>
      <c r="DCX1630" s="1"/>
      <c r="DCY1630" s="1"/>
      <c r="DCZ1630" s="1"/>
      <c r="DDA1630" s="1"/>
      <c r="DDB1630" s="1"/>
      <c r="DDC1630" s="1"/>
      <c r="DDD1630" s="1"/>
      <c r="DDE1630" s="1"/>
      <c r="DDF1630" s="1"/>
      <c r="DDG1630" s="1"/>
      <c r="DDH1630" s="1"/>
      <c r="DDI1630" s="1"/>
      <c r="DDJ1630" s="1"/>
      <c r="DDK1630" s="1"/>
      <c r="DDL1630" s="1"/>
      <c r="DDM1630" s="1"/>
      <c r="DDN1630" s="1"/>
      <c r="DDO1630" s="1"/>
      <c r="DDP1630" s="1"/>
      <c r="DDQ1630" s="1"/>
      <c r="DDR1630" s="1"/>
      <c r="DDS1630" s="1"/>
      <c r="DDT1630" s="1"/>
      <c r="DDU1630" s="1"/>
      <c r="DDV1630" s="1"/>
      <c r="DDW1630" s="1"/>
      <c r="DDX1630" s="1"/>
      <c r="DDY1630" s="1"/>
      <c r="DDZ1630" s="1"/>
      <c r="DEA1630" s="1"/>
      <c r="DEB1630" s="1"/>
      <c r="DEC1630" s="1"/>
      <c r="DED1630" s="1"/>
      <c r="DEE1630" s="1"/>
      <c r="DEF1630" s="1"/>
      <c r="DEG1630" s="1"/>
      <c r="DEH1630" s="1"/>
      <c r="DEI1630" s="1"/>
      <c r="DEJ1630" s="1"/>
      <c r="DEK1630" s="1"/>
      <c r="DEL1630" s="1"/>
      <c r="DEM1630" s="1"/>
      <c r="DEN1630" s="1"/>
      <c r="DEO1630" s="1"/>
      <c r="DEP1630" s="1"/>
      <c r="DEQ1630" s="1"/>
      <c r="DER1630" s="1"/>
      <c r="DES1630" s="1"/>
      <c r="DET1630" s="1"/>
      <c r="DEU1630" s="1"/>
      <c r="DEV1630" s="1"/>
      <c r="DEW1630" s="1"/>
      <c r="DEX1630" s="1"/>
      <c r="DEY1630" s="1"/>
      <c r="DEZ1630" s="1"/>
      <c r="DFA1630" s="1"/>
      <c r="DFB1630" s="1"/>
      <c r="DFC1630" s="1"/>
      <c r="DFD1630" s="1"/>
      <c r="DFE1630" s="1"/>
      <c r="DFF1630" s="1"/>
      <c r="DFG1630" s="1"/>
      <c r="DFH1630" s="1"/>
      <c r="DFI1630" s="1"/>
      <c r="DFJ1630" s="1"/>
      <c r="DFK1630" s="1"/>
      <c r="DFL1630" s="1"/>
      <c r="DFM1630" s="1"/>
      <c r="DFN1630" s="1"/>
      <c r="DFO1630" s="1"/>
      <c r="DFP1630" s="1"/>
      <c r="DFQ1630" s="1"/>
      <c r="DFR1630" s="1"/>
      <c r="DFS1630" s="1"/>
      <c r="DFT1630" s="1"/>
      <c r="DFU1630" s="1"/>
      <c r="DFV1630" s="1"/>
      <c r="DFW1630" s="1"/>
      <c r="DFX1630" s="1"/>
      <c r="DFY1630" s="1"/>
      <c r="DFZ1630" s="1"/>
      <c r="DGA1630" s="1"/>
      <c r="DGB1630" s="1"/>
      <c r="DGC1630" s="1"/>
      <c r="DGD1630" s="1"/>
      <c r="DGE1630" s="1"/>
      <c r="DGF1630" s="1"/>
      <c r="DGG1630" s="1"/>
      <c r="DGH1630" s="1"/>
      <c r="DGI1630" s="1"/>
      <c r="DGJ1630" s="1"/>
      <c r="DGK1630" s="1"/>
      <c r="DGL1630" s="1"/>
      <c r="DGM1630" s="1"/>
      <c r="DGN1630" s="1"/>
      <c r="DGO1630" s="1"/>
      <c r="DGP1630" s="1"/>
      <c r="DGQ1630" s="1"/>
      <c r="DGR1630" s="1"/>
      <c r="DGS1630" s="1"/>
      <c r="DGT1630" s="1"/>
      <c r="DGU1630" s="1"/>
      <c r="DGV1630" s="1"/>
      <c r="DGW1630" s="1"/>
      <c r="DGX1630" s="1"/>
      <c r="DGY1630" s="1"/>
      <c r="DGZ1630" s="1"/>
      <c r="DHA1630" s="1"/>
      <c r="DHB1630" s="1"/>
      <c r="DHC1630" s="1"/>
      <c r="DHD1630" s="1"/>
      <c r="DHE1630" s="1"/>
      <c r="DHF1630" s="1"/>
      <c r="DHG1630" s="1"/>
      <c r="DHH1630" s="1"/>
      <c r="DHI1630" s="1"/>
      <c r="DHJ1630" s="1"/>
      <c r="DHK1630" s="1"/>
      <c r="DHL1630" s="1"/>
      <c r="DHM1630" s="1"/>
      <c r="DHN1630" s="1"/>
      <c r="DHO1630" s="1"/>
      <c r="DHP1630" s="1"/>
      <c r="DHQ1630" s="1"/>
      <c r="DHR1630" s="1"/>
      <c r="DHS1630" s="1"/>
      <c r="DHT1630" s="1"/>
      <c r="DHU1630" s="1"/>
      <c r="DHV1630" s="1"/>
      <c r="DHW1630" s="1"/>
      <c r="DHX1630" s="1"/>
      <c r="DHY1630" s="1"/>
      <c r="DHZ1630" s="1"/>
      <c r="DIA1630" s="1"/>
      <c r="DIB1630" s="1"/>
      <c r="DIC1630" s="1"/>
      <c r="DID1630" s="1"/>
      <c r="DIE1630" s="1"/>
      <c r="DIF1630" s="1"/>
      <c r="DIG1630" s="1"/>
      <c r="DIH1630" s="1"/>
      <c r="DII1630" s="1"/>
      <c r="DIJ1630" s="1"/>
      <c r="DIK1630" s="1"/>
      <c r="DIL1630" s="1"/>
      <c r="DIM1630" s="1"/>
      <c r="DIN1630" s="1"/>
      <c r="DIO1630" s="1"/>
      <c r="DIP1630" s="1"/>
      <c r="DIQ1630" s="1"/>
      <c r="DIR1630" s="1"/>
      <c r="DIS1630" s="1"/>
      <c r="DIT1630" s="1"/>
      <c r="DIU1630" s="1"/>
      <c r="DIV1630" s="1"/>
      <c r="DIW1630" s="1"/>
      <c r="DIX1630" s="1"/>
      <c r="DIY1630" s="1"/>
      <c r="DIZ1630" s="1"/>
      <c r="DJA1630" s="1"/>
      <c r="DJB1630" s="1"/>
      <c r="DJC1630" s="1"/>
      <c r="DJD1630" s="1"/>
      <c r="DJE1630" s="1"/>
      <c r="DJF1630" s="1"/>
      <c r="DJG1630" s="1"/>
      <c r="DJH1630" s="1"/>
      <c r="DJI1630" s="1"/>
      <c r="DJJ1630" s="1"/>
      <c r="DJK1630" s="1"/>
      <c r="DJL1630" s="1"/>
      <c r="DJM1630" s="1"/>
      <c r="DJN1630" s="1"/>
      <c r="DJO1630" s="1"/>
      <c r="DJP1630" s="1"/>
      <c r="DJQ1630" s="1"/>
      <c r="DJR1630" s="1"/>
      <c r="DJS1630" s="1"/>
      <c r="DJT1630" s="1"/>
      <c r="DJU1630" s="1"/>
      <c r="DJV1630" s="1"/>
      <c r="DJW1630" s="1"/>
      <c r="DJX1630" s="1"/>
      <c r="DJY1630" s="1"/>
      <c r="DJZ1630" s="1"/>
      <c r="DKA1630" s="1"/>
      <c r="DKB1630" s="1"/>
      <c r="DKC1630" s="1"/>
      <c r="DKD1630" s="1"/>
      <c r="DKE1630" s="1"/>
      <c r="DKF1630" s="1"/>
      <c r="DKG1630" s="1"/>
      <c r="DKH1630" s="1"/>
      <c r="DKI1630" s="1"/>
      <c r="DKJ1630" s="1"/>
      <c r="DKK1630" s="1"/>
      <c r="DKL1630" s="1"/>
      <c r="DKM1630" s="1"/>
      <c r="DKN1630" s="1"/>
      <c r="DKO1630" s="1"/>
      <c r="DKP1630" s="1"/>
      <c r="DKQ1630" s="1"/>
      <c r="DKR1630" s="1"/>
      <c r="DKS1630" s="1"/>
      <c r="DKT1630" s="1"/>
      <c r="DKU1630" s="1"/>
      <c r="DKV1630" s="1"/>
      <c r="DKW1630" s="1"/>
      <c r="DKX1630" s="1"/>
      <c r="DKY1630" s="1"/>
      <c r="DKZ1630" s="1"/>
      <c r="DLA1630" s="1"/>
      <c r="DLB1630" s="1"/>
      <c r="DLC1630" s="1"/>
      <c r="DLD1630" s="1"/>
      <c r="DLE1630" s="1"/>
      <c r="DLF1630" s="1"/>
      <c r="DLG1630" s="1"/>
      <c r="DLH1630" s="1"/>
      <c r="DLI1630" s="1"/>
      <c r="DLJ1630" s="1"/>
      <c r="DLK1630" s="1"/>
      <c r="DLL1630" s="1"/>
      <c r="DLM1630" s="1"/>
      <c r="DLN1630" s="1"/>
      <c r="DLO1630" s="1"/>
      <c r="DLP1630" s="1"/>
      <c r="DLQ1630" s="1"/>
      <c r="DLR1630" s="1"/>
      <c r="DLS1630" s="1"/>
      <c r="DLT1630" s="1"/>
      <c r="DLU1630" s="1"/>
      <c r="DLV1630" s="1"/>
      <c r="DLW1630" s="1"/>
      <c r="DLX1630" s="1"/>
      <c r="DLY1630" s="1"/>
      <c r="DLZ1630" s="1"/>
      <c r="DMA1630" s="1"/>
      <c r="DMB1630" s="1"/>
      <c r="DMC1630" s="1"/>
      <c r="DMD1630" s="1"/>
      <c r="DME1630" s="1"/>
      <c r="DMF1630" s="1"/>
      <c r="DMG1630" s="1"/>
      <c r="DMH1630" s="1"/>
      <c r="DMI1630" s="1"/>
      <c r="DMJ1630" s="1"/>
      <c r="DMK1630" s="1"/>
      <c r="DML1630" s="1"/>
      <c r="DMM1630" s="1"/>
      <c r="DMN1630" s="1"/>
      <c r="DMO1630" s="1"/>
      <c r="DMP1630" s="1"/>
      <c r="DMQ1630" s="1"/>
      <c r="DMR1630" s="1"/>
      <c r="DMS1630" s="1"/>
      <c r="DMT1630" s="1"/>
      <c r="DMU1630" s="1"/>
      <c r="DMV1630" s="1"/>
      <c r="DMW1630" s="1"/>
      <c r="DMX1630" s="1"/>
      <c r="DMY1630" s="1"/>
      <c r="DMZ1630" s="1"/>
      <c r="DNA1630" s="1"/>
      <c r="DNB1630" s="1"/>
      <c r="DNC1630" s="1"/>
      <c r="DND1630" s="1"/>
      <c r="DNE1630" s="1"/>
      <c r="DNF1630" s="1"/>
      <c r="DNG1630" s="1"/>
      <c r="DNH1630" s="1"/>
      <c r="DNI1630" s="1"/>
      <c r="DNJ1630" s="1"/>
      <c r="DNK1630" s="1"/>
      <c r="DNL1630" s="1"/>
      <c r="DNM1630" s="1"/>
      <c r="DNN1630" s="1"/>
      <c r="DNO1630" s="1"/>
      <c r="DNP1630" s="1"/>
      <c r="DNQ1630" s="1"/>
      <c r="DNR1630" s="1"/>
      <c r="DNS1630" s="1"/>
      <c r="DNT1630" s="1"/>
      <c r="DNU1630" s="1"/>
      <c r="DNV1630" s="1"/>
      <c r="DNW1630" s="1"/>
      <c r="DNX1630" s="1"/>
      <c r="DNY1630" s="1"/>
      <c r="DNZ1630" s="1"/>
      <c r="DOA1630" s="1"/>
      <c r="DOB1630" s="1"/>
      <c r="DOC1630" s="1"/>
      <c r="DOD1630" s="1"/>
      <c r="DOE1630" s="1"/>
      <c r="DOF1630" s="1"/>
      <c r="DOG1630" s="1"/>
      <c r="DOH1630" s="1"/>
      <c r="DOI1630" s="1"/>
      <c r="DOJ1630" s="1"/>
      <c r="DOK1630" s="1"/>
      <c r="DOL1630" s="1"/>
      <c r="DOM1630" s="1"/>
      <c r="DON1630" s="1"/>
      <c r="DOO1630" s="1"/>
      <c r="DOP1630" s="1"/>
      <c r="DOQ1630" s="1"/>
      <c r="DOR1630" s="1"/>
      <c r="DOS1630" s="1"/>
      <c r="DOT1630" s="1"/>
      <c r="DOU1630" s="1"/>
      <c r="DOV1630" s="1"/>
      <c r="DOW1630" s="1"/>
      <c r="DOX1630" s="1"/>
      <c r="DOY1630" s="1"/>
      <c r="DOZ1630" s="1"/>
      <c r="DPA1630" s="1"/>
      <c r="DPB1630" s="1"/>
      <c r="DPC1630" s="1"/>
      <c r="DPD1630" s="1"/>
      <c r="DPE1630" s="1"/>
      <c r="DPF1630" s="1"/>
      <c r="DPG1630" s="1"/>
      <c r="DPH1630" s="1"/>
      <c r="DPI1630" s="1"/>
      <c r="DPJ1630" s="1"/>
      <c r="DPK1630" s="1"/>
      <c r="DPL1630" s="1"/>
      <c r="DPM1630" s="1"/>
      <c r="DPN1630" s="1"/>
      <c r="DPO1630" s="1"/>
      <c r="DPP1630" s="1"/>
      <c r="DPQ1630" s="1"/>
      <c r="DPR1630" s="1"/>
      <c r="DPS1630" s="1"/>
      <c r="DPT1630" s="1"/>
      <c r="DPU1630" s="1"/>
      <c r="DPV1630" s="1"/>
      <c r="DPW1630" s="1"/>
      <c r="DPX1630" s="1"/>
      <c r="DPY1630" s="1"/>
      <c r="DPZ1630" s="1"/>
      <c r="DQA1630" s="1"/>
      <c r="DQB1630" s="1"/>
      <c r="DQC1630" s="1"/>
      <c r="DQD1630" s="1"/>
      <c r="DQE1630" s="1"/>
      <c r="DQF1630" s="1"/>
      <c r="DQG1630" s="1"/>
      <c r="DQH1630" s="1"/>
      <c r="DQI1630" s="1"/>
      <c r="DQJ1630" s="1"/>
      <c r="DQK1630" s="1"/>
      <c r="DQL1630" s="1"/>
      <c r="DQM1630" s="1"/>
      <c r="DQN1630" s="1"/>
      <c r="DQO1630" s="1"/>
      <c r="DQP1630" s="1"/>
      <c r="DQQ1630" s="1"/>
      <c r="DQR1630" s="1"/>
      <c r="DQS1630" s="1"/>
      <c r="DQT1630" s="1"/>
      <c r="DQU1630" s="1"/>
      <c r="DQV1630" s="1"/>
      <c r="DQW1630" s="1"/>
      <c r="DQX1630" s="1"/>
      <c r="DQY1630" s="1"/>
      <c r="DQZ1630" s="1"/>
      <c r="DRA1630" s="1"/>
      <c r="DRB1630" s="1"/>
      <c r="DRC1630" s="1"/>
      <c r="DRD1630" s="1"/>
      <c r="DRE1630" s="1"/>
      <c r="DRF1630" s="1"/>
      <c r="DRG1630" s="1"/>
      <c r="DRH1630" s="1"/>
      <c r="DRI1630" s="1"/>
      <c r="DRJ1630" s="1"/>
      <c r="DRK1630" s="1"/>
      <c r="DRL1630" s="1"/>
      <c r="DRM1630" s="1"/>
      <c r="DRN1630" s="1"/>
      <c r="DRO1630" s="1"/>
      <c r="DRP1630" s="1"/>
      <c r="DRQ1630" s="1"/>
      <c r="DRR1630" s="1"/>
      <c r="DRS1630" s="1"/>
      <c r="DRT1630" s="1"/>
      <c r="DRU1630" s="1"/>
      <c r="DRV1630" s="1"/>
      <c r="DRW1630" s="1"/>
      <c r="DRX1630" s="1"/>
      <c r="DRY1630" s="1"/>
      <c r="DRZ1630" s="1"/>
      <c r="DSA1630" s="1"/>
      <c r="DSB1630" s="1"/>
      <c r="DSC1630" s="1"/>
      <c r="DSD1630" s="1"/>
      <c r="DSE1630" s="1"/>
      <c r="DSF1630" s="1"/>
      <c r="DSG1630" s="1"/>
      <c r="DSH1630" s="1"/>
      <c r="DSI1630" s="1"/>
      <c r="DSJ1630" s="1"/>
      <c r="DSK1630" s="1"/>
      <c r="DSL1630" s="1"/>
      <c r="DSM1630" s="1"/>
      <c r="DSN1630" s="1"/>
      <c r="DSO1630" s="1"/>
      <c r="DSP1630" s="1"/>
      <c r="DSQ1630" s="1"/>
      <c r="DSR1630" s="1"/>
      <c r="DSS1630" s="1"/>
      <c r="DST1630" s="1"/>
      <c r="DSU1630" s="1"/>
      <c r="DSV1630" s="1"/>
      <c r="DSW1630" s="1"/>
      <c r="DSX1630" s="1"/>
      <c r="DSY1630" s="1"/>
      <c r="DSZ1630" s="1"/>
      <c r="DTA1630" s="1"/>
      <c r="DTB1630" s="1"/>
      <c r="DTC1630" s="1"/>
      <c r="DTD1630" s="1"/>
      <c r="DTE1630" s="1"/>
      <c r="DTF1630" s="1"/>
      <c r="DTG1630" s="1"/>
      <c r="DTH1630" s="1"/>
      <c r="DTI1630" s="1"/>
      <c r="DTJ1630" s="1"/>
      <c r="DTK1630" s="1"/>
      <c r="DTL1630" s="1"/>
      <c r="DTM1630" s="1"/>
      <c r="DTN1630" s="1"/>
      <c r="DTO1630" s="1"/>
      <c r="DTP1630" s="1"/>
      <c r="DTQ1630" s="1"/>
      <c r="DTR1630" s="1"/>
      <c r="DTS1630" s="1"/>
      <c r="DTT1630" s="1"/>
      <c r="DTU1630" s="1"/>
      <c r="DTV1630" s="1"/>
      <c r="DTW1630" s="1"/>
      <c r="DTX1630" s="1"/>
      <c r="DTY1630" s="1"/>
      <c r="DTZ1630" s="1"/>
      <c r="DUA1630" s="1"/>
      <c r="DUB1630" s="1"/>
      <c r="DUC1630" s="1"/>
      <c r="DUD1630" s="1"/>
      <c r="DUE1630" s="1"/>
      <c r="DUF1630" s="1"/>
      <c r="DUG1630" s="1"/>
      <c r="DUH1630" s="1"/>
      <c r="DUI1630" s="1"/>
      <c r="DUJ1630" s="1"/>
      <c r="DUK1630" s="1"/>
      <c r="DUL1630" s="1"/>
      <c r="DUM1630" s="1"/>
      <c r="DUN1630" s="1"/>
      <c r="DUO1630" s="1"/>
      <c r="DUP1630" s="1"/>
      <c r="DUQ1630" s="1"/>
      <c r="DUR1630" s="1"/>
      <c r="DUS1630" s="1"/>
      <c r="DUT1630" s="1"/>
      <c r="DUU1630" s="1"/>
      <c r="DUV1630" s="1"/>
      <c r="DUW1630" s="1"/>
      <c r="DUX1630" s="1"/>
      <c r="DUY1630" s="1"/>
      <c r="DUZ1630" s="1"/>
      <c r="DVA1630" s="1"/>
      <c r="DVB1630" s="1"/>
      <c r="DVC1630" s="1"/>
      <c r="DVD1630" s="1"/>
      <c r="DVE1630" s="1"/>
      <c r="DVF1630" s="1"/>
      <c r="DVG1630" s="1"/>
      <c r="DVH1630" s="1"/>
      <c r="DVI1630" s="1"/>
      <c r="DVJ1630" s="1"/>
      <c r="DVK1630" s="1"/>
      <c r="DVL1630" s="1"/>
      <c r="DVM1630" s="1"/>
      <c r="DVN1630" s="1"/>
      <c r="DVO1630" s="1"/>
      <c r="DVP1630" s="1"/>
      <c r="DVQ1630" s="1"/>
      <c r="DVR1630" s="1"/>
      <c r="DVS1630" s="1"/>
      <c r="DVT1630" s="1"/>
      <c r="DVU1630" s="1"/>
      <c r="DVV1630" s="1"/>
      <c r="DVW1630" s="1"/>
      <c r="DVX1630" s="1"/>
      <c r="DVY1630" s="1"/>
      <c r="DVZ1630" s="1"/>
      <c r="DWA1630" s="1"/>
      <c r="DWB1630" s="1"/>
      <c r="DWC1630" s="1"/>
      <c r="DWD1630" s="1"/>
      <c r="DWE1630" s="1"/>
      <c r="DWF1630" s="1"/>
      <c r="DWG1630" s="1"/>
      <c r="DWH1630" s="1"/>
      <c r="DWI1630" s="1"/>
      <c r="DWJ1630" s="1"/>
      <c r="DWK1630" s="1"/>
      <c r="DWL1630" s="1"/>
      <c r="DWM1630" s="1"/>
      <c r="DWN1630" s="1"/>
      <c r="DWO1630" s="1"/>
      <c r="DWP1630" s="1"/>
      <c r="DWQ1630" s="1"/>
      <c r="DWR1630" s="1"/>
      <c r="DWS1630" s="1"/>
      <c r="DWT1630" s="1"/>
      <c r="DWU1630" s="1"/>
      <c r="DWV1630" s="1"/>
      <c r="DWW1630" s="1"/>
      <c r="DWX1630" s="1"/>
      <c r="DWY1630" s="1"/>
      <c r="DWZ1630" s="1"/>
      <c r="DXA1630" s="1"/>
      <c r="DXB1630" s="1"/>
      <c r="DXC1630" s="1"/>
      <c r="DXD1630" s="1"/>
      <c r="DXE1630" s="1"/>
      <c r="DXF1630" s="1"/>
      <c r="DXG1630" s="1"/>
      <c r="DXH1630" s="1"/>
      <c r="DXI1630" s="1"/>
      <c r="DXJ1630" s="1"/>
      <c r="DXK1630" s="1"/>
      <c r="DXL1630" s="1"/>
      <c r="DXM1630" s="1"/>
      <c r="DXN1630" s="1"/>
      <c r="DXO1630" s="1"/>
      <c r="DXP1630" s="1"/>
      <c r="DXQ1630" s="1"/>
      <c r="DXR1630" s="1"/>
      <c r="DXS1630" s="1"/>
      <c r="DXT1630" s="1"/>
      <c r="DXU1630" s="1"/>
      <c r="DXV1630" s="1"/>
      <c r="DXW1630" s="1"/>
      <c r="DXX1630" s="1"/>
      <c r="DXY1630" s="1"/>
      <c r="DXZ1630" s="1"/>
      <c r="DYA1630" s="1"/>
      <c r="DYB1630" s="1"/>
      <c r="DYC1630" s="1"/>
      <c r="DYD1630" s="1"/>
      <c r="DYE1630" s="1"/>
      <c r="DYF1630" s="1"/>
      <c r="DYG1630" s="1"/>
      <c r="DYH1630" s="1"/>
      <c r="DYI1630" s="1"/>
      <c r="DYJ1630" s="1"/>
      <c r="DYK1630" s="1"/>
      <c r="DYL1630" s="1"/>
      <c r="DYM1630" s="1"/>
      <c r="DYN1630" s="1"/>
      <c r="DYO1630" s="1"/>
      <c r="DYP1630" s="1"/>
      <c r="DYQ1630" s="1"/>
      <c r="DYR1630" s="1"/>
      <c r="DYS1630" s="1"/>
      <c r="DYT1630" s="1"/>
      <c r="DYU1630" s="1"/>
      <c r="DYV1630" s="1"/>
      <c r="DYW1630" s="1"/>
      <c r="DYX1630" s="1"/>
      <c r="DYY1630" s="1"/>
      <c r="DYZ1630" s="1"/>
      <c r="DZA1630" s="1"/>
      <c r="DZB1630" s="1"/>
      <c r="DZC1630" s="1"/>
      <c r="DZD1630" s="1"/>
      <c r="DZE1630" s="1"/>
      <c r="DZF1630" s="1"/>
      <c r="DZG1630" s="1"/>
      <c r="DZH1630" s="1"/>
      <c r="DZI1630" s="1"/>
      <c r="DZJ1630" s="1"/>
      <c r="DZK1630" s="1"/>
      <c r="DZL1630" s="1"/>
      <c r="DZM1630" s="1"/>
      <c r="DZN1630" s="1"/>
      <c r="DZO1630" s="1"/>
      <c r="DZP1630" s="1"/>
      <c r="DZQ1630" s="1"/>
      <c r="DZR1630" s="1"/>
      <c r="DZS1630" s="1"/>
      <c r="DZT1630" s="1"/>
      <c r="DZU1630" s="1"/>
      <c r="DZV1630" s="1"/>
      <c r="DZW1630" s="1"/>
      <c r="DZX1630" s="1"/>
      <c r="DZY1630" s="1"/>
      <c r="DZZ1630" s="1"/>
      <c r="EAA1630" s="1"/>
      <c r="EAB1630" s="1"/>
      <c r="EAC1630" s="1"/>
      <c r="EAD1630" s="1"/>
      <c r="EAE1630" s="1"/>
      <c r="EAF1630" s="1"/>
      <c r="EAG1630" s="1"/>
      <c r="EAH1630" s="1"/>
      <c r="EAI1630" s="1"/>
      <c r="EAJ1630" s="1"/>
      <c r="EAK1630" s="1"/>
      <c r="EAL1630" s="1"/>
      <c r="EAM1630" s="1"/>
      <c r="EAN1630" s="1"/>
      <c r="EAO1630" s="1"/>
      <c r="EAP1630" s="1"/>
      <c r="EAQ1630" s="1"/>
      <c r="EAR1630" s="1"/>
      <c r="EAS1630" s="1"/>
      <c r="EAT1630" s="1"/>
      <c r="EAU1630" s="1"/>
      <c r="EAV1630" s="1"/>
      <c r="EAW1630" s="1"/>
      <c r="EAX1630" s="1"/>
      <c r="EAY1630" s="1"/>
      <c r="EAZ1630" s="1"/>
      <c r="EBA1630" s="1"/>
      <c r="EBB1630" s="1"/>
      <c r="EBC1630" s="1"/>
      <c r="EBD1630" s="1"/>
      <c r="EBE1630" s="1"/>
      <c r="EBF1630" s="1"/>
      <c r="EBG1630" s="1"/>
      <c r="EBH1630" s="1"/>
      <c r="EBI1630" s="1"/>
      <c r="EBJ1630" s="1"/>
      <c r="EBK1630" s="1"/>
      <c r="EBL1630" s="1"/>
      <c r="EBM1630" s="1"/>
      <c r="EBN1630" s="1"/>
      <c r="EBO1630" s="1"/>
      <c r="EBP1630" s="1"/>
      <c r="EBQ1630" s="1"/>
      <c r="EBR1630" s="1"/>
      <c r="EBS1630" s="1"/>
      <c r="EBT1630" s="1"/>
      <c r="EBU1630" s="1"/>
      <c r="EBV1630" s="1"/>
      <c r="EBW1630" s="1"/>
      <c r="EBX1630" s="1"/>
      <c r="EBY1630" s="1"/>
      <c r="EBZ1630" s="1"/>
      <c r="ECA1630" s="1"/>
      <c r="ECB1630" s="1"/>
      <c r="ECC1630" s="1"/>
      <c r="ECD1630" s="1"/>
      <c r="ECE1630" s="1"/>
      <c r="ECF1630" s="1"/>
      <c r="ECG1630" s="1"/>
      <c r="ECH1630" s="1"/>
      <c r="ECI1630" s="1"/>
      <c r="ECJ1630" s="1"/>
      <c r="ECK1630" s="1"/>
      <c r="ECL1630" s="1"/>
      <c r="ECM1630" s="1"/>
      <c r="ECN1630" s="1"/>
      <c r="ECO1630" s="1"/>
      <c r="ECP1630" s="1"/>
      <c r="ECQ1630" s="1"/>
      <c r="ECR1630" s="1"/>
      <c r="ECS1630" s="1"/>
      <c r="ECT1630" s="1"/>
      <c r="ECU1630" s="1"/>
      <c r="ECV1630" s="1"/>
      <c r="ECW1630" s="1"/>
      <c r="ECX1630" s="1"/>
      <c r="ECY1630" s="1"/>
      <c r="ECZ1630" s="1"/>
      <c r="EDA1630" s="1"/>
      <c r="EDB1630" s="1"/>
      <c r="EDC1630" s="1"/>
      <c r="EDD1630" s="1"/>
      <c r="EDE1630" s="1"/>
      <c r="EDF1630" s="1"/>
      <c r="EDG1630" s="1"/>
      <c r="EDH1630" s="1"/>
      <c r="EDI1630" s="1"/>
      <c r="EDJ1630" s="1"/>
      <c r="EDK1630" s="1"/>
      <c r="EDL1630" s="1"/>
      <c r="EDM1630" s="1"/>
      <c r="EDN1630" s="1"/>
      <c r="EDO1630" s="1"/>
      <c r="EDP1630" s="1"/>
      <c r="EDQ1630" s="1"/>
      <c r="EDR1630" s="1"/>
      <c r="EDS1630" s="1"/>
      <c r="EDT1630" s="1"/>
      <c r="EDU1630" s="1"/>
      <c r="EDV1630" s="1"/>
      <c r="EDW1630" s="1"/>
      <c r="EDX1630" s="1"/>
      <c r="EDY1630" s="1"/>
      <c r="EDZ1630" s="1"/>
      <c r="EEA1630" s="1"/>
      <c r="EEB1630" s="1"/>
      <c r="EEC1630" s="1"/>
      <c r="EED1630" s="1"/>
      <c r="EEE1630" s="1"/>
      <c r="EEF1630" s="1"/>
      <c r="EEG1630" s="1"/>
      <c r="EEH1630" s="1"/>
      <c r="EEI1630" s="1"/>
      <c r="EEJ1630" s="1"/>
      <c r="EEK1630" s="1"/>
      <c r="EEL1630" s="1"/>
      <c r="EEM1630" s="1"/>
      <c r="EEN1630" s="1"/>
      <c r="EEO1630" s="1"/>
      <c r="EEP1630" s="1"/>
      <c r="EEQ1630" s="1"/>
      <c r="EER1630" s="1"/>
      <c r="EES1630" s="1"/>
      <c r="EET1630" s="1"/>
      <c r="EEU1630" s="1"/>
      <c r="EEV1630" s="1"/>
      <c r="EEW1630" s="1"/>
      <c r="EEX1630" s="1"/>
      <c r="EEY1630" s="1"/>
      <c r="EEZ1630" s="1"/>
      <c r="EFA1630" s="1"/>
      <c r="EFB1630" s="1"/>
      <c r="EFC1630" s="1"/>
      <c r="EFD1630" s="1"/>
      <c r="EFE1630" s="1"/>
      <c r="EFF1630" s="1"/>
      <c r="EFG1630" s="1"/>
      <c r="EFH1630" s="1"/>
      <c r="EFI1630" s="1"/>
      <c r="EFJ1630" s="1"/>
      <c r="EFK1630" s="1"/>
      <c r="EFL1630" s="1"/>
      <c r="EFM1630" s="1"/>
      <c r="EFN1630" s="1"/>
      <c r="EFO1630" s="1"/>
      <c r="EFP1630" s="1"/>
      <c r="EFQ1630" s="1"/>
      <c r="EFR1630" s="1"/>
      <c r="EFS1630" s="1"/>
      <c r="EFT1630" s="1"/>
      <c r="EFU1630" s="1"/>
      <c r="EFV1630" s="1"/>
      <c r="EFW1630" s="1"/>
      <c r="EFX1630" s="1"/>
      <c r="EFY1630" s="1"/>
      <c r="EFZ1630" s="1"/>
      <c r="EGA1630" s="1"/>
      <c r="EGB1630" s="1"/>
      <c r="EGC1630" s="1"/>
      <c r="EGD1630" s="1"/>
      <c r="EGE1630" s="1"/>
      <c r="EGF1630" s="1"/>
      <c r="EGG1630" s="1"/>
      <c r="EGH1630" s="1"/>
      <c r="EGI1630" s="1"/>
      <c r="EGJ1630" s="1"/>
      <c r="EGK1630" s="1"/>
      <c r="EGL1630" s="1"/>
      <c r="EGM1630" s="1"/>
      <c r="EGN1630" s="1"/>
      <c r="EGO1630" s="1"/>
      <c r="EGP1630" s="1"/>
      <c r="EGQ1630" s="1"/>
      <c r="EGR1630" s="1"/>
      <c r="EGS1630" s="1"/>
      <c r="EGT1630" s="1"/>
      <c r="EGU1630" s="1"/>
      <c r="EGV1630" s="1"/>
      <c r="EGW1630" s="1"/>
      <c r="EGX1630" s="1"/>
      <c r="EGY1630" s="1"/>
      <c r="EGZ1630" s="1"/>
      <c r="EHA1630" s="1"/>
      <c r="EHB1630" s="1"/>
      <c r="EHC1630" s="1"/>
      <c r="EHD1630" s="1"/>
      <c r="EHE1630" s="1"/>
      <c r="EHF1630" s="1"/>
      <c r="EHG1630" s="1"/>
      <c r="EHH1630" s="1"/>
      <c r="EHI1630" s="1"/>
      <c r="EHJ1630" s="1"/>
      <c r="EHK1630" s="1"/>
      <c r="EHL1630" s="1"/>
      <c r="EHM1630" s="1"/>
      <c r="EHN1630" s="1"/>
      <c r="EHO1630" s="1"/>
      <c r="EHP1630" s="1"/>
      <c r="EHQ1630" s="1"/>
      <c r="EHR1630" s="1"/>
      <c r="EHS1630" s="1"/>
      <c r="EHT1630" s="1"/>
      <c r="EHU1630" s="1"/>
      <c r="EHV1630" s="1"/>
      <c r="EHW1630" s="1"/>
      <c r="EHX1630" s="1"/>
      <c r="EHY1630" s="1"/>
      <c r="EHZ1630" s="1"/>
      <c r="EIA1630" s="1"/>
      <c r="EIB1630" s="1"/>
      <c r="EIC1630" s="1"/>
      <c r="EID1630" s="1"/>
      <c r="EIE1630" s="1"/>
      <c r="EIF1630" s="1"/>
      <c r="EIG1630" s="1"/>
      <c r="EIH1630" s="1"/>
      <c r="EII1630" s="1"/>
      <c r="EIJ1630" s="1"/>
      <c r="EIK1630" s="1"/>
      <c r="EIL1630" s="1"/>
      <c r="EIM1630" s="1"/>
      <c r="EIN1630" s="1"/>
      <c r="EIO1630" s="1"/>
      <c r="EIP1630" s="1"/>
      <c r="EIQ1630" s="1"/>
      <c r="EIR1630" s="1"/>
      <c r="EIS1630" s="1"/>
      <c r="EIT1630" s="1"/>
      <c r="EIU1630" s="1"/>
      <c r="EIV1630" s="1"/>
      <c r="EIW1630" s="1"/>
      <c r="EIX1630" s="1"/>
      <c r="EIY1630" s="1"/>
      <c r="EIZ1630" s="1"/>
      <c r="EJA1630" s="1"/>
      <c r="EJB1630" s="1"/>
      <c r="EJC1630" s="1"/>
      <c r="EJD1630" s="1"/>
      <c r="EJE1630" s="1"/>
      <c r="EJF1630" s="1"/>
      <c r="EJG1630" s="1"/>
      <c r="EJH1630" s="1"/>
      <c r="EJI1630" s="1"/>
      <c r="EJJ1630" s="1"/>
      <c r="EJK1630" s="1"/>
      <c r="EJL1630" s="1"/>
      <c r="EJM1630" s="1"/>
      <c r="EJN1630" s="1"/>
      <c r="EJO1630" s="1"/>
      <c r="EJP1630" s="1"/>
      <c r="EJQ1630" s="1"/>
      <c r="EJR1630" s="1"/>
      <c r="EJS1630" s="1"/>
      <c r="EJT1630" s="1"/>
      <c r="EJU1630" s="1"/>
      <c r="EJV1630" s="1"/>
      <c r="EJW1630" s="1"/>
      <c r="EJX1630" s="1"/>
      <c r="EJY1630" s="1"/>
      <c r="EJZ1630" s="1"/>
      <c r="EKA1630" s="1"/>
      <c r="EKB1630" s="1"/>
      <c r="EKC1630" s="1"/>
      <c r="EKD1630" s="1"/>
      <c r="EKE1630" s="1"/>
      <c r="EKF1630" s="1"/>
      <c r="EKG1630" s="1"/>
      <c r="EKH1630" s="1"/>
      <c r="EKI1630" s="1"/>
      <c r="EKJ1630" s="1"/>
      <c r="EKK1630" s="1"/>
      <c r="EKL1630" s="1"/>
      <c r="EKM1630" s="1"/>
      <c r="EKN1630" s="1"/>
      <c r="EKO1630" s="1"/>
      <c r="EKP1630" s="1"/>
      <c r="EKQ1630" s="1"/>
      <c r="EKR1630" s="1"/>
      <c r="EKS1630" s="1"/>
      <c r="EKT1630" s="1"/>
      <c r="EKU1630" s="1"/>
      <c r="EKV1630" s="1"/>
      <c r="EKW1630" s="1"/>
      <c r="EKX1630" s="1"/>
      <c r="EKY1630" s="1"/>
      <c r="EKZ1630" s="1"/>
      <c r="ELA1630" s="1"/>
      <c r="ELB1630" s="1"/>
      <c r="ELC1630" s="1"/>
      <c r="ELD1630" s="1"/>
      <c r="ELE1630" s="1"/>
      <c r="ELF1630" s="1"/>
      <c r="ELG1630" s="1"/>
      <c r="ELH1630" s="1"/>
      <c r="ELI1630" s="1"/>
      <c r="ELJ1630" s="1"/>
      <c r="ELK1630" s="1"/>
      <c r="ELL1630" s="1"/>
      <c r="ELM1630" s="1"/>
      <c r="ELN1630" s="1"/>
      <c r="ELO1630" s="1"/>
      <c r="ELP1630" s="1"/>
      <c r="ELQ1630" s="1"/>
      <c r="ELR1630" s="1"/>
      <c r="ELS1630" s="1"/>
      <c r="ELT1630" s="1"/>
      <c r="ELU1630" s="1"/>
      <c r="ELV1630" s="1"/>
      <c r="ELW1630" s="1"/>
      <c r="ELX1630" s="1"/>
      <c r="ELY1630" s="1"/>
      <c r="ELZ1630" s="1"/>
      <c r="EMA1630" s="1"/>
      <c r="EMB1630" s="1"/>
      <c r="EMC1630" s="1"/>
      <c r="EMD1630" s="1"/>
      <c r="EME1630" s="1"/>
      <c r="EMF1630" s="1"/>
      <c r="EMG1630" s="1"/>
      <c r="EMH1630" s="1"/>
      <c r="EMI1630" s="1"/>
      <c r="EMJ1630" s="1"/>
      <c r="EMK1630" s="1"/>
      <c r="EML1630" s="1"/>
      <c r="EMM1630" s="1"/>
      <c r="EMN1630" s="1"/>
      <c r="EMO1630" s="1"/>
      <c r="EMP1630" s="1"/>
      <c r="EMQ1630" s="1"/>
      <c r="EMR1630" s="1"/>
      <c r="EMS1630" s="1"/>
      <c r="EMT1630" s="1"/>
      <c r="EMU1630" s="1"/>
      <c r="EMV1630" s="1"/>
      <c r="EMW1630" s="1"/>
      <c r="EMX1630" s="1"/>
      <c r="EMY1630" s="1"/>
      <c r="EMZ1630" s="1"/>
      <c r="ENA1630" s="1"/>
      <c r="ENB1630" s="1"/>
      <c r="ENC1630" s="1"/>
      <c r="END1630" s="1"/>
      <c r="ENE1630" s="1"/>
      <c r="ENF1630" s="1"/>
      <c r="ENG1630" s="1"/>
      <c r="ENH1630" s="1"/>
      <c r="ENI1630" s="1"/>
      <c r="ENJ1630" s="1"/>
      <c r="ENK1630" s="1"/>
      <c r="ENL1630" s="1"/>
      <c r="ENM1630" s="1"/>
      <c r="ENN1630" s="1"/>
      <c r="ENO1630" s="1"/>
      <c r="ENP1630" s="1"/>
      <c r="ENQ1630" s="1"/>
      <c r="ENR1630" s="1"/>
      <c r="ENS1630" s="1"/>
      <c r="ENT1630" s="1"/>
      <c r="ENU1630" s="1"/>
      <c r="ENV1630" s="1"/>
      <c r="ENW1630" s="1"/>
      <c r="ENX1630" s="1"/>
      <c r="ENY1630" s="1"/>
      <c r="ENZ1630" s="1"/>
      <c r="EOA1630" s="1"/>
      <c r="EOB1630" s="1"/>
      <c r="EOC1630" s="1"/>
      <c r="EOD1630" s="1"/>
      <c r="EOE1630" s="1"/>
      <c r="EOF1630" s="1"/>
      <c r="EOG1630" s="1"/>
      <c r="EOH1630" s="1"/>
      <c r="EOI1630" s="1"/>
      <c r="EOJ1630" s="1"/>
      <c r="EOK1630" s="1"/>
      <c r="EOL1630" s="1"/>
      <c r="EOM1630" s="1"/>
      <c r="EON1630" s="1"/>
      <c r="EOO1630" s="1"/>
      <c r="EOP1630" s="1"/>
      <c r="EOQ1630" s="1"/>
      <c r="EOR1630" s="1"/>
      <c r="EOS1630" s="1"/>
      <c r="EOT1630" s="1"/>
      <c r="EOU1630" s="1"/>
      <c r="EOV1630" s="1"/>
      <c r="EOW1630" s="1"/>
      <c r="EOX1630" s="1"/>
      <c r="EOY1630" s="1"/>
      <c r="EOZ1630" s="1"/>
      <c r="EPA1630" s="1"/>
      <c r="EPB1630" s="1"/>
      <c r="EPC1630" s="1"/>
      <c r="EPD1630" s="1"/>
      <c r="EPE1630" s="1"/>
      <c r="EPF1630" s="1"/>
      <c r="EPG1630" s="1"/>
      <c r="EPH1630" s="1"/>
      <c r="EPI1630" s="1"/>
      <c r="EPJ1630" s="1"/>
      <c r="EPK1630" s="1"/>
      <c r="EPL1630" s="1"/>
      <c r="EPM1630" s="1"/>
      <c r="EPN1630" s="1"/>
      <c r="EPO1630" s="1"/>
      <c r="EPP1630" s="1"/>
      <c r="EPQ1630" s="1"/>
      <c r="EPR1630" s="1"/>
      <c r="EPS1630" s="1"/>
      <c r="EPT1630" s="1"/>
      <c r="EPU1630" s="1"/>
      <c r="EPV1630" s="1"/>
      <c r="EPW1630" s="1"/>
      <c r="EPX1630" s="1"/>
      <c r="EPY1630" s="1"/>
      <c r="EPZ1630" s="1"/>
      <c r="EQA1630" s="1"/>
      <c r="EQB1630" s="1"/>
      <c r="EQC1630" s="1"/>
      <c r="EQD1630" s="1"/>
      <c r="EQE1630" s="1"/>
      <c r="EQF1630" s="1"/>
      <c r="EQG1630" s="1"/>
      <c r="EQH1630" s="1"/>
      <c r="EQI1630" s="1"/>
      <c r="EQJ1630" s="1"/>
      <c r="EQK1630" s="1"/>
      <c r="EQL1630" s="1"/>
      <c r="EQM1630" s="1"/>
      <c r="EQN1630" s="1"/>
      <c r="EQO1630" s="1"/>
      <c r="EQP1630" s="1"/>
      <c r="EQQ1630" s="1"/>
      <c r="EQR1630" s="1"/>
      <c r="EQS1630" s="1"/>
      <c r="EQT1630" s="1"/>
      <c r="EQU1630" s="1"/>
      <c r="EQV1630" s="1"/>
      <c r="EQW1630" s="1"/>
      <c r="EQX1630" s="1"/>
      <c r="EQY1630" s="1"/>
      <c r="EQZ1630" s="1"/>
      <c r="ERA1630" s="1"/>
      <c r="ERB1630" s="1"/>
      <c r="ERC1630" s="1"/>
      <c r="ERD1630" s="1"/>
      <c r="ERE1630" s="1"/>
      <c r="ERF1630" s="1"/>
      <c r="ERG1630" s="1"/>
      <c r="ERH1630" s="1"/>
      <c r="ERI1630" s="1"/>
      <c r="ERJ1630" s="1"/>
      <c r="ERK1630" s="1"/>
      <c r="ERL1630" s="1"/>
      <c r="ERM1630" s="1"/>
      <c r="ERN1630" s="1"/>
      <c r="ERO1630" s="1"/>
      <c r="ERP1630" s="1"/>
      <c r="ERQ1630" s="1"/>
      <c r="ERR1630" s="1"/>
      <c r="ERS1630" s="1"/>
      <c r="ERT1630" s="1"/>
      <c r="ERU1630" s="1"/>
      <c r="ERV1630" s="1"/>
      <c r="ERW1630" s="1"/>
      <c r="ERX1630" s="1"/>
      <c r="ERY1630" s="1"/>
      <c r="ERZ1630" s="1"/>
      <c r="ESA1630" s="1"/>
      <c r="ESB1630" s="1"/>
      <c r="ESC1630" s="1"/>
      <c r="ESD1630" s="1"/>
      <c r="ESE1630" s="1"/>
      <c r="ESF1630" s="1"/>
      <c r="ESG1630" s="1"/>
      <c r="ESH1630" s="1"/>
      <c r="ESI1630" s="1"/>
      <c r="ESJ1630" s="1"/>
      <c r="ESK1630" s="1"/>
      <c r="ESL1630" s="1"/>
      <c r="ESM1630" s="1"/>
      <c r="ESN1630" s="1"/>
      <c r="ESO1630" s="1"/>
      <c r="ESP1630" s="1"/>
      <c r="ESQ1630" s="1"/>
      <c r="ESR1630" s="1"/>
      <c r="ESS1630" s="1"/>
      <c r="EST1630" s="1"/>
      <c r="ESU1630" s="1"/>
      <c r="ESV1630" s="1"/>
      <c r="ESW1630" s="1"/>
      <c r="ESX1630" s="1"/>
      <c r="ESY1630" s="1"/>
      <c r="ESZ1630" s="1"/>
      <c r="ETA1630" s="1"/>
      <c r="ETB1630" s="1"/>
      <c r="ETC1630" s="1"/>
      <c r="ETD1630" s="1"/>
      <c r="ETE1630" s="1"/>
      <c r="ETF1630" s="1"/>
      <c r="ETG1630" s="1"/>
      <c r="ETH1630" s="1"/>
      <c r="ETI1630" s="1"/>
      <c r="ETJ1630" s="1"/>
      <c r="ETK1630" s="1"/>
      <c r="ETL1630" s="1"/>
      <c r="ETM1630" s="1"/>
      <c r="ETN1630" s="1"/>
      <c r="ETO1630" s="1"/>
      <c r="ETP1630" s="1"/>
      <c r="ETQ1630" s="1"/>
      <c r="ETR1630" s="1"/>
      <c r="ETS1630" s="1"/>
      <c r="ETT1630" s="1"/>
      <c r="ETU1630" s="1"/>
      <c r="ETV1630" s="1"/>
      <c r="ETW1630" s="1"/>
      <c r="ETX1630" s="1"/>
      <c r="ETY1630" s="1"/>
      <c r="ETZ1630" s="1"/>
      <c r="EUA1630" s="1"/>
      <c r="EUB1630" s="1"/>
      <c r="EUC1630" s="1"/>
      <c r="EUD1630" s="1"/>
      <c r="EUE1630" s="1"/>
      <c r="EUF1630" s="1"/>
      <c r="EUG1630" s="1"/>
      <c r="EUH1630" s="1"/>
      <c r="EUI1630" s="1"/>
      <c r="EUJ1630" s="1"/>
      <c r="EUK1630" s="1"/>
      <c r="EUL1630" s="1"/>
      <c r="EUM1630" s="1"/>
      <c r="EUN1630" s="1"/>
      <c r="EUO1630" s="1"/>
      <c r="EUP1630" s="1"/>
      <c r="EUQ1630" s="1"/>
      <c r="EUR1630" s="1"/>
      <c r="EUS1630" s="1"/>
      <c r="EUT1630" s="1"/>
      <c r="EUU1630" s="1"/>
      <c r="EUV1630" s="1"/>
      <c r="EUW1630" s="1"/>
      <c r="EUX1630" s="1"/>
      <c r="EUY1630" s="1"/>
      <c r="EUZ1630" s="1"/>
      <c r="EVA1630" s="1"/>
      <c r="EVB1630" s="1"/>
      <c r="EVC1630" s="1"/>
      <c r="EVD1630" s="1"/>
      <c r="EVE1630" s="1"/>
      <c r="EVF1630" s="1"/>
      <c r="EVG1630" s="1"/>
      <c r="EVH1630" s="1"/>
      <c r="EVI1630" s="1"/>
      <c r="EVJ1630" s="1"/>
      <c r="EVK1630" s="1"/>
      <c r="EVL1630" s="1"/>
      <c r="EVM1630" s="1"/>
      <c r="EVN1630" s="1"/>
      <c r="EVO1630" s="1"/>
      <c r="EVP1630" s="1"/>
      <c r="EVQ1630" s="1"/>
      <c r="EVR1630" s="1"/>
      <c r="EVS1630" s="1"/>
      <c r="EVT1630" s="1"/>
      <c r="EVU1630" s="1"/>
      <c r="EVV1630" s="1"/>
      <c r="EVW1630" s="1"/>
      <c r="EVX1630" s="1"/>
      <c r="EVY1630" s="1"/>
      <c r="EVZ1630" s="1"/>
      <c r="EWA1630" s="1"/>
      <c r="EWB1630" s="1"/>
      <c r="EWC1630" s="1"/>
      <c r="EWD1630" s="1"/>
      <c r="EWE1630" s="1"/>
      <c r="EWF1630" s="1"/>
      <c r="EWG1630" s="1"/>
      <c r="EWH1630" s="1"/>
      <c r="EWI1630" s="1"/>
      <c r="EWJ1630" s="1"/>
      <c r="EWK1630" s="1"/>
      <c r="EWL1630" s="1"/>
      <c r="EWM1630" s="1"/>
      <c r="EWN1630" s="1"/>
      <c r="EWO1630" s="1"/>
      <c r="EWP1630" s="1"/>
      <c r="EWQ1630" s="1"/>
      <c r="EWR1630" s="1"/>
      <c r="EWS1630" s="1"/>
      <c r="EWT1630" s="1"/>
      <c r="EWU1630" s="1"/>
      <c r="EWV1630" s="1"/>
      <c r="EWW1630" s="1"/>
      <c r="EWX1630" s="1"/>
      <c r="EWY1630" s="1"/>
      <c r="EWZ1630" s="1"/>
      <c r="EXA1630" s="1"/>
      <c r="EXB1630" s="1"/>
      <c r="EXC1630" s="1"/>
      <c r="EXD1630" s="1"/>
      <c r="EXE1630" s="1"/>
      <c r="EXF1630" s="1"/>
      <c r="EXG1630" s="1"/>
      <c r="EXH1630" s="1"/>
      <c r="EXI1630" s="1"/>
      <c r="EXJ1630" s="1"/>
      <c r="EXK1630" s="1"/>
      <c r="EXL1630" s="1"/>
      <c r="EXM1630" s="1"/>
      <c r="EXN1630" s="1"/>
      <c r="EXO1630" s="1"/>
      <c r="EXP1630" s="1"/>
      <c r="EXQ1630" s="1"/>
      <c r="EXR1630" s="1"/>
      <c r="EXS1630" s="1"/>
      <c r="EXT1630" s="1"/>
      <c r="EXU1630" s="1"/>
      <c r="EXV1630" s="1"/>
      <c r="EXW1630" s="1"/>
      <c r="EXX1630" s="1"/>
      <c r="EXY1630" s="1"/>
      <c r="EXZ1630" s="1"/>
      <c r="EYA1630" s="1"/>
      <c r="EYB1630" s="1"/>
      <c r="EYC1630" s="1"/>
      <c r="EYD1630" s="1"/>
      <c r="EYE1630" s="1"/>
      <c r="EYF1630" s="1"/>
      <c r="EYG1630" s="1"/>
      <c r="EYH1630" s="1"/>
      <c r="EYI1630" s="1"/>
      <c r="EYJ1630" s="1"/>
      <c r="EYK1630" s="1"/>
      <c r="EYL1630" s="1"/>
      <c r="EYM1630" s="1"/>
      <c r="EYN1630" s="1"/>
      <c r="EYO1630" s="1"/>
      <c r="EYP1630" s="1"/>
      <c r="EYQ1630" s="1"/>
      <c r="EYR1630" s="1"/>
      <c r="EYS1630" s="1"/>
      <c r="EYT1630" s="1"/>
      <c r="EYU1630" s="1"/>
      <c r="EYV1630" s="1"/>
      <c r="EYW1630" s="1"/>
      <c r="EYX1630" s="1"/>
      <c r="EYY1630" s="1"/>
      <c r="EYZ1630" s="1"/>
      <c r="EZA1630" s="1"/>
      <c r="EZB1630" s="1"/>
      <c r="EZC1630" s="1"/>
      <c r="EZD1630" s="1"/>
      <c r="EZE1630" s="1"/>
      <c r="EZF1630" s="1"/>
      <c r="EZG1630" s="1"/>
      <c r="EZH1630" s="1"/>
      <c r="EZI1630" s="1"/>
      <c r="EZJ1630" s="1"/>
      <c r="EZK1630" s="1"/>
      <c r="EZL1630" s="1"/>
      <c r="EZM1630" s="1"/>
      <c r="EZN1630" s="1"/>
      <c r="EZO1630" s="1"/>
      <c r="EZP1630" s="1"/>
      <c r="EZQ1630" s="1"/>
      <c r="EZR1630" s="1"/>
      <c r="EZS1630" s="1"/>
      <c r="EZT1630" s="1"/>
      <c r="EZU1630" s="1"/>
      <c r="EZV1630" s="1"/>
      <c r="EZW1630" s="1"/>
      <c r="EZX1630" s="1"/>
      <c r="EZY1630" s="1"/>
      <c r="EZZ1630" s="1"/>
      <c r="FAA1630" s="1"/>
      <c r="FAB1630" s="1"/>
      <c r="FAC1630" s="1"/>
      <c r="FAD1630" s="1"/>
      <c r="FAE1630" s="1"/>
      <c r="FAF1630" s="1"/>
      <c r="FAG1630" s="1"/>
      <c r="FAH1630" s="1"/>
      <c r="FAI1630" s="1"/>
      <c r="FAJ1630" s="1"/>
      <c r="FAK1630" s="1"/>
      <c r="FAL1630" s="1"/>
      <c r="FAM1630" s="1"/>
      <c r="FAN1630" s="1"/>
      <c r="FAO1630" s="1"/>
      <c r="FAP1630" s="1"/>
      <c r="FAQ1630" s="1"/>
      <c r="FAR1630" s="1"/>
      <c r="FAS1630" s="1"/>
      <c r="FAT1630" s="1"/>
      <c r="FAU1630" s="1"/>
      <c r="FAV1630" s="1"/>
      <c r="FAW1630" s="1"/>
      <c r="FAX1630" s="1"/>
      <c r="FAY1630" s="1"/>
      <c r="FAZ1630" s="1"/>
      <c r="FBA1630" s="1"/>
      <c r="FBB1630" s="1"/>
      <c r="FBC1630" s="1"/>
      <c r="FBD1630" s="1"/>
      <c r="FBE1630" s="1"/>
      <c r="FBF1630" s="1"/>
      <c r="FBG1630" s="1"/>
      <c r="FBH1630" s="1"/>
      <c r="FBI1630" s="1"/>
      <c r="FBJ1630" s="1"/>
      <c r="FBK1630" s="1"/>
      <c r="FBL1630" s="1"/>
      <c r="FBM1630" s="1"/>
      <c r="FBN1630" s="1"/>
      <c r="FBO1630" s="1"/>
      <c r="FBP1630" s="1"/>
      <c r="FBQ1630" s="1"/>
      <c r="FBR1630" s="1"/>
      <c r="FBS1630" s="1"/>
      <c r="FBT1630" s="1"/>
      <c r="FBU1630" s="1"/>
      <c r="FBV1630" s="1"/>
      <c r="FBW1630" s="1"/>
      <c r="FBX1630" s="1"/>
      <c r="FBY1630" s="1"/>
      <c r="FBZ1630" s="1"/>
      <c r="FCA1630" s="1"/>
      <c r="FCB1630" s="1"/>
      <c r="FCC1630" s="1"/>
      <c r="FCD1630" s="1"/>
      <c r="FCE1630" s="1"/>
      <c r="FCF1630" s="1"/>
      <c r="FCG1630" s="1"/>
      <c r="FCH1630" s="1"/>
      <c r="FCI1630" s="1"/>
      <c r="FCJ1630" s="1"/>
      <c r="FCK1630" s="1"/>
      <c r="FCL1630" s="1"/>
      <c r="FCM1630" s="1"/>
      <c r="FCN1630" s="1"/>
      <c r="FCO1630" s="1"/>
      <c r="FCP1630" s="1"/>
      <c r="FCQ1630" s="1"/>
      <c r="FCR1630" s="1"/>
      <c r="FCS1630" s="1"/>
      <c r="FCT1630" s="1"/>
      <c r="FCU1630" s="1"/>
      <c r="FCV1630" s="1"/>
      <c r="FCW1630" s="1"/>
      <c r="FCX1630" s="1"/>
      <c r="FCY1630" s="1"/>
      <c r="FCZ1630" s="1"/>
      <c r="FDA1630" s="1"/>
      <c r="FDB1630" s="1"/>
      <c r="FDC1630" s="1"/>
      <c r="FDD1630" s="1"/>
      <c r="FDE1630" s="1"/>
      <c r="FDF1630" s="1"/>
      <c r="FDG1630" s="1"/>
      <c r="FDH1630" s="1"/>
      <c r="FDI1630" s="1"/>
      <c r="FDJ1630" s="1"/>
      <c r="FDK1630" s="1"/>
      <c r="FDL1630" s="1"/>
      <c r="FDM1630" s="1"/>
      <c r="FDN1630" s="1"/>
      <c r="FDO1630" s="1"/>
      <c r="FDP1630" s="1"/>
      <c r="FDQ1630" s="1"/>
      <c r="FDR1630" s="1"/>
      <c r="FDS1630" s="1"/>
      <c r="FDT1630" s="1"/>
      <c r="FDU1630" s="1"/>
      <c r="FDV1630" s="1"/>
      <c r="FDW1630" s="1"/>
      <c r="FDX1630" s="1"/>
      <c r="FDY1630" s="1"/>
      <c r="FDZ1630" s="1"/>
      <c r="FEA1630" s="1"/>
      <c r="FEB1630" s="1"/>
      <c r="FEC1630" s="1"/>
      <c r="FED1630" s="1"/>
      <c r="FEE1630" s="1"/>
      <c r="FEF1630" s="1"/>
      <c r="FEG1630" s="1"/>
      <c r="FEH1630" s="1"/>
      <c r="FEI1630" s="1"/>
      <c r="FEJ1630" s="1"/>
      <c r="FEK1630" s="1"/>
      <c r="FEL1630" s="1"/>
      <c r="FEM1630" s="1"/>
      <c r="FEN1630" s="1"/>
      <c r="FEO1630" s="1"/>
      <c r="FEP1630" s="1"/>
      <c r="FEQ1630" s="1"/>
      <c r="FER1630" s="1"/>
      <c r="FES1630" s="1"/>
      <c r="FET1630" s="1"/>
      <c r="FEU1630" s="1"/>
      <c r="FEV1630" s="1"/>
      <c r="FEW1630" s="1"/>
      <c r="FEX1630" s="1"/>
      <c r="FEY1630" s="1"/>
      <c r="FEZ1630" s="1"/>
      <c r="FFA1630" s="1"/>
      <c r="FFB1630" s="1"/>
      <c r="FFC1630" s="1"/>
      <c r="FFD1630" s="1"/>
      <c r="FFE1630" s="1"/>
      <c r="FFF1630" s="1"/>
      <c r="FFG1630" s="1"/>
      <c r="FFH1630" s="1"/>
      <c r="FFI1630" s="1"/>
      <c r="FFJ1630" s="1"/>
      <c r="FFK1630" s="1"/>
      <c r="FFL1630" s="1"/>
      <c r="FFM1630" s="1"/>
      <c r="FFN1630" s="1"/>
      <c r="FFO1630" s="1"/>
      <c r="FFP1630" s="1"/>
      <c r="FFQ1630" s="1"/>
      <c r="FFR1630" s="1"/>
      <c r="FFS1630" s="1"/>
      <c r="FFT1630" s="1"/>
      <c r="FFU1630" s="1"/>
      <c r="FFV1630" s="1"/>
      <c r="FFW1630" s="1"/>
      <c r="FFX1630" s="1"/>
      <c r="FFY1630" s="1"/>
      <c r="FFZ1630" s="1"/>
      <c r="FGA1630" s="1"/>
      <c r="FGB1630" s="1"/>
      <c r="FGC1630" s="1"/>
      <c r="FGD1630" s="1"/>
      <c r="FGE1630" s="1"/>
      <c r="FGF1630" s="1"/>
      <c r="FGG1630" s="1"/>
      <c r="FGH1630" s="1"/>
      <c r="FGI1630" s="1"/>
      <c r="FGJ1630" s="1"/>
      <c r="FGK1630" s="1"/>
      <c r="FGL1630" s="1"/>
      <c r="FGM1630" s="1"/>
      <c r="FGN1630" s="1"/>
      <c r="FGO1630" s="1"/>
      <c r="FGP1630" s="1"/>
      <c r="FGQ1630" s="1"/>
      <c r="FGR1630" s="1"/>
      <c r="FGS1630" s="1"/>
      <c r="FGT1630" s="1"/>
      <c r="FGU1630" s="1"/>
      <c r="FGV1630" s="1"/>
      <c r="FGW1630" s="1"/>
      <c r="FGX1630" s="1"/>
      <c r="FGY1630" s="1"/>
      <c r="FGZ1630" s="1"/>
      <c r="FHA1630" s="1"/>
      <c r="FHB1630" s="1"/>
      <c r="FHC1630" s="1"/>
      <c r="FHD1630" s="1"/>
      <c r="FHE1630" s="1"/>
      <c r="FHF1630" s="1"/>
      <c r="FHG1630" s="1"/>
      <c r="FHH1630" s="1"/>
      <c r="FHI1630" s="1"/>
      <c r="FHJ1630" s="1"/>
      <c r="FHK1630" s="1"/>
      <c r="FHL1630" s="1"/>
      <c r="FHM1630" s="1"/>
      <c r="FHN1630" s="1"/>
      <c r="FHO1630" s="1"/>
      <c r="FHP1630" s="1"/>
      <c r="FHQ1630" s="1"/>
      <c r="FHR1630" s="1"/>
      <c r="FHS1630" s="1"/>
      <c r="FHT1630" s="1"/>
      <c r="FHU1630" s="1"/>
      <c r="FHV1630" s="1"/>
      <c r="FHW1630" s="1"/>
      <c r="FHX1630" s="1"/>
      <c r="FHY1630" s="1"/>
      <c r="FHZ1630" s="1"/>
      <c r="FIA1630" s="1"/>
      <c r="FIB1630" s="1"/>
      <c r="FIC1630" s="1"/>
      <c r="FID1630" s="1"/>
      <c r="FIE1630" s="1"/>
      <c r="FIF1630" s="1"/>
      <c r="FIG1630" s="1"/>
      <c r="FIH1630" s="1"/>
      <c r="FII1630" s="1"/>
      <c r="FIJ1630" s="1"/>
      <c r="FIK1630" s="1"/>
      <c r="FIL1630" s="1"/>
      <c r="FIM1630" s="1"/>
      <c r="FIN1630" s="1"/>
      <c r="FIO1630" s="1"/>
      <c r="FIP1630" s="1"/>
      <c r="FIQ1630" s="1"/>
      <c r="FIR1630" s="1"/>
      <c r="FIS1630" s="1"/>
      <c r="FIT1630" s="1"/>
      <c r="FIU1630" s="1"/>
      <c r="FIV1630" s="1"/>
      <c r="FIW1630" s="1"/>
      <c r="FIX1630" s="1"/>
      <c r="FIY1630" s="1"/>
      <c r="FIZ1630" s="1"/>
      <c r="FJA1630" s="1"/>
      <c r="FJB1630" s="1"/>
      <c r="FJC1630" s="1"/>
      <c r="FJD1630" s="1"/>
      <c r="FJE1630" s="1"/>
      <c r="FJF1630" s="1"/>
      <c r="FJG1630" s="1"/>
      <c r="FJH1630" s="1"/>
      <c r="FJI1630" s="1"/>
      <c r="FJJ1630" s="1"/>
      <c r="FJK1630" s="1"/>
      <c r="FJL1630" s="1"/>
      <c r="FJM1630" s="1"/>
      <c r="FJN1630" s="1"/>
      <c r="FJO1630" s="1"/>
      <c r="FJP1630" s="1"/>
      <c r="FJQ1630" s="1"/>
      <c r="FJR1630" s="1"/>
      <c r="FJS1630" s="1"/>
      <c r="FJT1630" s="1"/>
      <c r="FJU1630" s="1"/>
      <c r="FJV1630" s="1"/>
      <c r="FJW1630" s="1"/>
      <c r="FJX1630" s="1"/>
      <c r="FJY1630" s="1"/>
      <c r="FJZ1630" s="1"/>
      <c r="FKA1630" s="1"/>
      <c r="FKB1630" s="1"/>
      <c r="FKC1630" s="1"/>
      <c r="FKD1630" s="1"/>
      <c r="FKE1630" s="1"/>
      <c r="FKF1630" s="1"/>
      <c r="FKG1630" s="1"/>
      <c r="FKH1630" s="1"/>
      <c r="FKI1630" s="1"/>
      <c r="FKJ1630" s="1"/>
      <c r="FKK1630" s="1"/>
      <c r="FKL1630" s="1"/>
      <c r="FKM1630" s="1"/>
      <c r="FKN1630" s="1"/>
      <c r="FKO1630" s="1"/>
      <c r="FKP1630" s="1"/>
      <c r="FKQ1630" s="1"/>
      <c r="FKR1630" s="1"/>
      <c r="FKS1630" s="1"/>
      <c r="FKT1630" s="1"/>
      <c r="FKU1630" s="1"/>
      <c r="FKV1630" s="1"/>
      <c r="FKW1630" s="1"/>
      <c r="FKX1630" s="1"/>
      <c r="FKY1630" s="1"/>
      <c r="FKZ1630" s="1"/>
      <c r="FLA1630" s="1"/>
      <c r="FLB1630" s="1"/>
      <c r="FLC1630" s="1"/>
      <c r="FLD1630" s="1"/>
      <c r="FLE1630" s="1"/>
      <c r="FLF1630" s="1"/>
      <c r="FLG1630" s="1"/>
      <c r="FLH1630" s="1"/>
      <c r="FLI1630" s="1"/>
      <c r="FLJ1630" s="1"/>
      <c r="FLK1630" s="1"/>
      <c r="FLL1630" s="1"/>
      <c r="FLM1630" s="1"/>
      <c r="FLN1630" s="1"/>
      <c r="FLO1630" s="1"/>
      <c r="FLP1630" s="1"/>
      <c r="FLQ1630" s="1"/>
      <c r="FLR1630" s="1"/>
      <c r="FLS1630" s="1"/>
      <c r="FLT1630" s="1"/>
      <c r="FLU1630" s="1"/>
      <c r="FLV1630" s="1"/>
      <c r="FLW1630" s="1"/>
      <c r="FLX1630" s="1"/>
      <c r="FLY1630" s="1"/>
      <c r="FLZ1630" s="1"/>
      <c r="FMA1630" s="1"/>
      <c r="FMB1630" s="1"/>
      <c r="FMC1630" s="1"/>
      <c r="FMD1630" s="1"/>
      <c r="FME1630" s="1"/>
      <c r="FMF1630" s="1"/>
      <c r="FMG1630" s="1"/>
      <c r="FMH1630" s="1"/>
      <c r="FMI1630" s="1"/>
      <c r="FMJ1630" s="1"/>
      <c r="FMK1630" s="1"/>
      <c r="FML1630" s="1"/>
      <c r="FMM1630" s="1"/>
      <c r="FMN1630" s="1"/>
      <c r="FMO1630" s="1"/>
      <c r="FMP1630" s="1"/>
      <c r="FMQ1630" s="1"/>
      <c r="FMR1630" s="1"/>
      <c r="FMS1630" s="1"/>
      <c r="FMT1630" s="1"/>
      <c r="FMU1630" s="1"/>
      <c r="FMV1630" s="1"/>
      <c r="FMW1630" s="1"/>
      <c r="FMX1630" s="1"/>
      <c r="FMY1630" s="1"/>
      <c r="FMZ1630" s="1"/>
      <c r="FNA1630" s="1"/>
      <c r="FNB1630" s="1"/>
      <c r="FNC1630" s="1"/>
      <c r="FND1630" s="1"/>
      <c r="FNE1630" s="1"/>
      <c r="FNF1630" s="1"/>
      <c r="FNG1630" s="1"/>
      <c r="FNH1630" s="1"/>
      <c r="FNI1630" s="1"/>
      <c r="FNJ1630" s="1"/>
      <c r="FNK1630" s="1"/>
      <c r="FNL1630" s="1"/>
      <c r="FNM1630" s="1"/>
      <c r="FNN1630" s="1"/>
      <c r="FNO1630" s="1"/>
      <c r="FNP1630" s="1"/>
      <c r="FNQ1630" s="1"/>
      <c r="FNR1630" s="1"/>
      <c r="FNS1630" s="1"/>
      <c r="FNT1630" s="1"/>
      <c r="FNU1630" s="1"/>
      <c r="FNV1630" s="1"/>
      <c r="FNW1630" s="1"/>
      <c r="FNX1630" s="1"/>
      <c r="FNY1630" s="1"/>
      <c r="FNZ1630" s="1"/>
      <c r="FOA1630" s="1"/>
      <c r="FOB1630" s="1"/>
      <c r="FOC1630" s="1"/>
      <c r="FOD1630" s="1"/>
      <c r="FOE1630" s="1"/>
      <c r="FOF1630" s="1"/>
      <c r="FOG1630" s="1"/>
      <c r="FOH1630" s="1"/>
      <c r="FOI1630" s="1"/>
      <c r="FOJ1630" s="1"/>
      <c r="FOK1630" s="1"/>
      <c r="FOL1630" s="1"/>
      <c r="FOM1630" s="1"/>
      <c r="FON1630" s="1"/>
      <c r="FOO1630" s="1"/>
      <c r="FOP1630" s="1"/>
      <c r="FOQ1630" s="1"/>
      <c r="FOR1630" s="1"/>
      <c r="FOS1630" s="1"/>
      <c r="FOT1630" s="1"/>
      <c r="FOU1630" s="1"/>
      <c r="FOV1630" s="1"/>
      <c r="FOW1630" s="1"/>
      <c r="FOX1630" s="1"/>
      <c r="FOY1630" s="1"/>
      <c r="FOZ1630" s="1"/>
      <c r="FPA1630" s="1"/>
      <c r="FPB1630" s="1"/>
      <c r="FPC1630" s="1"/>
      <c r="FPD1630" s="1"/>
      <c r="FPE1630" s="1"/>
      <c r="FPF1630" s="1"/>
      <c r="FPG1630" s="1"/>
      <c r="FPH1630" s="1"/>
      <c r="FPI1630" s="1"/>
      <c r="FPJ1630" s="1"/>
      <c r="FPK1630" s="1"/>
      <c r="FPL1630" s="1"/>
      <c r="FPM1630" s="1"/>
      <c r="FPN1630" s="1"/>
      <c r="FPO1630" s="1"/>
      <c r="FPP1630" s="1"/>
      <c r="FPQ1630" s="1"/>
      <c r="FPR1630" s="1"/>
      <c r="FPS1630" s="1"/>
      <c r="FPT1630" s="1"/>
      <c r="FPU1630" s="1"/>
      <c r="FPV1630" s="1"/>
      <c r="FPW1630" s="1"/>
      <c r="FPX1630" s="1"/>
      <c r="FPY1630" s="1"/>
      <c r="FPZ1630" s="1"/>
      <c r="FQA1630" s="1"/>
      <c r="FQB1630" s="1"/>
      <c r="FQC1630" s="1"/>
      <c r="FQD1630" s="1"/>
      <c r="FQE1630" s="1"/>
      <c r="FQF1630" s="1"/>
      <c r="FQG1630" s="1"/>
      <c r="FQH1630" s="1"/>
      <c r="FQI1630" s="1"/>
      <c r="FQJ1630" s="1"/>
      <c r="FQK1630" s="1"/>
      <c r="FQL1630" s="1"/>
      <c r="FQM1630" s="1"/>
      <c r="FQN1630" s="1"/>
      <c r="FQO1630" s="1"/>
      <c r="FQP1630" s="1"/>
      <c r="FQQ1630" s="1"/>
      <c r="FQR1630" s="1"/>
      <c r="FQS1630" s="1"/>
      <c r="FQT1630" s="1"/>
      <c r="FQU1630" s="1"/>
      <c r="FQV1630" s="1"/>
      <c r="FQW1630" s="1"/>
      <c r="FQX1630" s="1"/>
      <c r="FQY1630" s="1"/>
      <c r="FQZ1630" s="1"/>
      <c r="FRA1630" s="1"/>
      <c r="FRB1630" s="1"/>
      <c r="FRC1630" s="1"/>
      <c r="FRD1630" s="1"/>
      <c r="FRE1630" s="1"/>
      <c r="FRF1630" s="1"/>
      <c r="FRG1630" s="1"/>
      <c r="FRH1630" s="1"/>
      <c r="FRI1630" s="1"/>
      <c r="FRJ1630" s="1"/>
      <c r="FRK1630" s="1"/>
      <c r="FRL1630" s="1"/>
      <c r="FRM1630" s="1"/>
      <c r="FRN1630" s="1"/>
      <c r="FRO1630" s="1"/>
      <c r="FRP1630" s="1"/>
      <c r="FRQ1630" s="1"/>
      <c r="FRR1630" s="1"/>
      <c r="FRS1630" s="1"/>
      <c r="FRT1630" s="1"/>
      <c r="FRU1630" s="1"/>
      <c r="FRV1630" s="1"/>
      <c r="FRW1630" s="1"/>
      <c r="FRX1630" s="1"/>
      <c r="FRY1630" s="1"/>
      <c r="FRZ1630" s="1"/>
      <c r="FSA1630" s="1"/>
      <c r="FSB1630" s="1"/>
      <c r="FSC1630" s="1"/>
      <c r="FSD1630" s="1"/>
      <c r="FSE1630" s="1"/>
      <c r="FSF1630" s="1"/>
      <c r="FSG1630" s="1"/>
      <c r="FSH1630" s="1"/>
      <c r="FSI1630" s="1"/>
      <c r="FSJ1630" s="1"/>
      <c r="FSK1630" s="1"/>
      <c r="FSL1630" s="1"/>
      <c r="FSM1630" s="1"/>
      <c r="FSN1630" s="1"/>
      <c r="FSO1630" s="1"/>
      <c r="FSP1630" s="1"/>
      <c r="FSQ1630" s="1"/>
      <c r="FSR1630" s="1"/>
      <c r="FSS1630" s="1"/>
      <c r="FST1630" s="1"/>
      <c r="FSU1630" s="1"/>
      <c r="FSV1630" s="1"/>
      <c r="FSW1630" s="1"/>
      <c r="FSX1630" s="1"/>
      <c r="FSY1630" s="1"/>
      <c r="FSZ1630" s="1"/>
      <c r="FTA1630" s="1"/>
      <c r="FTB1630" s="1"/>
      <c r="FTC1630" s="1"/>
      <c r="FTD1630" s="1"/>
      <c r="FTE1630" s="1"/>
      <c r="FTF1630" s="1"/>
      <c r="FTG1630" s="1"/>
      <c r="FTH1630" s="1"/>
      <c r="FTI1630" s="1"/>
      <c r="FTJ1630" s="1"/>
      <c r="FTK1630" s="1"/>
      <c r="FTL1630" s="1"/>
      <c r="FTM1630" s="1"/>
      <c r="FTN1630" s="1"/>
      <c r="FTO1630" s="1"/>
      <c r="FTP1630" s="1"/>
      <c r="FTQ1630" s="1"/>
      <c r="FTR1630" s="1"/>
      <c r="FTS1630" s="1"/>
      <c r="FTT1630" s="1"/>
      <c r="FTU1630" s="1"/>
      <c r="FTV1630" s="1"/>
      <c r="FTW1630" s="1"/>
      <c r="FTX1630" s="1"/>
      <c r="FTY1630" s="1"/>
      <c r="FTZ1630" s="1"/>
      <c r="FUA1630" s="1"/>
      <c r="FUB1630" s="1"/>
      <c r="FUC1630" s="1"/>
      <c r="FUD1630" s="1"/>
      <c r="FUE1630" s="1"/>
      <c r="FUF1630" s="1"/>
      <c r="FUG1630" s="1"/>
      <c r="FUH1630" s="1"/>
      <c r="FUI1630" s="1"/>
      <c r="FUJ1630" s="1"/>
      <c r="FUK1630" s="1"/>
      <c r="FUL1630" s="1"/>
      <c r="FUM1630" s="1"/>
      <c r="FUN1630" s="1"/>
      <c r="FUO1630" s="1"/>
      <c r="FUP1630" s="1"/>
      <c r="FUQ1630" s="1"/>
      <c r="FUR1630" s="1"/>
      <c r="FUS1630" s="1"/>
      <c r="FUT1630" s="1"/>
      <c r="FUU1630" s="1"/>
      <c r="FUV1630" s="1"/>
      <c r="FUW1630" s="1"/>
      <c r="FUX1630" s="1"/>
      <c r="FUY1630" s="1"/>
      <c r="FUZ1630" s="1"/>
      <c r="FVA1630" s="1"/>
      <c r="FVB1630" s="1"/>
      <c r="FVC1630" s="1"/>
      <c r="FVD1630" s="1"/>
      <c r="FVE1630" s="1"/>
      <c r="FVF1630" s="1"/>
      <c r="FVG1630" s="1"/>
      <c r="FVH1630" s="1"/>
      <c r="FVI1630" s="1"/>
      <c r="FVJ1630" s="1"/>
      <c r="FVK1630" s="1"/>
      <c r="FVL1630" s="1"/>
      <c r="FVM1630" s="1"/>
      <c r="FVN1630" s="1"/>
      <c r="FVO1630" s="1"/>
      <c r="FVP1630" s="1"/>
      <c r="FVQ1630" s="1"/>
      <c r="FVR1630" s="1"/>
      <c r="FVS1630" s="1"/>
      <c r="FVT1630" s="1"/>
      <c r="FVU1630" s="1"/>
      <c r="FVV1630" s="1"/>
      <c r="FVW1630" s="1"/>
      <c r="FVX1630" s="1"/>
      <c r="FVY1630" s="1"/>
      <c r="FVZ1630" s="1"/>
      <c r="FWA1630" s="1"/>
      <c r="FWB1630" s="1"/>
      <c r="FWC1630" s="1"/>
      <c r="FWD1630" s="1"/>
      <c r="FWE1630" s="1"/>
      <c r="FWF1630" s="1"/>
      <c r="FWG1630" s="1"/>
      <c r="FWH1630" s="1"/>
      <c r="FWI1630" s="1"/>
      <c r="FWJ1630" s="1"/>
      <c r="FWK1630" s="1"/>
      <c r="FWL1630" s="1"/>
      <c r="FWM1630" s="1"/>
      <c r="FWN1630" s="1"/>
      <c r="FWO1630" s="1"/>
      <c r="FWP1630" s="1"/>
      <c r="FWQ1630" s="1"/>
      <c r="FWR1630" s="1"/>
      <c r="FWS1630" s="1"/>
      <c r="FWT1630" s="1"/>
      <c r="FWU1630" s="1"/>
      <c r="FWV1630" s="1"/>
      <c r="FWW1630" s="1"/>
      <c r="FWX1630" s="1"/>
      <c r="FWY1630" s="1"/>
      <c r="FWZ1630" s="1"/>
      <c r="FXA1630" s="1"/>
      <c r="FXB1630" s="1"/>
      <c r="FXC1630" s="1"/>
      <c r="FXD1630" s="1"/>
      <c r="FXE1630" s="1"/>
      <c r="FXF1630" s="1"/>
      <c r="FXG1630" s="1"/>
      <c r="FXH1630" s="1"/>
      <c r="FXI1630" s="1"/>
      <c r="FXJ1630" s="1"/>
      <c r="FXK1630" s="1"/>
      <c r="FXL1630" s="1"/>
      <c r="FXM1630" s="1"/>
      <c r="FXN1630" s="1"/>
      <c r="FXO1630" s="1"/>
      <c r="FXP1630" s="1"/>
      <c r="FXQ1630" s="1"/>
      <c r="FXR1630" s="1"/>
      <c r="FXS1630" s="1"/>
      <c r="FXT1630" s="1"/>
      <c r="FXU1630" s="1"/>
      <c r="FXV1630" s="1"/>
      <c r="FXW1630" s="1"/>
      <c r="FXX1630" s="1"/>
      <c r="FXY1630" s="1"/>
      <c r="FXZ1630" s="1"/>
      <c r="FYA1630" s="1"/>
      <c r="FYB1630" s="1"/>
      <c r="FYC1630" s="1"/>
      <c r="FYD1630" s="1"/>
      <c r="FYE1630" s="1"/>
      <c r="FYF1630" s="1"/>
      <c r="FYG1630" s="1"/>
      <c r="FYH1630" s="1"/>
      <c r="FYI1630" s="1"/>
      <c r="FYJ1630" s="1"/>
      <c r="FYK1630" s="1"/>
      <c r="FYL1630" s="1"/>
      <c r="FYM1630" s="1"/>
      <c r="FYN1630" s="1"/>
      <c r="FYO1630" s="1"/>
      <c r="FYP1630" s="1"/>
      <c r="FYQ1630" s="1"/>
      <c r="FYR1630" s="1"/>
      <c r="FYS1630" s="1"/>
      <c r="FYT1630" s="1"/>
      <c r="FYU1630" s="1"/>
      <c r="FYV1630" s="1"/>
      <c r="FYW1630" s="1"/>
      <c r="FYX1630" s="1"/>
      <c r="FYY1630" s="1"/>
      <c r="FYZ1630" s="1"/>
      <c r="FZA1630" s="1"/>
      <c r="FZB1630" s="1"/>
      <c r="FZC1630" s="1"/>
      <c r="FZD1630" s="1"/>
      <c r="FZE1630" s="1"/>
      <c r="FZF1630" s="1"/>
      <c r="FZG1630" s="1"/>
      <c r="FZH1630" s="1"/>
      <c r="FZI1630" s="1"/>
      <c r="FZJ1630" s="1"/>
      <c r="FZK1630" s="1"/>
      <c r="FZL1630" s="1"/>
      <c r="FZM1630" s="1"/>
      <c r="FZN1630" s="1"/>
      <c r="FZO1630" s="1"/>
      <c r="FZP1630" s="1"/>
      <c r="FZQ1630" s="1"/>
      <c r="FZR1630" s="1"/>
      <c r="FZS1630" s="1"/>
      <c r="FZT1630" s="1"/>
      <c r="FZU1630" s="1"/>
      <c r="FZV1630" s="1"/>
      <c r="FZW1630" s="1"/>
      <c r="FZX1630" s="1"/>
      <c r="FZY1630" s="1"/>
      <c r="FZZ1630" s="1"/>
      <c r="GAA1630" s="1"/>
      <c r="GAB1630" s="1"/>
      <c r="GAC1630" s="1"/>
      <c r="GAD1630" s="1"/>
      <c r="GAE1630" s="1"/>
      <c r="GAF1630" s="1"/>
      <c r="GAG1630" s="1"/>
      <c r="GAH1630" s="1"/>
      <c r="GAI1630" s="1"/>
      <c r="GAJ1630" s="1"/>
      <c r="GAK1630" s="1"/>
      <c r="GAL1630" s="1"/>
      <c r="GAM1630" s="1"/>
      <c r="GAN1630" s="1"/>
      <c r="GAO1630" s="1"/>
      <c r="GAP1630" s="1"/>
      <c r="GAQ1630" s="1"/>
      <c r="GAR1630" s="1"/>
      <c r="GAS1630" s="1"/>
      <c r="GAT1630" s="1"/>
      <c r="GAU1630" s="1"/>
      <c r="GAV1630" s="1"/>
      <c r="GAW1630" s="1"/>
      <c r="GAX1630" s="1"/>
      <c r="GAY1630" s="1"/>
      <c r="GAZ1630" s="1"/>
      <c r="GBA1630" s="1"/>
      <c r="GBB1630" s="1"/>
      <c r="GBC1630" s="1"/>
      <c r="GBD1630" s="1"/>
      <c r="GBE1630" s="1"/>
      <c r="GBF1630" s="1"/>
      <c r="GBG1630" s="1"/>
      <c r="GBH1630" s="1"/>
      <c r="GBI1630" s="1"/>
      <c r="GBJ1630" s="1"/>
      <c r="GBK1630" s="1"/>
      <c r="GBL1630" s="1"/>
      <c r="GBM1630" s="1"/>
      <c r="GBN1630" s="1"/>
      <c r="GBO1630" s="1"/>
      <c r="GBP1630" s="1"/>
      <c r="GBQ1630" s="1"/>
      <c r="GBR1630" s="1"/>
      <c r="GBS1630" s="1"/>
      <c r="GBT1630" s="1"/>
      <c r="GBU1630" s="1"/>
      <c r="GBV1630" s="1"/>
      <c r="GBW1630" s="1"/>
      <c r="GBX1630" s="1"/>
      <c r="GBY1630" s="1"/>
      <c r="GBZ1630" s="1"/>
      <c r="GCA1630" s="1"/>
      <c r="GCB1630" s="1"/>
      <c r="GCC1630" s="1"/>
      <c r="GCD1630" s="1"/>
      <c r="GCE1630" s="1"/>
      <c r="GCF1630" s="1"/>
      <c r="GCG1630" s="1"/>
      <c r="GCH1630" s="1"/>
      <c r="GCI1630" s="1"/>
      <c r="GCJ1630" s="1"/>
      <c r="GCK1630" s="1"/>
      <c r="GCL1630" s="1"/>
      <c r="GCM1630" s="1"/>
      <c r="GCN1630" s="1"/>
      <c r="GCO1630" s="1"/>
      <c r="GCP1630" s="1"/>
      <c r="GCQ1630" s="1"/>
      <c r="GCR1630" s="1"/>
      <c r="GCS1630" s="1"/>
      <c r="GCT1630" s="1"/>
      <c r="GCU1630" s="1"/>
      <c r="GCV1630" s="1"/>
      <c r="GCW1630" s="1"/>
      <c r="GCX1630" s="1"/>
      <c r="GCY1630" s="1"/>
      <c r="GCZ1630" s="1"/>
      <c r="GDA1630" s="1"/>
      <c r="GDB1630" s="1"/>
      <c r="GDC1630" s="1"/>
      <c r="GDD1630" s="1"/>
      <c r="GDE1630" s="1"/>
      <c r="GDF1630" s="1"/>
      <c r="GDG1630" s="1"/>
      <c r="GDH1630" s="1"/>
      <c r="GDI1630" s="1"/>
      <c r="GDJ1630" s="1"/>
      <c r="GDK1630" s="1"/>
      <c r="GDL1630" s="1"/>
      <c r="GDM1630" s="1"/>
      <c r="GDN1630" s="1"/>
      <c r="GDO1630" s="1"/>
      <c r="GDP1630" s="1"/>
      <c r="GDQ1630" s="1"/>
      <c r="GDR1630" s="1"/>
      <c r="GDS1630" s="1"/>
      <c r="GDT1630" s="1"/>
      <c r="GDU1630" s="1"/>
      <c r="GDV1630" s="1"/>
      <c r="GDW1630" s="1"/>
      <c r="GDX1630" s="1"/>
      <c r="GDY1630" s="1"/>
      <c r="GDZ1630" s="1"/>
      <c r="GEA1630" s="1"/>
      <c r="GEB1630" s="1"/>
      <c r="GEC1630" s="1"/>
      <c r="GED1630" s="1"/>
      <c r="GEE1630" s="1"/>
      <c r="GEF1630" s="1"/>
      <c r="GEG1630" s="1"/>
      <c r="GEH1630" s="1"/>
      <c r="GEI1630" s="1"/>
      <c r="GEJ1630" s="1"/>
      <c r="GEK1630" s="1"/>
      <c r="GEL1630" s="1"/>
      <c r="GEM1630" s="1"/>
      <c r="GEN1630" s="1"/>
      <c r="GEO1630" s="1"/>
      <c r="GEP1630" s="1"/>
      <c r="GEQ1630" s="1"/>
      <c r="GER1630" s="1"/>
      <c r="GES1630" s="1"/>
      <c r="GET1630" s="1"/>
      <c r="GEU1630" s="1"/>
      <c r="GEV1630" s="1"/>
      <c r="GEW1630" s="1"/>
      <c r="GEX1630" s="1"/>
      <c r="GEY1630" s="1"/>
      <c r="GEZ1630" s="1"/>
      <c r="GFA1630" s="1"/>
      <c r="GFB1630" s="1"/>
      <c r="GFC1630" s="1"/>
      <c r="GFD1630" s="1"/>
      <c r="GFE1630" s="1"/>
      <c r="GFF1630" s="1"/>
      <c r="GFG1630" s="1"/>
      <c r="GFH1630" s="1"/>
      <c r="GFI1630" s="1"/>
      <c r="GFJ1630" s="1"/>
      <c r="GFK1630" s="1"/>
      <c r="GFL1630" s="1"/>
      <c r="GFM1630" s="1"/>
      <c r="GFN1630" s="1"/>
      <c r="GFO1630" s="1"/>
      <c r="GFP1630" s="1"/>
      <c r="GFQ1630" s="1"/>
      <c r="GFR1630" s="1"/>
      <c r="GFS1630" s="1"/>
      <c r="GFT1630" s="1"/>
      <c r="GFU1630" s="1"/>
      <c r="GFV1630" s="1"/>
      <c r="GFW1630" s="1"/>
      <c r="GFX1630" s="1"/>
      <c r="GFY1630" s="1"/>
      <c r="GFZ1630" s="1"/>
      <c r="GGA1630" s="1"/>
      <c r="GGB1630" s="1"/>
      <c r="GGC1630" s="1"/>
      <c r="GGD1630" s="1"/>
      <c r="GGE1630" s="1"/>
      <c r="GGF1630" s="1"/>
      <c r="GGG1630" s="1"/>
      <c r="GGH1630" s="1"/>
      <c r="GGI1630" s="1"/>
      <c r="GGJ1630" s="1"/>
      <c r="GGK1630" s="1"/>
      <c r="GGL1630" s="1"/>
      <c r="GGM1630" s="1"/>
      <c r="GGN1630" s="1"/>
      <c r="GGO1630" s="1"/>
      <c r="GGP1630" s="1"/>
      <c r="GGQ1630" s="1"/>
      <c r="GGR1630" s="1"/>
      <c r="GGS1630" s="1"/>
      <c r="GGT1630" s="1"/>
      <c r="GGU1630" s="1"/>
      <c r="GGV1630" s="1"/>
      <c r="GGW1630" s="1"/>
      <c r="GGX1630" s="1"/>
      <c r="GGY1630" s="1"/>
      <c r="GGZ1630" s="1"/>
      <c r="GHA1630" s="1"/>
      <c r="GHB1630" s="1"/>
      <c r="GHC1630" s="1"/>
      <c r="GHD1630" s="1"/>
      <c r="GHE1630" s="1"/>
      <c r="GHF1630" s="1"/>
      <c r="GHG1630" s="1"/>
      <c r="GHH1630" s="1"/>
      <c r="GHI1630" s="1"/>
      <c r="GHJ1630" s="1"/>
      <c r="GHK1630" s="1"/>
      <c r="GHL1630" s="1"/>
      <c r="GHM1630" s="1"/>
      <c r="GHN1630" s="1"/>
      <c r="GHO1630" s="1"/>
      <c r="GHP1630" s="1"/>
      <c r="GHQ1630" s="1"/>
      <c r="GHR1630" s="1"/>
      <c r="GHS1630" s="1"/>
      <c r="GHT1630" s="1"/>
      <c r="GHU1630" s="1"/>
      <c r="GHV1630" s="1"/>
      <c r="GHW1630" s="1"/>
      <c r="GHX1630" s="1"/>
      <c r="GHY1630" s="1"/>
      <c r="GHZ1630" s="1"/>
      <c r="GIA1630" s="1"/>
      <c r="GIB1630" s="1"/>
      <c r="GIC1630" s="1"/>
      <c r="GID1630" s="1"/>
      <c r="GIE1630" s="1"/>
      <c r="GIF1630" s="1"/>
      <c r="GIG1630" s="1"/>
      <c r="GIH1630" s="1"/>
      <c r="GII1630" s="1"/>
      <c r="GIJ1630" s="1"/>
      <c r="GIK1630" s="1"/>
      <c r="GIL1630" s="1"/>
      <c r="GIM1630" s="1"/>
      <c r="GIN1630" s="1"/>
      <c r="GIO1630" s="1"/>
      <c r="GIP1630" s="1"/>
      <c r="GIQ1630" s="1"/>
      <c r="GIR1630" s="1"/>
      <c r="GIS1630" s="1"/>
      <c r="GIT1630" s="1"/>
      <c r="GIU1630" s="1"/>
      <c r="GIV1630" s="1"/>
      <c r="GIW1630" s="1"/>
      <c r="GIX1630" s="1"/>
      <c r="GIY1630" s="1"/>
      <c r="GIZ1630" s="1"/>
      <c r="GJA1630" s="1"/>
      <c r="GJB1630" s="1"/>
      <c r="GJC1630" s="1"/>
      <c r="GJD1630" s="1"/>
      <c r="GJE1630" s="1"/>
      <c r="GJF1630" s="1"/>
      <c r="GJG1630" s="1"/>
      <c r="GJH1630" s="1"/>
      <c r="GJI1630" s="1"/>
      <c r="GJJ1630" s="1"/>
      <c r="GJK1630" s="1"/>
      <c r="GJL1630" s="1"/>
      <c r="GJM1630" s="1"/>
      <c r="GJN1630" s="1"/>
      <c r="GJO1630" s="1"/>
      <c r="GJP1630" s="1"/>
      <c r="GJQ1630" s="1"/>
      <c r="GJR1630" s="1"/>
      <c r="GJS1630" s="1"/>
      <c r="GJT1630" s="1"/>
      <c r="GJU1630" s="1"/>
      <c r="GJV1630" s="1"/>
      <c r="GJW1630" s="1"/>
      <c r="GJX1630" s="1"/>
      <c r="GJY1630" s="1"/>
      <c r="GJZ1630" s="1"/>
      <c r="GKA1630" s="1"/>
      <c r="GKB1630" s="1"/>
      <c r="GKC1630" s="1"/>
      <c r="GKD1630" s="1"/>
      <c r="GKE1630" s="1"/>
      <c r="GKF1630" s="1"/>
      <c r="GKG1630" s="1"/>
      <c r="GKH1630" s="1"/>
      <c r="GKI1630" s="1"/>
      <c r="GKJ1630" s="1"/>
      <c r="GKK1630" s="1"/>
      <c r="GKL1630" s="1"/>
      <c r="GKM1630" s="1"/>
      <c r="GKN1630" s="1"/>
      <c r="GKO1630" s="1"/>
      <c r="GKP1630" s="1"/>
      <c r="GKQ1630" s="1"/>
      <c r="GKR1630" s="1"/>
      <c r="GKS1630" s="1"/>
      <c r="GKT1630" s="1"/>
      <c r="GKU1630" s="1"/>
      <c r="GKV1630" s="1"/>
      <c r="GKW1630" s="1"/>
      <c r="GKX1630" s="1"/>
      <c r="GKY1630" s="1"/>
      <c r="GKZ1630" s="1"/>
      <c r="GLA1630" s="1"/>
      <c r="GLB1630" s="1"/>
      <c r="GLC1630" s="1"/>
      <c r="GLD1630" s="1"/>
      <c r="GLE1630" s="1"/>
      <c r="GLF1630" s="1"/>
      <c r="GLG1630" s="1"/>
      <c r="GLH1630" s="1"/>
      <c r="GLI1630" s="1"/>
      <c r="GLJ1630" s="1"/>
      <c r="GLK1630" s="1"/>
      <c r="GLL1630" s="1"/>
      <c r="GLM1630" s="1"/>
      <c r="GLN1630" s="1"/>
      <c r="GLO1630" s="1"/>
      <c r="GLP1630" s="1"/>
      <c r="GLQ1630" s="1"/>
      <c r="GLR1630" s="1"/>
      <c r="GLS1630" s="1"/>
      <c r="GLT1630" s="1"/>
      <c r="GLU1630" s="1"/>
      <c r="GLV1630" s="1"/>
      <c r="GLW1630" s="1"/>
      <c r="GLX1630" s="1"/>
      <c r="GLY1630" s="1"/>
      <c r="GLZ1630" s="1"/>
      <c r="GMA1630" s="1"/>
      <c r="GMB1630" s="1"/>
      <c r="GMC1630" s="1"/>
      <c r="GMD1630" s="1"/>
      <c r="GME1630" s="1"/>
      <c r="GMF1630" s="1"/>
      <c r="GMG1630" s="1"/>
      <c r="GMH1630" s="1"/>
      <c r="GMI1630" s="1"/>
      <c r="GMJ1630" s="1"/>
      <c r="GMK1630" s="1"/>
      <c r="GML1630" s="1"/>
      <c r="GMM1630" s="1"/>
      <c r="GMN1630" s="1"/>
      <c r="GMO1630" s="1"/>
      <c r="GMP1630" s="1"/>
      <c r="GMQ1630" s="1"/>
      <c r="GMR1630" s="1"/>
      <c r="GMS1630" s="1"/>
      <c r="GMT1630" s="1"/>
      <c r="GMU1630" s="1"/>
      <c r="GMV1630" s="1"/>
      <c r="GMW1630" s="1"/>
      <c r="GMX1630" s="1"/>
      <c r="GMY1630" s="1"/>
      <c r="GMZ1630" s="1"/>
      <c r="GNA1630" s="1"/>
      <c r="GNB1630" s="1"/>
      <c r="GNC1630" s="1"/>
      <c r="GND1630" s="1"/>
      <c r="GNE1630" s="1"/>
      <c r="GNF1630" s="1"/>
      <c r="GNG1630" s="1"/>
      <c r="GNH1630" s="1"/>
      <c r="GNI1630" s="1"/>
      <c r="GNJ1630" s="1"/>
      <c r="GNK1630" s="1"/>
      <c r="GNL1630" s="1"/>
      <c r="GNM1630" s="1"/>
      <c r="GNN1630" s="1"/>
      <c r="GNO1630" s="1"/>
      <c r="GNP1630" s="1"/>
      <c r="GNQ1630" s="1"/>
      <c r="GNR1630" s="1"/>
      <c r="GNS1630" s="1"/>
      <c r="GNT1630" s="1"/>
      <c r="GNU1630" s="1"/>
      <c r="GNV1630" s="1"/>
      <c r="GNW1630" s="1"/>
      <c r="GNX1630" s="1"/>
      <c r="GNY1630" s="1"/>
      <c r="GNZ1630" s="1"/>
      <c r="GOA1630" s="1"/>
      <c r="GOB1630" s="1"/>
      <c r="GOC1630" s="1"/>
      <c r="GOD1630" s="1"/>
      <c r="GOE1630" s="1"/>
      <c r="GOF1630" s="1"/>
      <c r="GOG1630" s="1"/>
      <c r="GOH1630" s="1"/>
      <c r="GOI1630" s="1"/>
      <c r="GOJ1630" s="1"/>
      <c r="GOK1630" s="1"/>
      <c r="GOL1630" s="1"/>
      <c r="GOM1630" s="1"/>
      <c r="GON1630" s="1"/>
      <c r="GOO1630" s="1"/>
      <c r="GOP1630" s="1"/>
      <c r="GOQ1630" s="1"/>
      <c r="GOR1630" s="1"/>
      <c r="GOS1630" s="1"/>
      <c r="GOT1630" s="1"/>
      <c r="GOU1630" s="1"/>
      <c r="GOV1630" s="1"/>
      <c r="GOW1630" s="1"/>
      <c r="GOX1630" s="1"/>
      <c r="GOY1630" s="1"/>
      <c r="GOZ1630" s="1"/>
      <c r="GPA1630" s="1"/>
      <c r="GPB1630" s="1"/>
      <c r="GPC1630" s="1"/>
      <c r="GPD1630" s="1"/>
      <c r="GPE1630" s="1"/>
      <c r="GPF1630" s="1"/>
      <c r="GPG1630" s="1"/>
      <c r="GPH1630" s="1"/>
      <c r="GPI1630" s="1"/>
      <c r="GPJ1630" s="1"/>
      <c r="GPK1630" s="1"/>
      <c r="GPL1630" s="1"/>
      <c r="GPM1630" s="1"/>
      <c r="GPN1630" s="1"/>
      <c r="GPO1630" s="1"/>
      <c r="GPP1630" s="1"/>
      <c r="GPQ1630" s="1"/>
      <c r="GPR1630" s="1"/>
      <c r="GPS1630" s="1"/>
      <c r="GPT1630" s="1"/>
      <c r="GPU1630" s="1"/>
      <c r="GPV1630" s="1"/>
      <c r="GPW1630" s="1"/>
      <c r="GPX1630" s="1"/>
      <c r="GPY1630" s="1"/>
      <c r="GPZ1630" s="1"/>
      <c r="GQA1630" s="1"/>
      <c r="GQB1630" s="1"/>
      <c r="GQC1630" s="1"/>
      <c r="GQD1630" s="1"/>
      <c r="GQE1630" s="1"/>
      <c r="GQF1630" s="1"/>
      <c r="GQG1630" s="1"/>
      <c r="GQH1630" s="1"/>
      <c r="GQI1630" s="1"/>
      <c r="GQJ1630" s="1"/>
      <c r="GQK1630" s="1"/>
      <c r="GQL1630" s="1"/>
      <c r="GQM1630" s="1"/>
      <c r="GQN1630" s="1"/>
      <c r="GQO1630" s="1"/>
      <c r="GQP1630" s="1"/>
      <c r="GQQ1630" s="1"/>
      <c r="GQR1630" s="1"/>
      <c r="GQS1630" s="1"/>
      <c r="GQT1630" s="1"/>
      <c r="GQU1630" s="1"/>
      <c r="GQV1630" s="1"/>
      <c r="GQW1630" s="1"/>
      <c r="GQX1630" s="1"/>
      <c r="GQY1630" s="1"/>
      <c r="GQZ1630" s="1"/>
      <c r="GRA1630" s="1"/>
      <c r="GRB1630" s="1"/>
      <c r="GRC1630" s="1"/>
      <c r="GRD1630" s="1"/>
      <c r="GRE1630" s="1"/>
      <c r="GRF1630" s="1"/>
      <c r="GRG1630" s="1"/>
      <c r="GRH1630" s="1"/>
      <c r="GRI1630" s="1"/>
      <c r="GRJ1630" s="1"/>
      <c r="GRK1630" s="1"/>
      <c r="GRL1630" s="1"/>
      <c r="GRM1630" s="1"/>
      <c r="GRN1630" s="1"/>
      <c r="GRO1630" s="1"/>
      <c r="GRP1630" s="1"/>
      <c r="GRQ1630" s="1"/>
      <c r="GRR1630" s="1"/>
      <c r="GRS1630" s="1"/>
      <c r="GRT1630" s="1"/>
      <c r="GRU1630" s="1"/>
      <c r="GRV1630" s="1"/>
      <c r="GRW1630" s="1"/>
      <c r="GRX1630" s="1"/>
      <c r="GRY1630" s="1"/>
      <c r="GRZ1630" s="1"/>
      <c r="GSA1630" s="1"/>
      <c r="GSB1630" s="1"/>
      <c r="GSC1630" s="1"/>
      <c r="GSD1630" s="1"/>
      <c r="GSE1630" s="1"/>
      <c r="GSF1630" s="1"/>
      <c r="GSG1630" s="1"/>
      <c r="GSH1630" s="1"/>
      <c r="GSI1630" s="1"/>
      <c r="GSJ1630" s="1"/>
      <c r="GSK1630" s="1"/>
      <c r="GSL1630" s="1"/>
      <c r="GSM1630" s="1"/>
      <c r="GSN1630" s="1"/>
      <c r="GSO1630" s="1"/>
      <c r="GSP1630" s="1"/>
      <c r="GSQ1630" s="1"/>
      <c r="GSR1630" s="1"/>
      <c r="GSS1630" s="1"/>
      <c r="GST1630" s="1"/>
      <c r="GSU1630" s="1"/>
      <c r="GSV1630" s="1"/>
      <c r="GSW1630" s="1"/>
      <c r="GSX1630" s="1"/>
      <c r="GSY1630" s="1"/>
      <c r="GSZ1630" s="1"/>
      <c r="GTA1630" s="1"/>
      <c r="GTB1630" s="1"/>
      <c r="GTC1630" s="1"/>
      <c r="GTD1630" s="1"/>
      <c r="GTE1630" s="1"/>
      <c r="GTF1630" s="1"/>
      <c r="GTG1630" s="1"/>
      <c r="GTH1630" s="1"/>
      <c r="GTI1630" s="1"/>
      <c r="GTJ1630" s="1"/>
      <c r="GTK1630" s="1"/>
      <c r="GTL1630" s="1"/>
      <c r="GTM1630" s="1"/>
      <c r="GTN1630" s="1"/>
      <c r="GTO1630" s="1"/>
      <c r="GTP1630" s="1"/>
      <c r="GTQ1630" s="1"/>
      <c r="GTR1630" s="1"/>
      <c r="GTS1630" s="1"/>
      <c r="GTT1630" s="1"/>
      <c r="GTU1630" s="1"/>
      <c r="GTV1630" s="1"/>
      <c r="GTW1630" s="1"/>
      <c r="GTX1630" s="1"/>
      <c r="GTY1630" s="1"/>
      <c r="GTZ1630" s="1"/>
      <c r="GUA1630" s="1"/>
      <c r="GUB1630" s="1"/>
      <c r="GUC1630" s="1"/>
      <c r="GUD1630" s="1"/>
      <c r="GUE1630" s="1"/>
      <c r="GUF1630" s="1"/>
      <c r="GUG1630" s="1"/>
      <c r="GUH1630" s="1"/>
      <c r="GUI1630" s="1"/>
      <c r="GUJ1630" s="1"/>
      <c r="GUK1630" s="1"/>
      <c r="GUL1630" s="1"/>
      <c r="GUM1630" s="1"/>
      <c r="GUN1630" s="1"/>
      <c r="GUO1630" s="1"/>
      <c r="GUP1630" s="1"/>
      <c r="GUQ1630" s="1"/>
      <c r="GUR1630" s="1"/>
      <c r="GUS1630" s="1"/>
      <c r="GUT1630" s="1"/>
      <c r="GUU1630" s="1"/>
      <c r="GUV1630" s="1"/>
      <c r="GUW1630" s="1"/>
      <c r="GUX1630" s="1"/>
      <c r="GUY1630" s="1"/>
      <c r="GUZ1630" s="1"/>
      <c r="GVA1630" s="1"/>
      <c r="GVB1630" s="1"/>
      <c r="GVC1630" s="1"/>
      <c r="GVD1630" s="1"/>
      <c r="GVE1630" s="1"/>
      <c r="GVF1630" s="1"/>
      <c r="GVG1630" s="1"/>
      <c r="GVH1630" s="1"/>
      <c r="GVI1630" s="1"/>
      <c r="GVJ1630" s="1"/>
      <c r="GVK1630" s="1"/>
      <c r="GVL1630" s="1"/>
      <c r="GVM1630" s="1"/>
      <c r="GVN1630" s="1"/>
      <c r="GVO1630" s="1"/>
      <c r="GVP1630" s="1"/>
      <c r="GVQ1630" s="1"/>
      <c r="GVR1630" s="1"/>
      <c r="GVS1630" s="1"/>
      <c r="GVT1630" s="1"/>
      <c r="GVU1630" s="1"/>
      <c r="GVV1630" s="1"/>
      <c r="GVW1630" s="1"/>
      <c r="GVX1630" s="1"/>
      <c r="GVY1630" s="1"/>
      <c r="GVZ1630" s="1"/>
      <c r="GWA1630" s="1"/>
      <c r="GWB1630" s="1"/>
      <c r="GWC1630" s="1"/>
      <c r="GWD1630" s="1"/>
      <c r="GWE1630" s="1"/>
      <c r="GWF1630" s="1"/>
      <c r="GWG1630" s="1"/>
      <c r="GWH1630" s="1"/>
      <c r="GWI1630" s="1"/>
      <c r="GWJ1630" s="1"/>
      <c r="GWK1630" s="1"/>
      <c r="GWL1630" s="1"/>
      <c r="GWM1630" s="1"/>
      <c r="GWN1630" s="1"/>
      <c r="GWO1630" s="1"/>
      <c r="GWP1630" s="1"/>
      <c r="GWQ1630" s="1"/>
      <c r="GWR1630" s="1"/>
      <c r="GWS1630" s="1"/>
      <c r="GWT1630" s="1"/>
      <c r="GWU1630" s="1"/>
      <c r="GWV1630" s="1"/>
      <c r="GWW1630" s="1"/>
      <c r="GWX1630" s="1"/>
      <c r="GWY1630" s="1"/>
      <c r="GWZ1630" s="1"/>
      <c r="GXA1630" s="1"/>
      <c r="GXB1630" s="1"/>
      <c r="GXC1630" s="1"/>
      <c r="GXD1630" s="1"/>
      <c r="GXE1630" s="1"/>
      <c r="GXF1630" s="1"/>
      <c r="GXG1630" s="1"/>
      <c r="GXH1630" s="1"/>
      <c r="GXI1630" s="1"/>
      <c r="GXJ1630" s="1"/>
      <c r="GXK1630" s="1"/>
      <c r="GXL1630" s="1"/>
      <c r="GXM1630" s="1"/>
      <c r="GXN1630" s="1"/>
      <c r="GXO1630" s="1"/>
      <c r="GXP1630" s="1"/>
      <c r="GXQ1630" s="1"/>
      <c r="GXR1630" s="1"/>
      <c r="GXS1630" s="1"/>
      <c r="GXT1630" s="1"/>
      <c r="GXU1630" s="1"/>
      <c r="GXV1630" s="1"/>
      <c r="GXW1630" s="1"/>
      <c r="GXX1630" s="1"/>
      <c r="GXY1630" s="1"/>
      <c r="GXZ1630" s="1"/>
      <c r="GYA1630" s="1"/>
      <c r="GYB1630" s="1"/>
      <c r="GYC1630" s="1"/>
      <c r="GYD1630" s="1"/>
      <c r="GYE1630" s="1"/>
      <c r="GYF1630" s="1"/>
      <c r="GYG1630" s="1"/>
      <c r="GYH1630" s="1"/>
      <c r="GYI1630" s="1"/>
      <c r="GYJ1630" s="1"/>
      <c r="GYK1630" s="1"/>
      <c r="GYL1630" s="1"/>
      <c r="GYM1630" s="1"/>
      <c r="GYN1630" s="1"/>
      <c r="GYO1630" s="1"/>
      <c r="GYP1630" s="1"/>
      <c r="GYQ1630" s="1"/>
      <c r="GYR1630" s="1"/>
      <c r="GYS1630" s="1"/>
      <c r="GYT1630" s="1"/>
      <c r="GYU1630" s="1"/>
      <c r="GYV1630" s="1"/>
      <c r="GYW1630" s="1"/>
      <c r="GYX1630" s="1"/>
      <c r="GYY1630" s="1"/>
      <c r="GYZ1630" s="1"/>
      <c r="GZA1630" s="1"/>
      <c r="GZB1630" s="1"/>
      <c r="GZC1630" s="1"/>
      <c r="GZD1630" s="1"/>
      <c r="GZE1630" s="1"/>
      <c r="GZF1630" s="1"/>
      <c r="GZG1630" s="1"/>
      <c r="GZH1630" s="1"/>
      <c r="GZI1630" s="1"/>
      <c r="GZJ1630" s="1"/>
      <c r="GZK1630" s="1"/>
      <c r="GZL1630" s="1"/>
      <c r="GZM1630" s="1"/>
      <c r="GZN1630" s="1"/>
      <c r="GZO1630" s="1"/>
      <c r="GZP1630" s="1"/>
      <c r="GZQ1630" s="1"/>
      <c r="GZR1630" s="1"/>
      <c r="GZS1630" s="1"/>
      <c r="GZT1630" s="1"/>
      <c r="GZU1630" s="1"/>
      <c r="GZV1630" s="1"/>
      <c r="GZW1630" s="1"/>
      <c r="GZX1630" s="1"/>
      <c r="GZY1630" s="1"/>
      <c r="GZZ1630" s="1"/>
      <c r="HAA1630" s="1"/>
      <c r="HAB1630" s="1"/>
      <c r="HAC1630" s="1"/>
      <c r="HAD1630" s="1"/>
      <c r="HAE1630" s="1"/>
      <c r="HAF1630" s="1"/>
      <c r="HAG1630" s="1"/>
      <c r="HAH1630" s="1"/>
      <c r="HAI1630" s="1"/>
      <c r="HAJ1630" s="1"/>
      <c r="HAK1630" s="1"/>
      <c r="HAL1630" s="1"/>
      <c r="HAM1630" s="1"/>
      <c r="HAN1630" s="1"/>
      <c r="HAO1630" s="1"/>
      <c r="HAP1630" s="1"/>
      <c r="HAQ1630" s="1"/>
      <c r="HAR1630" s="1"/>
      <c r="HAS1630" s="1"/>
      <c r="HAT1630" s="1"/>
      <c r="HAU1630" s="1"/>
      <c r="HAV1630" s="1"/>
      <c r="HAW1630" s="1"/>
      <c r="HAX1630" s="1"/>
      <c r="HAY1630" s="1"/>
      <c r="HAZ1630" s="1"/>
      <c r="HBA1630" s="1"/>
      <c r="HBB1630" s="1"/>
      <c r="HBC1630" s="1"/>
      <c r="HBD1630" s="1"/>
      <c r="HBE1630" s="1"/>
      <c r="HBF1630" s="1"/>
      <c r="HBG1630" s="1"/>
      <c r="HBH1630" s="1"/>
      <c r="HBI1630" s="1"/>
      <c r="HBJ1630" s="1"/>
      <c r="HBK1630" s="1"/>
      <c r="HBL1630" s="1"/>
      <c r="HBM1630" s="1"/>
      <c r="HBN1630" s="1"/>
      <c r="HBO1630" s="1"/>
      <c r="HBP1630" s="1"/>
      <c r="HBQ1630" s="1"/>
      <c r="HBR1630" s="1"/>
      <c r="HBS1630" s="1"/>
      <c r="HBT1630" s="1"/>
      <c r="HBU1630" s="1"/>
      <c r="HBV1630" s="1"/>
      <c r="HBW1630" s="1"/>
      <c r="HBX1630" s="1"/>
      <c r="HBY1630" s="1"/>
      <c r="HBZ1630" s="1"/>
      <c r="HCA1630" s="1"/>
      <c r="HCB1630" s="1"/>
      <c r="HCC1630" s="1"/>
      <c r="HCD1630" s="1"/>
      <c r="HCE1630" s="1"/>
      <c r="HCF1630" s="1"/>
      <c r="HCG1630" s="1"/>
      <c r="HCH1630" s="1"/>
      <c r="HCI1630" s="1"/>
      <c r="HCJ1630" s="1"/>
      <c r="HCK1630" s="1"/>
      <c r="HCL1630" s="1"/>
      <c r="HCM1630" s="1"/>
      <c r="HCN1630" s="1"/>
      <c r="HCO1630" s="1"/>
      <c r="HCP1630" s="1"/>
      <c r="HCQ1630" s="1"/>
      <c r="HCR1630" s="1"/>
      <c r="HCS1630" s="1"/>
      <c r="HCT1630" s="1"/>
      <c r="HCU1630" s="1"/>
      <c r="HCV1630" s="1"/>
      <c r="HCW1630" s="1"/>
      <c r="HCX1630" s="1"/>
      <c r="HCY1630" s="1"/>
      <c r="HCZ1630" s="1"/>
      <c r="HDA1630" s="1"/>
      <c r="HDB1630" s="1"/>
      <c r="HDC1630" s="1"/>
      <c r="HDD1630" s="1"/>
      <c r="HDE1630" s="1"/>
      <c r="HDF1630" s="1"/>
      <c r="HDG1630" s="1"/>
      <c r="HDH1630" s="1"/>
      <c r="HDI1630" s="1"/>
      <c r="HDJ1630" s="1"/>
      <c r="HDK1630" s="1"/>
      <c r="HDL1630" s="1"/>
      <c r="HDM1630" s="1"/>
      <c r="HDN1630" s="1"/>
      <c r="HDO1630" s="1"/>
      <c r="HDP1630" s="1"/>
      <c r="HDQ1630" s="1"/>
      <c r="HDR1630" s="1"/>
      <c r="HDS1630" s="1"/>
      <c r="HDT1630" s="1"/>
      <c r="HDU1630" s="1"/>
      <c r="HDV1630" s="1"/>
      <c r="HDW1630" s="1"/>
      <c r="HDX1630" s="1"/>
      <c r="HDY1630" s="1"/>
      <c r="HDZ1630" s="1"/>
      <c r="HEA1630" s="1"/>
      <c r="HEB1630" s="1"/>
      <c r="HEC1630" s="1"/>
      <c r="HED1630" s="1"/>
      <c r="HEE1630" s="1"/>
      <c r="HEF1630" s="1"/>
      <c r="HEG1630" s="1"/>
      <c r="HEH1630" s="1"/>
      <c r="HEI1630" s="1"/>
      <c r="HEJ1630" s="1"/>
      <c r="HEK1630" s="1"/>
      <c r="HEL1630" s="1"/>
      <c r="HEM1630" s="1"/>
      <c r="HEN1630" s="1"/>
      <c r="HEO1630" s="1"/>
      <c r="HEP1630" s="1"/>
      <c r="HEQ1630" s="1"/>
      <c r="HER1630" s="1"/>
      <c r="HES1630" s="1"/>
      <c r="HET1630" s="1"/>
      <c r="HEU1630" s="1"/>
      <c r="HEV1630" s="1"/>
      <c r="HEW1630" s="1"/>
      <c r="HEX1630" s="1"/>
      <c r="HEY1630" s="1"/>
      <c r="HEZ1630" s="1"/>
      <c r="HFA1630" s="1"/>
      <c r="HFB1630" s="1"/>
      <c r="HFC1630" s="1"/>
      <c r="HFD1630" s="1"/>
      <c r="HFE1630" s="1"/>
      <c r="HFF1630" s="1"/>
      <c r="HFG1630" s="1"/>
      <c r="HFH1630" s="1"/>
      <c r="HFI1630" s="1"/>
      <c r="HFJ1630" s="1"/>
      <c r="HFK1630" s="1"/>
      <c r="HFL1630" s="1"/>
      <c r="HFM1630" s="1"/>
      <c r="HFN1630" s="1"/>
      <c r="HFO1630" s="1"/>
      <c r="HFP1630" s="1"/>
      <c r="HFQ1630" s="1"/>
      <c r="HFR1630" s="1"/>
      <c r="HFS1630" s="1"/>
      <c r="HFT1630" s="1"/>
      <c r="HFU1630" s="1"/>
      <c r="HFV1630" s="1"/>
      <c r="HFW1630" s="1"/>
      <c r="HFX1630" s="1"/>
      <c r="HFY1630" s="1"/>
      <c r="HFZ1630" s="1"/>
      <c r="HGA1630" s="1"/>
      <c r="HGB1630" s="1"/>
      <c r="HGC1630" s="1"/>
      <c r="HGD1630" s="1"/>
      <c r="HGE1630" s="1"/>
      <c r="HGF1630" s="1"/>
      <c r="HGG1630" s="1"/>
      <c r="HGH1630" s="1"/>
      <c r="HGI1630" s="1"/>
      <c r="HGJ1630" s="1"/>
      <c r="HGK1630" s="1"/>
      <c r="HGL1630" s="1"/>
      <c r="HGM1630" s="1"/>
      <c r="HGN1630" s="1"/>
      <c r="HGO1630" s="1"/>
      <c r="HGP1630" s="1"/>
      <c r="HGQ1630" s="1"/>
      <c r="HGR1630" s="1"/>
      <c r="HGS1630" s="1"/>
      <c r="HGT1630" s="1"/>
      <c r="HGU1630" s="1"/>
      <c r="HGV1630" s="1"/>
      <c r="HGW1630" s="1"/>
      <c r="HGX1630" s="1"/>
      <c r="HGY1630" s="1"/>
      <c r="HGZ1630" s="1"/>
      <c r="HHA1630" s="1"/>
      <c r="HHB1630" s="1"/>
      <c r="HHC1630" s="1"/>
      <c r="HHD1630" s="1"/>
      <c r="HHE1630" s="1"/>
      <c r="HHF1630" s="1"/>
      <c r="HHG1630" s="1"/>
      <c r="HHH1630" s="1"/>
      <c r="HHI1630" s="1"/>
      <c r="HHJ1630" s="1"/>
      <c r="HHK1630" s="1"/>
      <c r="HHL1630" s="1"/>
      <c r="HHM1630" s="1"/>
      <c r="HHN1630" s="1"/>
      <c r="HHO1630" s="1"/>
      <c r="HHP1630" s="1"/>
      <c r="HHQ1630" s="1"/>
      <c r="HHR1630" s="1"/>
      <c r="HHS1630" s="1"/>
      <c r="HHT1630" s="1"/>
      <c r="HHU1630" s="1"/>
      <c r="HHV1630" s="1"/>
      <c r="HHW1630" s="1"/>
      <c r="HHX1630" s="1"/>
      <c r="HHY1630" s="1"/>
      <c r="HHZ1630" s="1"/>
      <c r="HIA1630" s="1"/>
      <c r="HIB1630" s="1"/>
      <c r="HIC1630" s="1"/>
      <c r="HID1630" s="1"/>
      <c r="HIE1630" s="1"/>
      <c r="HIF1630" s="1"/>
      <c r="HIG1630" s="1"/>
      <c r="HIH1630" s="1"/>
      <c r="HII1630" s="1"/>
      <c r="HIJ1630" s="1"/>
      <c r="HIK1630" s="1"/>
      <c r="HIL1630" s="1"/>
      <c r="HIM1630" s="1"/>
      <c r="HIN1630" s="1"/>
      <c r="HIO1630" s="1"/>
      <c r="HIP1630" s="1"/>
      <c r="HIQ1630" s="1"/>
      <c r="HIR1630" s="1"/>
      <c r="HIS1630" s="1"/>
      <c r="HIT1630" s="1"/>
      <c r="HIU1630" s="1"/>
      <c r="HIV1630" s="1"/>
      <c r="HIW1630" s="1"/>
      <c r="HIX1630" s="1"/>
      <c r="HIY1630" s="1"/>
      <c r="HIZ1630" s="1"/>
      <c r="HJA1630" s="1"/>
      <c r="HJB1630" s="1"/>
      <c r="HJC1630" s="1"/>
      <c r="HJD1630" s="1"/>
      <c r="HJE1630" s="1"/>
      <c r="HJF1630" s="1"/>
      <c r="HJG1630" s="1"/>
      <c r="HJH1630" s="1"/>
      <c r="HJI1630" s="1"/>
      <c r="HJJ1630" s="1"/>
      <c r="HJK1630" s="1"/>
      <c r="HJL1630" s="1"/>
      <c r="HJM1630" s="1"/>
      <c r="HJN1630" s="1"/>
      <c r="HJO1630" s="1"/>
      <c r="HJP1630" s="1"/>
      <c r="HJQ1630" s="1"/>
      <c r="HJR1630" s="1"/>
      <c r="HJS1630" s="1"/>
      <c r="HJT1630" s="1"/>
      <c r="HJU1630" s="1"/>
      <c r="HJV1630" s="1"/>
      <c r="HJW1630" s="1"/>
      <c r="HJX1630" s="1"/>
      <c r="HJY1630" s="1"/>
      <c r="HJZ1630" s="1"/>
      <c r="HKA1630" s="1"/>
      <c r="HKB1630" s="1"/>
      <c r="HKC1630" s="1"/>
      <c r="HKD1630" s="1"/>
      <c r="HKE1630" s="1"/>
      <c r="HKF1630" s="1"/>
      <c r="HKG1630" s="1"/>
      <c r="HKH1630" s="1"/>
      <c r="HKI1630" s="1"/>
      <c r="HKJ1630" s="1"/>
      <c r="HKK1630" s="1"/>
      <c r="HKL1630" s="1"/>
      <c r="HKM1630" s="1"/>
      <c r="HKN1630" s="1"/>
      <c r="HKO1630" s="1"/>
      <c r="HKP1630" s="1"/>
      <c r="HKQ1630" s="1"/>
      <c r="HKR1630" s="1"/>
      <c r="HKS1630" s="1"/>
      <c r="HKT1630" s="1"/>
      <c r="HKU1630" s="1"/>
      <c r="HKV1630" s="1"/>
      <c r="HKW1630" s="1"/>
      <c r="HKX1630" s="1"/>
      <c r="HKY1630" s="1"/>
      <c r="HKZ1630" s="1"/>
      <c r="HLA1630" s="1"/>
      <c r="HLB1630" s="1"/>
      <c r="HLC1630" s="1"/>
      <c r="HLD1630" s="1"/>
      <c r="HLE1630" s="1"/>
      <c r="HLF1630" s="1"/>
      <c r="HLG1630" s="1"/>
      <c r="HLH1630" s="1"/>
      <c r="HLI1630" s="1"/>
      <c r="HLJ1630" s="1"/>
      <c r="HLK1630" s="1"/>
      <c r="HLL1630" s="1"/>
      <c r="HLM1630" s="1"/>
      <c r="HLN1630" s="1"/>
      <c r="HLO1630" s="1"/>
      <c r="HLP1630" s="1"/>
      <c r="HLQ1630" s="1"/>
      <c r="HLR1630" s="1"/>
      <c r="HLS1630" s="1"/>
      <c r="HLT1630" s="1"/>
      <c r="HLU1630" s="1"/>
      <c r="HLV1630" s="1"/>
      <c r="HLW1630" s="1"/>
      <c r="HLX1630" s="1"/>
      <c r="HLY1630" s="1"/>
      <c r="HLZ1630" s="1"/>
      <c r="HMA1630" s="1"/>
      <c r="HMB1630" s="1"/>
      <c r="HMC1630" s="1"/>
      <c r="HMD1630" s="1"/>
      <c r="HME1630" s="1"/>
      <c r="HMF1630" s="1"/>
      <c r="HMG1630" s="1"/>
      <c r="HMH1630" s="1"/>
      <c r="HMI1630" s="1"/>
      <c r="HMJ1630" s="1"/>
      <c r="HMK1630" s="1"/>
      <c r="HML1630" s="1"/>
      <c r="HMM1630" s="1"/>
      <c r="HMN1630" s="1"/>
      <c r="HMO1630" s="1"/>
      <c r="HMP1630" s="1"/>
      <c r="HMQ1630" s="1"/>
      <c r="HMR1630" s="1"/>
      <c r="HMS1630" s="1"/>
      <c r="HMT1630" s="1"/>
      <c r="HMU1630" s="1"/>
      <c r="HMV1630" s="1"/>
      <c r="HMW1630" s="1"/>
      <c r="HMX1630" s="1"/>
      <c r="HMY1630" s="1"/>
      <c r="HMZ1630" s="1"/>
      <c r="HNA1630" s="1"/>
      <c r="HNB1630" s="1"/>
      <c r="HNC1630" s="1"/>
      <c r="HND1630" s="1"/>
      <c r="HNE1630" s="1"/>
      <c r="HNF1630" s="1"/>
      <c r="HNG1630" s="1"/>
      <c r="HNH1630" s="1"/>
      <c r="HNI1630" s="1"/>
      <c r="HNJ1630" s="1"/>
      <c r="HNK1630" s="1"/>
      <c r="HNL1630" s="1"/>
      <c r="HNM1630" s="1"/>
      <c r="HNN1630" s="1"/>
      <c r="HNO1630" s="1"/>
      <c r="HNP1630" s="1"/>
      <c r="HNQ1630" s="1"/>
      <c r="HNR1630" s="1"/>
      <c r="HNS1630" s="1"/>
      <c r="HNT1630" s="1"/>
      <c r="HNU1630" s="1"/>
      <c r="HNV1630" s="1"/>
      <c r="HNW1630" s="1"/>
      <c r="HNX1630" s="1"/>
      <c r="HNY1630" s="1"/>
      <c r="HNZ1630" s="1"/>
      <c r="HOA1630" s="1"/>
      <c r="HOB1630" s="1"/>
      <c r="HOC1630" s="1"/>
      <c r="HOD1630" s="1"/>
      <c r="HOE1630" s="1"/>
      <c r="HOF1630" s="1"/>
      <c r="HOG1630" s="1"/>
      <c r="HOH1630" s="1"/>
      <c r="HOI1630" s="1"/>
      <c r="HOJ1630" s="1"/>
      <c r="HOK1630" s="1"/>
      <c r="HOL1630" s="1"/>
      <c r="HOM1630" s="1"/>
      <c r="HON1630" s="1"/>
      <c r="HOO1630" s="1"/>
      <c r="HOP1630" s="1"/>
      <c r="HOQ1630" s="1"/>
      <c r="HOR1630" s="1"/>
      <c r="HOS1630" s="1"/>
      <c r="HOT1630" s="1"/>
      <c r="HOU1630" s="1"/>
      <c r="HOV1630" s="1"/>
      <c r="HOW1630" s="1"/>
      <c r="HOX1630" s="1"/>
      <c r="HOY1630" s="1"/>
      <c r="HOZ1630" s="1"/>
      <c r="HPA1630" s="1"/>
      <c r="HPB1630" s="1"/>
      <c r="HPC1630" s="1"/>
      <c r="HPD1630" s="1"/>
      <c r="HPE1630" s="1"/>
      <c r="HPF1630" s="1"/>
      <c r="HPG1630" s="1"/>
      <c r="HPH1630" s="1"/>
      <c r="HPI1630" s="1"/>
      <c r="HPJ1630" s="1"/>
      <c r="HPK1630" s="1"/>
      <c r="HPL1630" s="1"/>
      <c r="HPM1630" s="1"/>
      <c r="HPN1630" s="1"/>
      <c r="HPO1630" s="1"/>
      <c r="HPP1630" s="1"/>
      <c r="HPQ1630" s="1"/>
      <c r="HPR1630" s="1"/>
      <c r="HPS1630" s="1"/>
      <c r="HPT1630" s="1"/>
      <c r="HPU1630" s="1"/>
      <c r="HPV1630" s="1"/>
      <c r="HPW1630" s="1"/>
      <c r="HPX1630" s="1"/>
      <c r="HPY1630" s="1"/>
      <c r="HPZ1630" s="1"/>
      <c r="HQA1630" s="1"/>
      <c r="HQB1630" s="1"/>
      <c r="HQC1630" s="1"/>
      <c r="HQD1630" s="1"/>
      <c r="HQE1630" s="1"/>
      <c r="HQF1630" s="1"/>
      <c r="HQG1630" s="1"/>
      <c r="HQH1630" s="1"/>
      <c r="HQI1630" s="1"/>
      <c r="HQJ1630" s="1"/>
      <c r="HQK1630" s="1"/>
      <c r="HQL1630" s="1"/>
      <c r="HQM1630" s="1"/>
      <c r="HQN1630" s="1"/>
      <c r="HQO1630" s="1"/>
      <c r="HQP1630" s="1"/>
      <c r="HQQ1630" s="1"/>
      <c r="HQR1630" s="1"/>
      <c r="HQS1630" s="1"/>
      <c r="HQT1630" s="1"/>
      <c r="HQU1630" s="1"/>
      <c r="HQV1630" s="1"/>
      <c r="HQW1630" s="1"/>
      <c r="HQX1630" s="1"/>
      <c r="HQY1630" s="1"/>
      <c r="HQZ1630" s="1"/>
      <c r="HRA1630" s="1"/>
      <c r="HRB1630" s="1"/>
      <c r="HRC1630" s="1"/>
      <c r="HRD1630" s="1"/>
      <c r="HRE1630" s="1"/>
      <c r="HRF1630" s="1"/>
      <c r="HRG1630" s="1"/>
      <c r="HRH1630" s="1"/>
      <c r="HRI1630" s="1"/>
      <c r="HRJ1630" s="1"/>
      <c r="HRK1630" s="1"/>
      <c r="HRL1630" s="1"/>
      <c r="HRM1630" s="1"/>
      <c r="HRN1630" s="1"/>
      <c r="HRO1630" s="1"/>
      <c r="HRP1630" s="1"/>
      <c r="HRQ1630" s="1"/>
      <c r="HRR1630" s="1"/>
      <c r="HRS1630" s="1"/>
      <c r="HRT1630" s="1"/>
      <c r="HRU1630" s="1"/>
      <c r="HRV1630" s="1"/>
      <c r="HRW1630" s="1"/>
      <c r="HRX1630" s="1"/>
      <c r="HRY1630" s="1"/>
      <c r="HRZ1630" s="1"/>
      <c r="HSA1630" s="1"/>
      <c r="HSB1630" s="1"/>
      <c r="HSC1630" s="1"/>
      <c r="HSD1630" s="1"/>
      <c r="HSE1630" s="1"/>
      <c r="HSF1630" s="1"/>
      <c r="HSG1630" s="1"/>
      <c r="HSH1630" s="1"/>
      <c r="HSI1630" s="1"/>
      <c r="HSJ1630" s="1"/>
      <c r="HSK1630" s="1"/>
      <c r="HSL1630" s="1"/>
      <c r="HSM1630" s="1"/>
      <c r="HSN1630" s="1"/>
      <c r="HSO1630" s="1"/>
      <c r="HSP1630" s="1"/>
      <c r="HSQ1630" s="1"/>
      <c r="HSR1630" s="1"/>
      <c r="HSS1630" s="1"/>
      <c r="HST1630" s="1"/>
      <c r="HSU1630" s="1"/>
      <c r="HSV1630" s="1"/>
      <c r="HSW1630" s="1"/>
      <c r="HSX1630" s="1"/>
      <c r="HSY1630" s="1"/>
      <c r="HSZ1630" s="1"/>
      <c r="HTA1630" s="1"/>
      <c r="HTB1630" s="1"/>
      <c r="HTC1630" s="1"/>
      <c r="HTD1630" s="1"/>
      <c r="HTE1630" s="1"/>
      <c r="HTF1630" s="1"/>
      <c r="HTG1630" s="1"/>
      <c r="HTH1630" s="1"/>
      <c r="HTI1630" s="1"/>
      <c r="HTJ1630" s="1"/>
      <c r="HTK1630" s="1"/>
      <c r="HTL1630" s="1"/>
      <c r="HTM1630" s="1"/>
      <c r="HTN1630" s="1"/>
      <c r="HTO1630" s="1"/>
      <c r="HTP1630" s="1"/>
      <c r="HTQ1630" s="1"/>
      <c r="HTR1630" s="1"/>
      <c r="HTS1630" s="1"/>
      <c r="HTT1630" s="1"/>
      <c r="HTU1630" s="1"/>
      <c r="HTV1630" s="1"/>
      <c r="HTW1630" s="1"/>
      <c r="HTX1630" s="1"/>
      <c r="HTY1630" s="1"/>
      <c r="HTZ1630" s="1"/>
      <c r="HUA1630" s="1"/>
      <c r="HUB1630" s="1"/>
      <c r="HUC1630" s="1"/>
      <c r="HUD1630" s="1"/>
      <c r="HUE1630" s="1"/>
      <c r="HUF1630" s="1"/>
      <c r="HUG1630" s="1"/>
      <c r="HUH1630" s="1"/>
      <c r="HUI1630" s="1"/>
      <c r="HUJ1630" s="1"/>
      <c r="HUK1630" s="1"/>
      <c r="HUL1630" s="1"/>
      <c r="HUM1630" s="1"/>
      <c r="HUN1630" s="1"/>
      <c r="HUO1630" s="1"/>
      <c r="HUP1630" s="1"/>
      <c r="HUQ1630" s="1"/>
      <c r="HUR1630" s="1"/>
      <c r="HUS1630" s="1"/>
      <c r="HUT1630" s="1"/>
      <c r="HUU1630" s="1"/>
      <c r="HUV1630" s="1"/>
      <c r="HUW1630" s="1"/>
      <c r="HUX1630" s="1"/>
      <c r="HUY1630" s="1"/>
      <c r="HUZ1630" s="1"/>
      <c r="HVA1630" s="1"/>
      <c r="HVB1630" s="1"/>
      <c r="HVC1630" s="1"/>
      <c r="HVD1630" s="1"/>
      <c r="HVE1630" s="1"/>
      <c r="HVF1630" s="1"/>
      <c r="HVG1630" s="1"/>
      <c r="HVH1630" s="1"/>
      <c r="HVI1630" s="1"/>
      <c r="HVJ1630" s="1"/>
      <c r="HVK1630" s="1"/>
      <c r="HVL1630" s="1"/>
      <c r="HVM1630" s="1"/>
      <c r="HVN1630" s="1"/>
      <c r="HVO1630" s="1"/>
      <c r="HVP1630" s="1"/>
      <c r="HVQ1630" s="1"/>
      <c r="HVR1630" s="1"/>
      <c r="HVS1630" s="1"/>
      <c r="HVT1630" s="1"/>
      <c r="HVU1630" s="1"/>
      <c r="HVV1630" s="1"/>
      <c r="HVW1630" s="1"/>
      <c r="HVX1630" s="1"/>
      <c r="HVY1630" s="1"/>
      <c r="HVZ1630" s="1"/>
      <c r="HWA1630" s="1"/>
      <c r="HWB1630" s="1"/>
      <c r="HWC1630" s="1"/>
      <c r="HWD1630" s="1"/>
      <c r="HWE1630" s="1"/>
      <c r="HWF1630" s="1"/>
      <c r="HWG1630" s="1"/>
      <c r="HWH1630" s="1"/>
      <c r="HWI1630" s="1"/>
      <c r="HWJ1630" s="1"/>
      <c r="HWK1630" s="1"/>
      <c r="HWL1630" s="1"/>
      <c r="HWM1630" s="1"/>
      <c r="HWN1630" s="1"/>
      <c r="HWO1630" s="1"/>
      <c r="HWP1630" s="1"/>
      <c r="HWQ1630" s="1"/>
      <c r="HWR1630" s="1"/>
      <c r="HWS1630" s="1"/>
      <c r="HWT1630" s="1"/>
      <c r="HWU1630" s="1"/>
      <c r="HWV1630" s="1"/>
      <c r="HWW1630" s="1"/>
      <c r="HWX1630" s="1"/>
      <c r="HWY1630" s="1"/>
      <c r="HWZ1630" s="1"/>
      <c r="HXA1630" s="1"/>
      <c r="HXB1630" s="1"/>
      <c r="HXC1630" s="1"/>
      <c r="HXD1630" s="1"/>
      <c r="HXE1630" s="1"/>
      <c r="HXF1630" s="1"/>
      <c r="HXG1630" s="1"/>
      <c r="HXH1630" s="1"/>
      <c r="HXI1630" s="1"/>
      <c r="HXJ1630" s="1"/>
      <c r="HXK1630" s="1"/>
      <c r="HXL1630" s="1"/>
      <c r="HXM1630" s="1"/>
      <c r="HXN1630" s="1"/>
      <c r="HXO1630" s="1"/>
      <c r="HXP1630" s="1"/>
      <c r="HXQ1630" s="1"/>
      <c r="HXR1630" s="1"/>
      <c r="HXS1630" s="1"/>
      <c r="HXT1630" s="1"/>
      <c r="HXU1630" s="1"/>
      <c r="HXV1630" s="1"/>
      <c r="HXW1630" s="1"/>
      <c r="HXX1630" s="1"/>
      <c r="HXY1630" s="1"/>
      <c r="HXZ1630" s="1"/>
      <c r="HYA1630" s="1"/>
      <c r="HYB1630" s="1"/>
      <c r="HYC1630" s="1"/>
      <c r="HYD1630" s="1"/>
      <c r="HYE1630" s="1"/>
      <c r="HYF1630" s="1"/>
      <c r="HYG1630" s="1"/>
      <c r="HYH1630" s="1"/>
      <c r="HYI1630" s="1"/>
      <c r="HYJ1630" s="1"/>
      <c r="HYK1630" s="1"/>
      <c r="HYL1630" s="1"/>
      <c r="HYM1630" s="1"/>
      <c r="HYN1630" s="1"/>
      <c r="HYO1630" s="1"/>
      <c r="HYP1630" s="1"/>
      <c r="HYQ1630" s="1"/>
      <c r="HYR1630" s="1"/>
      <c r="HYS1630" s="1"/>
      <c r="HYT1630" s="1"/>
      <c r="HYU1630" s="1"/>
      <c r="HYV1630" s="1"/>
      <c r="HYW1630" s="1"/>
      <c r="HYX1630" s="1"/>
      <c r="HYY1630" s="1"/>
      <c r="HYZ1630" s="1"/>
      <c r="HZA1630" s="1"/>
      <c r="HZB1630" s="1"/>
      <c r="HZC1630" s="1"/>
      <c r="HZD1630" s="1"/>
      <c r="HZE1630" s="1"/>
      <c r="HZF1630" s="1"/>
      <c r="HZG1630" s="1"/>
      <c r="HZH1630" s="1"/>
      <c r="HZI1630" s="1"/>
      <c r="HZJ1630" s="1"/>
      <c r="HZK1630" s="1"/>
      <c r="HZL1630" s="1"/>
      <c r="HZM1630" s="1"/>
      <c r="HZN1630" s="1"/>
      <c r="HZO1630" s="1"/>
      <c r="HZP1630" s="1"/>
      <c r="HZQ1630" s="1"/>
      <c r="HZR1630" s="1"/>
      <c r="HZS1630" s="1"/>
      <c r="HZT1630" s="1"/>
      <c r="HZU1630" s="1"/>
      <c r="HZV1630" s="1"/>
      <c r="HZW1630" s="1"/>
      <c r="HZX1630" s="1"/>
      <c r="HZY1630" s="1"/>
      <c r="HZZ1630" s="1"/>
      <c r="IAA1630" s="1"/>
      <c r="IAB1630" s="1"/>
      <c r="IAC1630" s="1"/>
      <c r="IAD1630" s="1"/>
      <c r="IAE1630" s="1"/>
      <c r="IAF1630" s="1"/>
      <c r="IAG1630" s="1"/>
      <c r="IAH1630" s="1"/>
      <c r="IAI1630" s="1"/>
      <c r="IAJ1630" s="1"/>
      <c r="IAK1630" s="1"/>
      <c r="IAL1630" s="1"/>
      <c r="IAM1630" s="1"/>
      <c r="IAN1630" s="1"/>
      <c r="IAO1630" s="1"/>
      <c r="IAP1630" s="1"/>
      <c r="IAQ1630" s="1"/>
      <c r="IAR1630" s="1"/>
      <c r="IAS1630" s="1"/>
      <c r="IAT1630" s="1"/>
      <c r="IAU1630" s="1"/>
      <c r="IAV1630" s="1"/>
      <c r="IAW1630" s="1"/>
      <c r="IAX1630" s="1"/>
      <c r="IAY1630" s="1"/>
      <c r="IAZ1630" s="1"/>
      <c r="IBA1630" s="1"/>
      <c r="IBB1630" s="1"/>
      <c r="IBC1630" s="1"/>
      <c r="IBD1630" s="1"/>
      <c r="IBE1630" s="1"/>
      <c r="IBF1630" s="1"/>
      <c r="IBG1630" s="1"/>
      <c r="IBH1630" s="1"/>
      <c r="IBI1630" s="1"/>
      <c r="IBJ1630" s="1"/>
      <c r="IBK1630" s="1"/>
      <c r="IBL1630" s="1"/>
      <c r="IBM1630" s="1"/>
      <c r="IBN1630" s="1"/>
      <c r="IBO1630" s="1"/>
      <c r="IBP1630" s="1"/>
      <c r="IBQ1630" s="1"/>
      <c r="IBR1630" s="1"/>
      <c r="IBS1630" s="1"/>
      <c r="IBT1630" s="1"/>
      <c r="IBU1630" s="1"/>
      <c r="IBV1630" s="1"/>
      <c r="IBW1630" s="1"/>
      <c r="IBX1630" s="1"/>
      <c r="IBY1630" s="1"/>
      <c r="IBZ1630" s="1"/>
      <c r="ICA1630" s="1"/>
      <c r="ICB1630" s="1"/>
      <c r="ICC1630" s="1"/>
      <c r="ICD1630" s="1"/>
      <c r="ICE1630" s="1"/>
      <c r="ICF1630" s="1"/>
      <c r="ICG1630" s="1"/>
      <c r="ICH1630" s="1"/>
      <c r="ICI1630" s="1"/>
      <c r="ICJ1630" s="1"/>
      <c r="ICK1630" s="1"/>
      <c r="ICL1630" s="1"/>
      <c r="ICM1630" s="1"/>
      <c r="ICN1630" s="1"/>
      <c r="ICO1630" s="1"/>
      <c r="ICP1630" s="1"/>
      <c r="ICQ1630" s="1"/>
      <c r="ICR1630" s="1"/>
      <c r="ICS1630" s="1"/>
      <c r="ICT1630" s="1"/>
      <c r="ICU1630" s="1"/>
      <c r="ICV1630" s="1"/>
      <c r="ICW1630" s="1"/>
      <c r="ICX1630" s="1"/>
      <c r="ICY1630" s="1"/>
      <c r="ICZ1630" s="1"/>
      <c r="IDA1630" s="1"/>
      <c r="IDB1630" s="1"/>
      <c r="IDC1630" s="1"/>
      <c r="IDD1630" s="1"/>
      <c r="IDE1630" s="1"/>
      <c r="IDF1630" s="1"/>
      <c r="IDG1630" s="1"/>
      <c r="IDH1630" s="1"/>
      <c r="IDI1630" s="1"/>
      <c r="IDJ1630" s="1"/>
      <c r="IDK1630" s="1"/>
      <c r="IDL1630" s="1"/>
      <c r="IDM1630" s="1"/>
      <c r="IDN1630" s="1"/>
      <c r="IDO1630" s="1"/>
      <c r="IDP1630" s="1"/>
      <c r="IDQ1630" s="1"/>
      <c r="IDR1630" s="1"/>
      <c r="IDS1630" s="1"/>
      <c r="IDT1630" s="1"/>
      <c r="IDU1630" s="1"/>
      <c r="IDV1630" s="1"/>
      <c r="IDW1630" s="1"/>
      <c r="IDX1630" s="1"/>
      <c r="IDY1630" s="1"/>
      <c r="IDZ1630" s="1"/>
      <c r="IEA1630" s="1"/>
      <c r="IEB1630" s="1"/>
      <c r="IEC1630" s="1"/>
      <c r="IED1630" s="1"/>
      <c r="IEE1630" s="1"/>
      <c r="IEF1630" s="1"/>
      <c r="IEG1630" s="1"/>
      <c r="IEH1630" s="1"/>
      <c r="IEI1630" s="1"/>
      <c r="IEJ1630" s="1"/>
      <c r="IEK1630" s="1"/>
      <c r="IEL1630" s="1"/>
      <c r="IEM1630" s="1"/>
      <c r="IEN1630" s="1"/>
      <c r="IEO1630" s="1"/>
      <c r="IEP1630" s="1"/>
      <c r="IEQ1630" s="1"/>
      <c r="IER1630" s="1"/>
      <c r="IES1630" s="1"/>
      <c r="IET1630" s="1"/>
      <c r="IEU1630" s="1"/>
      <c r="IEV1630" s="1"/>
      <c r="IEW1630" s="1"/>
      <c r="IEX1630" s="1"/>
      <c r="IEY1630" s="1"/>
      <c r="IEZ1630" s="1"/>
      <c r="IFA1630" s="1"/>
      <c r="IFB1630" s="1"/>
      <c r="IFC1630" s="1"/>
      <c r="IFD1630" s="1"/>
      <c r="IFE1630" s="1"/>
      <c r="IFF1630" s="1"/>
      <c r="IFG1630" s="1"/>
      <c r="IFH1630" s="1"/>
      <c r="IFI1630" s="1"/>
      <c r="IFJ1630" s="1"/>
      <c r="IFK1630" s="1"/>
      <c r="IFL1630" s="1"/>
      <c r="IFM1630" s="1"/>
      <c r="IFN1630" s="1"/>
      <c r="IFO1630" s="1"/>
      <c r="IFP1630" s="1"/>
      <c r="IFQ1630" s="1"/>
      <c r="IFR1630" s="1"/>
      <c r="IFS1630" s="1"/>
      <c r="IFT1630" s="1"/>
      <c r="IFU1630" s="1"/>
      <c r="IFV1630" s="1"/>
      <c r="IFW1630" s="1"/>
      <c r="IFX1630" s="1"/>
      <c r="IFY1630" s="1"/>
      <c r="IFZ1630" s="1"/>
      <c r="IGA1630" s="1"/>
      <c r="IGB1630" s="1"/>
      <c r="IGC1630" s="1"/>
      <c r="IGD1630" s="1"/>
      <c r="IGE1630" s="1"/>
      <c r="IGF1630" s="1"/>
      <c r="IGG1630" s="1"/>
      <c r="IGH1630" s="1"/>
      <c r="IGI1630" s="1"/>
      <c r="IGJ1630" s="1"/>
      <c r="IGK1630" s="1"/>
      <c r="IGL1630" s="1"/>
      <c r="IGM1630" s="1"/>
      <c r="IGN1630" s="1"/>
      <c r="IGO1630" s="1"/>
      <c r="IGP1630" s="1"/>
      <c r="IGQ1630" s="1"/>
      <c r="IGR1630" s="1"/>
      <c r="IGS1630" s="1"/>
      <c r="IGT1630" s="1"/>
      <c r="IGU1630" s="1"/>
      <c r="IGV1630" s="1"/>
      <c r="IGW1630" s="1"/>
      <c r="IGX1630" s="1"/>
      <c r="IGY1630" s="1"/>
      <c r="IGZ1630" s="1"/>
      <c r="IHA1630" s="1"/>
      <c r="IHB1630" s="1"/>
      <c r="IHC1630" s="1"/>
      <c r="IHD1630" s="1"/>
      <c r="IHE1630" s="1"/>
      <c r="IHF1630" s="1"/>
      <c r="IHG1630" s="1"/>
      <c r="IHH1630" s="1"/>
      <c r="IHI1630" s="1"/>
      <c r="IHJ1630" s="1"/>
      <c r="IHK1630" s="1"/>
      <c r="IHL1630" s="1"/>
      <c r="IHM1630" s="1"/>
      <c r="IHN1630" s="1"/>
      <c r="IHO1630" s="1"/>
      <c r="IHP1630" s="1"/>
      <c r="IHQ1630" s="1"/>
      <c r="IHR1630" s="1"/>
      <c r="IHS1630" s="1"/>
      <c r="IHT1630" s="1"/>
      <c r="IHU1630" s="1"/>
      <c r="IHV1630" s="1"/>
      <c r="IHW1630" s="1"/>
      <c r="IHX1630" s="1"/>
      <c r="IHY1630" s="1"/>
      <c r="IHZ1630" s="1"/>
      <c r="IIA1630" s="1"/>
      <c r="IIB1630" s="1"/>
      <c r="IIC1630" s="1"/>
      <c r="IID1630" s="1"/>
      <c r="IIE1630" s="1"/>
      <c r="IIF1630" s="1"/>
      <c r="IIG1630" s="1"/>
      <c r="IIH1630" s="1"/>
      <c r="III1630" s="1"/>
      <c r="IIJ1630" s="1"/>
      <c r="IIK1630" s="1"/>
      <c r="IIL1630" s="1"/>
      <c r="IIM1630" s="1"/>
      <c r="IIN1630" s="1"/>
      <c r="IIO1630" s="1"/>
      <c r="IIP1630" s="1"/>
      <c r="IIQ1630" s="1"/>
      <c r="IIR1630" s="1"/>
      <c r="IIS1630" s="1"/>
      <c r="IIT1630" s="1"/>
      <c r="IIU1630" s="1"/>
      <c r="IIV1630" s="1"/>
      <c r="IIW1630" s="1"/>
      <c r="IIX1630" s="1"/>
      <c r="IIY1630" s="1"/>
      <c r="IIZ1630" s="1"/>
      <c r="IJA1630" s="1"/>
      <c r="IJB1630" s="1"/>
      <c r="IJC1630" s="1"/>
      <c r="IJD1630" s="1"/>
      <c r="IJE1630" s="1"/>
      <c r="IJF1630" s="1"/>
      <c r="IJG1630" s="1"/>
      <c r="IJH1630" s="1"/>
      <c r="IJI1630" s="1"/>
      <c r="IJJ1630" s="1"/>
      <c r="IJK1630" s="1"/>
      <c r="IJL1630" s="1"/>
      <c r="IJM1630" s="1"/>
      <c r="IJN1630" s="1"/>
      <c r="IJO1630" s="1"/>
      <c r="IJP1630" s="1"/>
      <c r="IJQ1630" s="1"/>
      <c r="IJR1630" s="1"/>
      <c r="IJS1630" s="1"/>
      <c r="IJT1630" s="1"/>
      <c r="IJU1630" s="1"/>
      <c r="IJV1630" s="1"/>
      <c r="IJW1630" s="1"/>
      <c r="IJX1630" s="1"/>
      <c r="IJY1630" s="1"/>
      <c r="IJZ1630" s="1"/>
      <c r="IKA1630" s="1"/>
      <c r="IKB1630" s="1"/>
      <c r="IKC1630" s="1"/>
      <c r="IKD1630" s="1"/>
      <c r="IKE1630" s="1"/>
      <c r="IKF1630" s="1"/>
      <c r="IKG1630" s="1"/>
      <c r="IKH1630" s="1"/>
      <c r="IKI1630" s="1"/>
      <c r="IKJ1630" s="1"/>
      <c r="IKK1630" s="1"/>
      <c r="IKL1630" s="1"/>
      <c r="IKM1630" s="1"/>
      <c r="IKN1630" s="1"/>
      <c r="IKO1630" s="1"/>
      <c r="IKP1630" s="1"/>
      <c r="IKQ1630" s="1"/>
      <c r="IKR1630" s="1"/>
      <c r="IKS1630" s="1"/>
      <c r="IKT1630" s="1"/>
      <c r="IKU1630" s="1"/>
      <c r="IKV1630" s="1"/>
      <c r="IKW1630" s="1"/>
      <c r="IKX1630" s="1"/>
      <c r="IKY1630" s="1"/>
      <c r="IKZ1630" s="1"/>
      <c r="ILA1630" s="1"/>
      <c r="ILB1630" s="1"/>
      <c r="ILC1630" s="1"/>
      <c r="ILD1630" s="1"/>
      <c r="ILE1630" s="1"/>
      <c r="ILF1630" s="1"/>
      <c r="ILG1630" s="1"/>
      <c r="ILH1630" s="1"/>
      <c r="ILI1630" s="1"/>
      <c r="ILJ1630" s="1"/>
      <c r="ILK1630" s="1"/>
      <c r="ILL1630" s="1"/>
      <c r="ILM1630" s="1"/>
      <c r="ILN1630" s="1"/>
      <c r="ILO1630" s="1"/>
      <c r="ILP1630" s="1"/>
      <c r="ILQ1630" s="1"/>
      <c r="ILR1630" s="1"/>
      <c r="ILS1630" s="1"/>
      <c r="ILT1630" s="1"/>
      <c r="ILU1630" s="1"/>
      <c r="ILV1630" s="1"/>
      <c r="ILW1630" s="1"/>
      <c r="ILX1630" s="1"/>
      <c r="ILY1630" s="1"/>
      <c r="ILZ1630" s="1"/>
      <c r="IMA1630" s="1"/>
      <c r="IMB1630" s="1"/>
      <c r="IMC1630" s="1"/>
      <c r="IMD1630" s="1"/>
      <c r="IME1630" s="1"/>
      <c r="IMF1630" s="1"/>
      <c r="IMG1630" s="1"/>
      <c r="IMH1630" s="1"/>
      <c r="IMI1630" s="1"/>
      <c r="IMJ1630" s="1"/>
      <c r="IMK1630" s="1"/>
      <c r="IML1630" s="1"/>
      <c r="IMM1630" s="1"/>
      <c r="IMN1630" s="1"/>
      <c r="IMO1630" s="1"/>
      <c r="IMP1630" s="1"/>
      <c r="IMQ1630" s="1"/>
      <c r="IMR1630" s="1"/>
      <c r="IMS1630" s="1"/>
      <c r="IMT1630" s="1"/>
      <c r="IMU1630" s="1"/>
      <c r="IMV1630" s="1"/>
      <c r="IMW1630" s="1"/>
      <c r="IMX1630" s="1"/>
      <c r="IMY1630" s="1"/>
      <c r="IMZ1630" s="1"/>
      <c r="INA1630" s="1"/>
      <c r="INB1630" s="1"/>
      <c r="INC1630" s="1"/>
      <c r="IND1630" s="1"/>
      <c r="INE1630" s="1"/>
      <c r="INF1630" s="1"/>
      <c r="ING1630" s="1"/>
      <c r="INH1630" s="1"/>
      <c r="INI1630" s="1"/>
      <c r="INJ1630" s="1"/>
      <c r="INK1630" s="1"/>
      <c r="INL1630" s="1"/>
      <c r="INM1630" s="1"/>
      <c r="INN1630" s="1"/>
      <c r="INO1630" s="1"/>
      <c r="INP1630" s="1"/>
      <c r="INQ1630" s="1"/>
      <c r="INR1630" s="1"/>
      <c r="INS1630" s="1"/>
      <c r="INT1630" s="1"/>
      <c r="INU1630" s="1"/>
      <c r="INV1630" s="1"/>
      <c r="INW1630" s="1"/>
      <c r="INX1630" s="1"/>
      <c r="INY1630" s="1"/>
      <c r="INZ1630" s="1"/>
      <c r="IOA1630" s="1"/>
      <c r="IOB1630" s="1"/>
      <c r="IOC1630" s="1"/>
      <c r="IOD1630" s="1"/>
      <c r="IOE1630" s="1"/>
      <c r="IOF1630" s="1"/>
      <c r="IOG1630" s="1"/>
      <c r="IOH1630" s="1"/>
      <c r="IOI1630" s="1"/>
      <c r="IOJ1630" s="1"/>
      <c r="IOK1630" s="1"/>
      <c r="IOL1630" s="1"/>
      <c r="IOM1630" s="1"/>
      <c r="ION1630" s="1"/>
      <c r="IOO1630" s="1"/>
      <c r="IOP1630" s="1"/>
      <c r="IOQ1630" s="1"/>
      <c r="IOR1630" s="1"/>
      <c r="IOS1630" s="1"/>
      <c r="IOT1630" s="1"/>
      <c r="IOU1630" s="1"/>
      <c r="IOV1630" s="1"/>
      <c r="IOW1630" s="1"/>
      <c r="IOX1630" s="1"/>
      <c r="IOY1630" s="1"/>
      <c r="IOZ1630" s="1"/>
      <c r="IPA1630" s="1"/>
      <c r="IPB1630" s="1"/>
      <c r="IPC1630" s="1"/>
      <c r="IPD1630" s="1"/>
      <c r="IPE1630" s="1"/>
      <c r="IPF1630" s="1"/>
      <c r="IPG1630" s="1"/>
      <c r="IPH1630" s="1"/>
      <c r="IPI1630" s="1"/>
      <c r="IPJ1630" s="1"/>
      <c r="IPK1630" s="1"/>
      <c r="IPL1630" s="1"/>
      <c r="IPM1630" s="1"/>
      <c r="IPN1630" s="1"/>
      <c r="IPO1630" s="1"/>
      <c r="IPP1630" s="1"/>
      <c r="IPQ1630" s="1"/>
      <c r="IPR1630" s="1"/>
      <c r="IPS1630" s="1"/>
      <c r="IPT1630" s="1"/>
      <c r="IPU1630" s="1"/>
      <c r="IPV1630" s="1"/>
      <c r="IPW1630" s="1"/>
      <c r="IPX1630" s="1"/>
      <c r="IPY1630" s="1"/>
      <c r="IPZ1630" s="1"/>
      <c r="IQA1630" s="1"/>
      <c r="IQB1630" s="1"/>
      <c r="IQC1630" s="1"/>
      <c r="IQD1630" s="1"/>
      <c r="IQE1630" s="1"/>
      <c r="IQF1630" s="1"/>
      <c r="IQG1630" s="1"/>
      <c r="IQH1630" s="1"/>
      <c r="IQI1630" s="1"/>
      <c r="IQJ1630" s="1"/>
      <c r="IQK1630" s="1"/>
      <c r="IQL1630" s="1"/>
      <c r="IQM1630" s="1"/>
      <c r="IQN1630" s="1"/>
      <c r="IQO1630" s="1"/>
      <c r="IQP1630" s="1"/>
      <c r="IQQ1630" s="1"/>
      <c r="IQR1630" s="1"/>
      <c r="IQS1630" s="1"/>
      <c r="IQT1630" s="1"/>
      <c r="IQU1630" s="1"/>
      <c r="IQV1630" s="1"/>
      <c r="IQW1630" s="1"/>
      <c r="IQX1630" s="1"/>
      <c r="IQY1630" s="1"/>
      <c r="IQZ1630" s="1"/>
      <c r="IRA1630" s="1"/>
      <c r="IRB1630" s="1"/>
      <c r="IRC1630" s="1"/>
      <c r="IRD1630" s="1"/>
      <c r="IRE1630" s="1"/>
      <c r="IRF1630" s="1"/>
      <c r="IRG1630" s="1"/>
      <c r="IRH1630" s="1"/>
      <c r="IRI1630" s="1"/>
      <c r="IRJ1630" s="1"/>
      <c r="IRK1630" s="1"/>
      <c r="IRL1630" s="1"/>
      <c r="IRM1630" s="1"/>
      <c r="IRN1630" s="1"/>
      <c r="IRO1630" s="1"/>
      <c r="IRP1630" s="1"/>
      <c r="IRQ1630" s="1"/>
      <c r="IRR1630" s="1"/>
      <c r="IRS1630" s="1"/>
      <c r="IRT1630" s="1"/>
      <c r="IRU1630" s="1"/>
      <c r="IRV1630" s="1"/>
      <c r="IRW1630" s="1"/>
      <c r="IRX1630" s="1"/>
      <c r="IRY1630" s="1"/>
      <c r="IRZ1630" s="1"/>
      <c r="ISA1630" s="1"/>
      <c r="ISB1630" s="1"/>
      <c r="ISC1630" s="1"/>
      <c r="ISD1630" s="1"/>
      <c r="ISE1630" s="1"/>
      <c r="ISF1630" s="1"/>
      <c r="ISG1630" s="1"/>
      <c r="ISH1630" s="1"/>
      <c r="ISI1630" s="1"/>
      <c r="ISJ1630" s="1"/>
      <c r="ISK1630" s="1"/>
      <c r="ISL1630" s="1"/>
      <c r="ISM1630" s="1"/>
      <c r="ISN1630" s="1"/>
      <c r="ISO1630" s="1"/>
      <c r="ISP1630" s="1"/>
      <c r="ISQ1630" s="1"/>
      <c r="ISR1630" s="1"/>
      <c r="ISS1630" s="1"/>
      <c r="IST1630" s="1"/>
      <c r="ISU1630" s="1"/>
      <c r="ISV1630" s="1"/>
      <c r="ISW1630" s="1"/>
      <c r="ISX1630" s="1"/>
      <c r="ISY1630" s="1"/>
      <c r="ISZ1630" s="1"/>
      <c r="ITA1630" s="1"/>
      <c r="ITB1630" s="1"/>
      <c r="ITC1630" s="1"/>
      <c r="ITD1630" s="1"/>
      <c r="ITE1630" s="1"/>
      <c r="ITF1630" s="1"/>
      <c r="ITG1630" s="1"/>
      <c r="ITH1630" s="1"/>
      <c r="ITI1630" s="1"/>
      <c r="ITJ1630" s="1"/>
      <c r="ITK1630" s="1"/>
      <c r="ITL1630" s="1"/>
      <c r="ITM1630" s="1"/>
      <c r="ITN1630" s="1"/>
      <c r="ITO1630" s="1"/>
      <c r="ITP1630" s="1"/>
      <c r="ITQ1630" s="1"/>
      <c r="ITR1630" s="1"/>
      <c r="ITS1630" s="1"/>
      <c r="ITT1630" s="1"/>
      <c r="ITU1630" s="1"/>
      <c r="ITV1630" s="1"/>
      <c r="ITW1630" s="1"/>
      <c r="ITX1630" s="1"/>
      <c r="ITY1630" s="1"/>
      <c r="ITZ1630" s="1"/>
      <c r="IUA1630" s="1"/>
      <c r="IUB1630" s="1"/>
      <c r="IUC1630" s="1"/>
      <c r="IUD1630" s="1"/>
      <c r="IUE1630" s="1"/>
      <c r="IUF1630" s="1"/>
      <c r="IUG1630" s="1"/>
      <c r="IUH1630" s="1"/>
      <c r="IUI1630" s="1"/>
      <c r="IUJ1630" s="1"/>
      <c r="IUK1630" s="1"/>
      <c r="IUL1630" s="1"/>
      <c r="IUM1630" s="1"/>
      <c r="IUN1630" s="1"/>
      <c r="IUO1630" s="1"/>
      <c r="IUP1630" s="1"/>
      <c r="IUQ1630" s="1"/>
      <c r="IUR1630" s="1"/>
      <c r="IUS1630" s="1"/>
      <c r="IUT1630" s="1"/>
      <c r="IUU1630" s="1"/>
      <c r="IUV1630" s="1"/>
      <c r="IUW1630" s="1"/>
      <c r="IUX1630" s="1"/>
      <c r="IUY1630" s="1"/>
      <c r="IUZ1630" s="1"/>
      <c r="IVA1630" s="1"/>
      <c r="IVB1630" s="1"/>
      <c r="IVC1630" s="1"/>
      <c r="IVD1630" s="1"/>
      <c r="IVE1630" s="1"/>
      <c r="IVF1630" s="1"/>
      <c r="IVG1630" s="1"/>
      <c r="IVH1630" s="1"/>
      <c r="IVI1630" s="1"/>
      <c r="IVJ1630" s="1"/>
      <c r="IVK1630" s="1"/>
      <c r="IVL1630" s="1"/>
      <c r="IVM1630" s="1"/>
      <c r="IVN1630" s="1"/>
      <c r="IVO1630" s="1"/>
      <c r="IVP1630" s="1"/>
      <c r="IVQ1630" s="1"/>
      <c r="IVR1630" s="1"/>
      <c r="IVS1630" s="1"/>
      <c r="IVT1630" s="1"/>
      <c r="IVU1630" s="1"/>
      <c r="IVV1630" s="1"/>
      <c r="IVW1630" s="1"/>
      <c r="IVX1630" s="1"/>
      <c r="IVY1630" s="1"/>
      <c r="IVZ1630" s="1"/>
      <c r="IWA1630" s="1"/>
      <c r="IWB1630" s="1"/>
      <c r="IWC1630" s="1"/>
      <c r="IWD1630" s="1"/>
      <c r="IWE1630" s="1"/>
      <c r="IWF1630" s="1"/>
      <c r="IWG1630" s="1"/>
      <c r="IWH1630" s="1"/>
      <c r="IWI1630" s="1"/>
      <c r="IWJ1630" s="1"/>
      <c r="IWK1630" s="1"/>
      <c r="IWL1630" s="1"/>
      <c r="IWM1630" s="1"/>
      <c r="IWN1630" s="1"/>
      <c r="IWO1630" s="1"/>
      <c r="IWP1630" s="1"/>
      <c r="IWQ1630" s="1"/>
      <c r="IWR1630" s="1"/>
      <c r="IWS1630" s="1"/>
      <c r="IWT1630" s="1"/>
      <c r="IWU1630" s="1"/>
      <c r="IWV1630" s="1"/>
      <c r="IWW1630" s="1"/>
      <c r="IWX1630" s="1"/>
      <c r="IWY1630" s="1"/>
      <c r="IWZ1630" s="1"/>
      <c r="IXA1630" s="1"/>
      <c r="IXB1630" s="1"/>
      <c r="IXC1630" s="1"/>
      <c r="IXD1630" s="1"/>
      <c r="IXE1630" s="1"/>
      <c r="IXF1630" s="1"/>
      <c r="IXG1630" s="1"/>
      <c r="IXH1630" s="1"/>
      <c r="IXI1630" s="1"/>
      <c r="IXJ1630" s="1"/>
      <c r="IXK1630" s="1"/>
      <c r="IXL1630" s="1"/>
      <c r="IXM1630" s="1"/>
      <c r="IXN1630" s="1"/>
      <c r="IXO1630" s="1"/>
      <c r="IXP1630" s="1"/>
      <c r="IXQ1630" s="1"/>
      <c r="IXR1630" s="1"/>
      <c r="IXS1630" s="1"/>
      <c r="IXT1630" s="1"/>
      <c r="IXU1630" s="1"/>
      <c r="IXV1630" s="1"/>
      <c r="IXW1630" s="1"/>
      <c r="IXX1630" s="1"/>
      <c r="IXY1630" s="1"/>
      <c r="IXZ1630" s="1"/>
      <c r="IYA1630" s="1"/>
      <c r="IYB1630" s="1"/>
      <c r="IYC1630" s="1"/>
      <c r="IYD1630" s="1"/>
      <c r="IYE1630" s="1"/>
      <c r="IYF1630" s="1"/>
      <c r="IYG1630" s="1"/>
      <c r="IYH1630" s="1"/>
      <c r="IYI1630" s="1"/>
      <c r="IYJ1630" s="1"/>
      <c r="IYK1630" s="1"/>
      <c r="IYL1630" s="1"/>
      <c r="IYM1630" s="1"/>
      <c r="IYN1630" s="1"/>
      <c r="IYO1630" s="1"/>
      <c r="IYP1630" s="1"/>
      <c r="IYQ1630" s="1"/>
      <c r="IYR1630" s="1"/>
      <c r="IYS1630" s="1"/>
      <c r="IYT1630" s="1"/>
      <c r="IYU1630" s="1"/>
      <c r="IYV1630" s="1"/>
      <c r="IYW1630" s="1"/>
      <c r="IYX1630" s="1"/>
      <c r="IYY1630" s="1"/>
      <c r="IYZ1630" s="1"/>
      <c r="IZA1630" s="1"/>
      <c r="IZB1630" s="1"/>
      <c r="IZC1630" s="1"/>
      <c r="IZD1630" s="1"/>
      <c r="IZE1630" s="1"/>
      <c r="IZF1630" s="1"/>
      <c r="IZG1630" s="1"/>
      <c r="IZH1630" s="1"/>
      <c r="IZI1630" s="1"/>
      <c r="IZJ1630" s="1"/>
      <c r="IZK1630" s="1"/>
      <c r="IZL1630" s="1"/>
      <c r="IZM1630" s="1"/>
      <c r="IZN1630" s="1"/>
      <c r="IZO1630" s="1"/>
      <c r="IZP1630" s="1"/>
      <c r="IZQ1630" s="1"/>
      <c r="IZR1630" s="1"/>
      <c r="IZS1630" s="1"/>
      <c r="IZT1630" s="1"/>
      <c r="IZU1630" s="1"/>
      <c r="IZV1630" s="1"/>
      <c r="IZW1630" s="1"/>
      <c r="IZX1630" s="1"/>
      <c r="IZY1630" s="1"/>
      <c r="IZZ1630" s="1"/>
      <c r="JAA1630" s="1"/>
      <c r="JAB1630" s="1"/>
      <c r="JAC1630" s="1"/>
      <c r="JAD1630" s="1"/>
      <c r="JAE1630" s="1"/>
      <c r="JAF1630" s="1"/>
      <c r="JAG1630" s="1"/>
      <c r="JAH1630" s="1"/>
      <c r="JAI1630" s="1"/>
      <c r="JAJ1630" s="1"/>
      <c r="JAK1630" s="1"/>
      <c r="JAL1630" s="1"/>
      <c r="JAM1630" s="1"/>
      <c r="JAN1630" s="1"/>
      <c r="JAO1630" s="1"/>
      <c r="JAP1630" s="1"/>
      <c r="JAQ1630" s="1"/>
      <c r="JAR1630" s="1"/>
      <c r="JAS1630" s="1"/>
      <c r="JAT1630" s="1"/>
      <c r="JAU1630" s="1"/>
      <c r="JAV1630" s="1"/>
      <c r="JAW1630" s="1"/>
      <c r="JAX1630" s="1"/>
      <c r="JAY1630" s="1"/>
      <c r="JAZ1630" s="1"/>
      <c r="JBA1630" s="1"/>
      <c r="JBB1630" s="1"/>
      <c r="JBC1630" s="1"/>
      <c r="JBD1630" s="1"/>
      <c r="JBE1630" s="1"/>
      <c r="JBF1630" s="1"/>
      <c r="JBG1630" s="1"/>
      <c r="JBH1630" s="1"/>
      <c r="JBI1630" s="1"/>
      <c r="JBJ1630" s="1"/>
      <c r="JBK1630" s="1"/>
      <c r="JBL1630" s="1"/>
      <c r="JBM1630" s="1"/>
      <c r="JBN1630" s="1"/>
      <c r="JBO1630" s="1"/>
      <c r="JBP1630" s="1"/>
      <c r="JBQ1630" s="1"/>
      <c r="JBR1630" s="1"/>
      <c r="JBS1630" s="1"/>
      <c r="JBT1630" s="1"/>
      <c r="JBU1630" s="1"/>
      <c r="JBV1630" s="1"/>
      <c r="JBW1630" s="1"/>
      <c r="JBX1630" s="1"/>
      <c r="JBY1630" s="1"/>
      <c r="JBZ1630" s="1"/>
      <c r="JCA1630" s="1"/>
      <c r="JCB1630" s="1"/>
      <c r="JCC1630" s="1"/>
      <c r="JCD1630" s="1"/>
      <c r="JCE1630" s="1"/>
      <c r="JCF1630" s="1"/>
      <c r="JCG1630" s="1"/>
      <c r="JCH1630" s="1"/>
      <c r="JCI1630" s="1"/>
      <c r="JCJ1630" s="1"/>
      <c r="JCK1630" s="1"/>
      <c r="JCL1630" s="1"/>
      <c r="JCM1630" s="1"/>
      <c r="JCN1630" s="1"/>
      <c r="JCO1630" s="1"/>
      <c r="JCP1630" s="1"/>
      <c r="JCQ1630" s="1"/>
      <c r="JCR1630" s="1"/>
      <c r="JCS1630" s="1"/>
      <c r="JCT1630" s="1"/>
      <c r="JCU1630" s="1"/>
      <c r="JCV1630" s="1"/>
      <c r="JCW1630" s="1"/>
      <c r="JCX1630" s="1"/>
      <c r="JCY1630" s="1"/>
      <c r="JCZ1630" s="1"/>
      <c r="JDA1630" s="1"/>
      <c r="JDB1630" s="1"/>
      <c r="JDC1630" s="1"/>
      <c r="JDD1630" s="1"/>
      <c r="JDE1630" s="1"/>
      <c r="JDF1630" s="1"/>
      <c r="JDG1630" s="1"/>
      <c r="JDH1630" s="1"/>
      <c r="JDI1630" s="1"/>
      <c r="JDJ1630" s="1"/>
      <c r="JDK1630" s="1"/>
      <c r="JDL1630" s="1"/>
      <c r="JDM1630" s="1"/>
      <c r="JDN1630" s="1"/>
      <c r="JDO1630" s="1"/>
      <c r="JDP1630" s="1"/>
      <c r="JDQ1630" s="1"/>
      <c r="JDR1630" s="1"/>
      <c r="JDS1630" s="1"/>
      <c r="JDT1630" s="1"/>
      <c r="JDU1630" s="1"/>
      <c r="JDV1630" s="1"/>
      <c r="JDW1630" s="1"/>
      <c r="JDX1630" s="1"/>
      <c r="JDY1630" s="1"/>
      <c r="JDZ1630" s="1"/>
      <c r="JEA1630" s="1"/>
      <c r="JEB1630" s="1"/>
      <c r="JEC1630" s="1"/>
      <c r="JED1630" s="1"/>
      <c r="JEE1630" s="1"/>
      <c r="JEF1630" s="1"/>
      <c r="JEG1630" s="1"/>
      <c r="JEH1630" s="1"/>
      <c r="JEI1630" s="1"/>
      <c r="JEJ1630" s="1"/>
      <c r="JEK1630" s="1"/>
      <c r="JEL1630" s="1"/>
      <c r="JEM1630" s="1"/>
      <c r="JEN1630" s="1"/>
      <c r="JEO1630" s="1"/>
      <c r="JEP1630" s="1"/>
      <c r="JEQ1630" s="1"/>
      <c r="JER1630" s="1"/>
      <c r="JES1630" s="1"/>
      <c r="JET1630" s="1"/>
      <c r="JEU1630" s="1"/>
      <c r="JEV1630" s="1"/>
      <c r="JEW1630" s="1"/>
      <c r="JEX1630" s="1"/>
      <c r="JEY1630" s="1"/>
      <c r="JEZ1630" s="1"/>
      <c r="JFA1630" s="1"/>
      <c r="JFB1630" s="1"/>
      <c r="JFC1630" s="1"/>
      <c r="JFD1630" s="1"/>
      <c r="JFE1630" s="1"/>
      <c r="JFF1630" s="1"/>
      <c r="JFG1630" s="1"/>
      <c r="JFH1630" s="1"/>
      <c r="JFI1630" s="1"/>
      <c r="JFJ1630" s="1"/>
      <c r="JFK1630" s="1"/>
      <c r="JFL1630" s="1"/>
      <c r="JFM1630" s="1"/>
      <c r="JFN1630" s="1"/>
      <c r="JFO1630" s="1"/>
      <c r="JFP1630" s="1"/>
      <c r="JFQ1630" s="1"/>
      <c r="JFR1630" s="1"/>
      <c r="JFS1630" s="1"/>
      <c r="JFT1630" s="1"/>
      <c r="JFU1630" s="1"/>
      <c r="JFV1630" s="1"/>
      <c r="JFW1630" s="1"/>
      <c r="JFX1630" s="1"/>
      <c r="JFY1630" s="1"/>
      <c r="JFZ1630" s="1"/>
      <c r="JGA1630" s="1"/>
      <c r="JGB1630" s="1"/>
      <c r="JGC1630" s="1"/>
      <c r="JGD1630" s="1"/>
      <c r="JGE1630" s="1"/>
      <c r="JGF1630" s="1"/>
      <c r="JGG1630" s="1"/>
      <c r="JGH1630" s="1"/>
      <c r="JGI1630" s="1"/>
      <c r="JGJ1630" s="1"/>
      <c r="JGK1630" s="1"/>
      <c r="JGL1630" s="1"/>
      <c r="JGM1630" s="1"/>
      <c r="JGN1630" s="1"/>
      <c r="JGO1630" s="1"/>
      <c r="JGP1630" s="1"/>
      <c r="JGQ1630" s="1"/>
      <c r="JGR1630" s="1"/>
      <c r="JGS1630" s="1"/>
      <c r="JGT1630" s="1"/>
      <c r="JGU1630" s="1"/>
      <c r="JGV1630" s="1"/>
      <c r="JGW1630" s="1"/>
      <c r="JGX1630" s="1"/>
      <c r="JGY1630" s="1"/>
      <c r="JGZ1630" s="1"/>
      <c r="JHA1630" s="1"/>
      <c r="JHB1630" s="1"/>
      <c r="JHC1630" s="1"/>
      <c r="JHD1630" s="1"/>
      <c r="JHE1630" s="1"/>
      <c r="JHF1630" s="1"/>
      <c r="JHG1630" s="1"/>
      <c r="JHH1630" s="1"/>
      <c r="JHI1630" s="1"/>
      <c r="JHJ1630" s="1"/>
      <c r="JHK1630" s="1"/>
      <c r="JHL1630" s="1"/>
      <c r="JHM1630" s="1"/>
      <c r="JHN1630" s="1"/>
      <c r="JHO1630" s="1"/>
      <c r="JHP1630" s="1"/>
      <c r="JHQ1630" s="1"/>
      <c r="JHR1630" s="1"/>
      <c r="JHS1630" s="1"/>
      <c r="JHT1630" s="1"/>
      <c r="JHU1630" s="1"/>
      <c r="JHV1630" s="1"/>
      <c r="JHW1630" s="1"/>
      <c r="JHX1630" s="1"/>
      <c r="JHY1630" s="1"/>
      <c r="JHZ1630" s="1"/>
      <c r="JIA1630" s="1"/>
      <c r="JIB1630" s="1"/>
      <c r="JIC1630" s="1"/>
      <c r="JID1630" s="1"/>
      <c r="JIE1630" s="1"/>
      <c r="JIF1630" s="1"/>
      <c r="JIG1630" s="1"/>
      <c r="JIH1630" s="1"/>
      <c r="JII1630" s="1"/>
      <c r="JIJ1630" s="1"/>
      <c r="JIK1630" s="1"/>
      <c r="JIL1630" s="1"/>
      <c r="JIM1630" s="1"/>
      <c r="JIN1630" s="1"/>
      <c r="JIO1630" s="1"/>
      <c r="JIP1630" s="1"/>
      <c r="JIQ1630" s="1"/>
      <c r="JIR1630" s="1"/>
      <c r="JIS1630" s="1"/>
      <c r="JIT1630" s="1"/>
      <c r="JIU1630" s="1"/>
      <c r="JIV1630" s="1"/>
      <c r="JIW1630" s="1"/>
      <c r="JIX1630" s="1"/>
      <c r="JIY1630" s="1"/>
      <c r="JIZ1630" s="1"/>
      <c r="JJA1630" s="1"/>
      <c r="JJB1630" s="1"/>
      <c r="JJC1630" s="1"/>
      <c r="JJD1630" s="1"/>
      <c r="JJE1630" s="1"/>
      <c r="JJF1630" s="1"/>
      <c r="JJG1630" s="1"/>
      <c r="JJH1630" s="1"/>
      <c r="JJI1630" s="1"/>
      <c r="JJJ1630" s="1"/>
      <c r="JJK1630" s="1"/>
      <c r="JJL1630" s="1"/>
      <c r="JJM1630" s="1"/>
      <c r="JJN1630" s="1"/>
      <c r="JJO1630" s="1"/>
      <c r="JJP1630" s="1"/>
      <c r="JJQ1630" s="1"/>
      <c r="JJR1630" s="1"/>
      <c r="JJS1630" s="1"/>
      <c r="JJT1630" s="1"/>
      <c r="JJU1630" s="1"/>
      <c r="JJV1630" s="1"/>
      <c r="JJW1630" s="1"/>
      <c r="JJX1630" s="1"/>
      <c r="JJY1630" s="1"/>
      <c r="JJZ1630" s="1"/>
      <c r="JKA1630" s="1"/>
      <c r="JKB1630" s="1"/>
      <c r="JKC1630" s="1"/>
      <c r="JKD1630" s="1"/>
      <c r="JKE1630" s="1"/>
      <c r="JKF1630" s="1"/>
      <c r="JKG1630" s="1"/>
      <c r="JKH1630" s="1"/>
      <c r="JKI1630" s="1"/>
      <c r="JKJ1630" s="1"/>
      <c r="JKK1630" s="1"/>
      <c r="JKL1630" s="1"/>
      <c r="JKM1630" s="1"/>
      <c r="JKN1630" s="1"/>
      <c r="JKO1630" s="1"/>
      <c r="JKP1630" s="1"/>
      <c r="JKQ1630" s="1"/>
      <c r="JKR1630" s="1"/>
      <c r="JKS1630" s="1"/>
      <c r="JKT1630" s="1"/>
      <c r="JKU1630" s="1"/>
      <c r="JKV1630" s="1"/>
      <c r="JKW1630" s="1"/>
      <c r="JKX1630" s="1"/>
      <c r="JKY1630" s="1"/>
      <c r="JKZ1630" s="1"/>
      <c r="JLA1630" s="1"/>
      <c r="JLB1630" s="1"/>
      <c r="JLC1630" s="1"/>
      <c r="JLD1630" s="1"/>
      <c r="JLE1630" s="1"/>
      <c r="JLF1630" s="1"/>
      <c r="JLG1630" s="1"/>
      <c r="JLH1630" s="1"/>
      <c r="JLI1630" s="1"/>
      <c r="JLJ1630" s="1"/>
      <c r="JLK1630" s="1"/>
      <c r="JLL1630" s="1"/>
      <c r="JLM1630" s="1"/>
      <c r="JLN1630" s="1"/>
      <c r="JLO1630" s="1"/>
      <c r="JLP1630" s="1"/>
      <c r="JLQ1630" s="1"/>
      <c r="JLR1630" s="1"/>
      <c r="JLS1630" s="1"/>
      <c r="JLT1630" s="1"/>
      <c r="JLU1630" s="1"/>
      <c r="JLV1630" s="1"/>
      <c r="JLW1630" s="1"/>
      <c r="JLX1630" s="1"/>
      <c r="JLY1630" s="1"/>
      <c r="JLZ1630" s="1"/>
      <c r="JMA1630" s="1"/>
      <c r="JMB1630" s="1"/>
      <c r="JMC1630" s="1"/>
      <c r="JMD1630" s="1"/>
      <c r="JME1630" s="1"/>
      <c r="JMF1630" s="1"/>
      <c r="JMG1630" s="1"/>
      <c r="JMH1630" s="1"/>
      <c r="JMI1630" s="1"/>
      <c r="JMJ1630" s="1"/>
      <c r="JMK1630" s="1"/>
      <c r="JML1630" s="1"/>
      <c r="JMM1630" s="1"/>
      <c r="JMN1630" s="1"/>
      <c r="JMO1630" s="1"/>
      <c r="JMP1630" s="1"/>
      <c r="JMQ1630" s="1"/>
      <c r="JMR1630" s="1"/>
      <c r="JMS1630" s="1"/>
      <c r="JMT1630" s="1"/>
      <c r="JMU1630" s="1"/>
      <c r="JMV1630" s="1"/>
      <c r="JMW1630" s="1"/>
      <c r="JMX1630" s="1"/>
      <c r="JMY1630" s="1"/>
      <c r="JMZ1630" s="1"/>
      <c r="JNA1630" s="1"/>
      <c r="JNB1630" s="1"/>
      <c r="JNC1630" s="1"/>
      <c r="JND1630" s="1"/>
      <c r="JNE1630" s="1"/>
      <c r="JNF1630" s="1"/>
      <c r="JNG1630" s="1"/>
      <c r="JNH1630" s="1"/>
      <c r="JNI1630" s="1"/>
      <c r="JNJ1630" s="1"/>
      <c r="JNK1630" s="1"/>
      <c r="JNL1630" s="1"/>
      <c r="JNM1630" s="1"/>
      <c r="JNN1630" s="1"/>
      <c r="JNO1630" s="1"/>
      <c r="JNP1630" s="1"/>
      <c r="JNQ1630" s="1"/>
      <c r="JNR1630" s="1"/>
      <c r="JNS1630" s="1"/>
      <c r="JNT1630" s="1"/>
      <c r="JNU1630" s="1"/>
      <c r="JNV1630" s="1"/>
      <c r="JNW1630" s="1"/>
      <c r="JNX1630" s="1"/>
      <c r="JNY1630" s="1"/>
      <c r="JNZ1630" s="1"/>
      <c r="JOA1630" s="1"/>
      <c r="JOB1630" s="1"/>
      <c r="JOC1630" s="1"/>
      <c r="JOD1630" s="1"/>
      <c r="JOE1630" s="1"/>
      <c r="JOF1630" s="1"/>
      <c r="JOG1630" s="1"/>
      <c r="JOH1630" s="1"/>
      <c r="JOI1630" s="1"/>
      <c r="JOJ1630" s="1"/>
      <c r="JOK1630" s="1"/>
      <c r="JOL1630" s="1"/>
      <c r="JOM1630" s="1"/>
      <c r="JON1630" s="1"/>
      <c r="JOO1630" s="1"/>
      <c r="JOP1630" s="1"/>
      <c r="JOQ1630" s="1"/>
      <c r="JOR1630" s="1"/>
      <c r="JOS1630" s="1"/>
      <c r="JOT1630" s="1"/>
      <c r="JOU1630" s="1"/>
      <c r="JOV1630" s="1"/>
      <c r="JOW1630" s="1"/>
      <c r="JOX1630" s="1"/>
      <c r="JOY1630" s="1"/>
      <c r="JOZ1630" s="1"/>
      <c r="JPA1630" s="1"/>
      <c r="JPB1630" s="1"/>
      <c r="JPC1630" s="1"/>
      <c r="JPD1630" s="1"/>
      <c r="JPE1630" s="1"/>
      <c r="JPF1630" s="1"/>
      <c r="JPG1630" s="1"/>
      <c r="JPH1630" s="1"/>
      <c r="JPI1630" s="1"/>
      <c r="JPJ1630" s="1"/>
      <c r="JPK1630" s="1"/>
      <c r="JPL1630" s="1"/>
      <c r="JPM1630" s="1"/>
      <c r="JPN1630" s="1"/>
      <c r="JPO1630" s="1"/>
      <c r="JPP1630" s="1"/>
      <c r="JPQ1630" s="1"/>
      <c r="JPR1630" s="1"/>
      <c r="JPS1630" s="1"/>
      <c r="JPT1630" s="1"/>
      <c r="JPU1630" s="1"/>
      <c r="JPV1630" s="1"/>
      <c r="JPW1630" s="1"/>
      <c r="JPX1630" s="1"/>
      <c r="JPY1630" s="1"/>
      <c r="JPZ1630" s="1"/>
      <c r="JQA1630" s="1"/>
      <c r="JQB1630" s="1"/>
      <c r="JQC1630" s="1"/>
      <c r="JQD1630" s="1"/>
      <c r="JQE1630" s="1"/>
      <c r="JQF1630" s="1"/>
      <c r="JQG1630" s="1"/>
      <c r="JQH1630" s="1"/>
      <c r="JQI1630" s="1"/>
      <c r="JQJ1630" s="1"/>
      <c r="JQK1630" s="1"/>
      <c r="JQL1630" s="1"/>
      <c r="JQM1630" s="1"/>
      <c r="JQN1630" s="1"/>
      <c r="JQO1630" s="1"/>
      <c r="JQP1630" s="1"/>
      <c r="JQQ1630" s="1"/>
      <c r="JQR1630" s="1"/>
      <c r="JQS1630" s="1"/>
      <c r="JQT1630" s="1"/>
      <c r="JQU1630" s="1"/>
      <c r="JQV1630" s="1"/>
      <c r="JQW1630" s="1"/>
      <c r="JQX1630" s="1"/>
      <c r="JQY1630" s="1"/>
      <c r="JQZ1630" s="1"/>
      <c r="JRA1630" s="1"/>
      <c r="JRB1630" s="1"/>
      <c r="JRC1630" s="1"/>
      <c r="JRD1630" s="1"/>
      <c r="JRE1630" s="1"/>
      <c r="JRF1630" s="1"/>
      <c r="JRG1630" s="1"/>
      <c r="JRH1630" s="1"/>
      <c r="JRI1630" s="1"/>
      <c r="JRJ1630" s="1"/>
      <c r="JRK1630" s="1"/>
      <c r="JRL1630" s="1"/>
      <c r="JRM1630" s="1"/>
      <c r="JRN1630" s="1"/>
      <c r="JRO1630" s="1"/>
      <c r="JRP1630" s="1"/>
      <c r="JRQ1630" s="1"/>
      <c r="JRR1630" s="1"/>
      <c r="JRS1630" s="1"/>
      <c r="JRT1630" s="1"/>
      <c r="JRU1630" s="1"/>
      <c r="JRV1630" s="1"/>
      <c r="JRW1630" s="1"/>
      <c r="JRX1630" s="1"/>
      <c r="JRY1630" s="1"/>
      <c r="JRZ1630" s="1"/>
      <c r="JSA1630" s="1"/>
      <c r="JSB1630" s="1"/>
      <c r="JSC1630" s="1"/>
      <c r="JSD1630" s="1"/>
      <c r="JSE1630" s="1"/>
      <c r="JSF1630" s="1"/>
      <c r="JSG1630" s="1"/>
      <c r="JSH1630" s="1"/>
      <c r="JSI1630" s="1"/>
      <c r="JSJ1630" s="1"/>
      <c r="JSK1630" s="1"/>
      <c r="JSL1630" s="1"/>
      <c r="JSM1630" s="1"/>
      <c r="JSN1630" s="1"/>
      <c r="JSO1630" s="1"/>
      <c r="JSP1630" s="1"/>
      <c r="JSQ1630" s="1"/>
      <c r="JSR1630" s="1"/>
      <c r="JSS1630" s="1"/>
      <c r="JST1630" s="1"/>
      <c r="JSU1630" s="1"/>
      <c r="JSV1630" s="1"/>
      <c r="JSW1630" s="1"/>
      <c r="JSX1630" s="1"/>
      <c r="JSY1630" s="1"/>
      <c r="JSZ1630" s="1"/>
      <c r="JTA1630" s="1"/>
      <c r="JTB1630" s="1"/>
      <c r="JTC1630" s="1"/>
      <c r="JTD1630" s="1"/>
      <c r="JTE1630" s="1"/>
      <c r="JTF1630" s="1"/>
      <c r="JTG1630" s="1"/>
      <c r="JTH1630" s="1"/>
      <c r="JTI1630" s="1"/>
      <c r="JTJ1630" s="1"/>
      <c r="JTK1630" s="1"/>
      <c r="JTL1630" s="1"/>
      <c r="JTM1630" s="1"/>
      <c r="JTN1630" s="1"/>
      <c r="JTO1630" s="1"/>
      <c r="JTP1630" s="1"/>
      <c r="JTQ1630" s="1"/>
      <c r="JTR1630" s="1"/>
      <c r="JTS1630" s="1"/>
      <c r="JTT1630" s="1"/>
      <c r="JTU1630" s="1"/>
      <c r="JTV1630" s="1"/>
      <c r="JTW1630" s="1"/>
      <c r="JTX1630" s="1"/>
      <c r="JTY1630" s="1"/>
      <c r="JTZ1630" s="1"/>
      <c r="JUA1630" s="1"/>
      <c r="JUB1630" s="1"/>
      <c r="JUC1630" s="1"/>
      <c r="JUD1630" s="1"/>
      <c r="JUE1630" s="1"/>
      <c r="JUF1630" s="1"/>
      <c r="JUG1630" s="1"/>
      <c r="JUH1630" s="1"/>
      <c r="JUI1630" s="1"/>
      <c r="JUJ1630" s="1"/>
      <c r="JUK1630" s="1"/>
      <c r="JUL1630" s="1"/>
      <c r="JUM1630" s="1"/>
      <c r="JUN1630" s="1"/>
      <c r="JUO1630" s="1"/>
      <c r="JUP1630" s="1"/>
      <c r="JUQ1630" s="1"/>
      <c r="JUR1630" s="1"/>
      <c r="JUS1630" s="1"/>
      <c r="JUT1630" s="1"/>
      <c r="JUU1630" s="1"/>
      <c r="JUV1630" s="1"/>
      <c r="JUW1630" s="1"/>
      <c r="JUX1630" s="1"/>
      <c r="JUY1630" s="1"/>
      <c r="JUZ1630" s="1"/>
      <c r="JVA1630" s="1"/>
      <c r="JVB1630" s="1"/>
      <c r="JVC1630" s="1"/>
      <c r="JVD1630" s="1"/>
      <c r="JVE1630" s="1"/>
      <c r="JVF1630" s="1"/>
      <c r="JVG1630" s="1"/>
      <c r="JVH1630" s="1"/>
      <c r="JVI1630" s="1"/>
      <c r="JVJ1630" s="1"/>
      <c r="JVK1630" s="1"/>
      <c r="JVL1630" s="1"/>
      <c r="JVM1630" s="1"/>
      <c r="JVN1630" s="1"/>
      <c r="JVO1630" s="1"/>
      <c r="JVP1630" s="1"/>
      <c r="JVQ1630" s="1"/>
      <c r="JVR1630" s="1"/>
      <c r="JVS1630" s="1"/>
      <c r="JVT1630" s="1"/>
      <c r="JVU1630" s="1"/>
      <c r="JVV1630" s="1"/>
      <c r="JVW1630" s="1"/>
      <c r="JVX1630" s="1"/>
      <c r="JVY1630" s="1"/>
      <c r="JVZ1630" s="1"/>
      <c r="JWA1630" s="1"/>
      <c r="JWB1630" s="1"/>
      <c r="JWC1630" s="1"/>
      <c r="JWD1630" s="1"/>
      <c r="JWE1630" s="1"/>
      <c r="JWF1630" s="1"/>
      <c r="JWG1630" s="1"/>
      <c r="JWH1630" s="1"/>
      <c r="JWI1630" s="1"/>
      <c r="JWJ1630" s="1"/>
      <c r="JWK1630" s="1"/>
      <c r="JWL1630" s="1"/>
      <c r="JWM1630" s="1"/>
      <c r="JWN1630" s="1"/>
      <c r="JWO1630" s="1"/>
      <c r="JWP1630" s="1"/>
      <c r="JWQ1630" s="1"/>
      <c r="JWR1630" s="1"/>
      <c r="JWS1630" s="1"/>
      <c r="JWT1630" s="1"/>
      <c r="JWU1630" s="1"/>
      <c r="JWV1630" s="1"/>
      <c r="JWW1630" s="1"/>
      <c r="JWX1630" s="1"/>
      <c r="JWY1630" s="1"/>
      <c r="JWZ1630" s="1"/>
      <c r="JXA1630" s="1"/>
      <c r="JXB1630" s="1"/>
      <c r="JXC1630" s="1"/>
      <c r="JXD1630" s="1"/>
      <c r="JXE1630" s="1"/>
      <c r="JXF1630" s="1"/>
      <c r="JXG1630" s="1"/>
      <c r="JXH1630" s="1"/>
      <c r="JXI1630" s="1"/>
      <c r="JXJ1630" s="1"/>
      <c r="JXK1630" s="1"/>
      <c r="JXL1630" s="1"/>
      <c r="JXM1630" s="1"/>
      <c r="JXN1630" s="1"/>
      <c r="JXO1630" s="1"/>
      <c r="JXP1630" s="1"/>
      <c r="JXQ1630" s="1"/>
      <c r="JXR1630" s="1"/>
      <c r="JXS1630" s="1"/>
      <c r="JXT1630" s="1"/>
      <c r="JXU1630" s="1"/>
      <c r="JXV1630" s="1"/>
      <c r="JXW1630" s="1"/>
      <c r="JXX1630" s="1"/>
      <c r="JXY1630" s="1"/>
      <c r="JXZ1630" s="1"/>
      <c r="JYA1630" s="1"/>
      <c r="JYB1630" s="1"/>
      <c r="JYC1630" s="1"/>
      <c r="JYD1630" s="1"/>
      <c r="JYE1630" s="1"/>
      <c r="JYF1630" s="1"/>
      <c r="JYG1630" s="1"/>
      <c r="JYH1630" s="1"/>
      <c r="JYI1630" s="1"/>
      <c r="JYJ1630" s="1"/>
      <c r="JYK1630" s="1"/>
      <c r="JYL1630" s="1"/>
      <c r="JYM1630" s="1"/>
      <c r="JYN1630" s="1"/>
      <c r="JYO1630" s="1"/>
      <c r="JYP1630" s="1"/>
      <c r="JYQ1630" s="1"/>
      <c r="JYR1630" s="1"/>
      <c r="JYS1630" s="1"/>
      <c r="JYT1630" s="1"/>
      <c r="JYU1630" s="1"/>
      <c r="JYV1630" s="1"/>
      <c r="JYW1630" s="1"/>
      <c r="JYX1630" s="1"/>
      <c r="JYY1630" s="1"/>
      <c r="JYZ1630" s="1"/>
      <c r="JZA1630" s="1"/>
      <c r="JZB1630" s="1"/>
      <c r="JZC1630" s="1"/>
      <c r="JZD1630" s="1"/>
      <c r="JZE1630" s="1"/>
      <c r="JZF1630" s="1"/>
      <c r="JZG1630" s="1"/>
      <c r="JZH1630" s="1"/>
      <c r="JZI1630" s="1"/>
      <c r="JZJ1630" s="1"/>
      <c r="JZK1630" s="1"/>
      <c r="JZL1630" s="1"/>
      <c r="JZM1630" s="1"/>
      <c r="JZN1630" s="1"/>
      <c r="JZO1630" s="1"/>
      <c r="JZP1630" s="1"/>
      <c r="JZQ1630" s="1"/>
      <c r="JZR1630" s="1"/>
      <c r="JZS1630" s="1"/>
      <c r="JZT1630" s="1"/>
      <c r="JZU1630" s="1"/>
      <c r="JZV1630" s="1"/>
      <c r="JZW1630" s="1"/>
      <c r="JZX1630" s="1"/>
      <c r="JZY1630" s="1"/>
      <c r="JZZ1630" s="1"/>
      <c r="KAA1630" s="1"/>
      <c r="KAB1630" s="1"/>
      <c r="KAC1630" s="1"/>
      <c r="KAD1630" s="1"/>
      <c r="KAE1630" s="1"/>
      <c r="KAF1630" s="1"/>
      <c r="KAG1630" s="1"/>
      <c r="KAH1630" s="1"/>
      <c r="KAI1630" s="1"/>
      <c r="KAJ1630" s="1"/>
      <c r="KAK1630" s="1"/>
      <c r="KAL1630" s="1"/>
      <c r="KAM1630" s="1"/>
      <c r="KAN1630" s="1"/>
      <c r="KAO1630" s="1"/>
      <c r="KAP1630" s="1"/>
      <c r="KAQ1630" s="1"/>
      <c r="KAR1630" s="1"/>
      <c r="KAS1630" s="1"/>
      <c r="KAT1630" s="1"/>
      <c r="KAU1630" s="1"/>
      <c r="KAV1630" s="1"/>
      <c r="KAW1630" s="1"/>
      <c r="KAX1630" s="1"/>
      <c r="KAY1630" s="1"/>
      <c r="KAZ1630" s="1"/>
      <c r="KBA1630" s="1"/>
      <c r="KBB1630" s="1"/>
      <c r="KBC1630" s="1"/>
      <c r="KBD1630" s="1"/>
      <c r="KBE1630" s="1"/>
      <c r="KBF1630" s="1"/>
      <c r="KBG1630" s="1"/>
      <c r="KBH1630" s="1"/>
      <c r="KBI1630" s="1"/>
      <c r="KBJ1630" s="1"/>
      <c r="KBK1630" s="1"/>
      <c r="KBL1630" s="1"/>
      <c r="KBM1630" s="1"/>
      <c r="KBN1630" s="1"/>
      <c r="KBO1630" s="1"/>
      <c r="KBP1630" s="1"/>
      <c r="KBQ1630" s="1"/>
      <c r="KBR1630" s="1"/>
      <c r="KBS1630" s="1"/>
      <c r="KBT1630" s="1"/>
      <c r="KBU1630" s="1"/>
      <c r="KBV1630" s="1"/>
      <c r="KBW1630" s="1"/>
      <c r="KBX1630" s="1"/>
      <c r="KBY1630" s="1"/>
      <c r="KBZ1630" s="1"/>
      <c r="KCA1630" s="1"/>
      <c r="KCB1630" s="1"/>
      <c r="KCC1630" s="1"/>
      <c r="KCD1630" s="1"/>
      <c r="KCE1630" s="1"/>
      <c r="KCF1630" s="1"/>
      <c r="KCG1630" s="1"/>
      <c r="KCH1630" s="1"/>
      <c r="KCI1630" s="1"/>
      <c r="KCJ1630" s="1"/>
      <c r="KCK1630" s="1"/>
      <c r="KCL1630" s="1"/>
      <c r="KCM1630" s="1"/>
      <c r="KCN1630" s="1"/>
      <c r="KCO1630" s="1"/>
      <c r="KCP1630" s="1"/>
      <c r="KCQ1630" s="1"/>
      <c r="KCR1630" s="1"/>
      <c r="KCS1630" s="1"/>
      <c r="KCT1630" s="1"/>
      <c r="KCU1630" s="1"/>
      <c r="KCV1630" s="1"/>
      <c r="KCW1630" s="1"/>
      <c r="KCX1630" s="1"/>
      <c r="KCY1630" s="1"/>
      <c r="KCZ1630" s="1"/>
      <c r="KDA1630" s="1"/>
      <c r="KDB1630" s="1"/>
      <c r="KDC1630" s="1"/>
      <c r="KDD1630" s="1"/>
      <c r="KDE1630" s="1"/>
      <c r="KDF1630" s="1"/>
      <c r="KDG1630" s="1"/>
      <c r="KDH1630" s="1"/>
      <c r="KDI1630" s="1"/>
      <c r="KDJ1630" s="1"/>
      <c r="KDK1630" s="1"/>
      <c r="KDL1630" s="1"/>
      <c r="KDM1630" s="1"/>
      <c r="KDN1630" s="1"/>
      <c r="KDO1630" s="1"/>
      <c r="KDP1630" s="1"/>
      <c r="KDQ1630" s="1"/>
      <c r="KDR1630" s="1"/>
      <c r="KDS1630" s="1"/>
      <c r="KDT1630" s="1"/>
      <c r="KDU1630" s="1"/>
      <c r="KDV1630" s="1"/>
      <c r="KDW1630" s="1"/>
      <c r="KDX1630" s="1"/>
      <c r="KDY1630" s="1"/>
      <c r="KDZ1630" s="1"/>
      <c r="KEA1630" s="1"/>
      <c r="KEB1630" s="1"/>
      <c r="KEC1630" s="1"/>
      <c r="KED1630" s="1"/>
      <c r="KEE1630" s="1"/>
      <c r="KEF1630" s="1"/>
      <c r="KEG1630" s="1"/>
      <c r="KEH1630" s="1"/>
      <c r="KEI1630" s="1"/>
      <c r="KEJ1630" s="1"/>
      <c r="KEK1630" s="1"/>
      <c r="KEL1630" s="1"/>
      <c r="KEM1630" s="1"/>
      <c r="KEN1630" s="1"/>
      <c r="KEO1630" s="1"/>
      <c r="KEP1630" s="1"/>
      <c r="KEQ1630" s="1"/>
      <c r="KER1630" s="1"/>
      <c r="KES1630" s="1"/>
      <c r="KET1630" s="1"/>
      <c r="KEU1630" s="1"/>
      <c r="KEV1630" s="1"/>
      <c r="KEW1630" s="1"/>
      <c r="KEX1630" s="1"/>
      <c r="KEY1630" s="1"/>
      <c r="KEZ1630" s="1"/>
      <c r="KFA1630" s="1"/>
      <c r="KFB1630" s="1"/>
      <c r="KFC1630" s="1"/>
      <c r="KFD1630" s="1"/>
      <c r="KFE1630" s="1"/>
      <c r="KFF1630" s="1"/>
      <c r="KFG1630" s="1"/>
      <c r="KFH1630" s="1"/>
      <c r="KFI1630" s="1"/>
      <c r="KFJ1630" s="1"/>
      <c r="KFK1630" s="1"/>
      <c r="KFL1630" s="1"/>
      <c r="KFM1630" s="1"/>
      <c r="KFN1630" s="1"/>
      <c r="KFO1630" s="1"/>
      <c r="KFP1630" s="1"/>
      <c r="KFQ1630" s="1"/>
      <c r="KFR1630" s="1"/>
      <c r="KFS1630" s="1"/>
      <c r="KFT1630" s="1"/>
      <c r="KFU1630" s="1"/>
      <c r="KFV1630" s="1"/>
      <c r="KFW1630" s="1"/>
      <c r="KFX1630" s="1"/>
      <c r="KFY1630" s="1"/>
      <c r="KFZ1630" s="1"/>
      <c r="KGA1630" s="1"/>
      <c r="KGB1630" s="1"/>
      <c r="KGC1630" s="1"/>
      <c r="KGD1630" s="1"/>
      <c r="KGE1630" s="1"/>
      <c r="KGF1630" s="1"/>
      <c r="KGG1630" s="1"/>
      <c r="KGH1630" s="1"/>
      <c r="KGI1630" s="1"/>
      <c r="KGJ1630" s="1"/>
      <c r="KGK1630" s="1"/>
      <c r="KGL1630" s="1"/>
      <c r="KGM1630" s="1"/>
      <c r="KGN1630" s="1"/>
      <c r="KGO1630" s="1"/>
      <c r="KGP1630" s="1"/>
      <c r="KGQ1630" s="1"/>
      <c r="KGR1630" s="1"/>
      <c r="KGS1630" s="1"/>
      <c r="KGT1630" s="1"/>
      <c r="KGU1630" s="1"/>
      <c r="KGV1630" s="1"/>
      <c r="KGW1630" s="1"/>
      <c r="KGX1630" s="1"/>
      <c r="KGY1630" s="1"/>
      <c r="KGZ1630" s="1"/>
      <c r="KHA1630" s="1"/>
      <c r="KHB1630" s="1"/>
      <c r="KHC1630" s="1"/>
      <c r="KHD1630" s="1"/>
      <c r="KHE1630" s="1"/>
      <c r="KHF1630" s="1"/>
      <c r="KHG1630" s="1"/>
      <c r="KHH1630" s="1"/>
      <c r="KHI1630" s="1"/>
      <c r="KHJ1630" s="1"/>
      <c r="KHK1630" s="1"/>
      <c r="KHL1630" s="1"/>
      <c r="KHM1630" s="1"/>
      <c r="KHN1630" s="1"/>
      <c r="KHO1630" s="1"/>
      <c r="KHP1630" s="1"/>
      <c r="KHQ1630" s="1"/>
      <c r="KHR1630" s="1"/>
      <c r="KHS1630" s="1"/>
      <c r="KHT1630" s="1"/>
      <c r="KHU1630" s="1"/>
      <c r="KHV1630" s="1"/>
      <c r="KHW1630" s="1"/>
      <c r="KHX1630" s="1"/>
      <c r="KHY1630" s="1"/>
      <c r="KHZ1630" s="1"/>
      <c r="KIA1630" s="1"/>
      <c r="KIB1630" s="1"/>
      <c r="KIC1630" s="1"/>
      <c r="KID1630" s="1"/>
      <c r="KIE1630" s="1"/>
      <c r="KIF1630" s="1"/>
      <c r="KIG1630" s="1"/>
      <c r="KIH1630" s="1"/>
      <c r="KII1630" s="1"/>
      <c r="KIJ1630" s="1"/>
      <c r="KIK1630" s="1"/>
      <c r="KIL1630" s="1"/>
      <c r="KIM1630" s="1"/>
      <c r="KIN1630" s="1"/>
      <c r="KIO1630" s="1"/>
      <c r="KIP1630" s="1"/>
      <c r="KIQ1630" s="1"/>
      <c r="KIR1630" s="1"/>
      <c r="KIS1630" s="1"/>
      <c r="KIT1630" s="1"/>
      <c r="KIU1630" s="1"/>
      <c r="KIV1630" s="1"/>
      <c r="KIW1630" s="1"/>
      <c r="KIX1630" s="1"/>
      <c r="KIY1630" s="1"/>
      <c r="KIZ1630" s="1"/>
      <c r="KJA1630" s="1"/>
      <c r="KJB1630" s="1"/>
      <c r="KJC1630" s="1"/>
      <c r="KJD1630" s="1"/>
      <c r="KJE1630" s="1"/>
      <c r="KJF1630" s="1"/>
      <c r="KJG1630" s="1"/>
      <c r="KJH1630" s="1"/>
      <c r="KJI1630" s="1"/>
      <c r="KJJ1630" s="1"/>
      <c r="KJK1630" s="1"/>
      <c r="KJL1630" s="1"/>
      <c r="KJM1630" s="1"/>
      <c r="KJN1630" s="1"/>
      <c r="KJO1630" s="1"/>
      <c r="KJP1630" s="1"/>
      <c r="KJQ1630" s="1"/>
      <c r="KJR1630" s="1"/>
      <c r="KJS1630" s="1"/>
      <c r="KJT1630" s="1"/>
      <c r="KJU1630" s="1"/>
      <c r="KJV1630" s="1"/>
      <c r="KJW1630" s="1"/>
      <c r="KJX1630" s="1"/>
      <c r="KJY1630" s="1"/>
      <c r="KJZ1630" s="1"/>
      <c r="KKA1630" s="1"/>
      <c r="KKB1630" s="1"/>
      <c r="KKC1630" s="1"/>
      <c r="KKD1630" s="1"/>
      <c r="KKE1630" s="1"/>
      <c r="KKF1630" s="1"/>
      <c r="KKG1630" s="1"/>
      <c r="KKH1630" s="1"/>
      <c r="KKI1630" s="1"/>
      <c r="KKJ1630" s="1"/>
      <c r="KKK1630" s="1"/>
      <c r="KKL1630" s="1"/>
      <c r="KKM1630" s="1"/>
      <c r="KKN1630" s="1"/>
      <c r="KKO1630" s="1"/>
      <c r="KKP1630" s="1"/>
      <c r="KKQ1630" s="1"/>
      <c r="KKR1630" s="1"/>
      <c r="KKS1630" s="1"/>
      <c r="KKT1630" s="1"/>
      <c r="KKU1630" s="1"/>
      <c r="KKV1630" s="1"/>
      <c r="KKW1630" s="1"/>
      <c r="KKX1630" s="1"/>
      <c r="KKY1630" s="1"/>
      <c r="KKZ1630" s="1"/>
      <c r="KLA1630" s="1"/>
      <c r="KLB1630" s="1"/>
      <c r="KLC1630" s="1"/>
      <c r="KLD1630" s="1"/>
      <c r="KLE1630" s="1"/>
      <c r="KLF1630" s="1"/>
      <c r="KLG1630" s="1"/>
      <c r="KLH1630" s="1"/>
      <c r="KLI1630" s="1"/>
      <c r="KLJ1630" s="1"/>
      <c r="KLK1630" s="1"/>
      <c r="KLL1630" s="1"/>
      <c r="KLM1630" s="1"/>
      <c r="KLN1630" s="1"/>
      <c r="KLO1630" s="1"/>
      <c r="KLP1630" s="1"/>
      <c r="KLQ1630" s="1"/>
      <c r="KLR1630" s="1"/>
      <c r="KLS1630" s="1"/>
      <c r="KLT1630" s="1"/>
      <c r="KLU1630" s="1"/>
      <c r="KLV1630" s="1"/>
      <c r="KLW1630" s="1"/>
      <c r="KLX1630" s="1"/>
      <c r="KLY1630" s="1"/>
      <c r="KLZ1630" s="1"/>
      <c r="KMA1630" s="1"/>
      <c r="KMB1630" s="1"/>
      <c r="KMC1630" s="1"/>
      <c r="KMD1630" s="1"/>
      <c r="KME1630" s="1"/>
      <c r="KMF1630" s="1"/>
      <c r="KMG1630" s="1"/>
      <c r="KMH1630" s="1"/>
      <c r="KMI1630" s="1"/>
      <c r="KMJ1630" s="1"/>
      <c r="KMK1630" s="1"/>
      <c r="KML1630" s="1"/>
      <c r="KMM1630" s="1"/>
      <c r="KMN1630" s="1"/>
      <c r="KMO1630" s="1"/>
      <c r="KMP1630" s="1"/>
      <c r="KMQ1630" s="1"/>
      <c r="KMR1630" s="1"/>
      <c r="KMS1630" s="1"/>
      <c r="KMT1630" s="1"/>
      <c r="KMU1630" s="1"/>
      <c r="KMV1630" s="1"/>
      <c r="KMW1630" s="1"/>
      <c r="KMX1630" s="1"/>
      <c r="KMY1630" s="1"/>
      <c r="KMZ1630" s="1"/>
      <c r="KNA1630" s="1"/>
      <c r="KNB1630" s="1"/>
      <c r="KNC1630" s="1"/>
      <c r="KND1630" s="1"/>
      <c r="KNE1630" s="1"/>
      <c r="KNF1630" s="1"/>
      <c r="KNG1630" s="1"/>
      <c r="KNH1630" s="1"/>
      <c r="KNI1630" s="1"/>
      <c r="KNJ1630" s="1"/>
      <c r="KNK1630" s="1"/>
      <c r="KNL1630" s="1"/>
      <c r="KNM1630" s="1"/>
      <c r="KNN1630" s="1"/>
      <c r="KNO1630" s="1"/>
      <c r="KNP1630" s="1"/>
      <c r="KNQ1630" s="1"/>
      <c r="KNR1630" s="1"/>
      <c r="KNS1630" s="1"/>
      <c r="KNT1630" s="1"/>
      <c r="KNU1630" s="1"/>
      <c r="KNV1630" s="1"/>
      <c r="KNW1630" s="1"/>
      <c r="KNX1630" s="1"/>
      <c r="KNY1630" s="1"/>
      <c r="KNZ1630" s="1"/>
      <c r="KOA1630" s="1"/>
      <c r="KOB1630" s="1"/>
      <c r="KOC1630" s="1"/>
      <c r="KOD1630" s="1"/>
      <c r="KOE1630" s="1"/>
      <c r="KOF1630" s="1"/>
      <c r="KOG1630" s="1"/>
      <c r="KOH1630" s="1"/>
      <c r="KOI1630" s="1"/>
      <c r="KOJ1630" s="1"/>
      <c r="KOK1630" s="1"/>
      <c r="KOL1630" s="1"/>
      <c r="KOM1630" s="1"/>
      <c r="KON1630" s="1"/>
      <c r="KOO1630" s="1"/>
      <c r="KOP1630" s="1"/>
      <c r="KOQ1630" s="1"/>
      <c r="KOR1630" s="1"/>
      <c r="KOS1630" s="1"/>
      <c r="KOT1630" s="1"/>
      <c r="KOU1630" s="1"/>
      <c r="KOV1630" s="1"/>
      <c r="KOW1630" s="1"/>
      <c r="KOX1630" s="1"/>
      <c r="KOY1630" s="1"/>
      <c r="KOZ1630" s="1"/>
      <c r="KPA1630" s="1"/>
      <c r="KPB1630" s="1"/>
      <c r="KPC1630" s="1"/>
      <c r="KPD1630" s="1"/>
      <c r="KPE1630" s="1"/>
      <c r="KPF1630" s="1"/>
      <c r="KPG1630" s="1"/>
      <c r="KPH1630" s="1"/>
      <c r="KPI1630" s="1"/>
      <c r="KPJ1630" s="1"/>
      <c r="KPK1630" s="1"/>
      <c r="KPL1630" s="1"/>
      <c r="KPM1630" s="1"/>
      <c r="KPN1630" s="1"/>
      <c r="KPO1630" s="1"/>
      <c r="KPP1630" s="1"/>
      <c r="KPQ1630" s="1"/>
      <c r="KPR1630" s="1"/>
      <c r="KPS1630" s="1"/>
      <c r="KPT1630" s="1"/>
      <c r="KPU1630" s="1"/>
      <c r="KPV1630" s="1"/>
      <c r="KPW1630" s="1"/>
      <c r="KPX1630" s="1"/>
      <c r="KPY1630" s="1"/>
      <c r="KPZ1630" s="1"/>
      <c r="KQA1630" s="1"/>
      <c r="KQB1630" s="1"/>
      <c r="KQC1630" s="1"/>
      <c r="KQD1630" s="1"/>
      <c r="KQE1630" s="1"/>
      <c r="KQF1630" s="1"/>
      <c r="KQG1630" s="1"/>
      <c r="KQH1630" s="1"/>
      <c r="KQI1630" s="1"/>
      <c r="KQJ1630" s="1"/>
      <c r="KQK1630" s="1"/>
      <c r="KQL1630" s="1"/>
      <c r="KQM1630" s="1"/>
      <c r="KQN1630" s="1"/>
      <c r="KQO1630" s="1"/>
      <c r="KQP1630" s="1"/>
      <c r="KQQ1630" s="1"/>
      <c r="KQR1630" s="1"/>
      <c r="KQS1630" s="1"/>
      <c r="KQT1630" s="1"/>
      <c r="KQU1630" s="1"/>
      <c r="KQV1630" s="1"/>
      <c r="KQW1630" s="1"/>
      <c r="KQX1630" s="1"/>
      <c r="KQY1630" s="1"/>
      <c r="KQZ1630" s="1"/>
      <c r="KRA1630" s="1"/>
      <c r="KRB1630" s="1"/>
      <c r="KRC1630" s="1"/>
      <c r="KRD1630" s="1"/>
      <c r="KRE1630" s="1"/>
      <c r="KRF1630" s="1"/>
      <c r="KRG1630" s="1"/>
      <c r="KRH1630" s="1"/>
      <c r="KRI1630" s="1"/>
      <c r="KRJ1630" s="1"/>
      <c r="KRK1630" s="1"/>
      <c r="KRL1630" s="1"/>
      <c r="KRM1630" s="1"/>
      <c r="KRN1630" s="1"/>
      <c r="KRO1630" s="1"/>
      <c r="KRP1630" s="1"/>
      <c r="KRQ1630" s="1"/>
      <c r="KRR1630" s="1"/>
      <c r="KRS1630" s="1"/>
      <c r="KRT1630" s="1"/>
      <c r="KRU1630" s="1"/>
      <c r="KRV1630" s="1"/>
      <c r="KRW1630" s="1"/>
      <c r="KRX1630" s="1"/>
      <c r="KRY1630" s="1"/>
      <c r="KRZ1630" s="1"/>
      <c r="KSA1630" s="1"/>
      <c r="KSB1630" s="1"/>
      <c r="KSC1630" s="1"/>
      <c r="KSD1630" s="1"/>
      <c r="KSE1630" s="1"/>
      <c r="KSF1630" s="1"/>
      <c r="KSG1630" s="1"/>
      <c r="KSH1630" s="1"/>
      <c r="KSI1630" s="1"/>
      <c r="KSJ1630" s="1"/>
      <c r="KSK1630" s="1"/>
      <c r="KSL1630" s="1"/>
      <c r="KSM1630" s="1"/>
      <c r="KSN1630" s="1"/>
      <c r="KSO1630" s="1"/>
      <c r="KSP1630" s="1"/>
      <c r="KSQ1630" s="1"/>
      <c r="KSR1630" s="1"/>
      <c r="KSS1630" s="1"/>
      <c r="KST1630" s="1"/>
      <c r="KSU1630" s="1"/>
      <c r="KSV1630" s="1"/>
      <c r="KSW1630" s="1"/>
      <c r="KSX1630" s="1"/>
      <c r="KSY1630" s="1"/>
      <c r="KSZ1630" s="1"/>
      <c r="KTA1630" s="1"/>
      <c r="KTB1630" s="1"/>
      <c r="KTC1630" s="1"/>
      <c r="KTD1630" s="1"/>
      <c r="KTE1630" s="1"/>
      <c r="KTF1630" s="1"/>
      <c r="KTG1630" s="1"/>
      <c r="KTH1630" s="1"/>
      <c r="KTI1630" s="1"/>
      <c r="KTJ1630" s="1"/>
      <c r="KTK1630" s="1"/>
      <c r="KTL1630" s="1"/>
      <c r="KTM1630" s="1"/>
      <c r="KTN1630" s="1"/>
      <c r="KTO1630" s="1"/>
      <c r="KTP1630" s="1"/>
      <c r="KTQ1630" s="1"/>
      <c r="KTR1630" s="1"/>
      <c r="KTS1630" s="1"/>
      <c r="KTT1630" s="1"/>
      <c r="KTU1630" s="1"/>
      <c r="KTV1630" s="1"/>
      <c r="KTW1630" s="1"/>
      <c r="KTX1630" s="1"/>
      <c r="KTY1630" s="1"/>
      <c r="KTZ1630" s="1"/>
      <c r="KUA1630" s="1"/>
      <c r="KUB1630" s="1"/>
      <c r="KUC1630" s="1"/>
      <c r="KUD1630" s="1"/>
      <c r="KUE1630" s="1"/>
      <c r="KUF1630" s="1"/>
      <c r="KUG1630" s="1"/>
      <c r="KUH1630" s="1"/>
      <c r="KUI1630" s="1"/>
      <c r="KUJ1630" s="1"/>
      <c r="KUK1630" s="1"/>
      <c r="KUL1630" s="1"/>
      <c r="KUM1630" s="1"/>
      <c r="KUN1630" s="1"/>
      <c r="KUO1630" s="1"/>
      <c r="KUP1630" s="1"/>
      <c r="KUQ1630" s="1"/>
      <c r="KUR1630" s="1"/>
      <c r="KUS1630" s="1"/>
      <c r="KUT1630" s="1"/>
      <c r="KUU1630" s="1"/>
      <c r="KUV1630" s="1"/>
      <c r="KUW1630" s="1"/>
      <c r="KUX1630" s="1"/>
      <c r="KUY1630" s="1"/>
      <c r="KUZ1630" s="1"/>
      <c r="KVA1630" s="1"/>
      <c r="KVB1630" s="1"/>
      <c r="KVC1630" s="1"/>
      <c r="KVD1630" s="1"/>
      <c r="KVE1630" s="1"/>
      <c r="KVF1630" s="1"/>
      <c r="KVG1630" s="1"/>
      <c r="KVH1630" s="1"/>
      <c r="KVI1630" s="1"/>
      <c r="KVJ1630" s="1"/>
      <c r="KVK1630" s="1"/>
      <c r="KVL1630" s="1"/>
      <c r="KVM1630" s="1"/>
      <c r="KVN1630" s="1"/>
      <c r="KVO1630" s="1"/>
      <c r="KVP1630" s="1"/>
      <c r="KVQ1630" s="1"/>
      <c r="KVR1630" s="1"/>
      <c r="KVS1630" s="1"/>
      <c r="KVT1630" s="1"/>
      <c r="KVU1630" s="1"/>
      <c r="KVV1630" s="1"/>
      <c r="KVW1630" s="1"/>
      <c r="KVX1630" s="1"/>
      <c r="KVY1630" s="1"/>
      <c r="KVZ1630" s="1"/>
      <c r="KWA1630" s="1"/>
      <c r="KWB1630" s="1"/>
      <c r="KWC1630" s="1"/>
      <c r="KWD1630" s="1"/>
      <c r="KWE1630" s="1"/>
      <c r="KWF1630" s="1"/>
      <c r="KWG1630" s="1"/>
      <c r="KWH1630" s="1"/>
      <c r="KWI1630" s="1"/>
      <c r="KWJ1630" s="1"/>
      <c r="KWK1630" s="1"/>
      <c r="KWL1630" s="1"/>
      <c r="KWM1630" s="1"/>
      <c r="KWN1630" s="1"/>
      <c r="KWO1630" s="1"/>
      <c r="KWP1630" s="1"/>
      <c r="KWQ1630" s="1"/>
      <c r="KWR1630" s="1"/>
      <c r="KWS1630" s="1"/>
      <c r="KWT1630" s="1"/>
      <c r="KWU1630" s="1"/>
      <c r="KWV1630" s="1"/>
      <c r="KWW1630" s="1"/>
      <c r="KWX1630" s="1"/>
      <c r="KWY1630" s="1"/>
      <c r="KWZ1630" s="1"/>
      <c r="KXA1630" s="1"/>
      <c r="KXB1630" s="1"/>
      <c r="KXC1630" s="1"/>
      <c r="KXD1630" s="1"/>
      <c r="KXE1630" s="1"/>
      <c r="KXF1630" s="1"/>
      <c r="KXG1630" s="1"/>
      <c r="KXH1630" s="1"/>
      <c r="KXI1630" s="1"/>
      <c r="KXJ1630" s="1"/>
      <c r="KXK1630" s="1"/>
      <c r="KXL1630" s="1"/>
      <c r="KXM1630" s="1"/>
      <c r="KXN1630" s="1"/>
      <c r="KXO1630" s="1"/>
      <c r="KXP1630" s="1"/>
      <c r="KXQ1630" s="1"/>
      <c r="KXR1630" s="1"/>
      <c r="KXS1630" s="1"/>
      <c r="KXT1630" s="1"/>
      <c r="KXU1630" s="1"/>
      <c r="KXV1630" s="1"/>
      <c r="KXW1630" s="1"/>
      <c r="KXX1630" s="1"/>
      <c r="KXY1630" s="1"/>
      <c r="KXZ1630" s="1"/>
      <c r="KYA1630" s="1"/>
      <c r="KYB1630" s="1"/>
      <c r="KYC1630" s="1"/>
      <c r="KYD1630" s="1"/>
      <c r="KYE1630" s="1"/>
      <c r="KYF1630" s="1"/>
      <c r="KYG1630" s="1"/>
      <c r="KYH1630" s="1"/>
      <c r="KYI1630" s="1"/>
      <c r="KYJ1630" s="1"/>
      <c r="KYK1630" s="1"/>
      <c r="KYL1630" s="1"/>
      <c r="KYM1630" s="1"/>
      <c r="KYN1630" s="1"/>
      <c r="KYO1630" s="1"/>
      <c r="KYP1630" s="1"/>
      <c r="KYQ1630" s="1"/>
      <c r="KYR1630" s="1"/>
      <c r="KYS1630" s="1"/>
      <c r="KYT1630" s="1"/>
      <c r="KYU1630" s="1"/>
      <c r="KYV1630" s="1"/>
      <c r="KYW1630" s="1"/>
      <c r="KYX1630" s="1"/>
      <c r="KYY1630" s="1"/>
      <c r="KYZ1630" s="1"/>
      <c r="KZA1630" s="1"/>
      <c r="KZB1630" s="1"/>
      <c r="KZC1630" s="1"/>
      <c r="KZD1630" s="1"/>
      <c r="KZE1630" s="1"/>
      <c r="KZF1630" s="1"/>
      <c r="KZG1630" s="1"/>
      <c r="KZH1630" s="1"/>
      <c r="KZI1630" s="1"/>
      <c r="KZJ1630" s="1"/>
      <c r="KZK1630" s="1"/>
      <c r="KZL1630" s="1"/>
      <c r="KZM1630" s="1"/>
      <c r="KZN1630" s="1"/>
      <c r="KZO1630" s="1"/>
      <c r="KZP1630" s="1"/>
      <c r="KZQ1630" s="1"/>
      <c r="KZR1630" s="1"/>
      <c r="KZS1630" s="1"/>
      <c r="KZT1630" s="1"/>
      <c r="KZU1630" s="1"/>
      <c r="KZV1630" s="1"/>
      <c r="KZW1630" s="1"/>
      <c r="KZX1630" s="1"/>
      <c r="KZY1630" s="1"/>
      <c r="KZZ1630" s="1"/>
      <c r="LAA1630" s="1"/>
      <c r="LAB1630" s="1"/>
      <c r="LAC1630" s="1"/>
      <c r="LAD1630" s="1"/>
      <c r="LAE1630" s="1"/>
      <c r="LAF1630" s="1"/>
      <c r="LAG1630" s="1"/>
      <c r="LAH1630" s="1"/>
      <c r="LAI1630" s="1"/>
      <c r="LAJ1630" s="1"/>
      <c r="LAK1630" s="1"/>
      <c r="LAL1630" s="1"/>
      <c r="LAM1630" s="1"/>
      <c r="LAN1630" s="1"/>
      <c r="LAO1630" s="1"/>
      <c r="LAP1630" s="1"/>
      <c r="LAQ1630" s="1"/>
      <c r="LAR1630" s="1"/>
      <c r="LAS1630" s="1"/>
      <c r="LAT1630" s="1"/>
      <c r="LAU1630" s="1"/>
      <c r="LAV1630" s="1"/>
      <c r="LAW1630" s="1"/>
      <c r="LAX1630" s="1"/>
      <c r="LAY1630" s="1"/>
      <c r="LAZ1630" s="1"/>
      <c r="LBA1630" s="1"/>
      <c r="LBB1630" s="1"/>
      <c r="LBC1630" s="1"/>
      <c r="LBD1630" s="1"/>
      <c r="LBE1630" s="1"/>
      <c r="LBF1630" s="1"/>
      <c r="LBG1630" s="1"/>
      <c r="LBH1630" s="1"/>
      <c r="LBI1630" s="1"/>
      <c r="LBJ1630" s="1"/>
      <c r="LBK1630" s="1"/>
      <c r="LBL1630" s="1"/>
      <c r="LBM1630" s="1"/>
      <c r="LBN1630" s="1"/>
      <c r="LBO1630" s="1"/>
      <c r="LBP1630" s="1"/>
      <c r="LBQ1630" s="1"/>
      <c r="LBR1630" s="1"/>
      <c r="LBS1630" s="1"/>
      <c r="LBT1630" s="1"/>
      <c r="LBU1630" s="1"/>
      <c r="LBV1630" s="1"/>
      <c r="LBW1630" s="1"/>
      <c r="LBX1630" s="1"/>
      <c r="LBY1630" s="1"/>
      <c r="LBZ1630" s="1"/>
      <c r="LCA1630" s="1"/>
      <c r="LCB1630" s="1"/>
      <c r="LCC1630" s="1"/>
      <c r="LCD1630" s="1"/>
      <c r="LCE1630" s="1"/>
      <c r="LCF1630" s="1"/>
      <c r="LCG1630" s="1"/>
      <c r="LCH1630" s="1"/>
      <c r="LCI1630" s="1"/>
      <c r="LCJ1630" s="1"/>
      <c r="LCK1630" s="1"/>
      <c r="LCL1630" s="1"/>
      <c r="LCM1630" s="1"/>
      <c r="LCN1630" s="1"/>
      <c r="LCO1630" s="1"/>
      <c r="LCP1630" s="1"/>
      <c r="LCQ1630" s="1"/>
      <c r="LCR1630" s="1"/>
      <c r="LCS1630" s="1"/>
      <c r="LCT1630" s="1"/>
      <c r="LCU1630" s="1"/>
      <c r="LCV1630" s="1"/>
      <c r="LCW1630" s="1"/>
      <c r="LCX1630" s="1"/>
      <c r="LCY1630" s="1"/>
      <c r="LCZ1630" s="1"/>
      <c r="LDA1630" s="1"/>
      <c r="LDB1630" s="1"/>
      <c r="LDC1630" s="1"/>
      <c r="LDD1630" s="1"/>
      <c r="LDE1630" s="1"/>
      <c r="LDF1630" s="1"/>
      <c r="LDG1630" s="1"/>
      <c r="LDH1630" s="1"/>
      <c r="LDI1630" s="1"/>
      <c r="LDJ1630" s="1"/>
      <c r="LDK1630" s="1"/>
      <c r="LDL1630" s="1"/>
      <c r="LDM1630" s="1"/>
      <c r="LDN1630" s="1"/>
      <c r="LDO1630" s="1"/>
      <c r="LDP1630" s="1"/>
      <c r="LDQ1630" s="1"/>
      <c r="LDR1630" s="1"/>
      <c r="LDS1630" s="1"/>
      <c r="LDT1630" s="1"/>
      <c r="LDU1630" s="1"/>
      <c r="LDV1630" s="1"/>
      <c r="LDW1630" s="1"/>
      <c r="LDX1630" s="1"/>
      <c r="LDY1630" s="1"/>
      <c r="LDZ1630" s="1"/>
      <c r="LEA1630" s="1"/>
      <c r="LEB1630" s="1"/>
      <c r="LEC1630" s="1"/>
      <c r="LED1630" s="1"/>
      <c r="LEE1630" s="1"/>
      <c r="LEF1630" s="1"/>
      <c r="LEG1630" s="1"/>
      <c r="LEH1630" s="1"/>
      <c r="LEI1630" s="1"/>
      <c r="LEJ1630" s="1"/>
      <c r="LEK1630" s="1"/>
      <c r="LEL1630" s="1"/>
      <c r="LEM1630" s="1"/>
      <c r="LEN1630" s="1"/>
      <c r="LEO1630" s="1"/>
      <c r="LEP1630" s="1"/>
      <c r="LEQ1630" s="1"/>
      <c r="LER1630" s="1"/>
      <c r="LES1630" s="1"/>
      <c r="LET1630" s="1"/>
      <c r="LEU1630" s="1"/>
      <c r="LEV1630" s="1"/>
      <c r="LEW1630" s="1"/>
      <c r="LEX1630" s="1"/>
      <c r="LEY1630" s="1"/>
      <c r="LEZ1630" s="1"/>
      <c r="LFA1630" s="1"/>
      <c r="LFB1630" s="1"/>
      <c r="LFC1630" s="1"/>
      <c r="LFD1630" s="1"/>
      <c r="LFE1630" s="1"/>
      <c r="LFF1630" s="1"/>
      <c r="LFG1630" s="1"/>
      <c r="LFH1630" s="1"/>
      <c r="LFI1630" s="1"/>
      <c r="LFJ1630" s="1"/>
      <c r="LFK1630" s="1"/>
      <c r="LFL1630" s="1"/>
      <c r="LFM1630" s="1"/>
      <c r="LFN1630" s="1"/>
      <c r="LFO1630" s="1"/>
      <c r="LFP1630" s="1"/>
      <c r="LFQ1630" s="1"/>
      <c r="LFR1630" s="1"/>
      <c r="LFS1630" s="1"/>
      <c r="LFT1630" s="1"/>
      <c r="LFU1630" s="1"/>
      <c r="LFV1630" s="1"/>
      <c r="LFW1630" s="1"/>
      <c r="LFX1630" s="1"/>
      <c r="LFY1630" s="1"/>
      <c r="LFZ1630" s="1"/>
      <c r="LGA1630" s="1"/>
      <c r="LGB1630" s="1"/>
      <c r="LGC1630" s="1"/>
      <c r="LGD1630" s="1"/>
      <c r="LGE1630" s="1"/>
      <c r="LGF1630" s="1"/>
      <c r="LGG1630" s="1"/>
      <c r="LGH1630" s="1"/>
      <c r="LGI1630" s="1"/>
      <c r="LGJ1630" s="1"/>
      <c r="LGK1630" s="1"/>
      <c r="LGL1630" s="1"/>
      <c r="LGM1630" s="1"/>
      <c r="LGN1630" s="1"/>
      <c r="LGO1630" s="1"/>
      <c r="LGP1630" s="1"/>
      <c r="LGQ1630" s="1"/>
      <c r="LGR1630" s="1"/>
      <c r="LGS1630" s="1"/>
      <c r="LGT1630" s="1"/>
      <c r="LGU1630" s="1"/>
      <c r="LGV1630" s="1"/>
      <c r="LGW1630" s="1"/>
      <c r="LGX1630" s="1"/>
      <c r="LGY1630" s="1"/>
      <c r="LGZ1630" s="1"/>
      <c r="LHA1630" s="1"/>
      <c r="LHB1630" s="1"/>
      <c r="LHC1630" s="1"/>
      <c r="LHD1630" s="1"/>
      <c r="LHE1630" s="1"/>
      <c r="LHF1630" s="1"/>
      <c r="LHG1630" s="1"/>
      <c r="LHH1630" s="1"/>
      <c r="LHI1630" s="1"/>
      <c r="LHJ1630" s="1"/>
      <c r="LHK1630" s="1"/>
      <c r="LHL1630" s="1"/>
      <c r="LHM1630" s="1"/>
      <c r="LHN1630" s="1"/>
      <c r="LHO1630" s="1"/>
      <c r="LHP1630" s="1"/>
      <c r="LHQ1630" s="1"/>
      <c r="LHR1630" s="1"/>
      <c r="LHS1630" s="1"/>
      <c r="LHT1630" s="1"/>
      <c r="LHU1630" s="1"/>
      <c r="LHV1630" s="1"/>
      <c r="LHW1630" s="1"/>
      <c r="LHX1630" s="1"/>
      <c r="LHY1630" s="1"/>
      <c r="LHZ1630" s="1"/>
      <c r="LIA1630" s="1"/>
      <c r="LIB1630" s="1"/>
      <c r="LIC1630" s="1"/>
      <c r="LID1630" s="1"/>
      <c r="LIE1630" s="1"/>
      <c r="LIF1630" s="1"/>
      <c r="LIG1630" s="1"/>
      <c r="LIH1630" s="1"/>
      <c r="LII1630" s="1"/>
      <c r="LIJ1630" s="1"/>
      <c r="LIK1630" s="1"/>
      <c r="LIL1630" s="1"/>
      <c r="LIM1630" s="1"/>
      <c r="LIN1630" s="1"/>
      <c r="LIO1630" s="1"/>
      <c r="LIP1630" s="1"/>
      <c r="LIQ1630" s="1"/>
      <c r="LIR1630" s="1"/>
      <c r="LIS1630" s="1"/>
      <c r="LIT1630" s="1"/>
      <c r="LIU1630" s="1"/>
      <c r="LIV1630" s="1"/>
      <c r="LIW1630" s="1"/>
      <c r="LIX1630" s="1"/>
      <c r="LIY1630" s="1"/>
      <c r="LIZ1630" s="1"/>
      <c r="LJA1630" s="1"/>
      <c r="LJB1630" s="1"/>
      <c r="LJC1630" s="1"/>
      <c r="LJD1630" s="1"/>
      <c r="LJE1630" s="1"/>
      <c r="LJF1630" s="1"/>
      <c r="LJG1630" s="1"/>
      <c r="LJH1630" s="1"/>
      <c r="LJI1630" s="1"/>
      <c r="LJJ1630" s="1"/>
      <c r="LJK1630" s="1"/>
      <c r="LJL1630" s="1"/>
      <c r="LJM1630" s="1"/>
      <c r="LJN1630" s="1"/>
      <c r="LJO1630" s="1"/>
      <c r="LJP1630" s="1"/>
      <c r="LJQ1630" s="1"/>
      <c r="LJR1630" s="1"/>
      <c r="LJS1630" s="1"/>
      <c r="LJT1630" s="1"/>
      <c r="LJU1630" s="1"/>
      <c r="LJV1630" s="1"/>
      <c r="LJW1630" s="1"/>
      <c r="LJX1630" s="1"/>
      <c r="LJY1630" s="1"/>
      <c r="LJZ1630" s="1"/>
      <c r="LKA1630" s="1"/>
      <c r="LKB1630" s="1"/>
      <c r="LKC1630" s="1"/>
      <c r="LKD1630" s="1"/>
      <c r="LKE1630" s="1"/>
      <c r="LKF1630" s="1"/>
      <c r="LKG1630" s="1"/>
      <c r="LKH1630" s="1"/>
      <c r="LKI1630" s="1"/>
      <c r="LKJ1630" s="1"/>
      <c r="LKK1630" s="1"/>
      <c r="LKL1630" s="1"/>
      <c r="LKM1630" s="1"/>
      <c r="LKN1630" s="1"/>
      <c r="LKO1630" s="1"/>
      <c r="LKP1630" s="1"/>
      <c r="LKQ1630" s="1"/>
      <c r="LKR1630" s="1"/>
      <c r="LKS1630" s="1"/>
      <c r="LKT1630" s="1"/>
      <c r="LKU1630" s="1"/>
      <c r="LKV1630" s="1"/>
      <c r="LKW1630" s="1"/>
      <c r="LKX1630" s="1"/>
      <c r="LKY1630" s="1"/>
      <c r="LKZ1630" s="1"/>
      <c r="LLA1630" s="1"/>
      <c r="LLB1630" s="1"/>
      <c r="LLC1630" s="1"/>
      <c r="LLD1630" s="1"/>
      <c r="LLE1630" s="1"/>
      <c r="LLF1630" s="1"/>
      <c r="LLG1630" s="1"/>
      <c r="LLH1630" s="1"/>
      <c r="LLI1630" s="1"/>
      <c r="LLJ1630" s="1"/>
      <c r="LLK1630" s="1"/>
      <c r="LLL1630" s="1"/>
      <c r="LLM1630" s="1"/>
      <c r="LLN1630" s="1"/>
      <c r="LLO1630" s="1"/>
      <c r="LLP1630" s="1"/>
      <c r="LLQ1630" s="1"/>
      <c r="LLR1630" s="1"/>
      <c r="LLS1630" s="1"/>
      <c r="LLT1630" s="1"/>
      <c r="LLU1630" s="1"/>
      <c r="LLV1630" s="1"/>
      <c r="LLW1630" s="1"/>
      <c r="LLX1630" s="1"/>
      <c r="LLY1630" s="1"/>
      <c r="LLZ1630" s="1"/>
      <c r="LMA1630" s="1"/>
      <c r="LMB1630" s="1"/>
      <c r="LMC1630" s="1"/>
      <c r="LMD1630" s="1"/>
      <c r="LME1630" s="1"/>
      <c r="LMF1630" s="1"/>
      <c r="LMG1630" s="1"/>
      <c r="LMH1630" s="1"/>
      <c r="LMI1630" s="1"/>
      <c r="LMJ1630" s="1"/>
      <c r="LMK1630" s="1"/>
      <c r="LML1630" s="1"/>
      <c r="LMM1630" s="1"/>
      <c r="LMN1630" s="1"/>
      <c r="LMO1630" s="1"/>
      <c r="LMP1630" s="1"/>
      <c r="LMQ1630" s="1"/>
      <c r="LMR1630" s="1"/>
      <c r="LMS1630" s="1"/>
      <c r="LMT1630" s="1"/>
      <c r="LMU1630" s="1"/>
      <c r="LMV1630" s="1"/>
      <c r="LMW1630" s="1"/>
      <c r="LMX1630" s="1"/>
      <c r="LMY1630" s="1"/>
      <c r="LMZ1630" s="1"/>
      <c r="LNA1630" s="1"/>
      <c r="LNB1630" s="1"/>
      <c r="LNC1630" s="1"/>
      <c r="LND1630" s="1"/>
      <c r="LNE1630" s="1"/>
      <c r="LNF1630" s="1"/>
      <c r="LNG1630" s="1"/>
      <c r="LNH1630" s="1"/>
      <c r="LNI1630" s="1"/>
      <c r="LNJ1630" s="1"/>
      <c r="LNK1630" s="1"/>
      <c r="LNL1630" s="1"/>
      <c r="LNM1630" s="1"/>
      <c r="LNN1630" s="1"/>
      <c r="LNO1630" s="1"/>
      <c r="LNP1630" s="1"/>
      <c r="LNQ1630" s="1"/>
      <c r="LNR1630" s="1"/>
      <c r="LNS1630" s="1"/>
      <c r="LNT1630" s="1"/>
      <c r="LNU1630" s="1"/>
      <c r="LNV1630" s="1"/>
      <c r="LNW1630" s="1"/>
      <c r="LNX1630" s="1"/>
      <c r="LNY1630" s="1"/>
      <c r="LNZ1630" s="1"/>
      <c r="LOA1630" s="1"/>
      <c r="LOB1630" s="1"/>
      <c r="LOC1630" s="1"/>
      <c r="LOD1630" s="1"/>
      <c r="LOE1630" s="1"/>
      <c r="LOF1630" s="1"/>
      <c r="LOG1630" s="1"/>
      <c r="LOH1630" s="1"/>
      <c r="LOI1630" s="1"/>
      <c r="LOJ1630" s="1"/>
      <c r="LOK1630" s="1"/>
      <c r="LOL1630" s="1"/>
      <c r="LOM1630" s="1"/>
      <c r="LON1630" s="1"/>
      <c r="LOO1630" s="1"/>
      <c r="LOP1630" s="1"/>
      <c r="LOQ1630" s="1"/>
      <c r="LOR1630" s="1"/>
      <c r="LOS1630" s="1"/>
      <c r="LOT1630" s="1"/>
      <c r="LOU1630" s="1"/>
      <c r="LOV1630" s="1"/>
      <c r="LOW1630" s="1"/>
      <c r="LOX1630" s="1"/>
      <c r="LOY1630" s="1"/>
      <c r="LOZ1630" s="1"/>
      <c r="LPA1630" s="1"/>
      <c r="LPB1630" s="1"/>
      <c r="LPC1630" s="1"/>
      <c r="LPD1630" s="1"/>
      <c r="LPE1630" s="1"/>
      <c r="LPF1630" s="1"/>
      <c r="LPG1630" s="1"/>
      <c r="LPH1630" s="1"/>
      <c r="LPI1630" s="1"/>
      <c r="LPJ1630" s="1"/>
      <c r="LPK1630" s="1"/>
      <c r="LPL1630" s="1"/>
      <c r="LPM1630" s="1"/>
      <c r="LPN1630" s="1"/>
      <c r="LPO1630" s="1"/>
      <c r="LPP1630" s="1"/>
      <c r="LPQ1630" s="1"/>
      <c r="LPR1630" s="1"/>
      <c r="LPS1630" s="1"/>
      <c r="LPT1630" s="1"/>
      <c r="LPU1630" s="1"/>
      <c r="LPV1630" s="1"/>
      <c r="LPW1630" s="1"/>
      <c r="LPX1630" s="1"/>
      <c r="LPY1630" s="1"/>
      <c r="LPZ1630" s="1"/>
      <c r="LQA1630" s="1"/>
      <c r="LQB1630" s="1"/>
      <c r="LQC1630" s="1"/>
      <c r="LQD1630" s="1"/>
      <c r="LQE1630" s="1"/>
      <c r="LQF1630" s="1"/>
      <c r="LQG1630" s="1"/>
      <c r="LQH1630" s="1"/>
      <c r="LQI1630" s="1"/>
      <c r="LQJ1630" s="1"/>
      <c r="LQK1630" s="1"/>
      <c r="LQL1630" s="1"/>
      <c r="LQM1630" s="1"/>
      <c r="LQN1630" s="1"/>
      <c r="LQO1630" s="1"/>
      <c r="LQP1630" s="1"/>
      <c r="LQQ1630" s="1"/>
      <c r="LQR1630" s="1"/>
      <c r="LQS1630" s="1"/>
      <c r="LQT1630" s="1"/>
      <c r="LQU1630" s="1"/>
      <c r="LQV1630" s="1"/>
      <c r="LQW1630" s="1"/>
      <c r="LQX1630" s="1"/>
      <c r="LQY1630" s="1"/>
      <c r="LQZ1630" s="1"/>
      <c r="LRA1630" s="1"/>
      <c r="LRB1630" s="1"/>
      <c r="LRC1630" s="1"/>
      <c r="LRD1630" s="1"/>
      <c r="LRE1630" s="1"/>
      <c r="LRF1630" s="1"/>
      <c r="LRG1630" s="1"/>
      <c r="LRH1630" s="1"/>
      <c r="LRI1630" s="1"/>
      <c r="LRJ1630" s="1"/>
      <c r="LRK1630" s="1"/>
      <c r="LRL1630" s="1"/>
      <c r="LRM1630" s="1"/>
      <c r="LRN1630" s="1"/>
      <c r="LRO1630" s="1"/>
      <c r="LRP1630" s="1"/>
      <c r="LRQ1630" s="1"/>
      <c r="LRR1630" s="1"/>
      <c r="LRS1630" s="1"/>
      <c r="LRT1630" s="1"/>
      <c r="LRU1630" s="1"/>
      <c r="LRV1630" s="1"/>
      <c r="LRW1630" s="1"/>
      <c r="LRX1630" s="1"/>
      <c r="LRY1630" s="1"/>
      <c r="LRZ1630" s="1"/>
      <c r="LSA1630" s="1"/>
      <c r="LSB1630" s="1"/>
      <c r="LSC1630" s="1"/>
      <c r="LSD1630" s="1"/>
      <c r="LSE1630" s="1"/>
      <c r="LSF1630" s="1"/>
      <c r="LSG1630" s="1"/>
      <c r="LSH1630" s="1"/>
      <c r="LSI1630" s="1"/>
      <c r="LSJ1630" s="1"/>
      <c r="LSK1630" s="1"/>
      <c r="LSL1630" s="1"/>
      <c r="LSM1630" s="1"/>
      <c r="LSN1630" s="1"/>
      <c r="LSO1630" s="1"/>
      <c r="LSP1630" s="1"/>
      <c r="LSQ1630" s="1"/>
      <c r="LSR1630" s="1"/>
      <c r="LSS1630" s="1"/>
      <c r="LST1630" s="1"/>
      <c r="LSU1630" s="1"/>
      <c r="LSV1630" s="1"/>
      <c r="LSW1630" s="1"/>
      <c r="LSX1630" s="1"/>
      <c r="LSY1630" s="1"/>
      <c r="LSZ1630" s="1"/>
      <c r="LTA1630" s="1"/>
      <c r="LTB1630" s="1"/>
      <c r="LTC1630" s="1"/>
      <c r="LTD1630" s="1"/>
      <c r="LTE1630" s="1"/>
      <c r="LTF1630" s="1"/>
      <c r="LTG1630" s="1"/>
      <c r="LTH1630" s="1"/>
      <c r="LTI1630" s="1"/>
      <c r="LTJ1630" s="1"/>
      <c r="LTK1630" s="1"/>
      <c r="LTL1630" s="1"/>
      <c r="LTM1630" s="1"/>
      <c r="LTN1630" s="1"/>
      <c r="LTO1630" s="1"/>
      <c r="LTP1630" s="1"/>
      <c r="LTQ1630" s="1"/>
      <c r="LTR1630" s="1"/>
      <c r="LTS1630" s="1"/>
      <c r="LTT1630" s="1"/>
      <c r="LTU1630" s="1"/>
      <c r="LTV1630" s="1"/>
      <c r="LTW1630" s="1"/>
      <c r="LTX1630" s="1"/>
      <c r="LTY1630" s="1"/>
      <c r="LTZ1630" s="1"/>
      <c r="LUA1630" s="1"/>
      <c r="LUB1630" s="1"/>
      <c r="LUC1630" s="1"/>
      <c r="LUD1630" s="1"/>
      <c r="LUE1630" s="1"/>
      <c r="LUF1630" s="1"/>
      <c r="LUG1630" s="1"/>
      <c r="LUH1630" s="1"/>
      <c r="LUI1630" s="1"/>
      <c r="LUJ1630" s="1"/>
      <c r="LUK1630" s="1"/>
      <c r="LUL1630" s="1"/>
      <c r="LUM1630" s="1"/>
      <c r="LUN1630" s="1"/>
      <c r="LUO1630" s="1"/>
      <c r="LUP1630" s="1"/>
      <c r="LUQ1630" s="1"/>
      <c r="LUR1630" s="1"/>
      <c r="LUS1630" s="1"/>
      <c r="LUT1630" s="1"/>
      <c r="LUU1630" s="1"/>
      <c r="LUV1630" s="1"/>
      <c r="LUW1630" s="1"/>
      <c r="LUX1630" s="1"/>
      <c r="LUY1630" s="1"/>
      <c r="LUZ1630" s="1"/>
      <c r="LVA1630" s="1"/>
      <c r="LVB1630" s="1"/>
      <c r="LVC1630" s="1"/>
      <c r="LVD1630" s="1"/>
      <c r="LVE1630" s="1"/>
      <c r="LVF1630" s="1"/>
      <c r="LVG1630" s="1"/>
      <c r="LVH1630" s="1"/>
      <c r="LVI1630" s="1"/>
      <c r="LVJ1630" s="1"/>
      <c r="LVK1630" s="1"/>
      <c r="LVL1630" s="1"/>
      <c r="LVM1630" s="1"/>
      <c r="LVN1630" s="1"/>
      <c r="LVO1630" s="1"/>
      <c r="LVP1630" s="1"/>
      <c r="LVQ1630" s="1"/>
      <c r="LVR1630" s="1"/>
      <c r="LVS1630" s="1"/>
      <c r="LVT1630" s="1"/>
      <c r="LVU1630" s="1"/>
      <c r="LVV1630" s="1"/>
      <c r="LVW1630" s="1"/>
      <c r="LVX1630" s="1"/>
      <c r="LVY1630" s="1"/>
      <c r="LVZ1630" s="1"/>
      <c r="LWA1630" s="1"/>
      <c r="LWB1630" s="1"/>
      <c r="LWC1630" s="1"/>
      <c r="LWD1630" s="1"/>
      <c r="LWE1630" s="1"/>
      <c r="LWF1630" s="1"/>
      <c r="LWG1630" s="1"/>
      <c r="LWH1630" s="1"/>
      <c r="LWI1630" s="1"/>
      <c r="LWJ1630" s="1"/>
      <c r="LWK1630" s="1"/>
      <c r="LWL1630" s="1"/>
      <c r="LWM1630" s="1"/>
      <c r="LWN1630" s="1"/>
      <c r="LWO1630" s="1"/>
      <c r="LWP1630" s="1"/>
      <c r="LWQ1630" s="1"/>
      <c r="LWR1630" s="1"/>
      <c r="LWS1630" s="1"/>
      <c r="LWT1630" s="1"/>
      <c r="LWU1630" s="1"/>
      <c r="LWV1630" s="1"/>
      <c r="LWW1630" s="1"/>
      <c r="LWX1630" s="1"/>
      <c r="LWY1630" s="1"/>
      <c r="LWZ1630" s="1"/>
      <c r="LXA1630" s="1"/>
      <c r="LXB1630" s="1"/>
      <c r="LXC1630" s="1"/>
      <c r="LXD1630" s="1"/>
      <c r="LXE1630" s="1"/>
      <c r="LXF1630" s="1"/>
      <c r="LXG1630" s="1"/>
      <c r="LXH1630" s="1"/>
      <c r="LXI1630" s="1"/>
      <c r="LXJ1630" s="1"/>
      <c r="LXK1630" s="1"/>
      <c r="LXL1630" s="1"/>
      <c r="LXM1630" s="1"/>
      <c r="LXN1630" s="1"/>
      <c r="LXO1630" s="1"/>
      <c r="LXP1630" s="1"/>
      <c r="LXQ1630" s="1"/>
      <c r="LXR1630" s="1"/>
      <c r="LXS1630" s="1"/>
      <c r="LXT1630" s="1"/>
      <c r="LXU1630" s="1"/>
      <c r="LXV1630" s="1"/>
      <c r="LXW1630" s="1"/>
      <c r="LXX1630" s="1"/>
      <c r="LXY1630" s="1"/>
      <c r="LXZ1630" s="1"/>
      <c r="LYA1630" s="1"/>
      <c r="LYB1630" s="1"/>
      <c r="LYC1630" s="1"/>
      <c r="LYD1630" s="1"/>
      <c r="LYE1630" s="1"/>
      <c r="LYF1630" s="1"/>
      <c r="LYG1630" s="1"/>
      <c r="LYH1630" s="1"/>
      <c r="LYI1630" s="1"/>
      <c r="LYJ1630" s="1"/>
      <c r="LYK1630" s="1"/>
      <c r="LYL1630" s="1"/>
      <c r="LYM1630" s="1"/>
      <c r="LYN1630" s="1"/>
      <c r="LYO1630" s="1"/>
      <c r="LYP1630" s="1"/>
      <c r="LYQ1630" s="1"/>
      <c r="LYR1630" s="1"/>
      <c r="LYS1630" s="1"/>
      <c r="LYT1630" s="1"/>
      <c r="LYU1630" s="1"/>
      <c r="LYV1630" s="1"/>
      <c r="LYW1630" s="1"/>
      <c r="LYX1630" s="1"/>
      <c r="LYY1630" s="1"/>
      <c r="LYZ1630" s="1"/>
      <c r="LZA1630" s="1"/>
      <c r="LZB1630" s="1"/>
      <c r="LZC1630" s="1"/>
      <c r="LZD1630" s="1"/>
      <c r="LZE1630" s="1"/>
      <c r="LZF1630" s="1"/>
      <c r="LZG1630" s="1"/>
      <c r="LZH1630" s="1"/>
      <c r="LZI1630" s="1"/>
      <c r="LZJ1630" s="1"/>
      <c r="LZK1630" s="1"/>
      <c r="LZL1630" s="1"/>
      <c r="LZM1630" s="1"/>
      <c r="LZN1630" s="1"/>
      <c r="LZO1630" s="1"/>
      <c r="LZP1630" s="1"/>
      <c r="LZQ1630" s="1"/>
      <c r="LZR1630" s="1"/>
      <c r="LZS1630" s="1"/>
      <c r="LZT1630" s="1"/>
      <c r="LZU1630" s="1"/>
      <c r="LZV1630" s="1"/>
      <c r="LZW1630" s="1"/>
      <c r="LZX1630" s="1"/>
      <c r="LZY1630" s="1"/>
      <c r="LZZ1630" s="1"/>
      <c r="MAA1630" s="1"/>
      <c r="MAB1630" s="1"/>
      <c r="MAC1630" s="1"/>
      <c r="MAD1630" s="1"/>
      <c r="MAE1630" s="1"/>
      <c r="MAF1630" s="1"/>
      <c r="MAG1630" s="1"/>
      <c r="MAH1630" s="1"/>
      <c r="MAI1630" s="1"/>
      <c r="MAJ1630" s="1"/>
      <c r="MAK1630" s="1"/>
      <c r="MAL1630" s="1"/>
      <c r="MAM1630" s="1"/>
      <c r="MAN1630" s="1"/>
      <c r="MAO1630" s="1"/>
      <c r="MAP1630" s="1"/>
      <c r="MAQ1630" s="1"/>
      <c r="MAR1630" s="1"/>
      <c r="MAS1630" s="1"/>
      <c r="MAT1630" s="1"/>
      <c r="MAU1630" s="1"/>
      <c r="MAV1630" s="1"/>
      <c r="MAW1630" s="1"/>
      <c r="MAX1630" s="1"/>
      <c r="MAY1630" s="1"/>
      <c r="MAZ1630" s="1"/>
      <c r="MBA1630" s="1"/>
      <c r="MBB1630" s="1"/>
      <c r="MBC1630" s="1"/>
      <c r="MBD1630" s="1"/>
      <c r="MBE1630" s="1"/>
      <c r="MBF1630" s="1"/>
      <c r="MBG1630" s="1"/>
      <c r="MBH1630" s="1"/>
      <c r="MBI1630" s="1"/>
      <c r="MBJ1630" s="1"/>
      <c r="MBK1630" s="1"/>
      <c r="MBL1630" s="1"/>
      <c r="MBM1630" s="1"/>
      <c r="MBN1630" s="1"/>
      <c r="MBO1630" s="1"/>
      <c r="MBP1630" s="1"/>
      <c r="MBQ1630" s="1"/>
      <c r="MBR1630" s="1"/>
      <c r="MBS1630" s="1"/>
      <c r="MBT1630" s="1"/>
      <c r="MBU1630" s="1"/>
      <c r="MBV1630" s="1"/>
      <c r="MBW1630" s="1"/>
      <c r="MBX1630" s="1"/>
      <c r="MBY1630" s="1"/>
      <c r="MBZ1630" s="1"/>
      <c r="MCA1630" s="1"/>
      <c r="MCB1630" s="1"/>
      <c r="MCC1630" s="1"/>
      <c r="MCD1630" s="1"/>
      <c r="MCE1630" s="1"/>
      <c r="MCF1630" s="1"/>
      <c r="MCG1630" s="1"/>
      <c r="MCH1630" s="1"/>
      <c r="MCI1630" s="1"/>
      <c r="MCJ1630" s="1"/>
      <c r="MCK1630" s="1"/>
      <c r="MCL1630" s="1"/>
      <c r="MCM1630" s="1"/>
      <c r="MCN1630" s="1"/>
      <c r="MCO1630" s="1"/>
      <c r="MCP1630" s="1"/>
      <c r="MCQ1630" s="1"/>
      <c r="MCR1630" s="1"/>
      <c r="MCS1630" s="1"/>
      <c r="MCT1630" s="1"/>
      <c r="MCU1630" s="1"/>
      <c r="MCV1630" s="1"/>
      <c r="MCW1630" s="1"/>
      <c r="MCX1630" s="1"/>
      <c r="MCY1630" s="1"/>
      <c r="MCZ1630" s="1"/>
      <c r="MDA1630" s="1"/>
      <c r="MDB1630" s="1"/>
      <c r="MDC1630" s="1"/>
      <c r="MDD1630" s="1"/>
      <c r="MDE1630" s="1"/>
      <c r="MDF1630" s="1"/>
      <c r="MDG1630" s="1"/>
      <c r="MDH1630" s="1"/>
      <c r="MDI1630" s="1"/>
      <c r="MDJ1630" s="1"/>
      <c r="MDK1630" s="1"/>
      <c r="MDL1630" s="1"/>
      <c r="MDM1630" s="1"/>
      <c r="MDN1630" s="1"/>
      <c r="MDO1630" s="1"/>
      <c r="MDP1630" s="1"/>
      <c r="MDQ1630" s="1"/>
      <c r="MDR1630" s="1"/>
      <c r="MDS1630" s="1"/>
      <c r="MDT1630" s="1"/>
      <c r="MDU1630" s="1"/>
      <c r="MDV1630" s="1"/>
      <c r="MDW1630" s="1"/>
      <c r="MDX1630" s="1"/>
      <c r="MDY1630" s="1"/>
      <c r="MDZ1630" s="1"/>
      <c r="MEA1630" s="1"/>
      <c r="MEB1630" s="1"/>
      <c r="MEC1630" s="1"/>
      <c r="MED1630" s="1"/>
      <c r="MEE1630" s="1"/>
      <c r="MEF1630" s="1"/>
      <c r="MEG1630" s="1"/>
      <c r="MEH1630" s="1"/>
      <c r="MEI1630" s="1"/>
      <c r="MEJ1630" s="1"/>
      <c r="MEK1630" s="1"/>
      <c r="MEL1630" s="1"/>
      <c r="MEM1630" s="1"/>
      <c r="MEN1630" s="1"/>
      <c r="MEO1630" s="1"/>
      <c r="MEP1630" s="1"/>
      <c r="MEQ1630" s="1"/>
      <c r="MER1630" s="1"/>
      <c r="MES1630" s="1"/>
      <c r="MET1630" s="1"/>
      <c r="MEU1630" s="1"/>
      <c r="MEV1630" s="1"/>
      <c r="MEW1630" s="1"/>
      <c r="MEX1630" s="1"/>
      <c r="MEY1630" s="1"/>
      <c r="MEZ1630" s="1"/>
      <c r="MFA1630" s="1"/>
      <c r="MFB1630" s="1"/>
      <c r="MFC1630" s="1"/>
      <c r="MFD1630" s="1"/>
      <c r="MFE1630" s="1"/>
      <c r="MFF1630" s="1"/>
      <c r="MFG1630" s="1"/>
      <c r="MFH1630" s="1"/>
      <c r="MFI1630" s="1"/>
      <c r="MFJ1630" s="1"/>
      <c r="MFK1630" s="1"/>
      <c r="MFL1630" s="1"/>
      <c r="MFM1630" s="1"/>
      <c r="MFN1630" s="1"/>
      <c r="MFO1630" s="1"/>
      <c r="MFP1630" s="1"/>
      <c r="MFQ1630" s="1"/>
      <c r="MFR1630" s="1"/>
      <c r="MFS1630" s="1"/>
      <c r="MFT1630" s="1"/>
      <c r="MFU1630" s="1"/>
      <c r="MFV1630" s="1"/>
      <c r="MFW1630" s="1"/>
      <c r="MFX1630" s="1"/>
      <c r="MFY1630" s="1"/>
      <c r="MFZ1630" s="1"/>
      <c r="MGA1630" s="1"/>
      <c r="MGB1630" s="1"/>
      <c r="MGC1630" s="1"/>
      <c r="MGD1630" s="1"/>
      <c r="MGE1630" s="1"/>
      <c r="MGF1630" s="1"/>
      <c r="MGG1630" s="1"/>
      <c r="MGH1630" s="1"/>
      <c r="MGI1630" s="1"/>
      <c r="MGJ1630" s="1"/>
      <c r="MGK1630" s="1"/>
      <c r="MGL1630" s="1"/>
      <c r="MGM1630" s="1"/>
      <c r="MGN1630" s="1"/>
      <c r="MGO1630" s="1"/>
      <c r="MGP1630" s="1"/>
      <c r="MGQ1630" s="1"/>
      <c r="MGR1630" s="1"/>
      <c r="MGS1630" s="1"/>
      <c r="MGT1630" s="1"/>
      <c r="MGU1630" s="1"/>
      <c r="MGV1630" s="1"/>
      <c r="MGW1630" s="1"/>
      <c r="MGX1630" s="1"/>
      <c r="MGY1630" s="1"/>
      <c r="MGZ1630" s="1"/>
      <c r="MHA1630" s="1"/>
      <c r="MHB1630" s="1"/>
      <c r="MHC1630" s="1"/>
      <c r="MHD1630" s="1"/>
      <c r="MHE1630" s="1"/>
      <c r="MHF1630" s="1"/>
      <c r="MHG1630" s="1"/>
      <c r="MHH1630" s="1"/>
      <c r="MHI1630" s="1"/>
      <c r="MHJ1630" s="1"/>
      <c r="MHK1630" s="1"/>
      <c r="MHL1630" s="1"/>
      <c r="MHM1630" s="1"/>
      <c r="MHN1630" s="1"/>
      <c r="MHO1630" s="1"/>
      <c r="MHP1630" s="1"/>
      <c r="MHQ1630" s="1"/>
      <c r="MHR1630" s="1"/>
      <c r="MHS1630" s="1"/>
      <c r="MHT1630" s="1"/>
      <c r="MHU1630" s="1"/>
      <c r="MHV1630" s="1"/>
      <c r="MHW1630" s="1"/>
      <c r="MHX1630" s="1"/>
      <c r="MHY1630" s="1"/>
      <c r="MHZ1630" s="1"/>
      <c r="MIA1630" s="1"/>
      <c r="MIB1630" s="1"/>
      <c r="MIC1630" s="1"/>
      <c r="MID1630" s="1"/>
      <c r="MIE1630" s="1"/>
      <c r="MIF1630" s="1"/>
      <c r="MIG1630" s="1"/>
      <c r="MIH1630" s="1"/>
      <c r="MII1630" s="1"/>
      <c r="MIJ1630" s="1"/>
      <c r="MIK1630" s="1"/>
      <c r="MIL1630" s="1"/>
      <c r="MIM1630" s="1"/>
      <c r="MIN1630" s="1"/>
      <c r="MIO1630" s="1"/>
      <c r="MIP1630" s="1"/>
      <c r="MIQ1630" s="1"/>
      <c r="MIR1630" s="1"/>
      <c r="MIS1630" s="1"/>
      <c r="MIT1630" s="1"/>
      <c r="MIU1630" s="1"/>
      <c r="MIV1630" s="1"/>
      <c r="MIW1630" s="1"/>
      <c r="MIX1630" s="1"/>
      <c r="MIY1630" s="1"/>
      <c r="MIZ1630" s="1"/>
      <c r="MJA1630" s="1"/>
      <c r="MJB1630" s="1"/>
      <c r="MJC1630" s="1"/>
      <c r="MJD1630" s="1"/>
      <c r="MJE1630" s="1"/>
      <c r="MJF1630" s="1"/>
      <c r="MJG1630" s="1"/>
      <c r="MJH1630" s="1"/>
      <c r="MJI1630" s="1"/>
      <c r="MJJ1630" s="1"/>
      <c r="MJK1630" s="1"/>
      <c r="MJL1630" s="1"/>
      <c r="MJM1630" s="1"/>
      <c r="MJN1630" s="1"/>
      <c r="MJO1630" s="1"/>
      <c r="MJP1630" s="1"/>
      <c r="MJQ1630" s="1"/>
      <c r="MJR1630" s="1"/>
      <c r="MJS1630" s="1"/>
      <c r="MJT1630" s="1"/>
      <c r="MJU1630" s="1"/>
      <c r="MJV1630" s="1"/>
      <c r="MJW1630" s="1"/>
      <c r="MJX1630" s="1"/>
      <c r="MJY1630" s="1"/>
      <c r="MJZ1630" s="1"/>
      <c r="MKA1630" s="1"/>
      <c r="MKB1630" s="1"/>
      <c r="MKC1630" s="1"/>
      <c r="MKD1630" s="1"/>
      <c r="MKE1630" s="1"/>
      <c r="MKF1630" s="1"/>
      <c r="MKG1630" s="1"/>
      <c r="MKH1630" s="1"/>
      <c r="MKI1630" s="1"/>
      <c r="MKJ1630" s="1"/>
      <c r="MKK1630" s="1"/>
      <c r="MKL1630" s="1"/>
      <c r="MKM1630" s="1"/>
      <c r="MKN1630" s="1"/>
      <c r="MKO1630" s="1"/>
      <c r="MKP1630" s="1"/>
      <c r="MKQ1630" s="1"/>
      <c r="MKR1630" s="1"/>
      <c r="MKS1630" s="1"/>
      <c r="MKT1630" s="1"/>
      <c r="MKU1630" s="1"/>
      <c r="MKV1630" s="1"/>
      <c r="MKW1630" s="1"/>
      <c r="MKX1630" s="1"/>
      <c r="MKY1630" s="1"/>
      <c r="MKZ1630" s="1"/>
      <c r="MLA1630" s="1"/>
      <c r="MLB1630" s="1"/>
      <c r="MLC1630" s="1"/>
      <c r="MLD1630" s="1"/>
      <c r="MLE1630" s="1"/>
      <c r="MLF1630" s="1"/>
      <c r="MLG1630" s="1"/>
      <c r="MLH1630" s="1"/>
      <c r="MLI1630" s="1"/>
      <c r="MLJ1630" s="1"/>
      <c r="MLK1630" s="1"/>
      <c r="MLL1630" s="1"/>
      <c r="MLM1630" s="1"/>
      <c r="MLN1630" s="1"/>
      <c r="MLO1630" s="1"/>
      <c r="MLP1630" s="1"/>
      <c r="MLQ1630" s="1"/>
      <c r="MLR1630" s="1"/>
      <c r="MLS1630" s="1"/>
      <c r="MLT1630" s="1"/>
      <c r="MLU1630" s="1"/>
      <c r="MLV1630" s="1"/>
      <c r="MLW1630" s="1"/>
      <c r="MLX1630" s="1"/>
      <c r="MLY1630" s="1"/>
      <c r="MLZ1630" s="1"/>
      <c r="MMA1630" s="1"/>
      <c r="MMB1630" s="1"/>
      <c r="MMC1630" s="1"/>
      <c r="MMD1630" s="1"/>
      <c r="MME1630" s="1"/>
      <c r="MMF1630" s="1"/>
      <c r="MMG1630" s="1"/>
      <c r="MMH1630" s="1"/>
      <c r="MMI1630" s="1"/>
      <c r="MMJ1630" s="1"/>
      <c r="MMK1630" s="1"/>
      <c r="MML1630" s="1"/>
      <c r="MMM1630" s="1"/>
      <c r="MMN1630" s="1"/>
      <c r="MMO1630" s="1"/>
      <c r="MMP1630" s="1"/>
      <c r="MMQ1630" s="1"/>
      <c r="MMR1630" s="1"/>
      <c r="MMS1630" s="1"/>
      <c r="MMT1630" s="1"/>
      <c r="MMU1630" s="1"/>
      <c r="MMV1630" s="1"/>
      <c r="MMW1630" s="1"/>
      <c r="MMX1630" s="1"/>
      <c r="MMY1630" s="1"/>
      <c r="MMZ1630" s="1"/>
      <c r="MNA1630" s="1"/>
      <c r="MNB1630" s="1"/>
      <c r="MNC1630" s="1"/>
      <c r="MND1630" s="1"/>
      <c r="MNE1630" s="1"/>
      <c r="MNF1630" s="1"/>
      <c r="MNG1630" s="1"/>
      <c r="MNH1630" s="1"/>
      <c r="MNI1630" s="1"/>
      <c r="MNJ1630" s="1"/>
      <c r="MNK1630" s="1"/>
      <c r="MNL1630" s="1"/>
      <c r="MNM1630" s="1"/>
      <c r="MNN1630" s="1"/>
      <c r="MNO1630" s="1"/>
      <c r="MNP1630" s="1"/>
      <c r="MNQ1630" s="1"/>
      <c r="MNR1630" s="1"/>
      <c r="MNS1630" s="1"/>
      <c r="MNT1630" s="1"/>
      <c r="MNU1630" s="1"/>
      <c r="MNV1630" s="1"/>
      <c r="MNW1630" s="1"/>
      <c r="MNX1630" s="1"/>
      <c r="MNY1630" s="1"/>
      <c r="MNZ1630" s="1"/>
      <c r="MOA1630" s="1"/>
      <c r="MOB1630" s="1"/>
      <c r="MOC1630" s="1"/>
      <c r="MOD1630" s="1"/>
      <c r="MOE1630" s="1"/>
      <c r="MOF1630" s="1"/>
      <c r="MOG1630" s="1"/>
      <c r="MOH1630" s="1"/>
      <c r="MOI1630" s="1"/>
      <c r="MOJ1630" s="1"/>
      <c r="MOK1630" s="1"/>
      <c r="MOL1630" s="1"/>
      <c r="MOM1630" s="1"/>
      <c r="MON1630" s="1"/>
      <c r="MOO1630" s="1"/>
      <c r="MOP1630" s="1"/>
      <c r="MOQ1630" s="1"/>
      <c r="MOR1630" s="1"/>
      <c r="MOS1630" s="1"/>
      <c r="MOT1630" s="1"/>
      <c r="MOU1630" s="1"/>
      <c r="MOV1630" s="1"/>
      <c r="MOW1630" s="1"/>
      <c r="MOX1630" s="1"/>
      <c r="MOY1630" s="1"/>
      <c r="MOZ1630" s="1"/>
      <c r="MPA1630" s="1"/>
      <c r="MPB1630" s="1"/>
      <c r="MPC1630" s="1"/>
      <c r="MPD1630" s="1"/>
      <c r="MPE1630" s="1"/>
      <c r="MPF1630" s="1"/>
      <c r="MPG1630" s="1"/>
      <c r="MPH1630" s="1"/>
      <c r="MPI1630" s="1"/>
      <c r="MPJ1630" s="1"/>
      <c r="MPK1630" s="1"/>
      <c r="MPL1630" s="1"/>
      <c r="MPM1630" s="1"/>
      <c r="MPN1630" s="1"/>
      <c r="MPO1630" s="1"/>
      <c r="MPP1630" s="1"/>
      <c r="MPQ1630" s="1"/>
      <c r="MPR1630" s="1"/>
      <c r="MPS1630" s="1"/>
      <c r="MPT1630" s="1"/>
      <c r="MPU1630" s="1"/>
      <c r="MPV1630" s="1"/>
      <c r="MPW1630" s="1"/>
      <c r="MPX1630" s="1"/>
      <c r="MPY1630" s="1"/>
      <c r="MPZ1630" s="1"/>
      <c r="MQA1630" s="1"/>
      <c r="MQB1630" s="1"/>
      <c r="MQC1630" s="1"/>
      <c r="MQD1630" s="1"/>
      <c r="MQE1630" s="1"/>
      <c r="MQF1630" s="1"/>
      <c r="MQG1630" s="1"/>
      <c r="MQH1630" s="1"/>
      <c r="MQI1630" s="1"/>
      <c r="MQJ1630" s="1"/>
      <c r="MQK1630" s="1"/>
      <c r="MQL1630" s="1"/>
      <c r="MQM1630" s="1"/>
      <c r="MQN1630" s="1"/>
      <c r="MQO1630" s="1"/>
      <c r="MQP1630" s="1"/>
      <c r="MQQ1630" s="1"/>
      <c r="MQR1630" s="1"/>
      <c r="MQS1630" s="1"/>
      <c r="MQT1630" s="1"/>
      <c r="MQU1630" s="1"/>
      <c r="MQV1630" s="1"/>
      <c r="MQW1630" s="1"/>
      <c r="MQX1630" s="1"/>
      <c r="MQY1630" s="1"/>
      <c r="MQZ1630" s="1"/>
      <c r="MRA1630" s="1"/>
      <c r="MRB1630" s="1"/>
      <c r="MRC1630" s="1"/>
      <c r="MRD1630" s="1"/>
      <c r="MRE1630" s="1"/>
      <c r="MRF1630" s="1"/>
      <c r="MRG1630" s="1"/>
      <c r="MRH1630" s="1"/>
      <c r="MRI1630" s="1"/>
      <c r="MRJ1630" s="1"/>
      <c r="MRK1630" s="1"/>
      <c r="MRL1630" s="1"/>
      <c r="MRM1630" s="1"/>
      <c r="MRN1630" s="1"/>
      <c r="MRO1630" s="1"/>
      <c r="MRP1630" s="1"/>
      <c r="MRQ1630" s="1"/>
      <c r="MRR1630" s="1"/>
      <c r="MRS1630" s="1"/>
      <c r="MRT1630" s="1"/>
      <c r="MRU1630" s="1"/>
      <c r="MRV1630" s="1"/>
      <c r="MRW1630" s="1"/>
      <c r="MRX1630" s="1"/>
      <c r="MRY1630" s="1"/>
      <c r="MRZ1630" s="1"/>
      <c r="MSA1630" s="1"/>
      <c r="MSB1630" s="1"/>
      <c r="MSC1630" s="1"/>
      <c r="MSD1630" s="1"/>
      <c r="MSE1630" s="1"/>
      <c r="MSF1630" s="1"/>
      <c r="MSG1630" s="1"/>
      <c r="MSH1630" s="1"/>
      <c r="MSI1630" s="1"/>
      <c r="MSJ1630" s="1"/>
      <c r="MSK1630" s="1"/>
      <c r="MSL1630" s="1"/>
      <c r="MSM1630" s="1"/>
      <c r="MSN1630" s="1"/>
      <c r="MSO1630" s="1"/>
      <c r="MSP1630" s="1"/>
      <c r="MSQ1630" s="1"/>
      <c r="MSR1630" s="1"/>
      <c r="MSS1630" s="1"/>
      <c r="MST1630" s="1"/>
      <c r="MSU1630" s="1"/>
      <c r="MSV1630" s="1"/>
      <c r="MSW1630" s="1"/>
      <c r="MSX1630" s="1"/>
      <c r="MSY1630" s="1"/>
      <c r="MSZ1630" s="1"/>
      <c r="MTA1630" s="1"/>
      <c r="MTB1630" s="1"/>
      <c r="MTC1630" s="1"/>
      <c r="MTD1630" s="1"/>
      <c r="MTE1630" s="1"/>
      <c r="MTF1630" s="1"/>
      <c r="MTG1630" s="1"/>
      <c r="MTH1630" s="1"/>
      <c r="MTI1630" s="1"/>
      <c r="MTJ1630" s="1"/>
      <c r="MTK1630" s="1"/>
      <c r="MTL1630" s="1"/>
      <c r="MTM1630" s="1"/>
      <c r="MTN1630" s="1"/>
      <c r="MTO1630" s="1"/>
      <c r="MTP1630" s="1"/>
      <c r="MTQ1630" s="1"/>
      <c r="MTR1630" s="1"/>
      <c r="MTS1630" s="1"/>
      <c r="MTT1630" s="1"/>
      <c r="MTU1630" s="1"/>
      <c r="MTV1630" s="1"/>
      <c r="MTW1630" s="1"/>
      <c r="MTX1630" s="1"/>
      <c r="MTY1630" s="1"/>
      <c r="MTZ1630" s="1"/>
      <c r="MUA1630" s="1"/>
      <c r="MUB1630" s="1"/>
      <c r="MUC1630" s="1"/>
      <c r="MUD1630" s="1"/>
      <c r="MUE1630" s="1"/>
      <c r="MUF1630" s="1"/>
      <c r="MUG1630" s="1"/>
      <c r="MUH1630" s="1"/>
      <c r="MUI1630" s="1"/>
      <c r="MUJ1630" s="1"/>
      <c r="MUK1630" s="1"/>
      <c r="MUL1630" s="1"/>
      <c r="MUM1630" s="1"/>
      <c r="MUN1630" s="1"/>
      <c r="MUO1630" s="1"/>
      <c r="MUP1630" s="1"/>
      <c r="MUQ1630" s="1"/>
      <c r="MUR1630" s="1"/>
      <c r="MUS1630" s="1"/>
      <c r="MUT1630" s="1"/>
      <c r="MUU1630" s="1"/>
      <c r="MUV1630" s="1"/>
      <c r="MUW1630" s="1"/>
      <c r="MUX1630" s="1"/>
      <c r="MUY1630" s="1"/>
      <c r="MUZ1630" s="1"/>
      <c r="MVA1630" s="1"/>
      <c r="MVB1630" s="1"/>
      <c r="MVC1630" s="1"/>
      <c r="MVD1630" s="1"/>
      <c r="MVE1630" s="1"/>
      <c r="MVF1630" s="1"/>
      <c r="MVG1630" s="1"/>
      <c r="MVH1630" s="1"/>
      <c r="MVI1630" s="1"/>
      <c r="MVJ1630" s="1"/>
      <c r="MVK1630" s="1"/>
      <c r="MVL1630" s="1"/>
      <c r="MVM1630" s="1"/>
      <c r="MVN1630" s="1"/>
      <c r="MVO1630" s="1"/>
      <c r="MVP1630" s="1"/>
      <c r="MVQ1630" s="1"/>
      <c r="MVR1630" s="1"/>
      <c r="MVS1630" s="1"/>
      <c r="MVT1630" s="1"/>
      <c r="MVU1630" s="1"/>
      <c r="MVV1630" s="1"/>
      <c r="MVW1630" s="1"/>
      <c r="MVX1630" s="1"/>
      <c r="MVY1630" s="1"/>
      <c r="MVZ1630" s="1"/>
      <c r="MWA1630" s="1"/>
      <c r="MWB1630" s="1"/>
      <c r="MWC1630" s="1"/>
      <c r="MWD1630" s="1"/>
      <c r="MWE1630" s="1"/>
      <c r="MWF1630" s="1"/>
      <c r="MWG1630" s="1"/>
      <c r="MWH1630" s="1"/>
      <c r="MWI1630" s="1"/>
      <c r="MWJ1630" s="1"/>
      <c r="MWK1630" s="1"/>
      <c r="MWL1630" s="1"/>
      <c r="MWM1630" s="1"/>
      <c r="MWN1630" s="1"/>
      <c r="MWO1630" s="1"/>
      <c r="MWP1630" s="1"/>
      <c r="MWQ1630" s="1"/>
      <c r="MWR1630" s="1"/>
      <c r="MWS1630" s="1"/>
      <c r="MWT1630" s="1"/>
      <c r="MWU1630" s="1"/>
      <c r="MWV1630" s="1"/>
      <c r="MWW1630" s="1"/>
      <c r="MWX1630" s="1"/>
      <c r="MWY1630" s="1"/>
      <c r="MWZ1630" s="1"/>
      <c r="MXA1630" s="1"/>
      <c r="MXB1630" s="1"/>
      <c r="MXC1630" s="1"/>
      <c r="MXD1630" s="1"/>
      <c r="MXE1630" s="1"/>
      <c r="MXF1630" s="1"/>
      <c r="MXG1630" s="1"/>
      <c r="MXH1630" s="1"/>
      <c r="MXI1630" s="1"/>
      <c r="MXJ1630" s="1"/>
      <c r="MXK1630" s="1"/>
      <c r="MXL1630" s="1"/>
      <c r="MXM1630" s="1"/>
      <c r="MXN1630" s="1"/>
      <c r="MXO1630" s="1"/>
      <c r="MXP1630" s="1"/>
      <c r="MXQ1630" s="1"/>
      <c r="MXR1630" s="1"/>
      <c r="MXS1630" s="1"/>
      <c r="MXT1630" s="1"/>
      <c r="MXU1630" s="1"/>
      <c r="MXV1630" s="1"/>
      <c r="MXW1630" s="1"/>
      <c r="MXX1630" s="1"/>
      <c r="MXY1630" s="1"/>
      <c r="MXZ1630" s="1"/>
      <c r="MYA1630" s="1"/>
      <c r="MYB1630" s="1"/>
      <c r="MYC1630" s="1"/>
      <c r="MYD1630" s="1"/>
      <c r="MYE1630" s="1"/>
      <c r="MYF1630" s="1"/>
      <c r="MYG1630" s="1"/>
      <c r="MYH1630" s="1"/>
      <c r="MYI1630" s="1"/>
      <c r="MYJ1630" s="1"/>
      <c r="MYK1630" s="1"/>
      <c r="MYL1630" s="1"/>
      <c r="MYM1630" s="1"/>
      <c r="MYN1630" s="1"/>
      <c r="MYO1630" s="1"/>
      <c r="MYP1630" s="1"/>
      <c r="MYQ1630" s="1"/>
      <c r="MYR1630" s="1"/>
      <c r="MYS1630" s="1"/>
      <c r="MYT1630" s="1"/>
      <c r="MYU1630" s="1"/>
      <c r="MYV1630" s="1"/>
      <c r="MYW1630" s="1"/>
      <c r="MYX1630" s="1"/>
      <c r="MYY1630" s="1"/>
      <c r="MYZ1630" s="1"/>
      <c r="MZA1630" s="1"/>
      <c r="MZB1630" s="1"/>
      <c r="MZC1630" s="1"/>
      <c r="MZD1630" s="1"/>
      <c r="MZE1630" s="1"/>
      <c r="MZF1630" s="1"/>
      <c r="MZG1630" s="1"/>
      <c r="MZH1630" s="1"/>
      <c r="MZI1630" s="1"/>
      <c r="MZJ1630" s="1"/>
      <c r="MZK1630" s="1"/>
      <c r="MZL1630" s="1"/>
      <c r="MZM1630" s="1"/>
      <c r="MZN1630" s="1"/>
      <c r="MZO1630" s="1"/>
      <c r="MZP1630" s="1"/>
      <c r="MZQ1630" s="1"/>
      <c r="MZR1630" s="1"/>
      <c r="MZS1630" s="1"/>
      <c r="MZT1630" s="1"/>
      <c r="MZU1630" s="1"/>
      <c r="MZV1630" s="1"/>
      <c r="MZW1630" s="1"/>
      <c r="MZX1630" s="1"/>
      <c r="MZY1630" s="1"/>
      <c r="MZZ1630" s="1"/>
      <c r="NAA1630" s="1"/>
      <c r="NAB1630" s="1"/>
      <c r="NAC1630" s="1"/>
      <c r="NAD1630" s="1"/>
      <c r="NAE1630" s="1"/>
      <c r="NAF1630" s="1"/>
      <c r="NAG1630" s="1"/>
      <c r="NAH1630" s="1"/>
      <c r="NAI1630" s="1"/>
      <c r="NAJ1630" s="1"/>
      <c r="NAK1630" s="1"/>
      <c r="NAL1630" s="1"/>
      <c r="NAM1630" s="1"/>
      <c r="NAN1630" s="1"/>
      <c r="NAO1630" s="1"/>
      <c r="NAP1630" s="1"/>
      <c r="NAQ1630" s="1"/>
      <c r="NAR1630" s="1"/>
      <c r="NAS1630" s="1"/>
      <c r="NAT1630" s="1"/>
      <c r="NAU1630" s="1"/>
      <c r="NAV1630" s="1"/>
      <c r="NAW1630" s="1"/>
      <c r="NAX1630" s="1"/>
      <c r="NAY1630" s="1"/>
      <c r="NAZ1630" s="1"/>
      <c r="NBA1630" s="1"/>
      <c r="NBB1630" s="1"/>
      <c r="NBC1630" s="1"/>
      <c r="NBD1630" s="1"/>
      <c r="NBE1630" s="1"/>
      <c r="NBF1630" s="1"/>
      <c r="NBG1630" s="1"/>
      <c r="NBH1630" s="1"/>
      <c r="NBI1630" s="1"/>
      <c r="NBJ1630" s="1"/>
      <c r="NBK1630" s="1"/>
      <c r="NBL1630" s="1"/>
      <c r="NBM1630" s="1"/>
      <c r="NBN1630" s="1"/>
      <c r="NBO1630" s="1"/>
      <c r="NBP1630" s="1"/>
      <c r="NBQ1630" s="1"/>
      <c r="NBR1630" s="1"/>
      <c r="NBS1630" s="1"/>
      <c r="NBT1630" s="1"/>
      <c r="NBU1630" s="1"/>
      <c r="NBV1630" s="1"/>
      <c r="NBW1630" s="1"/>
      <c r="NBX1630" s="1"/>
      <c r="NBY1630" s="1"/>
      <c r="NBZ1630" s="1"/>
      <c r="NCA1630" s="1"/>
      <c r="NCB1630" s="1"/>
      <c r="NCC1630" s="1"/>
      <c r="NCD1630" s="1"/>
      <c r="NCE1630" s="1"/>
      <c r="NCF1630" s="1"/>
      <c r="NCG1630" s="1"/>
      <c r="NCH1630" s="1"/>
      <c r="NCI1630" s="1"/>
      <c r="NCJ1630" s="1"/>
      <c r="NCK1630" s="1"/>
      <c r="NCL1630" s="1"/>
      <c r="NCM1630" s="1"/>
      <c r="NCN1630" s="1"/>
      <c r="NCO1630" s="1"/>
      <c r="NCP1630" s="1"/>
      <c r="NCQ1630" s="1"/>
      <c r="NCR1630" s="1"/>
      <c r="NCS1630" s="1"/>
      <c r="NCT1630" s="1"/>
      <c r="NCU1630" s="1"/>
      <c r="NCV1630" s="1"/>
      <c r="NCW1630" s="1"/>
      <c r="NCX1630" s="1"/>
      <c r="NCY1630" s="1"/>
      <c r="NCZ1630" s="1"/>
      <c r="NDA1630" s="1"/>
      <c r="NDB1630" s="1"/>
      <c r="NDC1630" s="1"/>
      <c r="NDD1630" s="1"/>
      <c r="NDE1630" s="1"/>
      <c r="NDF1630" s="1"/>
      <c r="NDG1630" s="1"/>
      <c r="NDH1630" s="1"/>
      <c r="NDI1630" s="1"/>
      <c r="NDJ1630" s="1"/>
      <c r="NDK1630" s="1"/>
      <c r="NDL1630" s="1"/>
      <c r="NDM1630" s="1"/>
      <c r="NDN1630" s="1"/>
      <c r="NDO1630" s="1"/>
      <c r="NDP1630" s="1"/>
      <c r="NDQ1630" s="1"/>
      <c r="NDR1630" s="1"/>
      <c r="NDS1630" s="1"/>
      <c r="NDT1630" s="1"/>
      <c r="NDU1630" s="1"/>
      <c r="NDV1630" s="1"/>
      <c r="NDW1630" s="1"/>
      <c r="NDX1630" s="1"/>
      <c r="NDY1630" s="1"/>
      <c r="NDZ1630" s="1"/>
      <c r="NEA1630" s="1"/>
      <c r="NEB1630" s="1"/>
      <c r="NEC1630" s="1"/>
      <c r="NED1630" s="1"/>
      <c r="NEE1630" s="1"/>
      <c r="NEF1630" s="1"/>
      <c r="NEG1630" s="1"/>
      <c r="NEH1630" s="1"/>
      <c r="NEI1630" s="1"/>
      <c r="NEJ1630" s="1"/>
      <c r="NEK1630" s="1"/>
      <c r="NEL1630" s="1"/>
      <c r="NEM1630" s="1"/>
      <c r="NEN1630" s="1"/>
      <c r="NEO1630" s="1"/>
      <c r="NEP1630" s="1"/>
      <c r="NEQ1630" s="1"/>
      <c r="NER1630" s="1"/>
      <c r="NES1630" s="1"/>
      <c r="NET1630" s="1"/>
      <c r="NEU1630" s="1"/>
      <c r="NEV1630" s="1"/>
      <c r="NEW1630" s="1"/>
      <c r="NEX1630" s="1"/>
      <c r="NEY1630" s="1"/>
      <c r="NEZ1630" s="1"/>
      <c r="NFA1630" s="1"/>
      <c r="NFB1630" s="1"/>
      <c r="NFC1630" s="1"/>
      <c r="NFD1630" s="1"/>
      <c r="NFE1630" s="1"/>
      <c r="NFF1630" s="1"/>
      <c r="NFG1630" s="1"/>
      <c r="NFH1630" s="1"/>
      <c r="NFI1630" s="1"/>
      <c r="NFJ1630" s="1"/>
      <c r="NFK1630" s="1"/>
      <c r="NFL1630" s="1"/>
      <c r="NFM1630" s="1"/>
      <c r="NFN1630" s="1"/>
      <c r="NFO1630" s="1"/>
      <c r="NFP1630" s="1"/>
      <c r="NFQ1630" s="1"/>
      <c r="NFR1630" s="1"/>
      <c r="NFS1630" s="1"/>
      <c r="NFT1630" s="1"/>
      <c r="NFU1630" s="1"/>
      <c r="NFV1630" s="1"/>
      <c r="NFW1630" s="1"/>
      <c r="NFX1630" s="1"/>
      <c r="NFY1630" s="1"/>
      <c r="NFZ1630" s="1"/>
      <c r="NGA1630" s="1"/>
      <c r="NGB1630" s="1"/>
      <c r="NGC1630" s="1"/>
      <c r="NGD1630" s="1"/>
      <c r="NGE1630" s="1"/>
      <c r="NGF1630" s="1"/>
      <c r="NGG1630" s="1"/>
      <c r="NGH1630" s="1"/>
      <c r="NGI1630" s="1"/>
      <c r="NGJ1630" s="1"/>
      <c r="NGK1630" s="1"/>
      <c r="NGL1630" s="1"/>
      <c r="NGM1630" s="1"/>
      <c r="NGN1630" s="1"/>
      <c r="NGO1630" s="1"/>
      <c r="NGP1630" s="1"/>
      <c r="NGQ1630" s="1"/>
      <c r="NGR1630" s="1"/>
      <c r="NGS1630" s="1"/>
      <c r="NGT1630" s="1"/>
      <c r="NGU1630" s="1"/>
      <c r="NGV1630" s="1"/>
      <c r="NGW1630" s="1"/>
      <c r="NGX1630" s="1"/>
      <c r="NGY1630" s="1"/>
      <c r="NGZ1630" s="1"/>
      <c r="NHA1630" s="1"/>
      <c r="NHB1630" s="1"/>
      <c r="NHC1630" s="1"/>
      <c r="NHD1630" s="1"/>
      <c r="NHE1630" s="1"/>
      <c r="NHF1630" s="1"/>
      <c r="NHG1630" s="1"/>
      <c r="NHH1630" s="1"/>
      <c r="NHI1630" s="1"/>
      <c r="NHJ1630" s="1"/>
      <c r="NHK1630" s="1"/>
      <c r="NHL1630" s="1"/>
      <c r="NHM1630" s="1"/>
      <c r="NHN1630" s="1"/>
      <c r="NHO1630" s="1"/>
      <c r="NHP1630" s="1"/>
      <c r="NHQ1630" s="1"/>
      <c r="NHR1630" s="1"/>
      <c r="NHS1630" s="1"/>
      <c r="NHT1630" s="1"/>
      <c r="NHU1630" s="1"/>
      <c r="NHV1630" s="1"/>
      <c r="NHW1630" s="1"/>
      <c r="NHX1630" s="1"/>
      <c r="NHY1630" s="1"/>
      <c r="NHZ1630" s="1"/>
      <c r="NIA1630" s="1"/>
      <c r="NIB1630" s="1"/>
      <c r="NIC1630" s="1"/>
      <c r="NID1630" s="1"/>
      <c r="NIE1630" s="1"/>
      <c r="NIF1630" s="1"/>
      <c r="NIG1630" s="1"/>
      <c r="NIH1630" s="1"/>
      <c r="NII1630" s="1"/>
      <c r="NIJ1630" s="1"/>
      <c r="NIK1630" s="1"/>
      <c r="NIL1630" s="1"/>
      <c r="NIM1630" s="1"/>
      <c r="NIN1630" s="1"/>
      <c r="NIO1630" s="1"/>
      <c r="NIP1630" s="1"/>
      <c r="NIQ1630" s="1"/>
      <c r="NIR1630" s="1"/>
      <c r="NIS1630" s="1"/>
      <c r="NIT1630" s="1"/>
      <c r="NIU1630" s="1"/>
      <c r="NIV1630" s="1"/>
      <c r="NIW1630" s="1"/>
      <c r="NIX1630" s="1"/>
      <c r="NIY1630" s="1"/>
      <c r="NIZ1630" s="1"/>
      <c r="NJA1630" s="1"/>
      <c r="NJB1630" s="1"/>
      <c r="NJC1630" s="1"/>
      <c r="NJD1630" s="1"/>
      <c r="NJE1630" s="1"/>
      <c r="NJF1630" s="1"/>
      <c r="NJG1630" s="1"/>
      <c r="NJH1630" s="1"/>
      <c r="NJI1630" s="1"/>
      <c r="NJJ1630" s="1"/>
      <c r="NJK1630" s="1"/>
      <c r="NJL1630" s="1"/>
      <c r="NJM1630" s="1"/>
      <c r="NJN1630" s="1"/>
      <c r="NJO1630" s="1"/>
      <c r="NJP1630" s="1"/>
      <c r="NJQ1630" s="1"/>
      <c r="NJR1630" s="1"/>
      <c r="NJS1630" s="1"/>
      <c r="NJT1630" s="1"/>
      <c r="NJU1630" s="1"/>
      <c r="NJV1630" s="1"/>
      <c r="NJW1630" s="1"/>
      <c r="NJX1630" s="1"/>
      <c r="NJY1630" s="1"/>
      <c r="NJZ1630" s="1"/>
      <c r="NKA1630" s="1"/>
      <c r="NKB1630" s="1"/>
      <c r="NKC1630" s="1"/>
      <c r="NKD1630" s="1"/>
      <c r="NKE1630" s="1"/>
      <c r="NKF1630" s="1"/>
      <c r="NKG1630" s="1"/>
      <c r="NKH1630" s="1"/>
      <c r="NKI1630" s="1"/>
      <c r="NKJ1630" s="1"/>
      <c r="NKK1630" s="1"/>
      <c r="NKL1630" s="1"/>
      <c r="NKM1630" s="1"/>
      <c r="NKN1630" s="1"/>
      <c r="NKO1630" s="1"/>
      <c r="NKP1630" s="1"/>
      <c r="NKQ1630" s="1"/>
      <c r="NKR1630" s="1"/>
      <c r="NKS1630" s="1"/>
      <c r="NKT1630" s="1"/>
      <c r="NKU1630" s="1"/>
      <c r="NKV1630" s="1"/>
      <c r="NKW1630" s="1"/>
      <c r="NKX1630" s="1"/>
      <c r="NKY1630" s="1"/>
      <c r="NKZ1630" s="1"/>
      <c r="NLA1630" s="1"/>
      <c r="NLB1630" s="1"/>
      <c r="NLC1630" s="1"/>
      <c r="NLD1630" s="1"/>
      <c r="NLE1630" s="1"/>
      <c r="NLF1630" s="1"/>
      <c r="NLG1630" s="1"/>
      <c r="NLH1630" s="1"/>
      <c r="NLI1630" s="1"/>
      <c r="NLJ1630" s="1"/>
      <c r="NLK1630" s="1"/>
      <c r="NLL1630" s="1"/>
      <c r="NLM1630" s="1"/>
      <c r="NLN1630" s="1"/>
      <c r="NLO1630" s="1"/>
      <c r="NLP1630" s="1"/>
      <c r="NLQ1630" s="1"/>
      <c r="NLR1630" s="1"/>
      <c r="NLS1630" s="1"/>
      <c r="NLT1630" s="1"/>
      <c r="NLU1630" s="1"/>
      <c r="NLV1630" s="1"/>
      <c r="NLW1630" s="1"/>
      <c r="NLX1630" s="1"/>
      <c r="NLY1630" s="1"/>
      <c r="NLZ1630" s="1"/>
      <c r="NMA1630" s="1"/>
      <c r="NMB1630" s="1"/>
      <c r="NMC1630" s="1"/>
      <c r="NMD1630" s="1"/>
      <c r="NME1630" s="1"/>
      <c r="NMF1630" s="1"/>
      <c r="NMG1630" s="1"/>
      <c r="NMH1630" s="1"/>
      <c r="NMI1630" s="1"/>
      <c r="NMJ1630" s="1"/>
      <c r="NMK1630" s="1"/>
      <c r="NML1630" s="1"/>
      <c r="NMM1630" s="1"/>
      <c r="NMN1630" s="1"/>
      <c r="NMO1630" s="1"/>
      <c r="NMP1630" s="1"/>
      <c r="NMQ1630" s="1"/>
      <c r="NMR1630" s="1"/>
      <c r="NMS1630" s="1"/>
      <c r="NMT1630" s="1"/>
      <c r="NMU1630" s="1"/>
      <c r="NMV1630" s="1"/>
      <c r="NMW1630" s="1"/>
      <c r="NMX1630" s="1"/>
      <c r="NMY1630" s="1"/>
      <c r="NMZ1630" s="1"/>
      <c r="NNA1630" s="1"/>
      <c r="NNB1630" s="1"/>
      <c r="NNC1630" s="1"/>
      <c r="NND1630" s="1"/>
      <c r="NNE1630" s="1"/>
      <c r="NNF1630" s="1"/>
      <c r="NNG1630" s="1"/>
      <c r="NNH1630" s="1"/>
      <c r="NNI1630" s="1"/>
      <c r="NNJ1630" s="1"/>
      <c r="NNK1630" s="1"/>
      <c r="NNL1630" s="1"/>
      <c r="NNM1630" s="1"/>
      <c r="NNN1630" s="1"/>
      <c r="NNO1630" s="1"/>
      <c r="NNP1630" s="1"/>
      <c r="NNQ1630" s="1"/>
      <c r="NNR1630" s="1"/>
      <c r="NNS1630" s="1"/>
      <c r="NNT1630" s="1"/>
      <c r="NNU1630" s="1"/>
      <c r="NNV1630" s="1"/>
      <c r="NNW1630" s="1"/>
      <c r="NNX1630" s="1"/>
      <c r="NNY1630" s="1"/>
      <c r="NNZ1630" s="1"/>
      <c r="NOA1630" s="1"/>
      <c r="NOB1630" s="1"/>
      <c r="NOC1630" s="1"/>
      <c r="NOD1630" s="1"/>
      <c r="NOE1630" s="1"/>
      <c r="NOF1630" s="1"/>
      <c r="NOG1630" s="1"/>
      <c r="NOH1630" s="1"/>
      <c r="NOI1630" s="1"/>
      <c r="NOJ1630" s="1"/>
      <c r="NOK1630" s="1"/>
      <c r="NOL1630" s="1"/>
      <c r="NOM1630" s="1"/>
      <c r="NON1630" s="1"/>
      <c r="NOO1630" s="1"/>
      <c r="NOP1630" s="1"/>
      <c r="NOQ1630" s="1"/>
      <c r="NOR1630" s="1"/>
      <c r="NOS1630" s="1"/>
      <c r="NOT1630" s="1"/>
      <c r="NOU1630" s="1"/>
      <c r="NOV1630" s="1"/>
      <c r="NOW1630" s="1"/>
      <c r="NOX1630" s="1"/>
      <c r="NOY1630" s="1"/>
      <c r="NOZ1630" s="1"/>
      <c r="NPA1630" s="1"/>
      <c r="NPB1630" s="1"/>
      <c r="NPC1630" s="1"/>
      <c r="NPD1630" s="1"/>
      <c r="NPE1630" s="1"/>
      <c r="NPF1630" s="1"/>
      <c r="NPG1630" s="1"/>
      <c r="NPH1630" s="1"/>
      <c r="NPI1630" s="1"/>
      <c r="NPJ1630" s="1"/>
      <c r="NPK1630" s="1"/>
      <c r="NPL1630" s="1"/>
      <c r="NPM1630" s="1"/>
      <c r="NPN1630" s="1"/>
      <c r="NPO1630" s="1"/>
      <c r="NPP1630" s="1"/>
      <c r="NPQ1630" s="1"/>
      <c r="NPR1630" s="1"/>
      <c r="NPS1630" s="1"/>
      <c r="NPT1630" s="1"/>
      <c r="NPU1630" s="1"/>
      <c r="NPV1630" s="1"/>
      <c r="NPW1630" s="1"/>
      <c r="NPX1630" s="1"/>
      <c r="NPY1630" s="1"/>
      <c r="NPZ1630" s="1"/>
      <c r="NQA1630" s="1"/>
      <c r="NQB1630" s="1"/>
      <c r="NQC1630" s="1"/>
      <c r="NQD1630" s="1"/>
      <c r="NQE1630" s="1"/>
      <c r="NQF1630" s="1"/>
      <c r="NQG1630" s="1"/>
      <c r="NQH1630" s="1"/>
      <c r="NQI1630" s="1"/>
      <c r="NQJ1630" s="1"/>
      <c r="NQK1630" s="1"/>
      <c r="NQL1630" s="1"/>
      <c r="NQM1630" s="1"/>
      <c r="NQN1630" s="1"/>
      <c r="NQO1630" s="1"/>
      <c r="NQP1630" s="1"/>
      <c r="NQQ1630" s="1"/>
      <c r="NQR1630" s="1"/>
      <c r="NQS1630" s="1"/>
      <c r="NQT1630" s="1"/>
      <c r="NQU1630" s="1"/>
      <c r="NQV1630" s="1"/>
      <c r="NQW1630" s="1"/>
      <c r="NQX1630" s="1"/>
      <c r="NQY1630" s="1"/>
      <c r="NQZ1630" s="1"/>
      <c r="NRA1630" s="1"/>
      <c r="NRB1630" s="1"/>
      <c r="NRC1630" s="1"/>
      <c r="NRD1630" s="1"/>
      <c r="NRE1630" s="1"/>
      <c r="NRF1630" s="1"/>
      <c r="NRG1630" s="1"/>
      <c r="NRH1630" s="1"/>
      <c r="NRI1630" s="1"/>
      <c r="NRJ1630" s="1"/>
      <c r="NRK1630" s="1"/>
      <c r="NRL1630" s="1"/>
      <c r="NRM1630" s="1"/>
      <c r="NRN1630" s="1"/>
      <c r="NRO1630" s="1"/>
      <c r="NRP1630" s="1"/>
      <c r="NRQ1630" s="1"/>
      <c r="NRR1630" s="1"/>
      <c r="NRS1630" s="1"/>
      <c r="NRT1630" s="1"/>
      <c r="NRU1630" s="1"/>
      <c r="NRV1630" s="1"/>
      <c r="NRW1630" s="1"/>
      <c r="NRX1630" s="1"/>
      <c r="NRY1630" s="1"/>
      <c r="NRZ1630" s="1"/>
      <c r="NSA1630" s="1"/>
      <c r="NSB1630" s="1"/>
      <c r="NSC1630" s="1"/>
      <c r="NSD1630" s="1"/>
      <c r="NSE1630" s="1"/>
      <c r="NSF1630" s="1"/>
      <c r="NSG1630" s="1"/>
      <c r="NSH1630" s="1"/>
      <c r="NSI1630" s="1"/>
      <c r="NSJ1630" s="1"/>
      <c r="NSK1630" s="1"/>
      <c r="NSL1630" s="1"/>
      <c r="NSM1630" s="1"/>
      <c r="NSN1630" s="1"/>
      <c r="NSO1630" s="1"/>
      <c r="NSP1630" s="1"/>
      <c r="NSQ1630" s="1"/>
      <c r="NSR1630" s="1"/>
      <c r="NSS1630" s="1"/>
      <c r="NST1630" s="1"/>
      <c r="NSU1630" s="1"/>
      <c r="NSV1630" s="1"/>
      <c r="NSW1630" s="1"/>
      <c r="NSX1630" s="1"/>
      <c r="NSY1630" s="1"/>
      <c r="NSZ1630" s="1"/>
      <c r="NTA1630" s="1"/>
      <c r="NTB1630" s="1"/>
      <c r="NTC1630" s="1"/>
      <c r="NTD1630" s="1"/>
      <c r="NTE1630" s="1"/>
      <c r="NTF1630" s="1"/>
      <c r="NTG1630" s="1"/>
      <c r="NTH1630" s="1"/>
      <c r="NTI1630" s="1"/>
      <c r="NTJ1630" s="1"/>
      <c r="NTK1630" s="1"/>
      <c r="NTL1630" s="1"/>
      <c r="NTM1630" s="1"/>
      <c r="NTN1630" s="1"/>
      <c r="NTO1630" s="1"/>
      <c r="NTP1630" s="1"/>
      <c r="NTQ1630" s="1"/>
      <c r="NTR1630" s="1"/>
      <c r="NTS1630" s="1"/>
      <c r="NTT1630" s="1"/>
      <c r="NTU1630" s="1"/>
      <c r="NTV1630" s="1"/>
      <c r="NTW1630" s="1"/>
      <c r="NTX1630" s="1"/>
      <c r="NTY1630" s="1"/>
      <c r="NTZ1630" s="1"/>
      <c r="NUA1630" s="1"/>
      <c r="NUB1630" s="1"/>
      <c r="NUC1630" s="1"/>
      <c r="NUD1630" s="1"/>
      <c r="NUE1630" s="1"/>
      <c r="NUF1630" s="1"/>
      <c r="NUG1630" s="1"/>
      <c r="NUH1630" s="1"/>
      <c r="NUI1630" s="1"/>
      <c r="NUJ1630" s="1"/>
      <c r="NUK1630" s="1"/>
      <c r="NUL1630" s="1"/>
      <c r="NUM1630" s="1"/>
      <c r="NUN1630" s="1"/>
      <c r="NUO1630" s="1"/>
      <c r="NUP1630" s="1"/>
      <c r="NUQ1630" s="1"/>
      <c r="NUR1630" s="1"/>
      <c r="NUS1630" s="1"/>
      <c r="NUT1630" s="1"/>
      <c r="NUU1630" s="1"/>
      <c r="NUV1630" s="1"/>
      <c r="NUW1630" s="1"/>
      <c r="NUX1630" s="1"/>
      <c r="NUY1630" s="1"/>
      <c r="NUZ1630" s="1"/>
      <c r="NVA1630" s="1"/>
      <c r="NVB1630" s="1"/>
      <c r="NVC1630" s="1"/>
      <c r="NVD1630" s="1"/>
      <c r="NVE1630" s="1"/>
      <c r="NVF1630" s="1"/>
      <c r="NVG1630" s="1"/>
      <c r="NVH1630" s="1"/>
      <c r="NVI1630" s="1"/>
      <c r="NVJ1630" s="1"/>
      <c r="NVK1630" s="1"/>
      <c r="NVL1630" s="1"/>
      <c r="NVM1630" s="1"/>
      <c r="NVN1630" s="1"/>
      <c r="NVO1630" s="1"/>
      <c r="NVP1630" s="1"/>
      <c r="NVQ1630" s="1"/>
      <c r="NVR1630" s="1"/>
      <c r="NVS1630" s="1"/>
      <c r="NVT1630" s="1"/>
      <c r="NVU1630" s="1"/>
      <c r="NVV1630" s="1"/>
      <c r="NVW1630" s="1"/>
      <c r="NVX1630" s="1"/>
      <c r="NVY1630" s="1"/>
      <c r="NVZ1630" s="1"/>
      <c r="NWA1630" s="1"/>
      <c r="NWB1630" s="1"/>
      <c r="NWC1630" s="1"/>
      <c r="NWD1630" s="1"/>
      <c r="NWE1630" s="1"/>
      <c r="NWF1630" s="1"/>
      <c r="NWG1630" s="1"/>
      <c r="NWH1630" s="1"/>
      <c r="NWI1630" s="1"/>
      <c r="NWJ1630" s="1"/>
      <c r="NWK1630" s="1"/>
      <c r="NWL1630" s="1"/>
      <c r="NWM1630" s="1"/>
      <c r="NWN1630" s="1"/>
      <c r="NWO1630" s="1"/>
      <c r="NWP1630" s="1"/>
      <c r="NWQ1630" s="1"/>
      <c r="NWR1630" s="1"/>
      <c r="NWS1630" s="1"/>
      <c r="NWT1630" s="1"/>
      <c r="NWU1630" s="1"/>
      <c r="NWV1630" s="1"/>
      <c r="NWW1630" s="1"/>
      <c r="NWX1630" s="1"/>
      <c r="NWY1630" s="1"/>
      <c r="NWZ1630" s="1"/>
      <c r="NXA1630" s="1"/>
      <c r="NXB1630" s="1"/>
      <c r="NXC1630" s="1"/>
      <c r="NXD1630" s="1"/>
      <c r="NXE1630" s="1"/>
      <c r="NXF1630" s="1"/>
      <c r="NXG1630" s="1"/>
      <c r="NXH1630" s="1"/>
      <c r="NXI1630" s="1"/>
      <c r="NXJ1630" s="1"/>
      <c r="NXK1630" s="1"/>
      <c r="NXL1630" s="1"/>
      <c r="NXM1630" s="1"/>
      <c r="NXN1630" s="1"/>
      <c r="NXO1630" s="1"/>
      <c r="NXP1630" s="1"/>
      <c r="NXQ1630" s="1"/>
      <c r="NXR1630" s="1"/>
      <c r="NXS1630" s="1"/>
      <c r="NXT1630" s="1"/>
      <c r="NXU1630" s="1"/>
      <c r="NXV1630" s="1"/>
      <c r="NXW1630" s="1"/>
      <c r="NXX1630" s="1"/>
      <c r="NXY1630" s="1"/>
      <c r="NXZ1630" s="1"/>
      <c r="NYA1630" s="1"/>
      <c r="NYB1630" s="1"/>
      <c r="NYC1630" s="1"/>
      <c r="NYD1630" s="1"/>
      <c r="NYE1630" s="1"/>
      <c r="NYF1630" s="1"/>
      <c r="NYG1630" s="1"/>
      <c r="NYH1630" s="1"/>
      <c r="NYI1630" s="1"/>
      <c r="NYJ1630" s="1"/>
      <c r="NYK1630" s="1"/>
      <c r="NYL1630" s="1"/>
      <c r="NYM1630" s="1"/>
      <c r="NYN1630" s="1"/>
      <c r="NYO1630" s="1"/>
      <c r="NYP1630" s="1"/>
      <c r="NYQ1630" s="1"/>
      <c r="NYR1630" s="1"/>
      <c r="NYS1630" s="1"/>
      <c r="NYT1630" s="1"/>
      <c r="NYU1630" s="1"/>
      <c r="NYV1630" s="1"/>
      <c r="NYW1630" s="1"/>
      <c r="NYX1630" s="1"/>
      <c r="NYY1630" s="1"/>
      <c r="NYZ1630" s="1"/>
      <c r="NZA1630" s="1"/>
      <c r="NZB1630" s="1"/>
      <c r="NZC1630" s="1"/>
      <c r="NZD1630" s="1"/>
      <c r="NZE1630" s="1"/>
      <c r="NZF1630" s="1"/>
      <c r="NZG1630" s="1"/>
      <c r="NZH1630" s="1"/>
      <c r="NZI1630" s="1"/>
      <c r="NZJ1630" s="1"/>
      <c r="NZK1630" s="1"/>
      <c r="NZL1630" s="1"/>
      <c r="NZM1630" s="1"/>
      <c r="NZN1630" s="1"/>
      <c r="NZO1630" s="1"/>
      <c r="NZP1630" s="1"/>
      <c r="NZQ1630" s="1"/>
      <c r="NZR1630" s="1"/>
      <c r="NZS1630" s="1"/>
      <c r="NZT1630" s="1"/>
      <c r="NZU1630" s="1"/>
      <c r="NZV1630" s="1"/>
      <c r="NZW1630" s="1"/>
      <c r="NZX1630" s="1"/>
      <c r="NZY1630" s="1"/>
      <c r="NZZ1630" s="1"/>
      <c r="OAA1630" s="1"/>
      <c r="OAB1630" s="1"/>
      <c r="OAC1630" s="1"/>
      <c r="OAD1630" s="1"/>
      <c r="OAE1630" s="1"/>
      <c r="OAF1630" s="1"/>
      <c r="OAG1630" s="1"/>
      <c r="OAH1630" s="1"/>
      <c r="OAI1630" s="1"/>
      <c r="OAJ1630" s="1"/>
      <c r="OAK1630" s="1"/>
      <c r="OAL1630" s="1"/>
      <c r="OAM1630" s="1"/>
      <c r="OAN1630" s="1"/>
      <c r="OAO1630" s="1"/>
      <c r="OAP1630" s="1"/>
      <c r="OAQ1630" s="1"/>
      <c r="OAR1630" s="1"/>
      <c r="OAS1630" s="1"/>
      <c r="OAT1630" s="1"/>
      <c r="OAU1630" s="1"/>
      <c r="OAV1630" s="1"/>
      <c r="OAW1630" s="1"/>
      <c r="OAX1630" s="1"/>
      <c r="OAY1630" s="1"/>
      <c r="OAZ1630" s="1"/>
      <c r="OBA1630" s="1"/>
      <c r="OBB1630" s="1"/>
      <c r="OBC1630" s="1"/>
      <c r="OBD1630" s="1"/>
      <c r="OBE1630" s="1"/>
      <c r="OBF1630" s="1"/>
      <c r="OBG1630" s="1"/>
      <c r="OBH1630" s="1"/>
      <c r="OBI1630" s="1"/>
      <c r="OBJ1630" s="1"/>
      <c r="OBK1630" s="1"/>
      <c r="OBL1630" s="1"/>
      <c r="OBM1630" s="1"/>
      <c r="OBN1630" s="1"/>
      <c r="OBO1630" s="1"/>
      <c r="OBP1630" s="1"/>
      <c r="OBQ1630" s="1"/>
      <c r="OBR1630" s="1"/>
      <c r="OBS1630" s="1"/>
      <c r="OBT1630" s="1"/>
      <c r="OBU1630" s="1"/>
      <c r="OBV1630" s="1"/>
      <c r="OBW1630" s="1"/>
      <c r="OBX1630" s="1"/>
      <c r="OBY1630" s="1"/>
      <c r="OBZ1630" s="1"/>
      <c r="OCA1630" s="1"/>
      <c r="OCB1630" s="1"/>
      <c r="OCC1630" s="1"/>
      <c r="OCD1630" s="1"/>
      <c r="OCE1630" s="1"/>
      <c r="OCF1630" s="1"/>
      <c r="OCG1630" s="1"/>
      <c r="OCH1630" s="1"/>
      <c r="OCI1630" s="1"/>
      <c r="OCJ1630" s="1"/>
      <c r="OCK1630" s="1"/>
      <c r="OCL1630" s="1"/>
      <c r="OCM1630" s="1"/>
      <c r="OCN1630" s="1"/>
      <c r="OCO1630" s="1"/>
      <c r="OCP1630" s="1"/>
      <c r="OCQ1630" s="1"/>
      <c r="OCR1630" s="1"/>
      <c r="OCS1630" s="1"/>
      <c r="OCT1630" s="1"/>
      <c r="OCU1630" s="1"/>
      <c r="OCV1630" s="1"/>
      <c r="OCW1630" s="1"/>
      <c r="OCX1630" s="1"/>
      <c r="OCY1630" s="1"/>
      <c r="OCZ1630" s="1"/>
      <c r="ODA1630" s="1"/>
      <c r="ODB1630" s="1"/>
      <c r="ODC1630" s="1"/>
      <c r="ODD1630" s="1"/>
      <c r="ODE1630" s="1"/>
      <c r="ODF1630" s="1"/>
      <c r="ODG1630" s="1"/>
      <c r="ODH1630" s="1"/>
      <c r="ODI1630" s="1"/>
      <c r="ODJ1630" s="1"/>
      <c r="ODK1630" s="1"/>
      <c r="ODL1630" s="1"/>
      <c r="ODM1630" s="1"/>
      <c r="ODN1630" s="1"/>
      <c r="ODO1630" s="1"/>
      <c r="ODP1630" s="1"/>
      <c r="ODQ1630" s="1"/>
      <c r="ODR1630" s="1"/>
      <c r="ODS1630" s="1"/>
      <c r="ODT1630" s="1"/>
      <c r="ODU1630" s="1"/>
      <c r="ODV1630" s="1"/>
      <c r="ODW1630" s="1"/>
      <c r="ODX1630" s="1"/>
      <c r="ODY1630" s="1"/>
      <c r="ODZ1630" s="1"/>
      <c r="OEA1630" s="1"/>
      <c r="OEB1630" s="1"/>
      <c r="OEC1630" s="1"/>
      <c r="OED1630" s="1"/>
      <c r="OEE1630" s="1"/>
      <c r="OEF1630" s="1"/>
      <c r="OEG1630" s="1"/>
      <c r="OEH1630" s="1"/>
      <c r="OEI1630" s="1"/>
      <c r="OEJ1630" s="1"/>
      <c r="OEK1630" s="1"/>
      <c r="OEL1630" s="1"/>
      <c r="OEM1630" s="1"/>
      <c r="OEN1630" s="1"/>
      <c r="OEO1630" s="1"/>
      <c r="OEP1630" s="1"/>
      <c r="OEQ1630" s="1"/>
      <c r="OER1630" s="1"/>
      <c r="OES1630" s="1"/>
      <c r="OET1630" s="1"/>
      <c r="OEU1630" s="1"/>
      <c r="OEV1630" s="1"/>
      <c r="OEW1630" s="1"/>
      <c r="OEX1630" s="1"/>
      <c r="OEY1630" s="1"/>
      <c r="OEZ1630" s="1"/>
      <c r="OFA1630" s="1"/>
      <c r="OFB1630" s="1"/>
      <c r="OFC1630" s="1"/>
      <c r="OFD1630" s="1"/>
      <c r="OFE1630" s="1"/>
      <c r="OFF1630" s="1"/>
      <c r="OFG1630" s="1"/>
      <c r="OFH1630" s="1"/>
      <c r="OFI1630" s="1"/>
      <c r="OFJ1630" s="1"/>
      <c r="OFK1630" s="1"/>
      <c r="OFL1630" s="1"/>
      <c r="OFM1630" s="1"/>
      <c r="OFN1630" s="1"/>
      <c r="OFO1630" s="1"/>
      <c r="OFP1630" s="1"/>
      <c r="OFQ1630" s="1"/>
      <c r="OFR1630" s="1"/>
      <c r="OFS1630" s="1"/>
      <c r="OFT1630" s="1"/>
      <c r="OFU1630" s="1"/>
      <c r="OFV1630" s="1"/>
      <c r="OFW1630" s="1"/>
      <c r="OFX1630" s="1"/>
      <c r="OFY1630" s="1"/>
      <c r="OFZ1630" s="1"/>
      <c r="OGA1630" s="1"/>
      <c r="OGB1630" s="1"/>
      <c r="OGC1630" s="1"/>
      <c r="OGD1630" s="1"/>
      <c r="OGE1630" s="1"/>
      <c r="OGF1630" s="1"/>
      <c r="OGG1630" s="1"/>
      <c r="OGH1630" s="1"/>
      <c r="OGI1630" s="1"/>
      <c r="OGJ1630" s="1"/>
      <c r="OGK1630" s="1"/>
      <c r="OGL1630" s="1"/>
      <c r="OGM1630" s="1"/>
      <c r="OGN1630" s="1"/>
      <c r="OGO1630" s="1"/>
      <c r="OGP1630" s="1"/>
      <c r="OGQ1630" s="1"/>
      <c r="OGR1630" s="1"/>
      <c r="OGS1630" s="1"/>
      <c r="OGT1630" s="1"/>
      <c r="OGU1630" s="1"/>
      <c r="OGV1630" s="1"/>
      <c r="OGW1630" s="1"/>
      <c r="OGX1630" s="1"/>
      <c r="OGY1630" s="1"/>
      <c r="OGZ1630" s="1"/>
      <c r="OHA1630" s="1"/>
      <c r="OHB1630" s="1"/>
      <c r="OHC1630" s="1"/>
      <c r="OHD1630" s="1"/>
      <c r="OHE1630" s="1"/>
      <c r="OHF1630" s="1"/>
      <c r="OHG1630" s="1"/>
      <c r="OHH1630" s="1"/>
      <c r="OHI1630" s="1"/>
      <c r="OHJ1630" s="1"/>
      <c r="OHK1630" s="1"/>
      <c r="OHL1630" s="1"/>
      <c r="OHM1630" s="1"/>
      <c r="OHN1630" s="1"/>
      <c r="OHO1630" s="1"/>
      <c r="OHP1630" s="1"/>
      <c r="OHQ1630" s="1"/>
      <c r="OHR1630" s="1"/>
      <c r="OHS1630" s="1"/>
      <c r="OHT1630" s="1"/>
      <c r="OHU1630" s="1"/>
      <c r="OHV1630" s="1"/>
      <c r="OHW1630" s="1"/>
      <c r="OHX1630" s="1"/>
      <c r="OHY1630" s="1"/>
      <c r="OHZ1630" s="1"/>
      <c r="OIA1630" s="1"/>
      <c r="OIB1630" s="1"/>
      <c r="OIC1630" s="1"/>
      <c r="OID1630" s="1"/>
      <c r="OIE1630" s="1"/>
      <c r="OIF1630" s="1"/>
      <c r="OIG1630" s="1"/>
      <c r="OIH1630" s="1"/>
      <c r="OII1630" s="1"/>
      <c r="OIJ1630" s="1"/>
      <c r="OIK1630" s="1"/>
      <c r="OIL1630" s="1"/>
      <c r="OIM1630" s="1"/>
      <c r="OIN1630" s="1"/>
      <c r="OIO1630" s="1"/>
      <c r="OIP1630" s="1"/>
      <c r="OIQ1630" s="1"/>
      <c r="OIR1630" s="1"/>
      <c r="OIS1630" s="1"/>
      <c r="OIT1630" s="1"/>
      <c r="OIU1630" s="1"/>
      <c r="OIV1630" s="1"/>
      <c r="OIW1630" s="1"/>
      <c r="OIX1630" s="1"/>
      <c r="OIY1630" s="1"/>
      <c r="OIZ1630" s="1"/>
      <c r="OJA1630" s="1"/>
      <c r="OJB1630" s="1"/>
      <c r="OJC1630" s="1"/>
      <c r="OJD1630" s="1"/>
      <c r="OJE1630" s="1"/>
      <c r="OJF1630" s="1"/>
      <c r="OJG1630" s="1"/>
      <c r="OJH1630" s="1"/>
      <c r="OJI1630" s="1"/>
      <c r="OJJ1630" s="1"/>
      <c r="OJK1630" s="1"/>
      <c r="OJL1630" s="1"/>
      <c r="OJM1630" s="1"/>
      <c r="OJN1630" s="1"/>
      <c r="OJO1630" s="1"/>
      <c r="OJP1630" s="1"/>
      <c r="OJQ1630" s="1"/>
      <c r="OJR1630" s="1"/>
      <c r="OJS1630" s="1"/>
      <c r="OJT1630" s="1"/>
      <c r="OJU1630" s="1"/>
      <c r="OJV1630" s="1"/>
      <c r="OJW1630" s="1"/>
      <c r="OJX1630" s="1"/>
      <c r="OJY1630" s="1"/>
      <c r="OJZ1630" s="1"/>
      <c r="OKA1630" s="1"/>
      <c r="OKB1630" s="1"/>
      <c r="OKC1630" s="1"/>
      <c r="OKD1630" s="1"/>
      <c r="OKE1630" s="1"/>
      <c r="OKF1630" s="1"/>
      <c r="OKG1630" s="1"/>
      <c r="OKH1630" s="1"/>
      <c r="OKI1630" s="1"/>
      <c r="OKJ1630" s="1"/>
      <c r="OKK1630" s="1"/>
      <c r="OKL1630" s="1"/>
      <c r="OKM1630" s="1"/>
      <c r="OKN1630" s="1"/>
      <c r="OKO1630" s="1"/>
      <c r="OKP1630" s="1"/>
      <c r="OKQ1630" s="1"/>
      <c r="OKR1630" s="1"/>
      <c r="OKS1630" s="1"/>
      <c r="OKT1630" s="1"/>
      <c r="OKU1630" s="1"/>
      <c r="OKV1630" s="1"/>
      <c r="OKW1630" s="1"/>
      <c r="OKX1630" s="1"/>
      <c r="OKY1630" s="1"/>
      <c r="OKZ1630" s="1"/>
      <c r="OLA1630" s="1"/>
      <c r="OLB1630" s="1"/>
      <c r="OLC1630" s="1"/>
      <c r="OLD1630" s="1"/>
      <c r="OLE1630" s="1"/>
      <c r="OLF1630" s="1"/>
      <c r="OLG1630" s="1"/>
      <c r="OLH1630" s="1"/>
      <c r="OLI1630" s="1"/>
      <c r="OLJ1630" s="1"/>
      <c r="OLK1630" s="1"/>
      <c r="OLL1630" s="1"/>
      <c r="OLM1630" s="1"/>
      <c r="OLN1630" s="1"/>
      <c r="OLO1630" s="1"/>
      <c r="OLP1630" s="1"/>
      <c r="OLQ1630" s="1"/>
      <c r="OLR1630" s="1"/>
      <c r="OLS1630" s="1"/>
      <c r="OLT1630" s="1"/>
      <c r="OLU1630" s="1"/>
      <c r="OLV1630" s="1"/>
      <c r="OLW1630" s="1"/>
      <c r="OLX1630" s="1"/>
      <c r="OLY1630" s="1"/>
      <c r="OLZ1630" s="1"/>
      <c r="OMA1630" s="1"/>
      <c r="OMB1630" s="1"/>
      <c r="OMC1630" s="1"/>
      <c r="OMD1630" s="1"/>
      <c r="OME1630" s="1"/>
      <c r="OMF1630" s="1"/>
      <c r="OMG1630" s="1"/>
      <c r="OMH1630" s="1"/>
      <c r="OMI1630" s="1"/>
      <c r="OMJ1630" s="1"/>
      <c r="OMK1630" s="1"/>
      <c r="OML1630" s="1"/>
      <c r="OMM1630" s="1"/>
      <c r="OMN1630" s="1"/>
      <c r="OMO1630" s="1"/>
      <c r="OMP1630" s="1"/>
      <c r="OMQ1630" s="1"/>
      <c r="OMR1630" s="1"/>
      <c r="OMS1630" s="1"/>
      <c r="OMT1630" s="1"/>
      <c r="OMU1630" s="1"/>
      <c r="OMV1630" s="1"/>
      <c r="OMW1630" s="1"/>
      <c r="OMX1630" s="1"/>
      <c r="OMY1630" s="1"/>
      <c r="OMZ1630" s="1"/>
      <c r="ONA1630" s="1"/>
      <c r="ONB1630" s="1"/>
      <c r="ONC1630" s="1"/>
      <c r="OND1630" s="1"/>
      <c r="ONE1630" s="1"/>
      <c r="ONF1630" s="1"/>
      <c r="ONG1630" s="1"/>
      <c r="ONH1630" s="1"/>
      <c r="ONI1630" s="1"/>
      <c r="ONJ1630" s="1"/>
      <c r="ONK1630" s="1"/>
      <c r="ONL1630" s="1"/>
      <c r="ONM1630" s="1"/>
      <c r="ONN1630" s="1"/>
      <c r="ONO1630" s="1"/>
      <c r="ONP1630" s="1"/>
      <c r="ONQ1630" s="1"/>
      <c r="ONR1630" s="1"/>
      <c r="ONS1630" s="1"/>
      <c r="ONT1630" s="1"/>
      <c r="ONU1630" s="1"/>
      <c r="ONV1630" s="1"/>
      <c r="ONW1630" s="1"/>
      <c r="ONX1630" s="1"/>
      <c r="ONY1630" s="1"/>
      <c r="ONZ1630" s="1"/>
      <c r="OOA1630" s="1"/>
      <c r="OOB1630" s="1"/>
      <c r="OOC1630" s="1"/>
      <c r="OOD1630" s="1"/>
      <c r="OOE1630" s="1"/>
      <c r="OOF1630" s="1"/>
      <c r="OOG1630" s="1"/>
      <c r="OOH1630" s="1"/>
      <c r="OOI1630" s="1"/>
      <c r="OOJ1630" s="1"/>
      <c r="OOK1630" s="1"/>
      <c r="OOL1630" s="1"/>
      <c r="OOM1630" s="1"/>
      <c r="OON1630" s="1"/>
      <c r="OOO1630" s="1"/>
      <c r="OOP1630" s="1"/>
      <c r="OOQ1630" s="1"/>
      <c r="OOR1630" s="1"/>
      <c r="OOS1630" s="1"/>
      <c r="OOT1630" s="1"/>
      <c r="OOU1630" s="1"/>
      <c r="OOV1630" s="1"/>
      <c r="OOW1630" s="1"/>
      <c r="OOX1630" s="1"/>
      <c r="OOY1630" s="1"/>
      <c r="OOZ1630" s="1"/>
      <c r="OPA1630" s="1"/>
      <c r="OPB1630" s="1"/>
      <c r="OPC1630" s="1"/>
      <c r="OPD1630" s="1"/>
      <c r="OPE1630" s="1"/>
      <c r="OPF1630" s="1"/>
      <c r="OPG1630" s="1"/>
      <c r="OPH1630" s="1"/>
      <c r="OPI1630" s="1"/>
      <c r="OPJ1630" s="1"/>
      <c r="OPK1630" s="1"/>
      <c r="OPL1630" s="1"/>
      <c r="OPM1630" s="1"/>
      <c r="OPN1630" s="1"/>
      <c r="OPO1630" s="1"/>
      <c r="OPP1630" s="1"/>
      <c r="OPQ1630" s="1"/>
      <c r="OPR1630" s="1"/>
      <c r="OPS1630" s="1"/>
      <c r="OPT1630" s="1"/>
      <c r="OPU1630" s="1"/>
      <c r="OPV1630" s="1"/>
      <c r="OPW1630" s="1"/>
      <c r="OPX1630" s="1"/>
      <c r="OPY1630" s="1"/>
      <c r="OPZ1630" s="1"/>
      <c r="OQA1630" s="1"/>
      <c r="OQB1630" s="1"/>
      <c r="OQC1630" s="1"/>
      <c r="OQD1630" s="1"/>
      <c r="OQE1630" s="1"/>
      <c r="OQF1630" s="1"/>
      <c r="OQG1630" s="1"/>
      <c r="OQH1630" s="1"/>
      <c r="OQI1630" s="1"/>
      <c r="OQJ1630" s="1"/>
      <c r="OQK1630" s="1"/>
      <c r="OQL1630" s="1"/>
      <c r="OQM1630" s="1"/>
      <c r="OQN1630" s="1"/>
      <c r="OQO1630" s="1"/>
      <c r="OQP1630" s="1"/>
      <c r="OQQ1630" s="1"/>
      <c r="OQR1630" s="1"/>
      <c r="OQS1630" s="1"/>
      <c r="OQT1630" s="1"/>
      <c r="OQU1630" s="1"/>
      <c r="OQV1630" s="1"/>
      <c r="OQW1630" s="1"/>
      <c r="OQX1630" s="1"/>
      <c r="OQY1630" s="1"/>
      <c r="OQZ1630" s="1"/>
      <c r="ORA1630" s="1"/>
      <c r="ORB1630" s="1"/>
      <c r="ORC1630" s="1"/>
      <c r="ORD1630" s="1"/>
      <c r="ORE1630" s="1"/>
      <c r="ORF1630" s="1"/>
      <c r="ORG1630" s="1"/>
      <c r="ORH1630" s="1"/>
      <c r="ORI1630" s="1"/>
      <c r="ORJ1630" s="1"/>
      <c r="ORK1630" s="1"/>
      <c r="ORL1630" s="1"/>
      <c r="ORM1630" s="1"/>
      <c r="ORN1630" s="1"/>
      <c r="ORO1630" s="1"/>
      <c r="ORP1630" s="1"/>
      <c r="ORQ1630" s="1"/>
      <c r="ORR1630" s="1"/>
      <c r="ORS1630" s="1"/>
      <c r="ORT1630" s="1"/>
      <c r="ORU1630" s="1"/>
      <c r="ORV1630" s="1"/>
      <c r="ORW1630" s="1"/>
      <c r="ORX1630" s="1"/>
      <c r="ORY1630" s="1"/>
      <c r="ORZ1630" s="1"/>
      <c r="OSA1630" s="1"/>
      <c r="OSB1630" s="1"/>
      <c r="OSC1630" s="1"/>
      <c r="OSD1630" s="1"/>
      <c r="OSE1630" s="1"/>
      <c r="OSF1630" s="1"/>
      <c r="OSG1630" s="1"/>
      <c r="OSH1630" s="1"/>
      <c r="OSI1630" s="1"/>
      <c r="OSJ1630" s="1"/>
      <c r="OSK1630" s="1"/>
      <c r="OSL1630" s="1"/>
      <c r="OSM1630" s="1"/>
      <c r="OSN1630" s="1"/>
      <c r="OSO1630" s="1"/>
      <c r="OSP1630" s="1"/>
      <c r="OSQ1630" s="1"/>
      <c r="OSR1630" s="1"/>
      <c r="OSS1630" s="1"/>
      <c r="OST1630" s="1"/>
      <c r="OSU1630" s="1"/>
      <c r="OSV1630" s="1"/>
      <c r="OSW1630" s="1"/>
      <c r="OSX1630" s="1"/>
      <c r="OSY1630" s="1"/>
      <c r="OSZ1630" s="1"/>
      <c r="OTA1630" s="1"/>
      <c r="OTB1630" s="1"/>
      <c r="OTC1630" s="1"/>
      <c r="OTD1630" s="1"/>
      <c r="OTE1630" s="1"/>
      <c r="OTF1630" s="1"/>
      <c r="OTG1630" s="1"/>
      <c r="OTH1630" s="1"/>
      <c r="OTI1630" s="1"/>
      <c r="OTJ1630" s="1"/>
      <c r="OTK1630" s="1"/>
      <c r="OTL1630" s="1"/>
      <c r="OTM1630" s="1"/>
      <c r="OTN1630" s="1"/>
      <c r="OTO1630" s="1"/>
      <c r="OTP1630" s="1"/>
      <c r="OTQ1630" s="1"/>
      <c r="OTR1630" s="1"/>
      <c r="OTS1630" s="1"/>
      <c r="OTT1630" s="1"/>
      <c r="OTU1630" s="1"/>
      <c r="OTV1630" s="1"/>
      <c r="OTW1630" s="1"/>
      <c r="OTX1630" s="1"/>
      <c r="OTY1630" s="1"/>
      <c r="OTZ1630" s="1"/>
      <c r="OUA1630" s="1"/>
      <c r="OUB1630" s="1"/>
      <c r="OUC1630" s="1"/>
      <c r="OUD1630" s="1"/>
      <c r="OUE1630" s="1"/>
      <c r="OUF1630" s="1"/>
      <c r="OUG1630" s="1"/>
      <c r="OUH1630" s="1"/>
      <c r="OUI1630" s="1"/>
      <c r="OUJ1630" s="1"/>
      <c r="OUK1630" s="1"/>
      <c r="OUL1630" s="1"/>
      <c r="OUM1630" s="1"/>
      <c r="OUN1630" s="1"/>
      <c r="OUO1630" s="1"/>
      <c r="OUP1630" s="1"/>
      <c r="OUQ1630" s="1"/>
      <c r="OUR1630" s="1"/>
      <c r="OUS1630" s="1"/>
      <c r="OUT1630" s="1"/>
      <c r="OUU1630" s="1"/>
      <c r="OUV1630" s="1"/>
      <c r="OUW1630" s="1"/>
      <c r="OUX1630" s="1"/>
      <c r="OUY1630" s="1"/>
      <c r="OUZ1630" s="1"/>
      <c r="OVA1630" s="1"/>
      <c r="OVB1630" s="1"/>
      <c r="OVC1630" s="1"/>
      <c r="OVD1630" s="1"/>
      <c r="OVE1630" s="1"/>
      <c r="OVF1630" s="1"/>
      <c r="OVG1630" s="1"/>
      <c r="OVH1630" s="1"/>
      <c r="OVI1630" s="1"/>
      <c r="OVJ1630" s="1"/>
      <c r="OVK1630" s="1"/>
      <c r="OVL1630" s="1"/>
      <c r="OVM1630" s="1"/>
      <c r="OVN1630" s="1"/>
      <c r="OVO1630" s="1"/>
      <c r="OVP1630" s="1"/>
      <c r="OVQ1630" s="1"/>
      <c r="OVR1630" s="1"/>
      <c r="OVS1630" s="1"/>
      <c r="OVT1630" s="1"/>
      <c r="OVU1630" s="1"/>
      <c r="OVV1630" s="1"/>
      <c r="OVW1630" s="1"/>
      <c r="OVX1630" s="1"/>
      <c r="OVY1630" s="1"/>
      <c r="OVZ1630" s="1"/>
      <c r="OWA1630" s="1"/>
      <c r="OWB1630" s="1"/>
      <c r="OWC1630" s="1"/>
      <c r="OWD1630" s="1"/>
      <c r="OWE1630" s="1"/>
      <c r="OWF1630" s="1"/>
      <c r="OWG1630" s="1"/>
      <c r="OWH1630" s="1"/>
      <c r="OWI1630" s="1"/>
      <c r="OWJ1630" s="1"/>
      <c r="OWK1630" s="1"/>
      <c r="OWL1630" s="1"/>
      <c r="OWM1630" s="1"/>
      <c r="OWN1630" s="1"/>
      <c r="OWO1630" s="1"/>
      <c r="OWP1630" s="1"/>
      <c r="OWQ1630" s="1"/>
      <c r="OWR1630" s="1"/>
      <c r="OWS1630" s="1"/>
      <c r="OWT1630" s="1"/>
      <c r="OWU1630" s="1"/>
      <c r="OWV1630" s="1"/>
      <c r="OWW1630" s="1"/>
      <c r="OWX1630" s="1"/>
      <c r="OWY1630" s="1"/>
      <c r="OWZ1630" s="1"/>
      <c r="OXA1630" s="1"/>
      <c r="OXB1630" s="1"/>
      <c r="OXC1630" s="1"/>
      <c r="OXD1630" s="1"/>
      <c r="OXE1630" s="1"/>
      <c r="OXF1630" s="1"/>
      <c r="OXG1630" s="1"/>
      <c r="OXH1630" s="1"/>
      <c r="OXI1630" s="1"/>
      <c r="OXJ1630" s="1"/>
      <c r="OXK1630" s="1"/>
      <c r="OXL1630" s="1"/>
      <c r="OXM1630" s="1"/>
      <c r="OXN1630" s="1"/>
      <c r="OXO1630" s="1"/>
      <c r="OXP1630" s="1"/>
      <c r="OXQ1630" s="1"/>
      <c r="OXR1630" s="1"/>
      <c r="OXS1630" s="1"/>
      <c r="OXT1630" s="1"/>
      <c r="OXU1630" s="1"/>
      <c r="OXV1630" s="1"/>
      <c r="OXW1630" s="1"/>
      <c r="OXX1630" s="1"/>
      <c r="OXY1630" s="1"/>
      <c r="OXZ1630" s="1"/>
      <c r="OYA1630" s="1"/>
      <c r="OYB1630" s="1"/>
      <c r="OYC1630" s="1"/>
      <c r="OYD1630" s="1"/>
      <c r="OYE1630" s="1"/>
      <c r="OYF1630" s="1"/>
      <c r="OYG1630" s="1"/>
      <c r="OYH1630" s="1"/>
      <c r="OYI1630" s="1"/>
      <c r="OYJ1630" s="1"/>
      <c r="OYK1630" s="1"/>
      <c r="OYL1630" s="1"/>
      <c r="OYM1630" s="1"/>
      <c r="OYN1630" s="1"/>
      <c r="OYO1630" s="1"/>
      <c r="OYP1630" s="1"/>
      <c r="OYQ1630" s="1"/>
      <c r="OYR1630" s="1"/>
      <c r="OYS1630" s="1"/>
      <c r="OYT1630" s="1"/>
      <c r="OYU1630" s="1"/>
      <c r="OYV1630" s="1"/>
      <c r="OYW1630" s="1"/>
      <c r="OYX1630" s="1"/>
      <c r="OYY1630" s="1"/>
      <c r="OYZ1630" s="1"/>
      <c r="OZA1630" s="1"/>
      <c r="OZB1630" s="1"/>
      <c r="OZC1630" s="1"/>
      <c r="OZD1630" s="1"/>
      <c r="OZE1630" s="1"/>
      <c r="OZF1630" s="1"/>
      <c r="OZG1630" s="1"/>
      <c r="OZH1630" s="1"/>
      <c r="OZI1630" s="1"/>
      <c r="OZJ1630" s="1"/>
      <c r="OZK1630" s="1"/>
      <c r="OZL1630" s="1"/>
      <c r="OZM1630" s="1"/>
      <c r="OZN1630" s="1"/>
      <c r="OZO1630" s="1"/>
      <c r="OZP1630" s="1"/>
      <c r="OZQ1630" s="1"/>
      <c r="OZR1630" s="1"/>
      <c r="OZS1630" s="1"/>
      <c r="OZT1630" s="1"/>
      <c r="OZU1630" s="1"/>
      <c r="OZV1630" s="1"/>
      <c r="OZW1630" s="1"/>
      <c r="OZX1630" s="1"/>
      <c r="OZY1630" s="1"/>
      <c r="OZZ1630" s="1"/>
      <c r="PAA1630" s="1"/>
      <c r="PAB1630" s="1"/>
      <c r="PAC1630" s="1"/>
      <c r="PAD1630" s="1"/>
      <c r="PAE1630" s="1"/>
      <c r="PAF1630" s="1"/>
      <c r="PAG1630" s="1"/>
      <c r="PAH1630" s="1"/>
      <c r="PAI1630" s="1"/>
      <c r="PAJ1630" s="1"/>
      <c r="PAK1630" s="1"/>
      <c r="PAL1630" s="1"/>
      <c r="PAM1630" s="1"/>
      <c r="PAN1630" s="1"/>
      <c r="PAO1630" s="1"/>
      <c r="PAP1630" s="1"/>
      <c r="PAQ1630" s="1"/>
      <c r="PAR1630" s="1"/>
      <c r="PAS1630" s="1"/>
      <c r="PAT1630" s="1"/>
      <c r="PAU1630" s="1"/>
      <c r="PAV1630" s="1"/>
      <c r="PAW1630" s="1"/>
      <c r="PAX1630" s="1"/>
      <c r="PAY1630" s="1"/>
      <c r="PAZ1630" s="1"/>
      <c r="PBA1630" s="1"/>
      <c r="PBB1630" s="1"/>
      <c r="PBC1630" s="1"/>
      <c r="PBD1630" s="1"/>
      <c r="PBE1630" s="1"/>
      <c r="PBF1630" s="1"/>
      <c r="PBG1630" s="1"/>
      <c r="PBH1630" s="1"/>
      <c r="PBI1630" s="1"/>
      <c r="PBJ1630" s="1"/>
      <c r="PBK1630" s="1"/>
      <c r="PBL1630" s="1"/>
      <c r="PBM1630" s="1"/>
      <c r="PBN1630" s="1"/>
      <c r="PBO1630" s="1"/>
      <c r="PBP1630" s="1"/>
      <c r="PBQ1630" s="1"/>
      <c r="PBR1630" s="1"/>
      <c r="PBS1630" s="1"/>
      <c r="PBT1630" s="1"/>
      <c r="PBU1630" s="1"/>
      <c r="PBV1630" s="1"/>
      <c r="PBW1630" s="1"/>
      <c r="PBX1630" s="1"/>
      <c r="PBY1630" s="1"/>
      <c r="PBZ1630" s="1"/>
      <c r="PCA1630" s="1"/>
      <c r="PCB1630" s="1"/>
      <c r="PCC1630" s="1"/>
      <c r="PCD1630" s="1"/>
      <c r="PCE1630" s="1"/>
      <c r="PCF1630" s="1"/>
      <c r="PCG1630" s="1"/>
      <c r="PCH1630" s="1"/>
      <c r="PCI1630" s="1"/>
      <c r="PCJ1630" s="1"/>
      <c r="PCK1630" s="1"/>
      <c r="PCL1630" s="1"/>
      <c r="PCM1630" s="1"/>
      <c r="PCN1630" s="1"/>
      <c r="PCO1630" s="1"/>
      <c r="PCP1630" s="1"/>
      <c r="PCQ1630" s="1"/>
      <c r="PCR1630" s="1"/>
      <c r="PCS1630" s="1"/>
      <c r="PCT1630" s="1"/>
      <c r="PCU1630" s="1"/>
      <c r="PCV1630" s="1"/>
      <c r="PCW1630" s="1"/>
      <c r="PCX1630" s="1"/>
      <c r="PCY1630" s="1"/>
      <c r="PCZ1630" s="1"/>
      <c r="PDA1630" s="1"/>
      <c r="PDB1630" s="1"/>
      <c r="PDC1630" s="1"/>
      <c r="PDD1630" s="1"/>
      <c r="PDE1630" s="1"/>
      <c r="PDF1630" s="1"/>
      <c r="PDG1630" s="1"/>
      <c r="PDH1630" s="1"/>
      <c r="PDI1630" s="1"/>
      <c r="PDJ1630" s="1"/>
      <c r="PDK1630" s="1"/>
      <c r="PDL1630" s="1"/>
      <c r="PDM1630" s="1"/>
      <c r="PDN1630" s="1"/>
      <c r="PDO1630" s="1"/>
      <c r="PDP1630" s="1"/>
      <c r="PDQ1630" s="1"/>
      <c r="PDR1630" s="1"/>
      <c r="PDS1630" s="1"/>
      <c r="PDT1630" s="1"/>
      <c r="PDU1630" s="1"/>
      <c r="PDV1630" s="1"/>
      <c r="PDW1630" s="1"/>
      <c r="PDX1630" s="1"/>
      <c r="PDY1630" s="1"/>
      <c r="PDZ1630" s="1"/>
      <c r="PEA1630" s="1"/>
      <c r="PEB1630" s="1"/>
      <c r="PEC1630" s="1"/>
      <c r="PED1630" s="1"/>
      <c r="PEE1630" s="1"/>
      <c r="PEF1630" s="1"/>
      <c r="PEG1630" s="1"/>
      <c r="PEH1630" s="1"/>
      <c r="PEI1630" s="1"/>
      <c r="PEJ1630" s="1"/>
      <c r="PEK1630" s="1"/>
      <c r="PEL1630" s="1"/>
      <c r="PEM1630" s="1"/>
      <c r="PEN1630" s="1"/>
      <c r="PEO1630" s="1"/>
      <c r="PEP1630" s="1"/>
      <c r="PEQ1630" s="1"/>
      <c r="PER1630" s="1"/>
      <c r="PES1630" s="1"/>
      <c r="PET1630" s="1"/>
      <c r="PEU1630" s="1"/>
      <c r="PEV1630" s="1"/>
      <c r="PEW1630" s="1"/>
      <c r="PEX1630" s="1"/>
      <c r="PEY1630" s="1"/>
      <c r="PEZ1630" s="1"/>
      <c r="PFA1630" s="1"/>
      <c r="PFB1630" s="1"/>
      <c r="PFC1630" s="1"/>
      <c r="PFD1630" s="1"/>
      <c r="PFE1630" s="1"/>
      <c r="PFF1630" s="1"/>
      <c r="PFG1630" s="1"/>
      <c r="PFH1630" s="1"/>
      <c r="PFI1630" s="1"/>
      <c r="PFJ1630" s="1"/>
      <c r="PFK1630" s="1"/>
      <c r="PFL1630" s="1"/>
      <c r="PFM1630" s="1"/>
      <c r="PFN1630" s="1"/>
      <c r="PFO1630" s="1"/>
      <c r="PFP1630" s="1"/>
      <c r="PFQ1630" s="1"/>
      <c r="PFR1630" s="1"/>
      <c r="PFS1630" s="1"/>
      <c r="PFT1630" s="1"/>
      <c r="PFU1630" s="1"/>
      <c r="PFV1630" s="1"/>
      <c r="PFW1630" s="1"/>
      <c r="PFX1630" s="1"/>
      <c r="PFY1630" s="1"/>
      <c r="PFZ1630" s="1"/>
      <c r="PGA1630" s="1"/>
      <c r="PGB1630" s="1"/>
      <c r="PGC1630" s="1"/>
      <c r="PGD1630" s="1"/>
      <c r="PGE1630" s="1"/>
      <c r="PGF1630" s="1"/>
      <c r="PGG1630" s="1"/>
      <c r="PGH1630" s="1"/>
      <c r="PGI1630" s="1"/>
      <c r="PGJ1630" s="1"/>
      <c r="PGK1630" s="1"/>
      <c r="PGL1630" s="1"/>
      <c r="PGM1630" s="1"/>
      <c r="PGN1630" s="1"/>
      <c r="PGO1630" s="1"/>
      <c r="PGP1630" s="1"/>
      <c r="PGQ1630" s="1"/>
      <c r="PGR1630" s="1"/>
      <c r="PGS1630" s="1"/>
      <c r="PGT1630" s="1"/>
      <c r="PGU1630" s="1"/>
      <c r="PGV1630" s="1"/>
      <c r="PGW1630" s="1"/>
      <c r="PGX1630" s="1"/>
      <c r="PGY1630" s="1"/>
      <c r="PGZ1630" s="1"/>
      <c r="PHA1630" s="1"/>
      <c r="PHB1630" s="1"/>
      <c r="PHC1630" s="1"/>
      <c r="PHD1630" s="1"/>
      <c r="PHE1630" s="1"/>
      <c r="PHF1630" s="1"/>
      <c r="PHG1630" s="1"/>
      <c r="PHH1630" s="1"/>
      <c r="PHI1630" s="1"/>
      <c r="PHJ1630" s="1"/>
      <c r="PHK1630" s="1"/>
      <c r="PHL1630" s="1"/>
      <c r="PHM1630" s="1"/>
      <c r="PHN1630" s="1"/>
      <c r="PHO1630" s="1"/>
      <c r="PHP1630" s="1"/>
      <c r="PHQ1630" s="1"/>
      <c r="PHR1630" s="1"/>
      <c r="PHS1630" s="1"/>
      <c r="PHT1630" s="1"/>
      <c r="PHU1630" s="1"/>
      <c r="PHV1630" s="1"/>
      <c r="PHW1630" s="1"/>
      <c r="PHX1630" s="1"/>
      <c r="PHY1630" s="1"/>
      <c r="PHZ1630" s="1"/>
      <c r="PIA1630" s="1"/>
      <c r="PIB1630" s="1"/>
      <c r="PIC1630" s="1"/>
      <c r="PID1630" s="1"/>
      <c r="PIE1630" s="1"/>
      <c r="PIF1630" s="1"/>
      <c r="PIG1630" s="1"/>
      <c r="PIH1630" s="1"/>
      <c r="PII1630" s="1"/>
      <c r="PIJ1630" s="1"/>
      <c r="PIK1630" s="1"/>
      <c r="PIL1630" s="1"/>
      <c r="PIM1630" s="1"/>
      <c r="PIN1630" s="1"/>
      <c r="PIO1630" s="1"/>
      <c r="PIP1630" s="1"/>
      <c r="PIQ1630" s="1"/>
      <c r="PIR1630" s="1"/>
      <c r="PIS1630" s="1"/>
      <c r="PIT1630" s="1"/>
      <c r="PIU1630" s="1"/>
      <c r="PIV1630" s="1"/>
      <c r="PIW1630" s="1"/>
      <c r="PIX1630" s="1"/>
      <c r="PIY1630" s="1"/>
      <c r="PIZ1630" s="1"/>
      <c r="PJA1630" s="1"/>
      <c r="PJB1630" s="1"/>
      <c r="PJC1630" s="1"/>
      <c r="PJD1630" s="1"/>
      <c r="PJE1630" s="1"/>
      <c r="PJF1630" s="1"/>
      <c r="PJG1630" s="1"/>
      <c r="PJH1630" s="1"/>
      <c r="PJI1630" s="1"/>
      <c r="PJJ1630" s="1"/>
      <c r="PJK1630" s="1"/>
      <c r="PJL1630" s="1"/>
      <c r="PJM1630" s="1"/>
      <c r="PJN1630" s="1"/>
      <c r="PJO1630" s="1"/>
      <c r="PJP1630" s="1"/>
      <c r="PJQ1630" s="1"/>
      <c r="PJR1630" s="1"/>
      <c r="PJS1630" s="1"/>
      <c r="PJT1630" s="1"/>
      <c r="PJU1630" s="1"/>
      <c r="PJV1630" s="1"/>
      <c r="PJW1630" s="1"/>
      <c r="PJX1630" s="1"/>
      <c r="PJY1630" s="1"/>
      <c r="PJZ1630" s="1"/>
      <c r="PKA1630" s="1"/>
      <c r="PKB1630" s="1"/>
      <c r="PKC1630" s="1"/>
      <c r="PKD1630" s="1"/>
      <c r="PKE1630" s="1"/>
      <c r="PKF1630" s="1"/>
      <c r="PKG1630" s="1"/>
      <c r="PKH1630" s="1"/>
      <c r="PKI1630" s="1"/>
      <c r="PKJ1630" s="1"/>
      <c r="PKK1630" s="1"/>
      <c r="PKL1630" s="1"/>
      <c r="PKM1630" s="1"/>
      <c r="PKN1630" s="1"/>
      <c r="PKO1630" s="1"/>
      <c r="PKP1630" s="1"/>
      <c r="PKQ1630" s="1"/>
      <c r="PKR1630" s="1"/>
      <c r="PKS1630" s="1"/>
      <c r="PKT1630" s="1"/>
      <c r="PKU1630" s="1"/>
      <c r="PKV1630" s="1"/>
      <c r="PKW1630" s="1"/>
      <c r="PKX1630" s="1"/>
      <c r="PKY1630" s="1"/>
      <c r="PKZ1630" s="1"/>
      <c r="PLA1630" s="1"/>
      <c r="PLB1630" s="1"/>
      <c r="PLC1630" s="1"/>
      <c r="PLD1630" s="1"/>
      <c r="PLE1630" s="1"/>
      <c r="PLF1630" s="1"/>
      <c r="PLG1630" s="1"/>
      <c r="PLH1630" s="1"/>
      <c r="PLI1630" s="1"/>
      <c r="PLJ1630" s="1"/>
      <c r="PLK1630" s="1"/>
      <c r="PLL1630" s="1"/>
      <c r="PLM1630" s="1"/>
      <c r="PLN1630" s="1"/>
      <c r="PLO1630" s="1"/>
      <c r="PLP1630" s="1"/>
      <c r="PLQ1630" s="1"/>
      <c r="PLR1630" s="1"/>
      <c r="PLS1630" s="1"/>
      <c r="PLT1630" s="1"/>
      <c r="PLU1630" s="1"/>
      <c r="PLV1630" s="1"/>
      <c r="PLW1630" s="1"/>
      <c r="PLX1630" s="1"/>
      <c r="PLY1630" s="1"/>
      <c r="PLZ1630" s="1"/>
      <c r="PMA1630" s="1"/>
      <c r="PMB1630" s="1"/>
      <c r="PMC1630" s="1"/>
      <c r="PMD1630" s="1"/>
      <c r="PME1630" s="1"/>
      <c r="PMF1630" s="1"/>
      <c r="PMG1630" s="1"/>
      <c r="PMH1630" s="1"/>
      <c r="PMI1630" s="1"/>
      <c r="PMJ1630" s="1"/>
      <c r="PMK1630" s="1"/>
      <c r="PML1630" s="1"/>
      <c r="PMM1630" s="1"/>
      <c r="PMN1630" s="1"/>
      <c r="PMO1630" s="1"/>
      <c r="PMP1630" s="1"/>
      <c r="PMQ1630" s="1"/>
      <c r="PMR1630" s="1"/>
      <c r="PMS1630" s="1"/>
      <c r="PMT1630" s="1"/>
      <c r="PMU1630" s="1"/>
      <c r="PMV1630" s="1"/>
      <c r="PMW1630" s="1"/>
      <c r="PMX1630" s="1"/>
      <c r="PMY1630" s="1"/>
      <c r="PMZ1630" s="1"/>
      <c r="PNA1630" s="1"/>
      <c r="PNB1630" s="1"/>
      <c r="PNC1630" s="1"/>
      <c r="PND1630" s="1"/>
      <c r="PNE1630" s="1"/>
      <c r="PNF1630" s="1"/>
      <c r="PNG1630" s="1"/>
      <c r="PNH1630" s="1"/>
      <c r="PNI1630" s="1"/>
      <c r="PNJ1630" s="1"/>
      <c r="PNK1630" s="1"/>
      <c r="PNL1630" s="1"/>
      <c r="PNM1630" s="1"/>
      <c r="PNN1630" s="1"/>
      <c r="PNO1630" s="1"/>
      <c r="PNP1630" s="1"/>
      <c r="PNQ1630" s="1"/>
      <c r="PNR1630" s="1"/>
      <c r="PNS1630" s="1"/>
      <c r="PNT1630" s="1"/>
      <c r="PNU1630" s="1"/>
      <c r="PNV1630" s="1"/>
      <c r="PNW1630" s="1"/>
      <c r="PNX1630" s="1"/>
      <c r="PNY1630" s="1"/>
      <c r="PNZ1630" s="1"/>
      <c r="POA1630" s="1"/>
      <c r="POB1630" s="1"/>
      <c r="POC1630" s="1"/>
      <c r="POD1630" s="1"/>
      <c r="POE1630" s="1"/>
      <c r="POF1630" s="1"/>
      <c r="POG1630" s="1"/>
      <c r="POH1630" s="1"/>
      <c r="POI1630" s="1"/>
      <c r="POJ1630" s="1"/>
      <c r="POK1630" s="1"/>
      <c r="POL1630" s="1"/>
      <c r="POM1630" s="1"/>
      <c r="PON1630" s="1"/>
      <c r="POO1630" s="1"/>
      <c r="POP1630" s="1"/>
      <c r="POQ1630" s="1"/>
      <c r="POR1630" s="1"/>
      <c r="POS1630" s="1"/>
      <c r="POT1630" s="1"/>
      <c r="POU1630" s="1"/>
      <c r="POV1630" s="1"/>
      <c r="POW1630" s="1"/>
      <c r="POX1630" s="1"/>
      <c r="POY1630" s="1"/>
      <c r="POZ1630" s="1"/>
      <c r="PPA1630" s="1"/>
      <c r="PPB1630" s="1"/>
      <c r="PPC1630" s="1"/>
      <c r="PPD1630" s="1"/>
      <c r="PPE1630" s="1"/>
      <c r="PPF1630" s="1"/>
      <c r="PPG1630" s="1"/>
      <c r="PPH1630" s="1"/>
      <c r="PPI1630" s="1"/>
      <c r="PPJ1630" s="1"/>
      <c r="PPK1630" s="1"/>
      <c r="PPL1630" s="1"/>
      <c r="PPM1630" s="1"/>
      <c r="PPN1630" s="1"/>
      <c r="PPO1630" s="1"/>
      <c r="PPP1630" s="1"/>
      <c r="PPQ1630" s="1"/>
      <c r="PPR1630" s="1"/>
      <c r="PPS1630" s="1"/>
      <c r="PPT1630" s="1"/>
      <c r="PPU1630" s="1"/>
      <c r="PPV1630" s="1"/>
      <c r="PPW1630" s="1"/>
      <c r="PPX1630" s="1"/>
      <c r="PPY1630" s="1"/>
      <c r="PPZ1630" s="1"/>
      <c r="PQA1630" s="1"/>
      <c r="PQB1630" s="1"/>
      <c r="PQC1630" s="1"/>
      <c r="PQD1630" s="1"/>
      <c r="PQE1630" s="1"/>
      <c r="PQF1630" s="1"/>
      <c r="PQG1630" s="1"/>
      <c r="PQH1630" s="1"/>
      <c r="PQI1630" s="1"/>
      <c r="PQJ1630" s="1"/>
      <c r="PQK1630" s="1"/>
      <c r="PQL1630" s="1"/>
      <c r="PQM1630" s="1"/>
      <c r="PQN1630" s="1"/>
      <c r="PQO1630" s="1"/>
      <c r="PQP1630" s="1"/>
      <c r="PQQ1630" s="1"/>
      <c r="PQR1630" s="1"/>
      <c r="PQS1630" s="1"/>
      <c r="PQT1630" s="1"/>
      <c r="PQU1630" s="1"/>
      <c r="PQV1630" s="1"/>
      <c r="PQW1630" s="1"/>
      <c r="PQX1630" s="1"/>
      <c r="PQY1630" s="1"/>
      <c r="PQZ1630" s="1"/>
      <c r="PRA1630" s="1"/>
      <c r="PRB1630" s="1"/>
      <c r="PRC1630" s="1"/>
      <c r="PRD1630" s="1"/>
      <c r="PRE1630" s="1"/>
      <c r="PRF1630" s="1"/>
      <c r="PRG1630" s="1"/>
      <c r="PRH1630" s="1"/>
      <c r="PRI1630" s="1"/>
      <c r="PRJ1630" s="1"/>
      <c r="PRK1630" s="1"/>
      <c r="PRL1630" s="1"/>
      <c r="PRM1630" s="1"/>
      <c r="PRN1630" s="1"/>
      <c r="PRO1630" s="1"/>
      <c r="PRP1630" s="1"/>
      <c r="PRQ1630" s="1"/>
      <c r="PRR1630" s="1"/>
      <c r="PRS1630" s="1"/>
      <c r="PRT1630" s="1"/>
      <c r="PRU1630" s="1"/>
      <c r="PRV1630" s="1"/>
      <c r="PRW1630" s="1"/>
      <c r="PRX1630" s="1"/>
      <c r="PRY1630" s="1"/>
      <c r="PRZ1630" s="1"/>
      <c r="PSA1630" s="1"/>
      <c r="PSB1630" s="1"/>
      <c r="PSC1630" s="1"/>
      <c r="PSD1630" s="1"/>
      <c r="PSE1630" s="1"/>
      <c r="PSF1630" s="1"/>
      <c r="PSG1630" s="1"/>
      <c r="PSH1630" s="1"/>
      <c r="PSI1630" s="1"/>
      <c r="PSJ1630" s="1"/>
      <c r="PSK1630" s="1"/>
      <c r="PSL1630" s="1"/>
      <c r="PSM1630" s="1"/>
      <c r="PSN1630" s="1"/>
      <c r="PSO1630" s="1"/>
      <c r="PSP1630" s="1"/>
      <c r="PSQ1630" s="1"/>
      <c r="PSR1630" s="1"/>
      <c r="PSS1630" s="1"/>
      <c r="PST1630" s="1"/>
      <c r="PSU1630" s="1"/>
      <c r="PSV1630" s="1"/>
      <c r="PSW1630" s="1"/>
      <c r="PSX1630" s="1"/>
      <c r="PSY1630" s="1"/>
      <c r="PSZ1630" s="1"/>
      <c r="PTA1630" s="1"/>
      <c r="PTB1630" s="1"/>
      <c r="PTC1630" s="1"/>
      <c r="PTD1630" s="1"/>
      <c r="PTE1630" s="1"/>
      <c r="PTF1630" s="1"/>
      <c r="PTG1630" s="1"/>
      <c r="PTH1630" s="1"/>
      <c r="PTI1630" s="1"/>
      <c r="PTJ1630" s="1"/>
      <c r="PTK1630" s="1"/>
      <c r="PTL1630" s="1"/>
      <c r="PTM1630" s="1"/>
      <c r="PTN1630" s="1"/>
      <c r="PTO1630" s="1"/>
      <c r="PTP1630" s="1"/>
      <c r="PTQ1630" s="1"/>
      <c r="PTR1630" s="1"/>
      <c r="PTS1630" s="1"/>
      <c r="PTT1630" s="1"/>
      <c r="PTU1630" s="1"/>
      <c r="PTV1630" s="1"/>
      <c r="PTW1630" s="1"/>
      <c r="PTX1630" s="1"/>
      <c r="PTY1630" s="1"/>
      <c r="PTZ1630" s="1"/>
      <c r="PUA1630" s="1"/>
      <c r="PUB1630" s="1"/>
      <c r="PUC1630" s="1"/>
      <c r="PUD1630" s="1"/>
      <c r="PUE1630" s="1"/>
      <c r="PUF1630" s="1"/>
      <c r="PUG1630" s="1"/>
      <c r="PUH1630" s="1"/>
      <c r="PUI1630" s="1"/>
      <c r="PUJ1630" s="1"/>
      <c r="PUK1630" s="1"/>
      <c r="PUL1630" s="1"/>
      <c r="PUM1630" s="1"/>
      <c r="PUN1630" s="1"/>
      <c r="PUO1630" s="1"/>
      <c r="PUP1630" s="1"/>
      <c r="PUQ1630" s="1"/>
      <c r="PUR1630" s="1"/>
      <c r="PUS1630" s="1"/>
      <c r="PUT1630" s="1"/>
      <c r="PUU1630" s="1"/>
      <c r="PUV1630" s="1"/>
      <c r="PUW1630" s="1"/>
      <c r="PUX1630" s="1"/>
      <c r="PUY1630" s="1"/>
      <c r="PUZ1630" s="1"/>
      <c r="PVA1630" s="1"/>
      <c r="PVB1630" s="1"/>
      <c r="PVC1630" s="1"/>
      <c r="PVD1630" s="1"/>
      <c r="PVE1630" s="1"/>
      <c r="PVF1630" s="1"/>
      <c r="PVG1630" s="1"/>
      <c r="PVH1630" s="1"/>
      <c r="PVI1630" s="1"/>
      <c r="PVJ1630" s="1"/>
      <c r="PVK1630" s="1"/>
      <c r="PVL1630" s="1"/>
      <c r="PVM1630" s="1"/>
      <c r="PVN1630" s="1"/>
      <c r="PVO1630" s="1"/>
      <c r="PVP1630" s="1"/>
      <c r="PVQ1630" s="1"/>
      <c r="PVR1630" s="1"/>
      <c r="PVS1630" s="1"/>
      <c r="PVT1630" s="1"/>
      <c r="PVU1630" s="1"/>
      <c r="PVV1630" s="1"/>
      <c r="PVW1630" s="1"/>
      <c r="PVX1630" s="1"/>
      <c r="PVY1630" s="1"/>
      <c r="PVZ1630" s="1"/>
      <c r="PWA1630" s="1"/>
      <c r="PWB1630" s="1"/>
      <c r="PWC1630" s="1"/>
      <c r="PWD1630" s="1"/>
      <c r="PWE1630" s="1"/>
      <c r="PWF1630" s="1"/>
      <c r="PWG1630" s="1"/>
      <c r="PWH1630" s="1"/>
      <c r="PWI1630" s="1"/>
      <c r="PWJ1630" s="1"/>
      <c r="PWK1630" s="1"/>
      <c r="PWL1630" s="1"/>
      <c r="PWM1630" s="1"/>
      <c r="PWN1630" s="1"/>
      <c r="PWO1630" s="1"/>
      <c r="PWP1630" s="1"/>
      <c r="PWQ1630" s="1"/>
      <c r="PWR1630" s="1"/>
      <c r="PWS1630" s="1"/>
      <c r="PWT1630" s="1"/>
      <c r="PWU1630" s="1"/>
      <c r="PWV1630" s="1"/>
      <c r="PWW1630" s="1"/>
      <c r="PWX1630" s="1"/>
      <c r="PWY1630" s="1"/>
      <c r="PWZ1630" s="1"/>
      <c r="PXA1630" s="1"/>
      <c r="PXB1630" s="1"/>
      <c r="PXC1630" s="1"/>
      <c r="PXD1630" s="1"/>
      <c r="PXE1630" s="1"/>
      <c r="PXF1630" s="1"/>
      <c r="PXG1630" s="1"/>
      <c r="PXH1630" s="1"/>
      <c r="PXI1630" s="1"/>
      <c r="PXJ1630" s="1"/>
      <c r="PXK1630" s="1"/>
      <c r="PXL1630" s="1"/>
      <c r="PXM1630" s="1"/>
      <c r="PXN1630" s="1"/>
      <c r="PXO1630" s="1"/>
      <c r="PXP1630" s="1"/>
      <c r="PXQ1630" s="1"/>
      <c r="PXR1630" s="1"/>
      <c r="PXS1630" s="1"/>
      <c r="PXT1630" s="1"/>
      <c r="PXU1630" s="1"/>
      <c r="PXV1630" s="1"/>
      <c r="PXW1630" s="1"/>
      <c r="PXX1630" s="1"/>
      <c r="PXY1630" s="1"/>
      <c r="PXZ1630" s="1"/>
      <c r="PYA1630" s="1"/>
      <c r="PYB1630" s="1"/>
      <c r="PYC1630" s="1"/>
      <c r="PYD1630" s="1"/>
      <c r="PYE1630" s="1"/>
      <c r="PYF1630" s="1"/>
      <c r="PYG1630" s="1"/>
      <c r="PYH1630" s="1"/>
      <c r="PYI1630" s="1"/>
      <c r="PYJ1630" s="1"/>
      <c r="PYK1630" s="1"/>
      <c r="PYL1630" s="1"/>
      <c r="PYM1630" s="1"/>
      <c r="PYN1630" s="1"/>
      <c r="PYO1630" s="1"/>
      <c r="PYP1630" s="1"/>
      <c r="PYQ1630" s="1"/>
      <c r="PYR1630" s="1"/>
      <c r="PYS1630" s="1"/>
      <c r="PYT1630" s="1"/>
      <c r="PYU1630" s="1"/>
      <c r="PYV1630" s="1"/>
      <c r="PYW1630" s="1"/>
      <c r="PYX1630" s="1"/>
      <c r="PYY1630" s="1"/>
      <c r="PYZ1630" s="1"/>
      <c r="PZA1630" s="1"/>
      <c r="PZB1630" s="1"/>
      <c r="PZC1630" s="1"/>
      <c r="PZD1630" s="1"/>
      <c r="PZE1630" s="1"/>
      <c r="PZF1630" s="1"/>
      <c r="PZG1630" s="1"/>
      <c r="PZH1630" s="1"/>
      <c r="PZI1630" s="1"/>
      <c r="PZJ1630" s="1"/>
      <c r="PZK1630" s="1"/>
      <c r="PZL1630" s="1"/>
      <c r="PZM1630" s="1"/>
      <c r="PZN1630" s="1"/>
      <c r="PZO1630" s="1"/>
      <c r="PZP1630" s="1"/>
      <c r="PZQ1630" s="1"/>
      <c r="PZR1630" s="1"/>
      <c r="PZS1630" s="1"/>
      <c r="PZT1630" s="1"/>
      <c r="PZU1630" s="1"/>
      <c r="PZV1630" s="1"/>
      <c r="PZW1630" s="1"/>
      <c r="PZX1630" s="1"/>
      <c r="PZY1630" s="1"/>
      <c r="PZZ1630" s="1"/>
      <c r="QAA1630" s="1"/>
      <c r="QAB1630" s="1"/>
      <c r="QAC1630" s="1"/>
      <c r="QAD1630" s="1"/>
      <c r="QAE1630" s="1"/>
      <c r="QAF1630" s="1"/>
      <c r="QAG1630" s="1"/>
      <c r="QAH1630" s="1"/>
      <c r="QAI1630" s="1"/>
      <c r="QAJ1630" s="1"/>
      <c r="QAK1630" s="1"/>
      <c r="QAL1630" s="1"/>
      <c r="QAM1630" s="1"/>
      <c r="QAN1630" s="1"/>
      <c r="QAO1630" s="1"/>
      <c r="QAP1630" s="1"/>
      <c r="QAQ1630" s="1"/>
      <c r="QAR1630" s="1"/>
      <c r="QAS1630" s="1"/>
      <c r="QAT1630" s="1"/>
      <c r="QAU1630" s="1"/>
      <c r="QAV1630" s="1"/>
      <c r="QAW1630" s="1"/>
      <c r="QAX1630" s="1"/>
      <c r="QAY1630" s="1"/>
      <c r="QAZ1630" s="1"/>
      <c r="QBA1630" s="1"/>
      <c r="QBB1630" s="1"/>
      <c r="QBC1630" s="1"/>
      <c r="QBD1630" s="1"/>
      <c r="QBE1630" s="1"/>
      <c r="QBF1630" s="1"/>
      <c r="QBG1630" s="1"/>
      <c r="QBH1630" s="1"/>
      <c r="QBI1630" s="1"/>
      <c r="QBJ1630" s="1"/>
      <c r="QBK1630" s="1"/>
      <c r="QBL1630" s="1"/>
      <c r="QBM1630" s="1"/>
      <c r="QBN1630" s="1"/>
      <c r="QBO1630" s="1"/>
      <c r="QBP1630" s="1"/>
      <c r="QBQ1630" s="1"/>
      <c r="QBR1630" s="1"/>
      <c r="QBS1630" s="1"/>
      <c r="QBT1630" s="1"/>
      <c r="QBU1630" s="1"/>
      <c r="QBV1630" s="1"/>
      <c r="QBW1630" s="1"/>
      <c r="QBX1630" s="1"/>
      <c r="QBY1630" s="1"/>
      <c r="QBZ1630" s="1"/>
      <c r="QCA1630" s="1"/>
      <c r="QCB1630" s="1"/>
      <c r="QCC1630" s="1"/>
      <c r="QCD1630" s="1"/>
      <c r="QCE1630" s="1"/>
      <c r="QCF1630" s="1"/>
      <c r="QCG1630" s="1"/>
      <c r="QCH1630" s="1"/>
      <c r="QCI1630" s="1"/>
      <c r="QCJ1630" s="1"/>
      <c r="QCK1630" s="1"/>
      <c r="QCL1630" s="1"/>
      <c r="QCM1630" s="1"/>
      <c r="QCN1630" s="1"/>
      <c r="QCO1630" s="1"/>
      <c r="QCP1630" s="1"/>
      <c r="QCQ1630" s="1"/>
      <c r="QCR1630" s="1"/>
      <c r="QCS1630" s="1"/>
      <c r="QCT1630" s="1"/>
      <c r="QCU1630" s="1"/>
      <c r="QCV1630" s="1"/>
      <c r="QCW1630" s="1"/>
      <c r="QCX1630" s="1"/>
      <c r="QCY1630" s="1"/>
      <c r="QCZ1630" s="1"/>
      <c r="QDA1630" s="1"/>
      <c r="QDB1630" s="1"/>
      <c r="QDC1630" s="1"/>
      <c r="QDD1630" s="1"/>
      <c r="QDE1630" s="1"/>
      <c r="QDF1630" s="1"/>
      <c r="QDG1630" s="1"/>
      <c r="QDH1630" s="1"/>
      <c r="QDI1630" s="1"/>
      <c r="QDJ1630" s="1"/>
      <c r="QDK1630" s="1"/>
      <c r="QDL1630" s="1"/>
      <c r="QDM1630" s="1"/>
      <c r="QDN1630" s="1"/>
      <c r="QDO1630" s="1"/>
      <c r="QDP1630" s="1"/>
      <c r="QDQ1630" s="1"/>
      <c r="QDR1630" s="1"/>
      <c r="QDS1630" s="1"/>
      <c r="QDT1630" s="1"/>
      <c r="QDU1630" s="1"/>
      <c r="QDV1630" s="1"/>
      <c r="QDW1630" s="1"/>
      <c r="QDX1630" s="1"/>
      <c r="QDY1630" s="1"/>
      <c r="QDZ1630" s="1"/>
      <c r="QEA1630" s="1"/>
      <c r="QEB1630" s="1"/>
      <c r="QEC1630" s="1"/>
      <c r="QED1630" s="1"/>
      <c r="QEE1630" s="1"/>
      <c r="QEF1630" s="1"/>
      <c r="QEG1630" s="1"/>
      <c r="QEH1630" s="1"/>
      <c r="QEI1630" s="1"/>
      <c r="QEJ1630" s="1"/>
      <c r="QEK1630" s="1"/>
      <c r="QEL1630" s="1"/>
      <c r="QEM1630" s="1"/>
      <c r="QEN1630" s="1"/>
      <c r="QEO1630" s="1"/>
      <c r="QEP1630" s="1"/>
      <c r="QEQ1630" s="1"/>
      <c r="QER1630" s="1"/>
      <c r="QES1630" s="1"/>
      <c r="QET1630" s="1"/>
      <c r="QEU1630" s="1"/>
      <c r="QEV1630" s="1"/>
      <c r="QEW1630" s="1"/>
      <c r="QEX1630" s="1"/>
      <c r="QEY1630" s="1"/>
      <c r="QEZ1630" s="1"/>
      <c r="QFA1630" s="1"/>
      <c r="QFB1630" s="1"/>
      <c r="QFC1630" s="1"/>
      <c r="QFD1630" s="1"/>
      <c r="QFE1630" s="1"/>
      <c r="QFF1630" s="1"/>
      <c r="QFG1630" s="1"/>
      <c r="QFH1630" s="1"/>
      <c r="QFI1630" s="1"/>
      <c r="QFJ1630" s="1"/>
      <c r="QFK1630" s="1"/>
      <c r="QFL1630" s="1"/>
      <c r="QFM1630" s="1"/>
      <c r="QFN1630" s="1"/>
      <c r="QFO1630" s="1"/>
      <c r="QFP1630" s="1"/>
      <c r="QFQ1630" s="1"/>
      <c r="QFR1630" s="1"/>
      <c r="QFS1630" s="1"/>
      <c r="QFT1630" s="1"/>
      <c r="QFU1630" s="1"/>
      <c r="QFV1630" s="1"/>
      <c r="QFW1630" s="1"/>
      <c r="QFX1630" s="1"/>
      <c r="QFY1630" s="1"/>
      <c r="QFZ1630" s="1"/>
      <c r="QGA1630" s="1"/>
      <c r="QGB1630" s="1"/>
      <c r="QGC1630" s="1"/>
      <c r="QGD1630" s="1"/>
      <c r="QGE1630" s="1"/>
      <c r="QGF1630" s="1"/>
      <c r="QGG1630" s="1"/>
      <c r="QGH1630" s="1"/>
      <c r="QGI1630" s="1"/>
      <c r="QGJ1630" s="1"/>
      <c r="QGK1630" s="1"/>
      <c r="QGL1630" s="1"/>
      <c r="QGM1630" s="1"/>
      <c r="QGN1630" s="1"/>
      <c r="QGO1630" s="1"/>
      <c r="QGP1630" s="1"/>
      <c r="QGQ1630" s="1"/>
      <c r="QGR1630" s="1"/>
      <c r="QGS1630" s="1"/>
      <c r="QGT1630" s="1"/>
      <c r="QGU1630" s="1"/>
      <c r="QGV1630" s="1"/>
      <c r="QGW1630" s="1"/>
      <c r="QGX1630" s="1"/>
      <c r="QGY1630" s="1"/>
      <c r="QGZ1630" s="1"/>
      <c r="QHA1630" s="1"/>
      <c r="QHB1630" s="1"/>
      <c r="QHC1630" s="1"/>
      <c r="QHD1630" s="1"/>
      <c r="QHE1630" s="1"/>
      <c r="QHF1630" s="1"/>
      <c r="QHG1630" s="1"/>
      <c r="QHH1630" s="1"/>
      <c r="QHI1630" s="1"/>
      <c r="QHJ1630" s="1"/>
      <c r="QHK1630" s="1"/>
      <c r="QHL1630" s="1"/>
      <c r="QHM1630" s="1"/>
      <c r="QHN1630" s="1"/>
      <c r="QHO1630" s="1"/>
      <c r="QHP1630" s="1"/>
      <c r="QHQ1630" s="1"/>
      <c r="QHR1630" s="1"/>
      <c r="QHS1630" s="1"/>
      <c r="QHT1630" s="1"/>
      <c r="QHU1630" s="1"/>
      <c r="QHV1630" s="1"/>
      <c r="QHW1630" s="1"/>
      <c r="QHX1630" s="1"/>
      <c r="QHY1630" s="1"/>
      <c r="QHZ1630" s="1"/>
      <c r="QIA1630" s="1"/>
      <c r="QIB1630" s="1"/>
      <c r="QIC1630" s="1"/>
      <c r="QID1630" s="1"/>
      <c r="QIE1630" s="1"/>
      <c r="QIF1630" s="1"/>
      <c r="QIG1630" s="1"/>
      <c r="QIH1630" s="1"/>
      <c r="QII1630" s="1"/>
      <c r="QIJ1630" s="1"/>
      <c r="QIK1630" s="1"/>
      <c r="QIL1630" s="1"/>
      <c r="QIM1630" s="1"/>
      <c r="QIN1630" s="1"/>
      <c r="QIO1630" s="1"/>
      <c r="QIP1630" s="1"/>
      <c r="QIQ1630" s="1"/>
      <c r="QIR1630" s="1"/>
      <c r="QIS1630" s="1"/>
      <c r="QIT1630" s="1"/>
      <c r="QIU1630" s="1"/>
      <c r="QIV1630" s="1"/>
      <c r="QIW1630" s="1"/>
      <c r="QIX1630" s="1"/>
      <c r="QIY1630" s="1"/>
      <c r="QIZ1630" s="1"/>
      <c r="QJA1630" s="1"/>
      <c r="QJB1630" s="1"/>
      <c r="QJC1630" s="1"/>
      <c r="QJD1630" s="1"/>
      <c r="QJE1630" s="1"/>
      <c r="QJF1630" s="1"/>
      <c r="QJG1630" s="1"/>
      <c r="QJH1630" s="1"/>
      <c r="QJI1630" s="1"/>
      <c r="QJJ1630" s="1"/>
      <c r="QJK1630" s="1"/>
      <c r="QJL1630" s="1"/>
      <c r="QJM1630" s="1"/>
      <c r="QJN1630" s="1"/>
      <c r="QJO1630" s="1"/>
      <c r="QJP1630" s="1"/>
      <c r="QJQ1630" s="1"/>
      <c r="QJR1630" s="1"/>
      <c r="QJS1630" s="1"/>
      <c r="QJT1630" s="1"/>
      <c r="QJU1630" s="1"/>
      <c r="QJV1630" s="1"/>
      <c r="QJW1630" s="1"/>
      <c r="QJX1630" s="1"/>
      <c r="QJY1630" s="1"/>
      <c r="QJZ1630" s="1"/>
      <c r="QKA1630" s="1"/>
      <c r="QKB1630" s="1"/>
      <c r="QKC1630" s="1"/>
      <c r="QKD1630" s="1"/>
      <c r="QKE1630" s="1"/>
      <c r="QKF1630" s="1"/>
      <c r="QKG1630" s="1"/>
      <c r="QKH1630" s="1"/>
      <c r="QKI1630" s="1"/>
      <c r="QKJ1630" s="1"/>
      <c r="QKK1630" s="1"/>
      <c r="QKL1630" s="1"/>
      <c r="QKM1630" s="1"/>
      <c r="QKN1630" s="1"/>
      <c r="QKO1630" s="1"/>
      <c r="QKP1630" s="1"/>
      <c r="QKQ1630" s="1"/>
      <c r="QKR1630" s="1"/>
      <c r="QKS1630" s="1"/>
      <c r="QKT1630" s="1"/>
      <c r="QKU1630" s="1"/>
      <c r="QKV1630" s="1"/>
      <c r="QKW1630" s="1"/>
      <c r="QKX1630" s="1"/>
      <c r="QKY1630" s="1"/>
      <c r="QKZ1630" s="1"/>
      <c r="QLA1630" s="1"/>
      <c r="QLB1630" s="1"/>
      <c r="QLC1630" s="1"/>
      <c r="QLD1630" s="1"/>
      <c r="QLE1630" s="1"/>
      <c r="QLF1630" s="1"/>
      <c r="QLG1630" s="1"/>
      <c r="QLH1630" s="1"/>
      <c r="QLI1630" s="1"/>
      <c r="QLJ1630" s="1"/>
      <c r="QLK1630" s="1"/>
      <c r="QLL1630" s="1"/>
      <c r="QLM1630" s="1"/>
      <c r="QLN1630" s="1"/>
      <c r="QLO1630" s="1"/>
      <c r="QLP1630" s="1"/>
      <c r="QLQ1630" s="1"/>
      <c r="QLR1630" s="1"/>
      <c r="QLS1630" s="1"/>
      <c r="QLT1630" s="1"/>
      <c r="QLU1630" s="1"/>
      <c r="QLV1630" s="1"/>
      <c r="QLW1630" s="1"/>
      <c r="QLX1630" s="1"/>
      <c r="QLY1630" s="1"/>
      <c r="QLZ1630" s="1"/>
      <c r="QMA1630" s="1"/>
      <c r="QMB1630" s="1"/>
      <c r="QMC1630" s="1"/>
      <c r="QMD1630" s="1"/>
      <c r="QME1630" s="1"/>
      <c r="QMF1630" s="1"/>
      <c r="QMG1630" s="1"/>
      <c r="QMH1630" s="1"/>
      <c r="QMI1630" s="1"/>
      <c r="QMJ1630" s="1"/>
      <c r="QMK1630" s="1"/>
      <c r="QML1630" s="1"/>
      <c r="QMM1630" s="1"/>
      <c r="QMN1630" s="1"/>
      <c r="QMO1630" s="1"/>
      <c r="QMP1630" s="1"/>
      <c r="QMQ1630" s="1"/>
      <c r="QMR1630" s="1"/>
      <c r="QMS1630" s="1"/>
      <c r="QMT1630" s="1"/>
      <c r="QMU1630" s="1"/>
      <c r="QMV1630" s="1"/>
      <c r="QMW1630" s="1"/>
      <c r="QMX1630" s="1"/>
      <c r="QMY1630" s="1"/>
      <c r="QMZ1630" s="1"/>
      <c r="QNA1630" s="1"/>
      <c r="QNB1630" s="1"/>
      <c r="QNC1630" s="1"/>
      <c r="QND1630" s="1"/>
      <c r="QNE1630" s="1"/>
      <c r="QNF1630" s="1"/>
      <c r="QNG1630" s="1"/>
      <c r="QNH1630" s="1"/>
      <c r="QNI1630" s="1"/>
      <c r="QNJ1630" s="1"/>
      <c r="QNK1630" s="1"/>
      <c r="QNL1630" s="1"/>
      <c r="QNM1630" s="1"/>
      <c r="QNN1630" s="1"/>
      <c r="QNO1630" s="1"/>
      <c r="QNP1630" s="1"/>
      <c r="QNQ1630" s="1"/>
      <c r="QNR1630" s="1"/>
      <c r="QNS1630" s="1"/>
      <c r="QNT1630" s="1"/>
      <c r="QNU1630" s="1"/>
      <c r="QNV1630" s="1"/>
      <c r="QNW1630" s="1"/>
      <c r="QNX1630" s="1"/>
      <c r="QNY1630" s="1"/>
      <c r="QNZ1630" s="1"/>
      <c r="QOA1630" s="1"/>
      <c r="QOB1630" s="1"/>
      <c r="QOC1630" s="1"/>
      <c r="QOD1630" s="1"/>
      <c r="QOE1630" s="1"/>
      <c r="QOF1630" s="1"/>
      <c r="QOG1630" s="1"/>
      <c r="QOH1630" s="1"/>
      <c r="QOI1630" s="1"/>
      <c r="QOJ1630" s="1"/>
      <c r="QOK1630" s="1"/>
      <c r="QOL1630" s="1"/>
      <c r="QOM1630" s="1"/>
      <c r="QON1630" s="1"/>
      <c r="QOO1630" s="1"/>
      <c r="QOP1630" s="1"/>
      <c r="QOQ1630" s="1"/>
      <c r="QOR1630" s="1"/>
      <c r="QOS1630" s="1"/>
      <c r="QOT1630" s="1"/>
      <c r="QOU1630" s="1"/>
      <c r="QOV1630" s="1"/>
      <c r="QOW1630" s="1"/>
      <c r="QOX1630" s="1"/>
      <c r="QOY1630" s="1"/>
      <c r="QOZ1630" s="1"/>
      <c r="QPA1630" s="1"/>
      <c r="QPB1630" s="1"/>
      <c r="QPC1630" s="1"/>
      <c r="QPD1630" s="1"/>
      <c r="QPE1630" s="1"/>
      <c r="QPF1630" s="1"/>
      <c r="QPG1630" s="1"/>
      <c r="QPH1630" s="1"/>
      <c r="QPI1630" s="1"/>
      <c r="QPJ1630" s="1"/>
      <c r="QPK1630" s="1"/>
      <c r="QPL1630" s="1"/>
      <c r="QPM1630" s="1"/>
      <c r="QPN1630" s="1"/>
      <c r="QPO1630" s="1"/>
      <c r="QPP1630" s="1"/>
      <c r="QPQ1630" s="1"/>
      <c r="QPR1630" s="1"/>
      <c r="QPS1630" s="1"/>
      <c r="QPT1630" s="1"/>
      <c r="QPU1630" s="1"/>
      <c r="QPV1630" s="1"/>
      <c r="QPW1630" s="1"/>
      <c r="QPX1630" s="1"/>
      <c r="QPY1630" s="1"/>
      <c r="QPZ1630" s="1"/>
      <c r="QQA1630" s="1"/>
      <c r="QQB1630" s="1"/>
      <c r="QQC1630" s="1"/>
      <c r="QQD1630" s="1"/>
      <c r="QQE1630" s="1"/>
      <c r="QQF1630" s="1"/>
      <c r="QQG1630" s="1"/>
      <c r="QQH1630" s="1"/>
      <c r="QQI1630" s="1"/>
      <c r="QQJ1630" s="1"/>
      <c r="QQK1630" s="1"/>
      <c r="QQL1630" s="1"/>
      <c r="QQM1630" s="1"/>
      <c r="QQN1630" s="1"/>
      <c r="QQO1630" s="1"/>
      <c r="QQP1630" s="1"/>
      <c r="QQQ1630" s="1"/>
      <c r="QQR1630" s="1"/>
      <c r="QQS1630" s="1"/>
      <c r="QQT1630" s="1"/>
      <c r="QQU1630" s="1"/>
      <c r="QQV1630" s="1"/>
      <c r="QQW1630" s="1"/>
      <c r="QQX1630" s="1"/>
      <c r="QQY1630" s="1"/>
      <c r="QQZ1630" s="1"/>
      <c r="QRA1630" s="1"/>
      <c r="QRB1630" s="1"/>
      <c r="QRC1630" s="1"/>
      <c r="QRD1630" s="1"/>
      <c r="QRE1630" s="1"/>
      <c r="QRF1630" s="1"/>
      <c r="QRG1630" s="1"/>
      <c r="QRH1630" s="1"/>
      <c r="QRI1630" s="1"/>
      <c r="QRJ1630" s="1"/>
      <c r="QRK1630" s="1"/>
      <c r="QRL1630" s="1"/>
      <c r="QRM1630" s="1"/>
      <c r="QRN1630" s="1"/>
      <c r="QRO1630" s="1"/>
      <c r="QRP1630" s="1"/>
      <c r="QRQ1630" s="1"/>
      <c r="QRR1630" s="1"/>
      <c r="QRS1630" s="1"/>
      <c r="QRT1630" s="1"/>
      <c r="QRU1630" s="1"/>
      <c r="QRV1630" s="1"/>
      <c r="QRW1630" s="1"/>
      <c r="QRX1630" s="1"/>
      <c r="QRY1630" s="1"/>
      <c r="QRZ1630" s="1"/>
      <c r="QSA1630" s="1"/>
      <c r="QSB1630" s="1"/>
      <c r="QSC1630" s="1"/>
      <c r="QSD1630" s="1"/>
      <c r="QSE1630" s="1"/>
      <c r="QSF1630" s="1"/>
      <c r="QSG1630" s="1"/>
      <c r="QSH1630" s="1"/>
      <c r="QSI1630" s="1"/>
      <c r="QSJ1630" s="1"/>
      <c r="QSK1630" s="1"/>
      <c r="QSL1630" s="1"/>
      <c r="QSM1630" s="1"/>
      <c r="QSN1630" s="1"/>
      <c r="QSO1630" s="1"/>
      <c r="QSP1630" s="1"/>
      <c r="QSQ1630" s="1"/>
      <c r="QSR1630" s="1"/>
      <c r="QSS1630" s="1"/>
      <c r="QST1630" s="1"/>
      <c r="QSU1630" s="1"/>
      <c r="QSV1630" s="1"/>
      <c r="QSW1630" s="1"/>
      <c r="QSX1630" s="1"/>
      <c r="QSY1630" s="1"/>
      <c r="QSZ1630" s="1"/>
      <c r="QTA1630" s="1"/>
      <c r="QTB1630" s="1"/>
      <c r="QTC1630" s="1"/>
      <c r="QTD1630" s="1"/>
      <c r="QTE1630" s="1"/>
      <c r="QTF1630" s="1"/>
      <c r="QTG1630" s="1"/>
      <c r="QTH1630" s="1"/>
      <c r="QTI1630" s="1"/>
      <c r="QTJ1630" s="1"/>
      <c r="QTK1630" s="1"/>
      <c r="QTL1630" s="1"/>
      <c r="QTM1630" s="1"/>
      <c r="QTN1630" s="1"/>
      <c r="QTO1630" s="1"/>
      <c r="QTP1630" s="1"/>
      <c r="QTQ1630" s="1"/>
      <c r="QTR1630" s="1"/>
      <c r="QTS1630" s="1"/>
      <c r="QTT1630" s="1"/>
      <c r="QTU1630" s="1"/>
      <c r="QTV1630" s="1"/>
      <c r="QTW1630" s="1"/>
      <c r="QTX1630" s="1"/>
      <c r="QTY1630" s="1"/>
      <c r="QTZ1630" s="1"/>
      <c r="QUA1630" s="1"/>
      <c r="QUB1630" s="1"/>
      <c r="QUC1630" s="1"/>
      <c r="QUD1630" s="1"/>
      <c r="QUE1630" s="1"/>
      <c r="QUF1630" s="1"/>
      <c r="QUG1630" s="1"/>
      <c r="QUH1630" s="1"/>
      <c r="QUI1630" s="1"/>
      <c r="QUJ1630" s="1"/>
      <c r="QUK1630" s="1"/>
      <c r="QUL1630" s="1"/>
      <c r="QUM1630" s="1"/>
      <c r="QUN1630" s="1"/>
      <c r="QUO1630" s="1"/>
      <c r="QUP1630" s="1"/>
      <c r="QUQ1630" s="1"/>
      <c r="QUR1630" s="1"/>
      <c r="QUS1630" s="1"/>
      <c r="QUT1630" s="1"/>
      <c r="QUU1630" s="1"/>
      <c r="QUV1630" s="1"/>
      <c r="QUW1630" s="1"/>
      <c r="QUX1630" s="1"/>
      <c r="QUY1630" s="1"/>
      <c r="QUZ1630" s="1"/>
      <c r="QVA1630" s="1"/>
      <c r="QVB1630" s="1"/>
      <c r="QVC1630" s="1"/>
      <c r="QVD1630" s="1"/>
      <c r="QVE1630" s="1"/>
      <c r="QVF1630" s="1"/>
      <c r="QVG1630" s="1"/>
      <c r="QVH1630" s="1"/>
      <c r="QVI1630" s="1"/>
      <c r="QVJ1630" s="1"/>
      <c r="QVK1630" s="1"/>
      <c r="QVL1630" s="1"/>
      <c r="QVM1630" s="1"/>
      <c r="QVN1630" s="1"/>
      <c r="QVO1630" s="1"/>
      <c r="QVP1630" s="1"/>
      <c r="QVQ1630" s="1"/>
      <c r="QVR1630" s="1"/>
      <c r="QVS1630" s="1"/>
      <c r="QVT1630" s="1"/>
      <c r="QVU1630" s="1"/>
      <c r="QVV1630" s="1"/>
      <c r="QVW1630" s="1"/>
      <c r="QVX1630" s="1"/>
      <c r="QVY1630" s="1"/>
      <c r="QVZ1630" s="1"/>
      <c r="QWA1630" s="1"/>
      <c r="QWB1630" s="1"/>
      <c r="QWC1630" s="1"/>
      <c r="QWD1630" s="1"/>
      <c r="QWE1630" s="1"/>
      <c r="QWF1630" s="1"/>
      <c r="QWG1630" s="1"/>
      <c r="QWH1630" s="1"/>
      <c r="QWI1630" s="1"/>
      <c r="QWJ1630" s="1"/>
      <c r="QWK1630" s="1"/>
      <c r="QWL1630" s="1"/>
      <c r="QWM1630" s="1"/>
      <c r="QWN1630" s="1"/>
      <c r="QWO1630" s="1"/>
      <c r="QWP1630" s="1"/>
      <c r="QWQ1630" s="1"/>
      <c r="QWR1630" s="1"/>
      <c r="QWS1630" s="1"/>
      <c r="QWT1630" s="1"/>
      <c r="QWU1630" s="1"/>
      <c r="QWV1630" s="1"/>
      <c r="QWW1630" s="1"/>
      <c r="QWX1630" s="1"/>
      <c r="QWY1630" s="1"/>
      <c r="QWZ1630" s="1"/>
      <c r="QXA1630" s="1"/>
      <c r="QXB1630" s="1"/>
      <c r="QXC1630" s="1"/>
      <c r="QXD1630" s="1"/>
      <c r="QXE1630" s="1"/>
      <c r="QXF1630" s="1"/>
      <c r="QXG1630" s="1"/>
      <c r="QXH1630" s="1"/>
      <c r="QXI1630" s="1"/>
      <c r="QXJ1630" s="1"/>
      <c r="QXK1630" s="1"/>
      <c r="QXL1630" s="1"/>
      <c r="QXM1630" s="1"/>
      <c r="QXN1630" s="1"/>
      <c r="QXO1630" s="1"/>
      <c r="QXP1630" s="1"/>
      <c r="QXQ1630" s="1"/>
      <c r="QXR1630" s="1"/>
      <c r="QXS1630" s="1"/>
      <c r="QXT1630" s="1"/>
      <c r="QXU1630" s="1"/>
      <c r="QXV1630" s="1"/>
      <c r="QXW1630" s="1"/>
      <c r="QXX1630" s="1"/>
      <c r="QXY1630" s="1"/>
      <c r="QXZ1630" s="1"/>
      <c r="QYA1630" s="1"/>
      <c r="QYB1630" s="1"/>
      <c r="QYC1630" s="1"/>
      <c r="QYD1630" s="1"/>
      <c r="QYE1630" s="1"/>
      <c r="QYF1630" s="1"/>
      <c r="QYG1630" s="1"/>
      <c r="QYH1630" s="1"/>
      <c r="QYI1630" s="1"/>
      <c r="QYJ1630" s="1"/>
      <c r="QYK1630" s="1"/>
      <c r="QYL1630" s="1"/>
      <c r="QYM1630" s="1"/>
      <c r="QYN1630" s="1"/>
      <c r="QYO1630" s="1"/>
      <c r="QYP1630" s="1"/>
      <c r="QYQ1630" s="1"/>
      <c r="QYR1630" s="1"/>
      <c r="QYS1630" s="1"/>
      <c r="QYT1630" s="1"/>
      <c r="QYU1630" s="1"/>
      <c r="QYV1630" s="1"/>
      <c r="QYW1630" s="1"/>
      <c r="QYX1630" s="1"/>
      <c r="QYY1630" s="1"/>
      <c r="QYZ1630" s="1"/>
      <c r="QZA1630" s="1"/>
      <c r="QZB1630" s="1"/>
      <c r="QZC1630" s="1"/>
      <c r="QZD1630" s="1"/>
      <c r="QZE1630" s="1"/>
      <c r="QZF1630" s="1"/>
      <c r="QZG1630" s="1"/>
      <c r="QZH1630" s="1"/>
      <c r="QZI1630" s="1"/>
      <c r="QZJ1630" s="1"/>
      <c r="QZK1630" s="1"/>
      <c r="QZL1630" s="1"/>
      <c r="QZM1630" s="1"/>
      <c r="QZN1630" s="1"/>
      <c r="QZO1630" s="1"/>
      <c r="QZP1630" s="1"/>
      <c r="QZQ1630" s="1"/>
      <c r="QZR1630" s="1"/>
      <c r="QZS1630" s="1"/>
      <c r="QZT1630" s="1"/>
      <c r="QZU1630" s="1"/>
      <c r="QZV1630" s="1"/>
      <c r="QZW1630" s="1"/>
      <c r="QZX1630" s="1"/>
      <c r="QZY1630" s="1"/>
      <c r="QZZ1630" s="1"/>
      <c r="RAA1630" s="1"/>
      <c r="RAB1630" s="1"/>
      <c r="RAC1630" s="1"/>
      <c r="RAD1630" s="1"/>
      <c r="RAE1630" s="1"/>
      <c r="RAF1630" s="1"/>
      <c r="RAG1630" s="1"/>
      <c r="RAH1630" s="1"/>
      <c r="RAI1630" s="1"/>
      <c r="RAJ1630" s="1"/>
      <c r="RAK1630" s="1"/>
      <c r="RAL1630" s="1"/>
      <c r="RAM1630" s="1"/>
      <c r="RAN1630" s="1"/>
      <c r="RAO1630" s="1"/>
      <c r="RAP1630" s="1"/>
      <c r="RAQ1630" s="1"/>
      <c r="RAR1630" s="1"/>
      <c r="RAS1630" s="1"/>
      <c r="RAT1630" s="1"/>
      <c r="RAU1630" s="1"/>
      <c r="RAV1630" s="1"/>
      <c r="RAW1630" s="1"/>
      <c r="RAX1630" s="1"/>
      <c r="RAY1630" s="1"/>
      <c r="RAZ1630" s="1"/>
      <c r="RBA1630" s="1"/>
      <c r="RBB1630" s="1"/>
      <c r="RBC1630" s="1"/>
      <c r="RBD1630" s="1"/>
      <c r="RBE1630" s="1"/>
      <c r="RBF1630" s="1"/>
      <c r="RBG1630" s="1"/>
      <c r="RBH1630" s="1"/>
      <c r="RBI1630" s="1"/>
      <c r="RBJ1630" s="1"/>
      <c r="RBK1630" s="1"/>
      <c r="RBL1630" s="1"/>
      <c r="RBM1630" s="1"/>
      <c r="RBN1630" s="1"/>
      <c r="RBO1630" s="1"/>
      <c r="RBP1630" s="1"/>
      <c r="RBQ1630" s="1"/>
      <c r="RBR1630" s="1"/>
      <c r="RBS1630" s="1"/>
      <c r="RBT1630" s="1"/>
      <c r="RBU1630" s="1"/>
      <c r="RBV1630" s="1"/>
      <c r="RBW1630" s="1"/>
      <c r="RBX1630" s="1"/>
      <c r="RBY1630" s="1"/>
      <c r="RBZ1630" s="1"/>
      <c r="RCA1630" s="1"/>
      <c r="RCB1630" s="1"/>
      <c r="RCC1630" s="1"/>
      <c r="RCD1630" s="1"/>
      <c r="RCE1630" s="1"/>
      <c r="RCF1630" s="1"/>
      <c r="RCG1630" s="1"/>
      <c r="RCH1630" s="1"/>
      <c r="RCI1630" s="1"/>
      <c r="RCJ1630" s="1"/>
      <c r="RCK1630" s="1"/>
      <c r="RCL1630" s="1"/>
      <c r="RCM1630" s="1"/>
      <c r="RCN1630" s="1"/>
      <c r="RCO1630" s="1"/>
      <c r="RCP1630" s="1"/>
      <c r="RCQ1630" s="1"/>
      <c r="RCR1630" s="1"/>
      <c r="RCS1630" s="1"/>
      <c r="RCT1630" s="1"/>
      <c r="RCU1630" s="1"/>
      <c r="RCV1630" s="1"/>
      <c r="RCW1630" s="1"/>
      <c r="RCX1630" s="1"/>
      <c r="RCY1630" s="1"/>
      <c r="RCZ1630" s="1"/>
      <c r="RDA1630" s="1"/>
      <c r="RDB1630" s="1"/>
      <c r="RDC1630" s="1"/>
      <c r="RDD1630" s="1"/>
      <c r="RDE1630" s="1"/>
      <c r="RDF1630" s="1"/>
      <c r="RDG1630" s="1"/>
      <c r="RDH1630" s="1"/>
      <c r="RDI1630" s="1"/>
      <c r="RDJ1630" s="1"/>
      <c r="RDK1630" s="1"/>
      <c r="RDL1630" s="1"/>
      <c r="RDM1630" s="1"/>
      <c r="RDN1630" s="1"/>
      <c r="RDO1630" s="1"/>
      <c r="RDP1630" s="1"/>
      <c r="RDQ1630" s="1"/>
      <c r="RDR1630" s="1"/>
      <c r="RDS1630" s="1"/>
      <c r="RDT1630" s="1"/>
      <c r="RDU1630" s="1"/>
      <c r="RDV1630" s="1"/>
      <c r="RDW1630" s="1"/>
      <c r="RDX1630" s="1"/>
      <c r="RDY1630" s="1"/>
      <c r="RDZ1630" s="1"/>
      <c r="REA1630" s="1"/>
      <c r="REB1630" s="1"/>
      <c r="REC1630" s="1"/>
      <c r="RED1630" s="1"/>
      <c r="REE1630" s="1"/>
      <c r="REF1630" s="1"/>
      <c r="REG1630" s="1"/>
      <c r="REH1630" s="1"/>
      <c r="REI1630" s="1"/>
      <c r="REJ1630" s="1"/>
      <c r="REK1630" s="1"/>
      <c r="REL1630" s="1"/>
      <c r="REM1630" s="1"/>
      <c r="REN1630" s="1"/>
      <c r="REO1630" s="1"/>
      <c r="REP1630" s="1"/>
      <c r="REQ1630" s="1"/>
      <c r="RER1630" s="1"/>
      <c r="RES1630" s="1"/>
      <c r="RET1630" s="1"/>
      <c r="REU1630" s="1"/>
      <c r="REV1630" s="1"/>
      <c r="REW1630" s="1"/>
      <c r="REX1630" s="1"/>
      <c r="REY1630" s="1"/>
      <c r="REZ1630" s="1"/>
      <c r="RFA1630" s="1"/>
      <c r="RFB1630" s="1"/>
      <c r="RFC1630" s="1"/>
      <c r="RFD1630" s="1"/>
      <c r="RFE1630" s="1"/>
      <c r="RFF1630" s="1"/>
      <c r="RFG1630" s="1"/>
      <c r="RFH1630" s="1"/>
      <c r="RFI1630" s="1"/>
      <c r="RFJ1630" s="1"/>
      <c r="RFK1630" s="1"/>
      <c r="RFL1630" s="1"/>
      <c r="RFM1630" s="1"/>
      <c r="RFN1630" s="1"/>
      <c r="RFO1630" s="1"/>
      <c r="RFP1630" s="1"/>
      <c r="RFQ1630" s="1"/>
      <c r="RFR1630" s="1"/>
      <c r="RFS1630" s="1"/>
      <c r="RFT1630" s="1"/>
      <c r="RFU1630" s="1"/>
      <c r="RFV1630" s="1"/>
      <c r="RFW1630" s="1"/>
      <c r="RFX1630" s="1"/>
      <c r="RFY1630" s="1"/>
      <c r="RFZ1630" s="1"/>
      <c r="RGA1630" s="1"/>
      <c r="RGB1630" s="1"/>
      <c r="RGC1630" s="1"/>
      <c r="RGD1630" s="1"/>
      <c r="RGE1630" s="1"/>
      <c r="RGF1630" s="1"/>
      <c r="RGG1630" s="1"/>
      <c r="RGH1630" s="1"/>
      <c r="RGI1630" s="1"/>
      <c r="RGJ1630" s="1"/>
      <c r="RGK1630" s="1"/>
      <c r="RGL1630" s="1"/>
      <c r="RGM1630" s="1"/>
      <c r="RGN1630" s="1"/>
      <c r="RGO1630" s="1"/>
      <c r="RGP1630" s="1"/>
      <c r="RGQ1630" s="1"/>
      <c r="RGR1630" s="1"/>
      <c r="RGS1630" s="1"/>
      <c r="RGT1630" s="1"/>
      <c r="RGU1630" s="1"/>
      <c r="RGV1630" s="1"/>
      <c r="RGW1630" s="1"/>
      <c r="RGX1630" s="1"/>
      <c r="RGY1630" s="1"/>
      <c r="RGZ1630" s="1"/>
      <c r="RHA1630" s="1"/>
      <c r="RHB1630" s="1"/>
      <c r="RHC1630" s="1"/>
      <c r="RHD1630" s="1"/>
      <c r="RHE1630" s="1"/>
      <c r="RHF1630" s="1"/>
      <c r="RHG1630" s="1"/>
      <c r="RHH1630" s="1"/>
      <c r="RHI1630" s="1"/>
      <c r="RHJ1630" s="1"/>
      <c r="RHK1630" s="1"/>
      <c r="RHL1630" s="1"/>
      <c r="RHM1630" s="1"/>
      <c r="RHN1630" s="1"/>
      <c r="RHO1630" s="1"/>
      <c r="RHP1630" s="1"/>
      <c r="RHQ1630" s="1"/>
      <c r="RHR1630" s="1"/>
      <c r="RHS1630" s="1"/>
      <c r="RHT1630" s="1"/>
      <c r="RHU1630" s="1"/>
      <c r="RHV1630" s="1"/>
      <c r="RHW1630" s="1"/>
      <c r="RHX1630" s="1"/>
      <c r="RHY1630" s="1"/>
      <c r="RHZ1630" s="1"/>
      <c r="RIA1630" s="1"/>
      <c r="RIB1630" s="1"/>
      <c r="RIC1630" s="1"/>
      <c r="RID1630" s="1"/>
      <c r="RIE1630" s="1"/>
      <c r="RIF1630" s="1"/>
      <c r="RIG1630" s="1"/>
      <c r="RIH1630" s="1"/>
      <c r="RII1630" s="1"/>
      <c r="RIJ1630" s="1"/>
      <c r="RIK1630" s="1"/>
      <c r="RIL1630" s="1"/>
      <c r="RIM1630" s="1"/>
      <c r="RIN1630" s="1"/>
      <c r="RIO1630" s="1"/>
      <c r="RIP1630" s="1"/>
      <c r="RIQ1630" s="1"/>
      <c r="RIR1630" s="1"/>
      <c r="RIS1630" s="1"/>
      <c r="RIT1630" s="1"/>
      <c r="RIU1630" s="1"/>
      <c r="RIV1630" s="1"/>
      <c r="RIW1630" s="1"/>
      <c r="RIX1630" s="1"/>
      <c r="RIY1630" s="1"/>
      <c r="RIZ1630" s="1"/>
      <c r="RJA1630" s="1"/>
      <c r="RJB1630" s="1"/>
      <c r="RJC1630" s="1"/>
      <c r="RJD1630" s="1"/>
      <c r="RJE1630" s="1"/>
      <c r="RJF1630" s="1"/>
      <c r="RJG1630" s="1"/>
      <c r="RJH1630" s="1"/>
      <c r="RJI1630" s="1"/>
      <c r="RJJ1630" s="1"/>
      <c r="RJK1630" s="1"/>
      <c r="RJL1630" s="1"/>
      <c r="RJM1630" s="1"/>
      <c r="RJN1630" s="1"/>
      <c r="RJO1630" s="1"/>
      <c r="RJP1630" s="1"/>
      <c r="RJQ1630" s="1"/>
      <c r="RJR1630" s="1"/>
      <c r="RJS1630" s="1"/>
      <c r="RJT1630" s="1"/>
      <c r="RJU1630" s="1"/>
      <c r="RJV1630" s="1"/>
      <c r="RJW1630" s="1"/>
      <c r="RJX1630" s="1"/>
      <c r="RJY1630" s="1"/>
      <c r="RJZ1630" s="1"/>
      <c r="RKA1630" s="1"/>
      <c r="RKB1630" s="1"/>
      <c r="RKC1630" s="1"/>
      <c r="RKD1630" s="1"/>
      <c r="RKE1630" s="1"/>
      <c r="RKF1630" s="1"/>
      <c r="RKG1630" s="1"/>
      <c r="RKH1630" s="1"/>
      <c r="RKI1630" s="1"/>
      <c r="RKJ1630" s="1"/>
      <c r="RKK1630" s="1"/>
      <c r="RKL1630" s="1"/>
      <c r="RKM1630" s="1"/>
      <c r="RKN1630" s="1"/>
      <c r="RKO1630" s="1"/>
      <c r="RKP1630" s="1"/>
      <c r="RKQ1630" s="1"/>
      <c r="RKR1630" s="1"/>
      <c r="RKS1630" s="1"/>
      <c r="RKT1630" s="1"/>
      <c r="RKU1630" s="1"/>
      <c r="RKV1630" s="1"/>
      <c r="RKW1630" s="1"/>
      <c r="RKX1630" s="1"/>
      <c r="RKY1630" s="1"/>
      <c r="RKZ1630" s="1"/>
      <c r="RLA1630" s="1"/>
      <c r="RLB1630" s="1"/>
      <c r="RLC1630" s="1"/>
      <c r="RLD1630" s="1"/>
      <c r="RLE1630" s="1"/>
      <c r="RLF1630" s="1"/>
      <c r="RLG1630" s="1"/>
      <c r="RLH1630" s="1"/>
      <c r="RLI1630" s="1"/>
      <c r="RLJ1630" s="1"/>
      <c r="RLK1630" s="1"/>
      <c r="RLL1630" s="1"/>
      <c r="RLM1630" s="1"/>
      <c r="RLN1630" s="1"/>
      <c r="RLO1630" s="1"/>
      <c r="RLP1630" s="1"/>
      <c r="RLQ1630" s="1"/>
      <c r="RLR1630" s="1"/>
      <c r="RLS1630" s="1"/>
      <c r="RLT1630" s="1"/>
      <c r="RLU1630" s="1"/>
      <c r="RLV1630" s="1"/>
      <c r="RLW1630" s="1"/>
      <c r="RLX1630" s="1"/>
      <c r="RLY1630" s="1"/>
      <c r="RLZ1630" s="1"/>
      <c r="RMA1630" s="1"/>
      <c r="RMB1630" s="1"/>
      <c r="RMC1630" s="1"/>
      <c r="RMD1630" s="1"/>
      <c r="RME1630" s="1"/>
      <c r="RMF1630" s="1"/>
      <c r="RMG1630" s="1"/>
      <c r="RMH1630" s="1"/>
      <c r="RMI1630" s="1"/>
      <c r="RMJ1630" s="1"/>
      <c r="RMK1630" s="1"/>
      <c r="RML1630" s="1"/>
      <c r="RMM1630" s="1"/>
      <c r="RMN1630" s="1"/>
      <c r="RMO1630" s="1"/>
      <c r="RMP1630" s="1"/>
      <c r="RMQ1630" s="1"/>
      <c r="RMR1630" s="1"/>
      <c r="RMS1630" s="1"/>
      <c r="RMT1630" s="1"/>
      <c r="RMU1630" s="1"/>
      <c r="RMV1630" s="1"/>
      <c r="RMW1630" s="1"/>
      <c r="RMX1630" s="1"/>
      <c r="RMY1630" s="1"/>
      <c r="RMZ1630" s="1"/>
      <c r="RNA1630" s="1"/>
      <c r="RNB1630" s="1"/>
      <c r="RNC1630" s="1"/>
      <c r="RND1630" s="1"/>
      <c r="RNE1630" s="1"/>
      <c r="RNF1630" s="1"/>
      <c r="RNG1630" s="1"/>
      <c r="RNH1630" s="1"/>
      <c r="RNI1630" s="1"/>
      <c r="RNJ1630" s="1"/>
      <c r="RNK1630" s="1"/>
      <c r="RNL1630" s="1"/>
      <c r="RNM1630" s="1"/>
      <c r="RNN1630" s="1"/>
      <c r="RNO1630" s="1"/>
      <c r="RNP1630" s="1"/>
      <c r="RNQ1630" s="1"/>
      <c r="RNR1630" s="1"/>
      <c r="RNS1630" s="1"/>
      <c r="RNT1630" s="1"/>
      <c r="RNU1630" s="1"/>
      <c r="RNV1630" s="1"/>
      <c r="RNW1630" s="1"/>
      <c r="RNX1630" s="1"/>
      <c r="RNY1630" s="1"/>
      <c r="RNZ1630" s="1"/>
      <c r="ROA1630" s="1"/>
      <c r="ROB1630" s="1"/>
      <c r="ROC1630" s="1"/>
      <c r="ROD1630" s="1"/>
      <c r="ROE1630" s="1"/>
      <c r="ROF1630" s="1"/>
      <c r="ROG1630" s="1"/>
      <c r="ROH1630" s="1"/>
      <c r="ROI1630" s="1"/>
      <c r="ROJ1630" s="1"/>
      <c r="ROK1630" s="1"/>
      <c r="ROL1630" s="1"/>
      <c r="ROM1630" s="1"/>
      <c r="RON1630" s="1"/>
      <c r="ROO1630" s="1"/>
      <c r="ROP1630" s="1"/>
      <c r="ROQ1630" s="1"/>
      <c r="ROR1630" s="1"/>
      <c r="ROS1630" s="1"/>
      <c r="ROT1630" s="1"/>
      <c r="ROU1630" s="1"/>
      <c r="ROV1630" s="1"/>
      <c r="ROW1630" s="1"/>
      <c r="ROX1630" s="1"/>
      <c r="ROY1630" s="1"/>
      <c r="ROZ1630" s="1"/>
      <c r="RPA1630" s="1"/>
      <c r="RPB1630" s="1"/>
      <c r="RPC1630" s="1"/>
      <c r="RPD1630" s="1"/>
      <c r="RPE1630" s="1"/>
      <c r="RPF1630" s="1"/>
      <c r="RPG1630" s="1"/>
      <c r="RPH1630" s="1"/>
      <c r="RPI1630" s="1"/>
      <c r="RPJ1630" s="1"/>
      <c r="RPK1630" s="1"/>
      <c r="RPL1630" s="1"/>
      <c r="RPM1630" s="1"/>
      <c r="RPN1630" s="1"/>
      <c r="RPO1630" s="1"/>
      <c r="RPP1630" s="1"/>
      <c r="RPQ1630" s="1"/>
      <c r="RPR1630" s="1"/>
      <c r="RPS1630" s="1"/>
      <c r="RPT1630" s="1"/>
      <c r="RPU1630" s="1"/>
      <c r="RPV1630" s="1"/>
      <c r="RPW1630" s="1"/>
      <c r="RPX1630" s="1"/>
      <c r="RPY1630" s="1"/>
      <c r="RPZ1630" s="1"/>
      <c r="RQA1630" s="1"/>
      <c r="RQB1630" s="1"/>
      <c r="RQC1630" s="1"/>
      <c r="RQD1630" s="1"/>
      <c r="RQE1630" s="1"/>
      <c r="RQF1630" s="1"/>
      <c r="RQG1630" s="1"/>
      <c r="RQH1630" s="1"/>
      <c r="RQI1630" s="1"/>
      <c r="RQJ1630" s="1"/>
      <c r="RQK1630" s="1"/>
      <c r="RQL1630" s="1"/>
      <c r="RQM1630" s="1"/>
      <c r="RQN1630" s="1"/>
      <c r="RQO1630" s="1"/>
      <c r="RQP1630" s="1"/>
      <c r="RQQ1630" s="1"/>
      <c r="RQR1630" s="1"/>
      <c r="RQS1630" s="1"/>
      <c r="RQT1630" s="1"/>
      <c r="RQU1630" s="1"/>
      <c r="RQV1630" s="1"/>
      <c r="RQW1630" s="1"/>
      <c r="RQX1630" s="1"/>
      <c r="RQY1630" s="1"/>
      <c r="RQZ1630" s="1"/>
      <c r="RRA1630" s="1"/>
      <c r="RRB1630" s="1"/>
      <c r="RRC1630" s="1"/>
      <c r="RRD1630" s="1"/>
      <c r="RRE1630" s="1"/>
      <c r="RRF1630" s="1"/>
      <c r="RRG1630" s="1"/>
      <c r="RRH1630" s="1"/>
      <c r="RRI1630" s="1"/>
      <c r="RRJ1630" s="1"/>
      <c r="RRK1630" s="1"/>
      <c r="RRL1630" s="1"/>
      <c r="RRM1630" s="1"/>
      <c r="RRN1630" s="1"/>
      <c r="RRO1630" s="1"/>
      <c r="RRP1630" s="1"/>
      <c r="RRQ1630" s="1"/>
      <c r="RRR1630" s="1"/>
      <c r="RRS1630" s="1"/>
      <c r="RRT1630" s="1"/>
      <c r="RRU1630" s="1"/>
      <c r="RRV1630" s="1"/>
      <c r="RRW1630" s="1"/>
      <c r="RRX1630" s="1"/>
      <c r="RRY1630" s="1"/>
      <c r="RRZ1630" s="1"/>
      <c r="RSA1630" s="1"/>
      <c r="RSB1630" s="1"/>
      <c r="RSC1630" s="1"/>
      <c r="RSD1630" s="1"/>
      <c r="RSE1630" s="1"/>
      <c r="RSF1630" s="1"/>
      <c r="RSG1630" s="1"/>
      <c r="RSH1630" s="1"/>
      <c r="RSI1630" s="1"/>
      <c r="RSJ1630" s="1"/>
      <c r="RSK1630" s="1"/>
      <c r="RSL1630" s="1"/>
      <c r="RSM1630" s="1"/>
      <c r="RSN1630" s="1"/>
      <c r="RSO1630" s="1"/>
      <c r="RSP1630" s="1"/>
      <c r="RSQ1630" s="1"/>
      <c r="RSR1630" s="1"/>
      <c r="RSS1630" s="1"/>
      <c r="RST1630" s="1"/>
      <c r="RSU1630" s="1"/>
      <c r="RSV1630" s="1"/>
      <c r="RSW1630" s="1"/>
      <c r="RSX1630" s="1"/>
      <c r="RSY1630" s="1"/>
      <c r="RSZ1630" s="1"/>
      <c r="RTA1630" s="1"/>
      <c r="RTB1630" s="1"/>
      <c r="RTC1630" s="1"/>
      <c r="RTD1630" s="1"/>
      <c r="RTE1630" s="1"/>
      <c r="RTF1630" s="1"/>
      <c r="RTG1630" s="1"/>
      <c r="RTH1630" s="1"/>
      <c r="RTI1630" s="1"/>
      <c r="RTJ1630" s="1"/>
      <c r="RTK1630" s="1"/>
      <c r="RTL1630" s="1"/>
      <c r="RTM1630" s="1"/>
      <c r="RTN1630" s="1"/>
      <c r="RTO1630" s="1"/>
      <c r="RTP1630" s="1"/>
      <c r="RTQ1630" s="1"/>
      <c r="RTR1630" s="1"/>
      <c r="RTS1630" s="1"/>
      <c r="RTT1630" s="1"/>
      <c r="RTU1630" s="1"/>
      <c r="RTV1630" s="1"/>
      <c r="RTW1630" s="1"/>
      <c r="RTX1630" s="1"/>
      <c r="RTY1630" s="1"/>
      <c r="RTZ1630" s="1"/>
      <c r="RUA1630" s="1"/>
      <c r="RUB1630" s="1"/>
      <c r="RUC1630" s="1"/>
      <c r="RUD1630" s="1"/>
      <c r="RUE1630" s="1"/>
      <c r="RUF1630" s="1"/>
      <c r="RUG1630" s="1"/>
      <c r="RUH1630" s="1"/>
      <c r="RUI1630" s="1"/>
      <c r="RUJ1630" s="1"/>
      <c r="RUK1630" s="1"/>
      <c r="RUL1630" s="1"/>
      <c r="RUM1630" s="1"/>
      <c r="RUN1630" s="1"/>
      <c r="RUO1630" s="1"/>
      <c r="RUP1630" s="1"/>
      <c r="RUQ1630" s="1"/>
      <c r="RUR1630" s="1"/>
      <c r="RUS1630" s="1"/>
      <c r="RUT1630" s="1"/>
      <c r="RUU1630" s="1"/>
      <c r="RUV1630" s="1"/>
      <c r="RUW1630" s="1"/>
      <c r="RUX1630" s="1"/>
      <c r="RUY1630" s="1"/>
      <c r="RUZ1630" s="1"/>
      <c r="RVA1630" s="1"/>
      <c r="RVB1630" s="1"/>
      <c r="RVC1630" s="1"/>
      <c r="RVD1630" s="1"/>
      <c r="RVE1630" s="1"/>
      <c r="RVF1630" s="1"/>
      <c r="RVG1630" s="1"/>
      <c r="RVH1630" s="1"/>
      <c r="RVI1630" s="1"/>
      <c r="RVJ1630" s="1"/>
      <c r="RVK1630" s="1"/>
      <c r="RVL1630" s="1"/>
      <c r="RVM1630" s="1"/>
      <c r="RVN1630" s="1"/>
      <c r="RVO1630" s="1"/>
      <c r="RVP1630" s="1"/>
      <c r="RVQ1630" s="1"/>
      <c r="RVR1630" s="1"/>
      <c r="RVS1630" s="1"/>
      <c r="RVT1630" s="1"/>
      <c r="RVU1630" s="1"/>
      <c r="RVV1630" s="1"/>
      <c r="RVW1630" s="1"/>
      <c r="RVX1630" s="1"/>
      <c r="RVY1630" s="1"/>
      <c r="RVZ1630" s="1"/>
      <c r="RWA1630" s="1"/>
      <c r="RWB1630" s="1"/>
      <c r="RWC1630" s="1"/>
      <c r="RWD1630" s="1"/>
      <c r="RWE1630" s="1"/>
      <c r="RWF1630" s="1"/>
      <c r="RWG1630" s="1"/>
      <c r="RWH1630" s="1"/>
      <c r="RWI1630" s="1"/>
      <c r="RWJ1630" s="1"/>
      <c r="RWK1630" s="1"/>
      <c r="RWL1630" s="1"/>
      <c r="RWM1630" s="1"/>
      <c r="RWN1630" s="1"/>
      <c r="RWO1630" s="1"/>
      <c r="RWP1630" s="1"/>
      <c r="RWQ1630" s="1"/>
      <c r="RWR1630" s="1"/>
      <c r="RWS1630" s="1"/>
      <c r="RWT1630" s="1"/>
      <c r="RWU1630" s="1"/>
      <c r="RWV1630" s="1"/>
      <c r="RWW1630" s="1"/>
      <c r="RWX1630" s="1"/>
      <c r="RWY1630" s="1"/>
      <c r="RWZ1630" s="1"/>
      <c r="RXA1630" s="1"/>
      <c r="RXB1630" s="1"/>
      <c r="RXC1630" s="1"/>
      <c r="RXD1630" s="1"/>
      <c r="RXE1630" s="1"/>
      <c r="RXF1630" s="1"/>
      <c r="RXG1630" s="1"/>
      <c r="RXH1630" s="1"/>
      <c r="RXI1630" s="1"/>
      <c r="RXJ1630" s="1"/>
      <c r="RXK1630" s="1"/>
      <c r="RXL1630" s="1"/>
      <c r="RXM1630" s="1"/>
      <c r="RXN1630" s="1"/>
      <c r="RXO1630" s="1"/>
      <c r="RXP1630" s="1"/>
      <c r="RXQ1630" s="1"/>
      <c r="RXR1630" s="1"/>
      <c r="RXS1630" s="1"/>
      <c r="RXT1630" s="1"/>
      <c r="RXU1630" s="1"/>
      <c r="RXV1630" s="1"/>
      <c r="RXW1630" s="1"/>
      <c r="RXX1630" s="1"/>
      <c r="RXY1630" s="1"/>
      <c r="RXZ1630" s="1"/>
      <c r="RYA1630" s="1"/>
      <c r="RYB1630" s="1"/>
      <c r="RYC1630" s="1"/>
      <c r="RYD1630" s="1"/>
      <c r="RYE1630" s="1"/>
      <c r="RYF1630" s="1"/>
      <c r="RYG1630" s="1"/>
      <c r="RYH1630" s="1"/>
      <c r="RYI1630" s="1"/>
      <c r="RYJ1630" s="1"/>
      <c r="RYK1630" s="1"/>
      <c r="RYL1630" s="1"/>
      <c r="RYM1630" s="1"/>
      <c r="RYN1630" s="1"/>
      <c r="RYO1630" s="1"/>
      <c r="RYP1630" s="1"/>
      <c r="RYQ1630" s="1"/>
      <c r="RYR1630" s="1"/>
      <c r="RYS1630" s="1"/>
      <c r="RYT1630" s="1"/>
      <c r="RYU1630" s="1"/>
      <c r="RYV1630" s="1"/>
      <c r="RYW1630" s="1"/>
      <c r="RYX1630" s="1"/>
      <c r="RYY1630" s="1"/>
      <c r="RYZ1630" s="1"/>
      <c r="RZA1630" s="1"/>
      <c r="RZB1630" s="1"/>
      <c r="RZC1630" s="1"/>
      <c r="RZD1630" s="1"/>
      <c r="RZE1630" s="1"/>
      <c r="RZF1630" s="1"/>
      <c r="RZG1630" s="1"/>
      <c r="RZH1630" s="1"/>
      <c r="RZI1630" s="1"/>
      <c r="RZJ1630" s="1"/>
      <c r="RZK1630" s="1"/>
      <c r="RZL1630" s="1"/>
      <c r="RZM1630" s="1"/>
      <c r="RZN1630" s="1"/>
      <c r="RZO1630" s="1"/>
      <c r="RZP1630" s="1"/>
      <c r="RZQ1630" s="1"/>
      <c r="RZR1630" s="1"/>
      <c r="RZS1630" s="1"/>
      <c r="RZT1630" s="1"/>
      <c r="RZU1630" s="1"/>
      <c r="RZV1630" s="1"/>
      <c r="RZW1630" s="1"/>
      <c r="RZX1630" s="1"/>
      <c r="RZY1630" s="1"/>
      <c r="RZZ1630" s="1"/>
      <c r="SAA1630" s="1"/>
      <c r="SAB1630" s="1"/>
      <c r="SAC1630" s="1"/>
      <c r="SAD1630" s="1"/>
      <c r="SAE1630" s="1"/>
      <c r="SAF1630" s="1"/>
      <c r="SAG1630" s="1"/>
      <c r="SAH1630" s="1"/>
      <c r="SAI1630" s="1"/>
      <c r="SAJ1630" s="1"/>
      <c r="SAK1630" s="1"/>
      <c r="SAL1630" s="1"/>
      <c r="SAM1630" s="1"/>
      <c r="SAN1630" s="1"/>
      <c r="SAO1630" s="1"/>
      <c r="SAP1630" s="1"/>
      <c r="SAQ1630" s="1"/>
      <c r="SAR1630" s="1"/>
      <c r="SAS1630" s="1"/>
      <c r="SAT1630" s="1"/>
      <c r="SAU1630" s="1"/>
      <c r="SAV1630" s="1"/>
      <c r="SAW1630" s="1"/>
      <c r="SAX1630" s="1"/>
      <c r="SAY1630" s="1"/>
      <c r="SAZ1630" s="1"/>
      <c r="SBA1630" s="1"/>
      <c r="SBB1630" s="1"/>
      <c r="SBC1630" s="1"/>
      <c r="SBD1630" s="1"/>
      <c r="SBE1630" s="1"/>
      <c r="SBF1630" s="1"/>
      <c r="SBG1630" s="1"/>
      <c r="SBH1630" s="1"/>
      <c r="SBI1630" s="1"/>
      <c r="SBJ1630" s="1"/>
      <c r="SBK1630" s="1"/>
      <c r="SBL1630" s="1"/>
      <c r="SBM1630" s="1"/>
      <c r="SBN1630" s="1"/>
      <c r="SBO1630" s="1"/>
      <c r="SBP1630" s="1"/>
      <c r="SBQ1630" s="1"/>
      <c r="SBR1630" s="1"/>
      <c r="SBS1630" s="1"/>
      <c r="SBT1630" s="1"/>
      <c r="SBU1630" s="1"/>
      <c r="SBV1630" s="1"/>
      <c r="SBW1630" s="1"/>
      <c r="SBX1630" s="1"/>
      <c r="SBY1630" s="1"/>
      <c r="SBZ1630" s="1"/>
      <c r="SCA1630" s="1"/>
      <c r="SCB1630" s="1"/>
      <c r="SCC1630" s="1"/>
      <c r="SCD1630" s="1"/>
      <c r="SCE1630" s="1"/>
      <c r="SCF1630" s="1"/>
      <c r="SCG1630" s="1"/>
      <c r="SCH1630" s="1"/>
      <c r="SCI1630" s="1"/>
      <c r="SCJ1630" s="1"/>
      <c r="SCK1630" s="1"/>
      <c r="SCL1630" s="1"/>
      <c r="SCM1630" s="1"/>
      <c r="SCN1630" s="1"/>
      <c r="SCO1630" s="1"/>
      <c r="SCP1630" s="1"/>
      <c r="SCQ1630" s="1"/>
      <c r="SCR1630" s="1"/>
      <c r="SCS1630" s="1"/>
      <c r="SCT1630" s="1"/>
      <c r="SCU1630" s="1"/>
      <c r="SCV1630" s="1"/>
      <c r="SCW1630" s="1"/>
      <c r="SCX1630" s="1"/>
      <c r="SCY1630" s="1"/>
      <c r="SCZ1630" s="1"/>
      <c r="SDA1630" s="1"/>
      <c r="SDB1630" s="1"/>
      <c r="SDC1630" s="1"/>
      <c r="SDD1630" s="1"/>
      <c r="SDE1630" s="1"/>
      <c r="SDF1630" s="1"/>
      <c r="SDG1630" s="1"/>
      <c r="SDH1630" s="1"/>
      <c r="SDI1630" s="1"/>
      <c r="SDJ1630" s="1"/>
      <c r="SDK1630" s="1"/>
      <c r="SDL1630" s="1"/>
      <c r="SDM1630" s="1"/>
      <c r="SDN1630" s="1"/>
      <c r="SDO1630" s="1"/>
      <c r="SDP1630" s="1"/>
      <c r="SDQ1630" s="1"/>
      <c r="SDR1630" s="1"/>
      <c r="SDS1630" s="1"/>
      <c r="SDT1630" s="1"/>
      <c r="SDU1630" s="1"/>
      <c r="SDV1630" s="1"/>
      <c r="SDW1630" s="1"/>
      <c r="SDX1630" s="1"/>
      <c r="SDY1630" s="1"/>
      <c r="SDZ1630" s="1"/>
      <c r="SEA1630" s="1"/>
      <c r="SEB1630" s="1"/>
      <c r="SEC1630" s="1"/>
      <c r="SED1630" s="1"/>
      <c r="SEE1630" s="1"/>
      <c r="SEF1630" s="1"/>
      <c r="SEG1630" s="1"/>
      <c r="SEH1630" s="1"/>
      <c r="SEI1630" s="1"/>
      <c r="SEJ1630" s="1"/>
      <c r="SEK1630" s="1"/>
      <c r="SEL1630" s="1"/>
      <c r="SEM1630" s="1"/>
      <c r="SEN1630" s="1"/>
      <c r="SEO1630" s="1"/>
      <c r="SEP1630" s="1"/>
      <c r="SEQ1630" s="1"/>
      <c r="SER1630" s="1"/>
      <c r="SES1630" s="1"/>
      <c r="SET1630" s="1"/>
      <c r="SEU1630" s="1"/>
      <c r="SEV1630" s="1"/>
      <c r="SEW1630" s="1"/>
      <c r="SEX1630" s="1"/>
      <c r="SEY1630" s="1"/>
      <c r="SEZ1630" s="1"/>
      <c r="SFA1630" s="1"/>
      <c r="SFB1630" s="1"/>
      <c r="SFC1630" s="1"/>
      <c r="SFD1630" s="1"/>
      <c r="SFE1630" s="1"/>
      <c r="SFF1630" s="1"/>
      <c r="SFG1630" s="1"/>
      <c r="SFH1630" s="1"/>
      <c r="SFI1630" s="1"/>
      <c r="SFJ1630" s="1"/>
      <c r="SFK1630" s="1"/>
      <c r="SFL1630" s="1"/>
      <c r="SFM1630" s="1"/>
      <c r="SFN1630" s="1"/>
      <c r="SFO1630" s="1"/>
      <c r="SFP1630" s="1"/>
      <c r="SFQ1630" s="1"/>
      <c r="SFR1630" s="1"/>
      <c r="SFS1630" s="1"/>
      <c r="SFT1630" s="1"/>
      <c r="SFU1630" s="1"/>
      <c r="SFV1630" s="1"/>
      <c r="SFW1630" s="1"/>
      <c r="SFX1630" s="1"/>
      <c r="SFY1630" s="1"/>
      <c r="SFZ1630" s="1"/>
      <c r="SGA1630" s="1"/>
      <c r="SGB1630" s="1"/>
      <c r="SGC1630" s="1"/>
      <c r="SGD1630" s="1"/>
      <c r="SGE1630" s="1"/>
      <c r="SGF1630" s="1"/>
      <c r="SGG1630" s="1"/>
      <c r="SGH1630" s="1"/>
      <c r="SGI1630" s="1"/>
      <c r="SGJ1630" s="1"/>
      <c r="SGK1630" s="1"/>
      <c r="SGL1630" s="1"/>
      <c r="SGM1630" s="1"/>
      <c r="SGN1630" s="1"/>
      <c r="SGO1630" s="1"/>
      <c r="SGP1630" s="1"/>
      <c r="SGQ1630" s="1"/>
      <c r="SGR1630" s="1"/>
      <c r="SGS1630" s="1"/>
      <c r="SGT1630" s="1"/>
      <c r="SGU1630" s="1"/>
      <c r="SGV1630" s="1"/>
      <c r="SGW1630" s="1"/>
      <c r="SGX1630" s="1"/>
      <c r="SGY1630" s="1"/>
      <c r="SGZ1630" s="1"/>
      <c r="SHA1630" s="1"/>
      <c r="SHB1630" s="1"/>
      <c r="SHC1630" s="1"/>
      <c r="SHD1630" s="1"/>
      <c r="SHE1630" s="1"/>
      <c r="SHF1630" s="1"/>
      <c r="SHG1630" s="1"/>
      <c r="SHH1630" s="1"/>
      <c r="SHI1630" s="1"/>
      <c r="SHJ1630" s="1"/>
      <c r="SHK1630" s="1"/>
      <c r="SHL1630" s="1"/>
      <c r="SHM1630" s="1"/>
      <c r="SHN1630" s="1"/>
      <c r="SHO1630" s="1"/>
      <c r="SHP1630" s="1"/>
      <c r="SHQ1630" s="1"/>
      <c r="SHR1630" s="1"/>
      <c r="SHS1630" s="1"/>
      <c r="SHT1630" s="1"/>
      <c r="SHU1630" s="1"/>
      <c r="SHV1630" s="1"/>
      <c r="SHW1630" s="1"/>
      <c r="SHX1630" s="1"/>
      <c r="SHY1630" s="1"/>
      <c r="SHZ1630" s="1"/>
      <c r="SIA1630" s="1"/>
      <c r="SIB1630" s="1"/>
      <c r="SIC1630" s="1"/>
      <c r="SID1630" s="1"/>
      <c r="SIE1630" s="1"/>
      <c r="SIF1630" s="1"/>
      <c r="SIG1630" s="1"/>
      <c r="SIH1630" s="1"/>
      <c r="SII1630" s="1"/>
      <c r="SIJ1630" s="1"/>
      <c r="SIK1630" s="1"/>
      <c r="SIL1630" s="1"/>
      <c r="SIM1630" s="1"/>
      <c r="SIN1630" s="1"/>
      <c r="SIO1630" s="1"/>
      <c r="SIP1630" s="1"/>
      <c r="SIQ1630" s="1"/>
      <c r="SIR1630" s="1"/>
      <c r="SIS1630" s="1"/>
      <c r="SIT1630" s="1"/>
      <c r="SIU1630" s="1"/>
      <c r="SIV1630" s="1"/>
      <c r="SIW1630" s="1"/>
      <c r="SIX1630" s="1"/>
      <c r="SIY1630" s="1"/>
      <c r="SIZ1630" s="1"/>
      <c r="SJA1630" s="1"/>
      <c r="SJB1630" s="1"/>
      <c r="SJC1630" s="1"/>
      <c r="SJD1630" s="1"/>
      <c r="SJE1630" s="1"/>
      <c r="SJF1630" s="1"/>
      <c r="SJG1630" s="1"/>
      <c r="SJH1630" s="1"/>
      <c r="SJI1630" s="1"/>
      <c r="SJJ1630" s="1"/>
      <c r="SJK1630" s="1"/>
      <c r="SJL1630" s="1"/>
      <c r="SJM1630" s="1"/>
      <c r="SJN1630" s="1"/>
      <c r="SJO1630" s="1"/>
      <c r="SJP1630" s="1"/>
      <c r="SJQ1630" s="1"/>
      <c r="SJR1630" s="1"/>
      <c r="SJS1630" s="1"/>
      <c r="SJT1630" s="1"/>
      <c r="SJU1630" s="1"/>
      <c r="SJV1630" s="1"/>
      <c r="SJW1630" s="1"/>
      <c r="SJX1630" s="1"/>
      <c r="SJY1630" s="1"/>
      <c r="SJZ1630" s="1"/>
      <c r="SKA1630" s="1"/>
      <c r="SKB1630" s="1"/>
      <c r="SKC1630" s="1"/>
      <c r="SKD1630" s="1"/>
      <c r="SKE1630" s="1"/>
      <c r="SKF1630" s="1"/>
      <c r="SKG1630" s="1"/>
      <c r="SKH1630" s="1"/>
      <c r="SKI1630" s="1"/>
      <c r="SKJ1630" s="1"/>
      <c r="SKK1630" s="1"/>
      <c r="SKL1630" s="1"/>
      <c r="SKM1630" s="1"/>
      <c r="SKN1630" s="1"/>
      <c r="SKO1630" s="1"/>
      <c r="SKP1630" s="1"/>
      <c r="SKQ1630" s="1"/>
      <c r="SKR1630" s="1"/>
      <c r="SKS1630" s="1"/>
      <c r="SKT1630" s="1"/>
      <c r="SKU1630" s="1"/>
      <c r="SKV1630" s="1"/>
      <c r="SKW1630" s="1"/>
      <c r="SKX1630" s="1"/>
      <c r="SKY1630" s="1"/>
      <c r="SKZ1630" s="1"/>
      <c r="SLA1630" s="1"/>
      <c r="SLB1630" s="1"/>
      <c r="SLC1630" s="1"/>
      <c r="SLD1630" s="1"/>
      <c r="SLE1630" s="1"/>
      <c r="SLF1630" s="1"/>
      <c r="SLG1630" s="1"/>
      <c r="SLH1630" s="1"/>
      <c r="SLI1630" s="1"/>
      <c r="SLJ1630" s="1"/>
      <c r="SLK1630" s="1"/>
      <c r="SLL1630" s="1"/>
      <c r="SLM1630" s="1"/>
      <c r="SLN1630" s="1"/>
      <c r="SLO1630" s="1"/>
      <c r="SLP1630" s="1"/>
      <c r="SLQ1630" s="1"/>
      <c r="SLR1630" s="1"/>
      <c r="SLS1630" s="1"/>
      <c r="SLT1630" s="1"/>
      <c r="SLU1630" s="1"/>
      <c r="SLV1630" s="1"/>
      <c r="SLW1630" s="1"/>
      <c r="SLX1630" s="1"/>
      <c r="SLY1630" s="1"/>
      <c r="SLZ1630" s="1"/>
      <c r="SMA1630" s="1"/>
      <c r="SMB1630" s="1"/>
      <c r="SMC1630" s="1"/>
      <c r="SMD1630" s="1"/>
      <c r="SME1630" s="1"/>
      <c r="SMF1630" s="1"/>
      <c r="SMG1630" s="1"/>
      <c r="SMH1630" s="1"/>
      <c r="SMI1630" s="1"/>
      <c r="SMJ1630" s="1"/>
      <c r="SMK1630" s="1"/>
      <c r="SML1630" s="1"/>
      <c r="SMM1630" s="1"/>
      <c r="SMN1630" s="1"/>
      <c r="SMO1630" s="1"/>
      <c r="SMP1630" s="1"/>
      <c r="SMQ1630" s="1"/>
      <c r="SMR1630" s="1"/>
      <c r="SMS1630" s="1"/>
      <c r="SMT1630" s="1"/>
      <c r="SMU1630" s="1"/>
      <c r="SMV1630" s="1"/>
      <c r="SMW1630" s="1"/>
      <c r="SMX1630" s="1"/>
      <c r="SMY1630" s="1"/>
      <c r="SMZ1630" s="1"/>
      <c r="SNA1630" s="1"/>
      <c r="SNB1630" s="1"/>
      <c r="SNC1630" s="1"/>
      <c r="SND1630" s="1"/>
      <c r="SNE1630" s="1"/>
      <c r="SNF1630" s="1"/>
      <c r="SNG1630" s="1"/>
      <c r="SNH1630" s="1"/>
      <c r="SNI1630" s="1"/>
      <c r="SNJ1630" s="1"/>
      <c r="SNK1630" s="1"/>
      <c r="SNL1630" s="1"/>
      <c r="SNM1630" s="1"/>
      <c r="SNN1630" s="1"/>
      <c r="SNO1630" s="1"/>
      <c r="SNP1630" s="1"/>
      <c r="SNQ1630" s="1"/>
      <c r="SNR1630" s="1"/>
      <c r="SNS1630" s="1"/>
      <c r="SNT1630" s="1"/>
      <c r="SNU1630" s="1"/>
      <c r="SNV1630" s="1"/>
      <c r="SNW1630" s="1"/>
      <c r="SNX1630" s="1"/>
      <c r="SNY1630" s="1"/>
      <c r="SNZ1630" s="1"/>
      <c r="SOA1630" s="1"/>
      <c r="SOB1630" s="1"/>
      <c r="SOC1630" s="1"/>
      <c r="SOD1630" s="1"/>
      <c r="SOE1630" s="1"/>
      <c r="SOF1630" s="1"/>
      <c r="SOG1630" s="1"/>
      <c r="SOH1630" s="1"/>
      <c r="SOI1630" s="1"/>
      <c r="SOJ1630" s="1"/>
      <c r="SOK1630" s="1"/>
      <c r="SOL1630" s="1"/>
      <c r="SOM1630" s="1"/>
      <c r="SON1630" s="1"/>
      <c r="SOO1630" s="1"/>
      <c r="SOP1630" s="1"/>
      <c r="SOQ1630" s="1"/>
      <c r="SOR1630" s="1"/>
      <c r="SOS1630" s="1"/>
      <c r="SOT1630" s="1"/>
      <c r="SOU1630" s="1"/>
      <c r="SOV1630" s="1"/>
      <c r="SOW1630" s="1"/>
      <c r="SOX1630" s="1"/>
      <c r="SOY1630" s="1"/>
      <c r="SOZ1630" s="1"/>
      <c r="SPA1630" s="1"/>
      <c r="SPB1630" s="1"/>
      <c r="SPC1630" s="1"/>
      <c r="SPD1630" s="1"/>
      <c r="SPE1630" s="1"/>
      <c r="SPF1630" s="1"/>
      <c r="SPG1630" s="1"/>
      <c r="SPH1630" s="1"/>
      <c r="SPI1630" s="1"/>
      <c r="SPJ1630" s="1"/>
      <c r="SPK1630" s="1"/>
      <c r="SPL1630" s="1"/>
      <c r="SPM1630" s="1"/>
      <c r="SPN1630" s="1"/>
      <c r="SPO1630" s="1"/>
      <c r="SPP1630" s="1"/>
      <c r="SPQ1630" s="1"/>
      <c r="SPR1630" s="1"/>
      <c r="SPS1630" s="1"/>
      <c r="SPT1630" s="1"/>
      <c r="SPU1630" s="1"/>
      <c r="SPV1630" s="1"/>
      <c r="SPW1630" s="1"/>
      <c r="SPX1630" s="1"/>
      <c r="SPY1630" s="1"/>
      <c r="SPZ1630" s="1"/>
      <c r="SQA1630" s="1"/>
      <c r="SQB1630" s="1"/>
      <c r="SQC1630" s="1"/>
      <c r="SQD1630" s="1"/>
      <c r="SQE1630" s="1"/>
      <c r="SQF1630" s="1"/>
      <c r="SQG1630" s="1"/>
      <c r="SQH1630" s="1"/>
      <c r="SQI1630" s="1"/>
      <c r="SQJ1630" s="1"/>
      <c r="SQK1630" s="1"/>
      <c r="SQL1630" s="1"/>
      <c r="SQM1630" s="1"/>
      <c r="SQN1630" s="1"/>
      <c r="SQO1630" s="1"/>
      <c r="SQP1630" s="1"/>
      <c r="SQQ1630" s="1"/>
      <c r="SQR1630" s="1"/>
      <c r="SQS1630" s="1"/>
      <c r="SQT1630" s="1"/>
      <c r="SQU1630" s="1"/>
      <c r="SQV1630" s="1"/>
      <c r="SQW1630" s="1"/>
      <c r="SQX1630" s="1"/>
      <c r="SQY1630" s="1"/>
      <c r="SQZ1630" s="1"/>
      <c r="SRA1630" s="1"/>
      <c r="SRB1630" s="1"/>
      <c r="SRC1630" s="1"/>
      <c r="SRD1630" s="1"/>
      <c r="SRE1630" s="1"/>
      <c r="SRF1630" s="1"/>
      <c r="SRG1630" s="1"/>
      <c r="SRH1630" s="1"/>
      <c r="SRI1630" s="1"/>
      <c r="SRJ1630" s="1"/>
      <c r="SRK1630" s="1"/>
      <c r="SRL1630" s="1"/>
      <c r="SRM1630" s="1"/>
      <c r="SRN1630" s="1"/>
      <c r="SRO1630" s="1"/>
      <c r="SRP1630" s="1"/>
      <c r="SRQ1630" s="1"/>
      <c r="SRR1630" s="1"/>
      <c r="SRS1630" s="1"/>
      <c r="SRT1630" s="1"/>
      <c r="SRU1630" s="1"/>
      <c r="SRV1630" s="1"/>
      <c r="SRW1630" s="1"/>
      <c r="SRX1630" s="1"/>
      <c r="SRY1630" s="1"/>
      <c r="SRZ1630" s="1"/>
      <c r="SSA1630" s="1"/>
      <c r="SSB1630" s="1"/>
      <c r="SSC1630" s="1"/>
      <c r="SSD1630" s="1"/>
      <c r="SSE1630" s="1"/>
      <c r="SSF1630" s="1"/>
      <c r="SSG1630" s="1"/>
      <c r="SSH1630" s="1"/>
      <c r="SSI1630" s="1"/>
      <c r="SSJ1630" s="1"/>
      <c r="SSK1630" s="1"/>
      <c r="SSL1630" s="1"/>
      <c r="SSM1630" s="1"/>
      <c r="SSN1630" s="1"/>
      <c r="SSO1630" s="1"/>
      <c r="SSP1630" s="1"/>
      <c r="SSQ1630" s="1"/>
      <c r="SSR1630" s="1"/>
      <c r="SSS1630" s="1"/>
      <c r="SST1630" s="1"/>
      <c r="SSU1630" s="1"/>
      <c r="SSV1630" s="1"/>
      <c r="SSW1630" s="1"/>
      <c r="SSX1630" s="1"/>
      <c r="SSY1630" s="1"/>
      <c r="SSZ1630" s="1"/>
      <c r="STA1630" s="1"/>
      <c r="STB1630" s="1"/>
      <c r="STC1630" s="1"/>
      <c r="STD1630" s="1"/>
      <c r="STE1630" s="1"/>
      <c r="STF1630" s="1"/>
      <c r="STG1630" s="1"/>
      <c r="STH1630" s="1"/>
      <c r="STI1630" s="1"/>
      <c r="STJ1630" s="1"/>
      <c r="STK1630" s="1"/>
      <c r="STL1630" s="1"/>
      <c r="STM1630" s="1"/>
      <c r="STN1630" s="1"/>
      <c r="STO1630" s="1"/>
      <c r="STP1630" s="1"/>
      <c r="STQ1630" s="1"/>
      <c r="STR1630" s="1"/>
      <c r="STS1630" s="1"/>
      <c r="STT1630" s="1"/>
      <c r="STU1630" s="1"/>
      <c r="STV1630" s="1"/>
      <c r="STW1630" s="1"/>
      <c r="STX1630" s="1"/>
      <c r="STY1630" s="1"/>
      <c r="STZ1630" s="1"/>
      <c r="SUA1630" s="1"/>
      <c r="SUB1630" s="1"/>
      <c r="SUC1630" s="1"/>
      <c r="SUD1630" s="1"/>
      <c r="SUE1630" s="1"/>
      <c r="SUF1630" s="1"/>
      <c r="SUG1630" s="1"/>
      <c r="SUH1630" s="1"/>
      <c r="SUI1630" s="1"/>
      <c r="SUJ1630" s="1"/>
      <c r="SUK1630" s="1"/>
      <c r="SUL1630" s="1"/>
      <c r="SUM1630" s="1"/>
      <c r="SUN1630" s="1"/>
      <c r="SUO1630" s="1"/>
      <c r="SUP1630" s="1"/>
      <c r="SUQ1630" s="1"/>
      <c r="SUR1630" s="1"/>
      <c r="SUS1630" s="1"/>
      <c r="SUT1630" s="1"/>
      <c r="SUU1630" s="1"/>
      <c r="SUV1630" s="1"/>
      <c r="SUW1630" s="1"/>
      <c r="SUX1630" s="1"/>
      <c r="SUY1630" s="1"/>
      <c r="SUZ1630" s="1"/>
      <c r="SVA1630" s="1"/>
      <c r="SVB1630" s="1"/>
      <c r="SVC1630" s="1"/>
      <c r="SVD1630" s="1"/>
      <c r="SVE1630" s="1"/>
      <c r="SVF1630" s="1"/>
      <c r="SVG1630" s="1"/>
      <c r="SVH1630" s="1"/>
      <c r="SVI1630" s="1"/>
      <c r="SVJ1630" s="1"/>
      <c r="SVK1630" s="1"/>
      <c r="SVL1630" s="1"/>
      <c r="SVM1630" s="1"/>
      <c r="SVN1630" s="1"/>
      <c r="SVO1630" s="1"/>
      <c r="SVP1630" s="1"/>
      <c r="SVQ1630" s="1"/>
      <c r="SVR1630" s="1"/>
      <c r="SVS1630" s="1"/>
      <c r="SVT1630" s="1"/>
      <c r="SVU1630" s="1"/>
      <c r="SVV1630" s="1"/>
      <c r="SVW1630" s="1"/>
      <c r="SVX1630" s="1"/>
      <c r="SVY1630" s="1"/>
      <c r="SVZ1630" s="1"/>
      <c r="SWA1630" s="1"/>
      <c r="SWB1630" s="1"/>
      <c r="SWC1630" s="1"/>
      <c r="SWD1630" s="1"/>
      <c r="SWE1630" s="1"/>
      <c r="SWF1630" s="1"/>
      <c r="SWG1630" s="1"/>
      <c r="SWH1630" s="1"/>
      <c r="SWI1630" s="1"/>
      <c r="SWJ1630" s="1"/>
      <c r="SWK1630" s="1"/>
      <c r="SWL1630" s="1"/>
      <c r="SWM1630" s="1"/>
      <c r="SWN1630" s="1"/>
      <c r="SWO1630" s="1"/>
      <c r="SWP1630" s="1"/>
      <c r="SWQ1630" s="1"/>
      <c r="SWR1630" s="1"/>
      <c r="SWS1630" s="1"/>
      <c r="SWT1630" s="1"/>
      <c r="SWU1630" s="1"/>
      <c r="SWV1630" s="1"/>
      <c r="SWW1630" s="1"/>
      <c r="SWX1630" s="1"/>
      <c r="SWY1630" s="1"/>
      <c r="SWZ1630" s="1"/>
      <c r="SXA1630" s="1"/>
      <c r="SXB1630" s="1"/>
      <c r="SXC1630" s="1"/>
      <c r="SXD1630" s="1"/>
      <c r="SXE1630" s="1"/>
      <c r="SXF1630" s="1"/>
      <c r="SXG1630" s="1"/>
      <c r="SXH1630" s="1"/>
      <c r="SXI1630" s="1"/>
      <c r="SXJ1630" s="1"/>
      <c r="SXK1630" s="1"/>
      <c r="SXL1630" s="1"/>
      <c r="SXM1630" s="1"/>
      <c r="SXN1630" s="1"/>
      <c r="SXO1630" s="1"/>
      <c r="SXP1630" s="1"/>
      <c r="SXQ1630" s="1"/>
      <c r="SXR1630" s="1"/>
      <c r="SXS1630" s="1"/>
      <c r="SXT1630" s="1"/>
      <c r="SXU1630" s="1"/>
      <c r="SXV1630" s="1"/>
      <c r="SXW1630" s="1"/>
      <c r="SXX1630" s="1"/>
      <c r="SXY1630" s="1"/>
      <c r="SXZ1630" s="1"/>
      <c r="SYA1630" s="1"/>
      <c r="SYB1630" s="1"/>
      <c r="SYC1630" s="1"/>
      <c r="SYD1630" s="1"/>
      <c r="SYE1630" s="1"/>
      <c r="SYF1630" s="1"/>
      <c r="SYG1630" s="1"/>
      <c r="SYH1630" s="1"/>
      <c r="SYI1630" s="1"/>
      <c r="SYJ1630" s="1"/>
      <c r="SYK1630" s="1"/>
      <c r="SYL1630" s="1"/>
      <c r="SYM1630" s="1"/>
      <c r="SYN1630" s="1"/>
      <c r="SYO1630" s="1"/>
      <c r="SYP1630" s="1"/>
      <c r="SYQ1630" s="1"/>
      <c r="SYR1630" s="1"/>
      <c r="SYS1630" s="1"/>
      <c r="SYT1630" s="1"/>
      <c r="SYU1630" s="1"/>
      <c r="SYV1630" s="1"/>
      <c r="SYW1630" s="1"/>
      <c r="SYX1630" s="1"/>
      <c r="SYY1630" s="1"/>
      <c r="SYZ1630" s="1"/>
      <c r="SZA1630" s="1"/>
      <c r="SZB1630" s="1"/>
      <c r="SZC1630" s="1"/>
      <c r="SZD1630" s="1"/>
      <c r="SZE1630" s="1"/>
      <c r="SZF1630" s="1"/>
      <c r="SZG1630" s="1"/>
      <c r="SZH1630" s="1"/>
      <c r="SZI1630" s="1"/>
      <c r="SZJ1630" s="1"/>
      <c r="SZK1630" s="1"/>
      <c r="SZL1630" s="1"/>
      <c r="SZM1630" s="1"/>
      <c r="SZN1630" s="1"/>
      <c r="SZO1630" s="1"/>
      <c r="SZP1630" s="1"/>
      <c r="SZQ1630" s="1"/>
      <c r="SZR1630" s="1"/>
      <c r="SZS1630" s="1"/>
      <c r="SZT1630" s="1"/>
      <c r="SZU1630" s="1"/>
      <c r="SZV1630" s="1"/>
      <c r="SZW1630" s="1"/>
      <c r="SZX1630" s="1"/>
      <c r="SZY1630" s="1"/>
      <c r="SZZ1630" s="1"/>
      <c r="TAA1630" s="1"/>
      <c r="TAB1630" s="1"/>
      <c r="TAC1630" s="1"/>
      <c r="TAD1630" s="1"/>
      <c r="TAE1630" s="1"/>
      <c r="TAF1630" s="1"/>
      <c r="TAG1630" s="1"/>
      <c r="TAH1630" s="1"/>
      <c r="TAI1630" s="1"/>
      <c r="TAJ1630" s="1"/>
      <c r="TAK1630" s="1"/>
      <c r="TAL1630" s="1"/>
      <c r="TAM1630" s="1"/>
      <c r="TAN1630" s="1"/>
      <c r="TAO1630" s="1"/>
      <c r="TAP1630" s="1"/>
      <c r="TAQ1630" s="1"/>
      <c r="TAR1630" s="1"/>
      <c r="TAS1630" s="1"/>
      <c r="TAT1630" s="1"/>
      <c r="TAU1630" s="1"/>
      <c r="TAV1630" s="1"/>
      <c r="TAW1630" s="1"/>
      <c r="TAX1630" s="1"/>
      <c r="TAY1630" s="1"/>
      <c r="TAZ1630" s="1"/>
      <c r="TBA1630" s="1"/>
      <c r="TBB1630" s="1"/>
      <c r="TBC1630" s="1"/>
      <c r="TBD1630" s="1"/>
      <c r="TBE1630" s="1"/>
      <c r="TBF1630" s="1"/>
      <c r="TBG1630" s="1"/>
      <c r="TBH1630" s="1"/>
      <c r="TBI1630" s="1"/>
      <c r="TBJ1630" s="1"/>
      <c r="TBK1630" s="1"/>
      <c r="TBL1630" s="1"/>
      <c r="TBM1630" s="1"/>
      <c r="TBN1630" s="1"/>
      <c r="TBO1630" s="1"/>
      <c r="TBP1630" s="1"/>
      <c r="TBQ1630" s="1"/>
      <c r="TBR1630" s="1"/>
      <c r="TBS1630" s="1"/>
      <c r="TBT1630" s="1"/>
      <c r="TBU1630" s="1"/>
      <c r="TBV1630" s="1"/>
      <c r="TBW1630" s="1"/>
      <c r="TBX1630" s="1"/>
      <c r="TBY1630" s="1"/>
      <c r="TBZ1630" s="1"/>
      <c r="TCA1630" s="1"/>
      <c r="TCB1630" s="1"/>
      <c r="TCC1630" s="1"/>
      <c r="TCD1630" s="1"/>
      <c r="TCE1630" s="1"/>
      <c r="TCF1630" s="1"/>
      <c r="TCG1630" s="1"/>
      <c r="TCH1630" s="1"/>
      <c r="TCI1630" s="1"/>
      <c r="TCJ1630" s="1"/>
      <c r="TCK1630" s="1"/>
      <c r="TCL1630" s="1"/>
      <c r="TCM1630" s="1"/>
      <c r="TCN1630" s="1"/>
      <c r="TCO1630" s="1"/>
      <c r="TCP1630" s="1"/>
      <c r="TCQ1630" s="1"/>
      <c r="TCR1630" s="1"/>
      <c r="TCS1630" s="1"/>
      <c r="TCT1630" s="1"/>
      <c r="TCU1630" s="1"/>
      <c r="TCV1630" s="1"/>
      <c r="TCW1630" s="1"/>
      <c r="TCX1630" s="1"/>
      <c r="TCY1630" s="1"/>
      <c r="TCZ1630" s="1"/>
      <c r="TDA1630" s="1"/>
      <c r="TDB1630" s="1"/>
      <c r="TDC1630" s="1"/>
      <c r="TDD1630" s="1"/>
      <c r="TDE1630" s="1"/>
      <c r="TDF1630" s="1"/>
      <c r="TDG1630" s="1"/>
      <c r="TDH1630" s="1"/>
      <c r="TDI1630" s="1"/>
      <c r="TDJ1630" s="1"/>
      <c r="TDK1630" s="1"/>
      <c r="TDL1630" s="1"/>
      <c r="TDM1630" s="1"/>
      <c r="TDN1630" s="1"/>
      <c r="TDO1630" s="1"/>
      <c r="TDP1630" s="1"/>
      <c r="TDQ1630" s="1"/>
      <c r="TDR1630" s="1"/>
      <c r="TDS1630" s="1"/>
      <c r="TDT1630" s="1"/>
      <c r="TDU1630" s="1"/>
      <c r="TDV1630" s="1"/>
      <c r="TDW1630" s="1"/>
      <c r="TDX1630" s="1"/>
      <c r="TDY1630" s="1"/>
      <c r="TDZ1630" s="1"/>
      <c r="TEA1630" s="1"/>
      <c r="TEB1630" s="1"/>
      <c r="TEC1630" s="1"/>
      <c r="TED1630" s="1"/>
      <c r="TEE1630" s="1"/>
      <c r="TEF1630" s="1"/>
      <c r="TEG1630" s="1"/>
      <c r="TEH1630" s="1"/>
      <c r="TEI1630" s="1"/>
      <c r="TEJ1630" s="1"/>
      <c r="TEK1630" s="1"/>
      <c r="TEL1630" s="1"/>
      <c r="TEM1630" s="1"/>
      <c r="TEN1630" s="1"/>
      <c r="TEO1630" s="1"/>
      <c r="TEP1630" s="1"/>
      <c r="TEQ1630" s="1"/>
      <c r="TER1630" s="1"/>
      <c r="TES1630" s="1"/>
      <c r="TET1630" s="1"/>
      <c r="TEU1630" s="1"/>
      <c r="TEV1630" s="1"/>
      <c r="TEW1630" s="1"/>
      <c r="TEX1630" s="1"/>
      <c r="TEY1630" s="1"/>
      <c r="TEZ1630" s="1"/>
      <c r="TFA1630" s="1"/>
      <c r="TFB1630" s="1"/>
      <c r="TFC1630" s="1"/>
      <c r="TFD1630" s="1"/>
      <c r="TFE1630" s="1"/>
      <c r="TFF1630" s="1"/>
      <c r="TFG1630" s="1"/>
      <c r="TFH1630" s="1"/>
      <c r="TFI1630" s="1"/>
      <c r="TFJ1630" s="1"/>
      <c r="TFK1630" s="1"/>
      <c r="TFL1630" s="1"/>
      <c r="TFM1630" s="1"/>
      <c r="TFN1630" s="1"/>
      <c r="TFO1630" s="1"/>
      <c r="TFP1630" s="1"/>
      <c r="TFQ1630" s="1"/>
      <c r="TFR1630" s="1"/>
      <c r="TFS1630" s="1"/>
      <c r="TFT1630" s="1"/>
      <c r="TFU1630" s="1"/>
      <c r="TFV1630" s="1"/>
      <c r="TFW1630" s="1"/>
      <c r="TFX1630" s="1"/>
      <c r="TFY1630" s="1"/>
      <c r="TFZ1630" s="1"/>
      <c r="TGA1630" s="1"/>
      <c r="TGB1630" s="1"/>
      <c r="TGC1630" s="1"/>
      <c r="TGD1630" s="1"/>
      <c r="TGE1630" s="1"/>
      <c r="TGF1630" s="1"/>
      <c r="TGG1630" s="1"/>
      <c r="TGH1630" s="1"/>
      <c r="TGI1630" s="1"/>
      <c r="TGJ1630" s="1"/>
      <c r="TGK1630" s="1"/>
      <c r="TGL1630" s="1"/>
      <c r="TGM1630" s="1"/>
      <c r="TGN1630" s="1"/>
      <c r="TGO1630" s="1"/>
      <c r="TGP1630" s="1"/>
      <c r="TGQ1630" s="1"/>
      <c r="TGR1630" s="1"/>
      <c r="TGS1630" s="1"/>
      <c r="TGT1630" s="1"/>
      <c r="TGU1630" s="1"/>
      <c r="TGV1630" s="1"/>
      <c r="TGW1630" s="1"/>
      <c r="TGX1630" s="1"/>
      <c r="TGY1630" s="1"/>
      <c r="TGZ1630" s="1"/>
      <c r="THA1630" s="1"/>
      <c r="THB1630" s="1"/>
      <c r="THC1630" s="1"/>
      <c r="THD1630" s="1"/>
      <c r="THE1630" s="1"/>
      <c r="THF1630" s="1"/>
      <c r="THG1630" s="1"/>
      <c r="THH1630" s="1"/>
      <c r="THI1630" s="1"/>
      <c r="THJ1630" s="1"/>
      <c r="THK1630" s="1"/>
      <c r="THL1630" s="1"/>
      <c r="THM1630" s="1"/>
      <c r="THN1630" s="1"/>
      <c r="THO1630" s="1"/>
      <c r="THP1630" s="1"/>
      <c r="THQ1630" s="1"/>
      <c r="THR1630" s="1"/>
      <c r="THS1630" s="1"/>
      <c r="THT1630" s="1"/>
      <c r="THU1630" s="1"/>
      <c r="THV1630" s="1"/>
      <c r="THW1630" s="1"/>
      <c r="THX1630" s="1"/>
      <c r="THY1630" s="1"/>
      <c r="THZ1630" s="1"/>
      <c r="TIA1630" s="1"/>
      <c r="TIB1630" s="1"/>
      <c r="TIC1630" s="1"/>
      <c r="TID1630" s="1"/>
      <c r="TIE1630" s="1"/>
      <c r="TIF1630" s="1"/>
      <c r="TIG1630" s="1"/>
      <c r="TIH1630" s="1"/>
      <c r="TII1630" s="1"/>
      <c r="TIJ1630" s="1"/>
      <c r="TIK1630" s="1"/>
      <c r="TIL1630" s="1"/>
      <c r="TIM1630" s="1"/>
      <c r="TIN1630" s="1"/>
      <c r="TIO1630" s="1"/>
      <c r="TIP1630" s="1"/>
      <c r="TIQ1630" s="1"/>
      <c r="TIR1630" s="1"/>
      <c r="TIS1630" s="1"/>
      <c r="TIT1630" s="1"/>
      <c r="TIU1630" s="1"/>
      <c r="TIV1630" s="1"/>
      <c r="TIW1630" s="1"/>
      <c r="TIX1630" s="1"/>
      <c r="TIY1630" s="1"/>
      <c r="TIZ1630" s="1"/>
      <c r="TJA1630" s="1"/>
      <c r="TJB1630" s="1"/>
      <c r="TJC1630" s="1"/>
      <c r="TJD1630" s="1"/>
      <c r="TJE1630" s="1"/>
      <c r="TJF1630" s="1"/>
      <c r="TJG1630" s="1"/>
      <c r="TJH1630" s="1"/>
      <c r="TJI1630" s="1"/>
      <c r="TJJ1630" s="1"/>
      <c r="TJK1630" s="1"/>
      <c r="TJL1630" s="1"/>
      <c r="TJM1630" s="1"/>
      <c r="TJN1630" s="1"/>
      <c r="TJO1630" s="1"/>
      <c r="TJP1630" s="1"/>
      <c r="TJQ1630" s="1"/>
      <c r="TJR1630" s="1"/>
      <c r="TJS1630" s="1"/>
      <c r="TJT1630" s="1"/>
      <c r="TJU1630" s="1"/>
      <c r="TJV1630" s="1"/>
      <c r="TJW1630" s="1"/>
      <c r="TJX1630" s="1"/>
      <c r="TJY1630" s="1"/>
      <c r="TJZ1630" s="1"/>
      <c r="TKA1630" s="1"/>
      <c r="TKB1630" s="1"/>
      <c r="TKC1630" s="1"/>
      <c r="TKD1630" s="1"/>
      <c r="TKE1630" s="1"/>
      <c r="TKF1630" s="1"/>
      <c r="TKG1630" s="1"/>
      <c r="TKH1630" s="1"/>
      <c r="TKI1630" s="1"/>
      <c r="TKJ1630" s="1"/>
      <c r="TKK1630" s="1"/>
      <c r="TKL1630" s="1"/>
      <c r="TKM1630" s="1"/>
      <c r="TKN1630" s="1"/>
      <c r="TKO1630" s="1"/>
      <c r="TKP1630" s="1"/>
      <c r="TKQ1630" s="1"/>
      <c r="TKR1630" s="1"/>
      <c r="TKS1630" s="1"/>
      <c r="TKT1630" s="1"/>
      <c r="TKU1630" s="1"/>
      <c r="TKV1630" s="1"/>
      <c r="TKW1630" s="1"/>
      <c r="TKX1630" s="1"/>
      <c r="TKY1630" s="1"/>
      <c r="TKZ1630" s="1"/>
      <c r="TLA1630" s="1"/>
      <c r="TLB1630" s="1"/>
      <c r="TLC1630" s="1"/>
      <c r="TLD1630" s="1"/>
      <c r="TLE1630" s="1"/>
      <c r="TLF1630" s="1"/>
      <c r="TLG1630" s="1"/>
      <c r="TLH1630" s="1"/>
      <c r="TLI1630" s="1"/>
      <c r="TLJ1630" s="1"/>
      <c r="TLK1630" s="1"/>
      <c r="TLL1630" s="1"/>
      <c r="TLM1630" s="1"/>
      <c r="TLN1630" s="1"/>
      <c r="TLO1630" s="1"/>
      <c r="TLP1630" s="1"/>
      <c r="TLQ1630" s="1"/>
      <c r="TLR1630" s="1"/>
      <c r="TLS1630" s="1"/>
      <c r="TLT1630" s="1"/>
      <c r="TLU1630" s="1"/>
      <c r="TLV1630" s="1"/>
      <c r="TLW1630" s="1"/>
      <c r="TLX1630" s="1"/>
      <c r="TLY1630" s="1"/>
      <c r="TLZ1630" s="1"/>
      <c r="TMA1630" s="1"/>
      <c r="TMB1630" s="1"/>
      <c r="TMC1630" s="1"/>
      <c r="TMD1630" s="1"/>
      <c r="TME1630" s="1"/>
      <c r="TMF1630" s="1"/>
      <c r="TMG1630" s="1"/>
      <c r="TMH1630" s="1"/>
      <c r="TMI1630" s="1"/>
      <c r="TMJ1630" s="1"/>
      <c r="TMK1630" s="1"/>
      <c r="TML1630" s="1"/>
      <c r="TMM1630" s="1"/>
      <c r="TMN1630" s="1"/>
      <c r="TMO1630" s="1"/>
      <c r="TMP1630" s="1"/>
      <c r="TMQ1630" s="1"/>
      <c r="TMR1630" s="1"/>
      <c r="TMS1630" s="1"/>
      <c r="TMT1630" s="1"/>
      <c r="TMU1630" s="1"/>
      <c r="TMV1630" s="1"/>
      <c r="TMW1630" s="1"/>
      <c r="TMX1630" s="1"/>
      <c r="TMY1630" s="1"/>
      <c r="TMZ1630" s="1"/>
      <c r="TNA1630" s="1"/>
      <c r="TNB1630" s="1"/>
      <c r="TNC1630" s="1"/>
      <c r="TND1630" s="1"/>
      <c r="TNE1630" s="1"/>
      <c r="TNF1630" s="1"/>
      <c r="TNG1630" s="1"/>
      <c r="TNH1630" s="1"/>
      <c r="TNI1630" s="1"/>
      <c r="TNJ1630" s="1"/>
      <c r="TNK1630" s="1"/>
      <c r="TNL1630" s="1"/>
      <c r="TNM1630" s="1"/>
      <c r="TNN1630" s="1"/>
      <c r="TNO1630" s="1"/>
      <c r="TNP1630" s="1"/>
      <c r="TNQ1630" s="1"/>
      <c r="TNR1630" s="1"/>
      <c r="TNS1630" s="1"/>
      <c r="TNT1630" s="1"/>
      <c r="TNU1630" s="1"/>
      <c r="TNV1630" s="1"/>
      <c r="TNW1630" s="1"/>
      <c r="TNX1630" s="1"/>
      <c r="TNY1630" s="1"/>
      <c r="TNZ1630" s="1"/>
      <c r="TOA1630" s="1"/>
      <c r="TOB1630" s="1"/>
      <c r="TOC1630" s="1"/>
      <c r="TOD1630" s="1"/>
      <c r="TOE1630" s="1"/>
      <c r="TOF1630" s="1"/>
      <c r="TOG1630" s="1"/>
      <c r="TOH1630" s="1"/>
      <c r="TOI1630" s="1"/>
      <c r="TOJ1630" s="1"/>
      <c r="TOK1630" s="1"/>
      <c r="TOL1630" s="1"/>
      <c r="TOM1630" s="1"/>
      <c r="TON1630" s="1"/>
      <c r="TOO1630" s="1"/>
      <c r="TOP1630" s="1"/>
      <c r="TOQ1630" s="1"/>
      <c r="TOR1630" s="1"/>
      <c r="TOS1630" s="1"/>
      <c r="TOT1630" s="1"/>
      <c r="TOU1630" s="1"/>
      <c r="TOV1630" s="1"/>
      <c r="TOW1630" s="1"/>
      <c r="TOX1630" s="1"/>
      <c r="TOY1630" s="1"/>
      <c r="TOZ1630" s="1"/>
      <c r="TPA1630" s="1"/>
      <c r="TPB1630" s="1"/>
      <c r="TPC1630" s="1"/>
      <c r="TPD1630" s="1"/>
      <c r="TPE1630" s="1"/>
      <c r="TPF1630" s="1"/>
      <c r="TPG1630" s="1"/>
      <c r="TPH1630" s="1"/>
      <c r="TPI1630" s="1"/>
      <c r="TPJ1630" s="1"/>
      <c r="TPK1630" s="1"/>
      <c r="TPL1630" s="1"/>
      <c r="TPM1630" s="1"/>
      <c r="TPN1630" s="1"/>
      <c r="TPO1630" s="1"/>
      <c r="TPP1630" s="1"/>
      <c r="TPQ1630" s="1"/>
      <c r="TPR1630" s="1"/>
      <c r="TPS1630" s="1"/>
      <c r="TPT1630" s="1"/>
      <c r="TPU1630" s="1"/>
      <c r="TPV1630" s="1"/>
      <c r="TPW1630" s="1"/>
      <c r="TPX1630" s="1"/>
      <c r="TPY1630" s="1"/>
      <c r="TPZ1630" s="1"/>
      <c r="TQA1630" s="1"/>
      <c r="TQB1630" s="1"/>
      <c r="TQC1630" s="1"/>
      <c r="TQD1630" s="1"/>
      <c r="TQE1630" s="1"/>
      <c r="TQF1630" s="1"/>
      <c r="TQG1630" s="1"/>
      <c r="TQH1630" s="1"/>
      <c r="TQI1630" s="1"/>
      <c r="TQJ1630" s="1"/>
      <c r="TQK1630" s="1"/>
      <c r="TQL1630" s="1"/>
      <c r="TQM1630" s="1"/>
      <c r="TQN1630" s="1"/>
      <c r="TQO1630" s="1"/>
      <c r="TQP1630" s="1"/>
      <c r="TQQ1630" s="1"/>
      <c r="TQR1630" s="1"/>
      <c r="TQS1630" s="1"/>
      <c r="TQT1630" s="1"/>
      <c r="TQU1630" s="1"/>
      <c r="TQV1630" s="1"/>
      <c r="TQW1630" s="1"/>
      <c r="TQX1630" s="1"/>
      <c r="TQY1630" s="1"/>
      <c r="TQZ1630" s="1"/>
      <c r="TRA1630" s="1"/>
      <c r="TRB1630" s="1"/>
      <c r="TRC1630" s="1"/>
      <c r="TRD1630" s="1"/>
      <c r="TRE1630" s="1"/>
      <c r="TRF1630" s="1"/>
      <c r="TRG1630" s="1"/>
      <c r="TRH1630" s="1"/>
      <c r="TRI1630" s="1"/>
      <c r="TRJ1630" s="1"/>
      <c r="TRK1630" s="1"/>
      <c r="TRL1630" s="1"/>
      <c r="TRM1630" s="1"/>
      <c r="TRN1630" s="1"/>
      <c r="TRO1630" s="1"/>
      <c r="TRP1630" s="1"/>
      <c r="TRQ1630" s="1"/>
      <c r="TRR1630" s="1"/>
      <c r="TRS1630" s="1"/>
      <c r="TRT1630" s="1"/>
      <c r="TRU1630" s="1"/>
      <c r="TRV1630" s="1"/>
      <c r="TRW1630" s="1"/>
      <c r="TRX1630" s="1"/>
      <c r="TRY1630" s="1"/>
      <c r="TRZ1630" s="1"/>
      <c r="TSA1630" s="1"/>
      <c r="TSB1630" s="1"/>
      <c r="TSC1630" s="1"/>
      <c r="TSD1630" s="1"/>
      <c r="TSE1630" s="1"/>
      <c r="TSF1630" s="1"/>
      <c r="TSG1630" s="1"/>
      <c r="TSH1630" s="1"/>
      <c r="TSI1630" s="1"/>
      <c r="TSJ1630" s="1"/>
      <c r="TSK1630" s="1"/>
      <c r="TSL1630" s="1"/>
      <c r="TSM1630" s="1"/>
      <c r="TSN1630" s="1"/>
      <c r="TSO1630" s="1"/>
      <c r="TSP1630" s="1"/>
      <c r="TSQ1630" s="1"/>
      <c r="TSR1630" s="1"/>
      <c r="TSS1630" s="1"/>
      <c r="TST1630" s="1"/>
      <c r="TSU1630" s="1"/>
      <c r="TSV1630" s="1"/>
      <c r="TSW1630" s="1"/>
      <c r="TSX1630" s="1"/>
      <c r="TSY1630" s="1"/>
      <c r="TSZ1630" s="1"/>
      <c r="TTA1630" s="1"/>
      <c r="TTB1630" s="1"/>
      <c r="TTC1630" s="1"/>
      <c r="TTD1630" s="1"/>
      <c r="TTE1630" s="1"/>
      <c r="TTF1630" s="1"/>
      <c r="TTG1630" s="1"/>
      <c r="TTH1630" s="1"/>
      <c r="TTI1630" s="1"/>
      <c r="TTJ1630" s="1"/>
      <c r="TTK1630" s="1"/>
      <c r="TTL1630" s="1"/>
      <c r="TTM1630" s="1"/>
      <c r="TTN1630" s="1"/>
      <c r="TTO1630" s="1"/>
      <c r="TTP1630" s="1"/>
      <c r="TTQ1630" s="1"/>
      <c r="TTR1630" s="1"/>
      <c r="TTS1630" s="1"/>
      <c r="TTT1630" s="1"/>
      <c r="TTU1630" s="1"/>
      <c r="TTV1630" s="1"/>
      <c r="TTW1630" s="1"/>
      <c r="TTX1630" s="1"/>
      <c r="TTY1630" s="1"/>
      <c r="TTZ1630" s="1"/>
      <c r="TUA1630" s="1"/>
      <c r="TUB1630" s="1"/>
      <c r="TUC1630" s="1"/>
      <c r="TUD1630" s="1"/>
      <c r="TUE1630" s="1"/>
      <c r="TUF1630" s="1"/>
      <c r="TUG1630" s="1"/>
      <c r="TUH1630" s="1"/>
      <c r="TUI1630" s="1"/>
      <c r="TUJ1630" s="1"/>
      <c r="TUK1630" s="1"/>
      <c r="TUL1630" s="1"/>
      <c r="TUM1630" s="1"/>
      <c r="TUN1630" s="1"/>
      <c r="TUO1630" s="1"/>
      <c r="TUP1630" s="1"/>
      <c r="TUQ1630" s="1"/>
      <c r="TUR1630" s="1"/>
      <c r="TUS1630" s="1"/>
      <c r="TUT1630" s="1"/>
      <c r="TUU1630" s="1"/>
      <c r="TUV1630" s="1"/>
      <c r="TUW1630" s="1"/>
      <c r="TUX1630" s="1"/>
      <c r="TUY1630" s="1"/>
      <c r="TUZ1630" s="1"/>
      <c r="TVA1630" s="1"/>
      <c r="TVB1630" s="1"/>
      <c r="TVC1630" s="1"/>
      <c r="TVD1630" s="1"/>
      <c r="TVE1630" s="1"/>
      <c r="TVF1630" s="1"/>
      <c r="TVG1630" s="1"/>
      <c r="TVH1630" s="1"/>
      <c r="TVI1630" s="1"/>
      <c r="TVJ1630" s="1"/>
      <c r="TVK1630" s="1"/>
      <c r="TVL1630" s="1"/>
      <c r="TVM1630" s="1"/>
      <c r="TVN1630" s="1"/>
      <c r="TVO1630" s="1"/>
      <c r="TVP1630" s="1"/>
      <c r="TVQ1630" s="1"/>
      <c r="TVR1630" s="1"/>
      <c r="TVS1630" s="1"/>
      <c r="TVT1630" s="1"/>
      <c r="TVU1630" s="1"/>
      <c r="TVV1630" s="1"/>
      <c r="TVW1630" s="1"/>
      <c r="TVX1630" s="1"/>
      <c r="TVY1630" s="1"/>
      <c r="TVZ1630" s="1"/>
      <c r="TWA1630" s="1"/>
      <c r="TWB1630" s="1"/>
      <c r="TWC1630" s="1"/>
      <c r="TWD1630" s="1"/>
      <c r="TWE1630" s="1"/>
      <c r="TWF1630" s="1"/>
      <c r="TWG1630" s="1"/>
      <c r="TWH1630" s="1"/>
      <c r="TWI1630" s="1"/>
      <c r="TWJ1630" s="1"/>
      <c r="TWK1630" s="1"/>
      <c r="TWL1630" s="1"/>
      <c r="TWM1630" s="1"/>
      <c r="TWN1630" s="1"/>
      <c r="TWO1630" s="1"/>
      <c r="TWP1630" s="1"/>
      <c r="TWQ1630" s="1"/>
      <c r="TWR1630" s="1"/>
      <c r="TWS1630" s="1"/>
      <c r="TWT1630" s="1"/>
      <c r="TWU1630" s="1"/>
      <c r="TWV1630" s="1"/>
      <c r="TWW1630" s="1"/>
      <c r="TWX1630" s="1"/>
      <c r="TWY1630" s="1"/>
      <c r="TWZ1630" s="1"/>
      <c r="TXA1630" s="1"/>
      <c r="TXB1630" s="1"/>
      <c r="TXC1630" s="1"/>
      <c r="TXD1630" s="1"/>
      <c r="TXE1630" s="1"/>
      <c r="TXF1630" s="1"/>
      <c r="TXG1630" s="1"/>
      <c r="TXH1630" s="1"/>
      <c r="TXI1630" s="1"/>
      <c r="TXJ1630" s="1"/>
      <c r="TXK1630" s="1"/>
      <c r="TXL1630" s="1"/>
      <c r="TXM1630" s="1"/>
      <c r="TXN1630" s="1"/>
      <c r="TXO1630" s="1"/>
      <c r="TXP1630" s="1"/>
      <c r="TXQ1630" s="1"/>
      <c r="TXR1630" s="1"/>
      <c r="TXS1630" s="1"/>
      <c r="TXT1630" s="1"/>
      <c r="TXU1630" s="1"/>
      <c r="TXV1630" s="1"/>
      <c r="TXW1630" s="1"/>
      <c r="TXX1630" s="1"/>
      <c r="TXY1630" s="1"/>
      <c r="TXZ1630" s="1"/>
      <c r="TYA1630" s="1"/>
      <c r="TYB1630" s="1"/>
      <c r="TYC1630" s="1"/>
      <c r="TYD1630" s="1"/>
      <c r="TYE1630" s="1"/>
      <c r="TYF1630" s="1"/>
      <c r="TYG1630" s="1"/>
      <c r="TYH1630" s="1"/>
      <c r="TYI1630" s="1"/>
      <c r="TYJ1630" s="1"/>
      <c r="TYK1630" s="1"/>
      <c r="TYL1630" s="1"/>
      <c r="TYM1630" s="1"/>
      <c r="TYN1630" s="1"/>
      <c r="TYO1630" s="1"/>
      <c r="TYP1630" s="1"/>
      <c r="TYQ1630" s="1"/>
      <c r="TYR1630" s="1"/>
      <c r="TYS1630" s="1"/>
      <c r="TYT1630" s="1"/>
      <c r="TYU1630" s="1"/>
      <c r="TYV1630" s="1"/>
      <c r="TYW1630" s="1"/>
      <c r="TYX1630" s="1"/>
      <c r="TYY1630" s="1"/>
      <c r="TYZ1630" s="1"/>
      <c r="TZA1630" s="1"/>
      <c r="TZB1630" s="1"/>
      <c r="TZC1630" s="1"/>
      <c r="TZD1630" s="1"/>
      <c r="TZE1630" s="1"/>
      <c r="TZF1630" s="1"/>
      <c r="TZG1630" s="1"/>
      <c r="TZH1630" s="1"/>
      <c r="TZI1630" s="1"/>
      <c r="TZJ1630" s="1"/>
      <c r="TZK1630" s="1"/>
      <c r="TZL1630" s="1"/>
      <c r="TZM1630" s="1"/>
      <c r="TZN1630" s="1"/>
      <c r="TZO1630" s="1"/>
      <c r="TZP1630" s="1"/>
      <c r="TZQ1630" s="1"/>
      <c r="TZR1630" s="1"/>
      <c r="TZS1630" s="1"/>
      <c r="TZT1630" s="1"/>
      <c r="TZU1630" s="1"/>
      <c r="TZV1630" s="1"/>
      <c r="TZW1630" s="1"/>
      <c r="TZX1630" s="1"/>
      <c r="TZY1630" s="1"/>
      <c r="TZZ1630" s="1"/>
      <c r="UAA1630" s="1"/>
      <c r="UAB1630" s="1"/>
      <c r="UAC1630" s="1"/>
      <c r="UAD1630" s="1"/>
      <c r="UAE1630" s="1"/>
      <c r="UAF1630" s="1"/>
      <c r="UAG1630" s="1"/>
      <c r="UAH1630" s="1"/>
      <c r="UAI1630" s="1"/>
      <c r="UAJ1630" s="1"/>
      <c r="UAK1630" s="1"/>
      <c r="UAL1630" s="1"/>
      <c r="UAM1630" s="1"/>
      <c r="UAN1630" s="1"/>
      <c r="UAO1630" s="1"/>
      <c r="UAP1630" s="1"/>
      <c r="UAQ1630" s="1"/>
      <c r="UAR1630" s="1"/>
      <c r="UAS1630" s="1"/>
      <c r="UAT1630" s="1"/>
      <c r="UAU1630" s="1"/>
      <c r="UAV1630" s="1"/>
      <c r="UAW1630" s="1"/>
      <c r="UAX1630" s="1"/>
      <c r="UAY1630" s="1"/>
      <c r="UAZ1630" s="1"/>
      <c r="UBA1630" s="1"/>
      <c r="UBB1630" s="1"/>
      <c r="UBC1630" s="1"/>
      <c r="UBD1630" s="1"/>
      <c r="UBE1630" s="1"/>
      <c r="UBF1630" s="1"/>
      <c r="UBG1630" s="1"/>
      <c r="UBH1630" s="1"/>
      <c r="UBI1630" s="1"/>
      <c r="UBJ1630" s="1"/>
      <c r="UBK1630" s="1"/>
      <c r="UBL1630" s="1"/>
      <c r="UBM1630" s="1"/>
      <c r="UBN1630" s="1"/>
      <c r="UBO1630" s="1"/>
      <c r="UBP1630" s="1"/>
      <c r="UBQ1630" s="1"/>
      <c r="UBR1630" s="1"/>
      <c r="UBS1630" s="1"/>
      <c r="UBT1630" s="1"/>
      <c r="UBU1630" s="1"/>
      <c r="UBV1630" s="1"/>
      <c r="UBW1630" s="1"/>
      <c r="UBX1630" s="1"/>
      <c r="UBY1630" s="1"/>
      <c r="UBZ1630" s="1"/>
      <c r="UCA1630" s="1"/>
      <c r="UCB1630" s="1"/>
      <c r="UCC1630" s="1"/>
      <c r="UCD1630" s="1"/>
      <c r="UCE1630" s="1"/>
      <c r="UCF1630" s="1"/>
      <c r="UCG1630" s="1"/>
      <c r="UCH1630" s="1"/>
      <c r="UCI1630" s="1"/>
      <c r="UCJ1630" s="1"/>
      <c r="UCK1630" s="1"/>
      <c r="UCL1630" s="1"/>
      <c r="UCM1630" s="1"/>
      <c r="UCN1630" s="1"/>
      <c r="UCO1630" s="1"/>
      <c r="UCP1630" s="1"/>
      <c r="UCQ1630" s="1"/>
      <c r="UCR1630" s="1"/>
      <c r="UCS1630" s="1"/>
      <c r="UCT1630" s="1"/>
      <c r="UCU1630" s="1"/>
      <c r="UCV1630" s="1"/>
      <c r="UCW1630" s="1"/>
      <c r="UCX1630" s="1"/>
      <c r="UCY1630" s="1"/>
      <c r="UCZ1630" s="1"/>
      <c r="UDA1630" s="1"/>
      <c r="UDB1630" s="1"/>
      <c r="UDC1630" s="1"/>
      <c r="UDD1630" s="1"/>
      <c r="UDE1630" s="1"/>
      <c r="UDF1630" s="1"/>
      <c r="UDG1630" s="1"/>
      <c r="UDH1630" s="1"/>
      <c r="UDI1630" s="1"/>
      <c r="UDJ1630" s="1"/>
      <c r="UDK1630" s="1"/>
      <c r="UDL1630" s="1"/>
      <c r="UDM1630" s="1"/>
      <c r="UDN1630" s="1"/>
      <c r="UDO1630" s="1"/>
      <c r="UDP1630" s="1"/>
      <c r="UDQ1630" s="1"/>
      <c r="UDR1630" s="1"/>
      <c r="UDS1630" s="1"/>
      <c r="UDT1630" s="1"/>
      <c r="UDU1630" s="1"/>
      <c r="UDV1630" s="1"/>
      <c r="UDW1630" s="1"/>
      <c r="UDX1630" s="1"/>
      <c r="UDY1630" s="1"/>
      <c r="UDZ1630" s="1"/>
      <c r="UEA1630" s="1"/>
      <c r="UEB1630" s="1"/>
      <c r="UEC1630" s="1"/>
      <c r="UED1630" s="1"/>
      <c r="UEE1630" s="1"/>
      <c r="UEF1630" s="1"/>
      <c r="UEG1630" s="1"/>
      <c r="UEH1630" s="1"/>
      <c r="UEI1630" s="1"/>
      <c r="UEJ1630" s="1"/>
      <c r="UEK1630" s="1"/>
      <c r="UEL1630" s="1"/>
      <c r="UEM1630" s="1"/>
      <c r="UEN1630" s="1"/>
      <c r="UEO1630" s="1"/>
      <c r="UEP1630" s="1"/>
      <c r="UEQ1630" s="1"/>
      <c r="UER1630" s="1"/>
      <c r="UES1630" s="1"/>
      <c r="UET1630" s="1"/>
      <c r="UEU1630" s="1"/>
      <c r="UEV1630" s="1"/>
      <c r="UEW1630" s="1"/>
      <c r="UEX1630" s="1"/>
      <c r="UEY1630" s="1"/>
      <c r="UEZ1630" s="1"/>
      <c r="UFA1630" s="1"/>
      <c r="UFB1630" s="1"/>
      <c r="UFC1630" s="1"/>
      <c r="UFD1630" s="1"/>
      <c r="UFE1630" s="1"/>
      <c r="UFF1630" s="1"/>
      <c r="UFG1630" s="1"/>
      <c r="UFH1630" s="1"/>
      <c r="UFI1630" s="1"/>
      <c r="UFJ1630" s="1"/>
      <c r="UFK1630" s="1"/>
      <c r="UFL1630" s="1"/>
      <c r="UFM1630" s="1"/>
      <c r="UFN1630" s="1"/>
      <c r="UFO1630" s="1"/>
      <c r="UFP1630" s="1"/>
      <c r="UFQ1630" s="1"/>
      <c r="UFR1630" s="1"/>
      <c r="UFS1630" s="1"/>
      <c r="UFT1630" s="1"/>
      <c r="UFU1630" s="1"/>
      <c r="UFV1630" s="1"/>
      <c r="UFW1630" s="1"/>
      <c r="UFX1630" s="1"/>
      <c r="UFY1630" s="1"/>
      <c r="UFZ1630" s="1"/>
      <c r="UGA1630" s="1"/>
      <c r="UGB1630" s="1"/>
      <c r="UGC1630" s="1"/>
      <c r="UGD1630" s="1"/>
      <c r="UGE1630" s="1"/>
      <c r="UGF1630" s="1"/>
      <c r="UGG1630" s="1"/>
      <c r="UGH1630" s="1"/>
      <c r="UGI1630" s="1"/>
      <c r="UGJ1630" s="1"/>
      <c r="UGK1630" s="1"/>
      <c r="UGL1630" s="1"/>
      <c r="UGM1630" s="1"/>
      <c r="UGN1630" s="1"/>
      <c r="UGO1630" s="1"/>
      <c r="UGP1630" s="1"/>
      <c r="UGQ1630" s="1"/>
      <c r="UGR1630" s="1"/>
      <c r="UGS1630" s="1"/>
      <c r="UGT1630" s="1"/>
      <c r="UGU1630" s="1"/>
      <c r="UGV1630" s="1"/>
      <c r="UGW1630" s="1"/>
      <c r="UGX1630" s="1"/>
      <c r="UGY1630" s="1"/>
      <c r="UGZ1630" s="1"/>
      <c r="UHA1630" s="1"/>
      <c r="UHB1630" s="1"/>
      <c r="UHC1630" s="1"/>
      <c r="UHD1630" s="1"/>
      <c r="UHE1630" s="1"/>
      <c r="UHF1630" s="1"/>
      <c r="UHG1630" s="1"/>
      <c r="UHH1630" s="1"/>
      <c r="UHI1630" s="1"/>
      <c r="UHJ1630" s="1"/>
      <c r="UHK1630" s="1"/>
      <c r="UHL1630" s="1"/>
      <c r="UHM1630" s="1"/>
      <c r="UHN1630" s="1"/>
      <c r="UHO1630" s="1"/>
      <c r="UHP1630" s="1"/>
      <c r="UHQ1630" s="1"/>
      <c r="UHR1630" s="1"/>
      <c r="UHS1630" s="1"/>
      <c r="UHT1630" s="1"/>
      <c r="UHU1630" s="1"/>
      <c r="UHV1630" s="1"/>
      <c r="UHW1630" s="1"/>
      <c r="UHX1630" s="1"/>
      <c r="UHY1630" s="1"/>
      <c r="UHZ1630" s="1"/>
      <c r="UIA1630" s="1"/>
      <c r="UIB1630" s="1"/>
      <c r="UIC1630" s="1"/>
      <c r="UID1630" s="1"/>
      <c r="UIE1630" s="1"/>
      <c r="UIF1630" s="1"/>
      <c r="UIG1630" s="1"/>
      <c r="UIH1630" s="1"/>
      <c r="UII1630" s="1"/>
      <c r="UIJ1630" s="1"/>
      <c r="UIK1630" s="1"/>
      <c r="UIL1630" s="1"/>
      <c r="UIM1630" s="1"/>
      <c r="UIN1630" s="1"/>
      <c r="UIO1630" s="1"/>
      <c r="UIP1630" s="1"/>
      <c r="UIQ1630" s="1"/>
      <c r="UIR1630" s="1"/>
      <c r="UIS1630" s="1"/>
      <c r="UIT1630" s="1"/>
      <c r="UIU1630" s="1"/>
      <c r="UIV1630" s="1"/>
      <c r="UIW1630" s="1"/>
      <c r="UIX1630" s="1"/>
      <c r="UIY1630" s="1"/>
      <c r="UIZ1630" s="1"/>
      <c r="UJA1630" s="1"/>
      <c r="UJB1630" s="1"/>
      <c r="UJC1630" s="1"/>
      <c r="UJD1630" s="1"/>
      <c r="UJE1630" s="1"/>
      <c r="UJF1630" s="1"/>
      <c r="UJG1630" s="1"/>
      <c r="UJH1630" s="1"/>
      <c r="UJI1630" s="1"/>
      <c r="UJJ1630" s="1"/>
      <c r="UJK1630" s="1"/>
      <c r="UJL1630" s="1"/>
      <c r="UJM1630" s="1"/>
      <c r="UJN1630" s="1"/>
      <c r="UJO1630" s="1"/>
      <c r="UJP1630" s="1"/>
      <c r="UJQ1630" s="1"/>
      <c r="UJR1630" s="1"/>
      <c r="UJS1630" s="1"/>
      <c r="UJT1630" s="1"/>
      <c r="UJU1630" s="1"/>
      <c r="UJV1630" s="1"/>
      <c r="UJW1630" s="1"/>
      <c r="UJX1630" s="1"/>
      <c r="UJY1630" s="1"/>
      <c r="UJZ1630" s="1"/>
      <c r="UKA1630" s="1"/>
      <c r="UKB1630" s="1"/>
      <c r="UKC1630" s="1"/>
      <c r="UKD1630" s="1"/>
      <c r="UKE1630" s="1"/>
      <c r="UKF1630" s="1"/>
      <c r="UKG1630" s="1"/>
      <c r="UKH1630" s="1"/>
      <c r="UKI1630" s="1"/>
      <c r="UKJ1630" s="1"/>
      <c r="UKK1630" s="1"/>
      <c r="UKL1630" s="1"/>
      <c r="UKM1630" s="1"/>
      <c r="UKN1630" s="1"/>
      <c r="UKO1630" s="1"/>
      <c r="UKP1630" s="1"/>
      <c r="UKQ1630" s="1"/>
      <c r="UKR1630" s="1"/>
      <c r="UKS1630" s="1"/>
      <c r="UKT1630" s="1"/>
      <c r="UKU1630" s="1"/>
      <c r="UKV1630" s="1"/>
      <c r="UKW1630" s="1"/>
      <c r="UKX1630" s="1"/>
      <c r="UKY1630" s="1"/>
      <c r="UKZ1630" s="1"/>
      <c r="ULA1630" s="1"/>
      <c r="ULB1630" s="1"/>
      <c r="ULC1630" s="1"/>
      <c r="ULD1630" s="1"/>
      <c r="ULE1630" s="1"/>
      <c r="ULF1630" s="1"/>
      <c r="ULG1630" s="1"/>
      <c r="ULH1630" s="1"/>
      <c r="ULI1630" s="1"/>
      <c r="ULJ1630" s="1"/>
      <c r="ULK1630" s="1"/>
      <c r="ULL1630" s="1"/>
      <c r="ULM1630" s="1"/>
      <c r="ULN1630" s="1"/>
      <c r="ULO1630" s="1"/>
      <c r="ULP1630" s="1"/>
      <c r="ULQ1630" s="1"/>
      <c r="ULR1630" s="1"/>
      <c r="ULS1630" s="1"/>
      <c r="ULT1630" s="1"/>
      <c r="ULU1630" s="1"/>
      <c r="ULV1630" s="1"/>
      <c r="ULW1630" s="1"/>
      <c r="ULX1630" s="1"/>
      <c r="ULY1630" s="1"/>
      <c r="ULZ1630" s="1"/>
      <c r="UMA1630" s="1"/>
      <c r="UMB1630" s="1"/>
      <c r="UMC1630" s="1"/>
      <c r="UMD1630" s="1"/>
      <c r="UME1630" s="1"/>
      <c r="UMF1630" s="1"/>
      <c r="UMG1630" s="1"/>
      <c r="UMH1630" s="1"/>
      <c r="UMI1630" s="1"/>
      <c r="UMJ1630" s="1"/>
      <c r="UMK1630" s="1"/>
      <c r="UML1630" s="1"/>
      <c r="UMM1630" s="1"/>
      <c r="UMN1630" s="1"/>
      <c r="UMO1630" s="1"/>
      <c r="UMP1630" s="1"/>
      <c r="UMQ1630" s="1"/>
      <c r="UMR1630" s="1"/>
      <c r="UMS1630" s="1"/>
      <c r="UMT1630" s="1"/>
      <c r="UMU1630" s="1"/>
      <c r="UMV1630" s="1"/>
      <c r="UMW1630" s="1"/>
      <c r="UMX1630" s="1"/>
      <c r="UMY1630" s="1"/>
      <c r="UMZ1630" s="1"/>
      <c r="UNA1630" s="1"/>
      <c r="UNB1630" s="1"/>
      <c r="UNC1630" s="1"/>
      <c r="UND1630" s="1"/>
      <c r="UNE1630" s="1"/>
      <c r="UNF1630" s="1"/>
      <c r="UNG1630" s="1"/>
      <c r="UNH1630" s="1"/>
      <c r="UNI1630" s="1"/>
      <c r="UNJ1630" s="1"/>
      <c r="UNK1630" s="1"/>
      <c r="UNL1630" s="1"/>
      <c r="UNM1630" s="1"/>
      <c r="UNN1630" s="1"/>
      <c r="UNO1630" s="1"/>
      <c r="UNP1630" s="1"/>
      <c r="UNQ1630" s="1"/>
      <c r="UNR1630" s="1"/>
      <c r="UNS1630" s="1"/>
      <c r="UNT1630" s="1"/>
      <c r="UNU1630" s="1"/>
      <c r="UNV1630" s="1"/>
      <c r="UNW1630" s="1"/>
      <c r="UNX1630" s="1"/>
      <c r="UNY1630" s="1"/>
      <c r="UNZ1630" s="1"/>
      <c r="UOA1630" s="1"/>
      <c r="UOB1630" s="1"/>
      <c r="UOC1630" s="1"/>
      <c r="UOD1630" s="1"/>
      <c r="UOE1630" s="1"/>
      <c r="UOF1630" s="1"/>
      <c r="UOG1630" s="1"/>
      <c r="UOH1630" s="1"/>
      <c r="UOI1630" s="1"/>
      <c r="UOJ1630" s="1"/>
      <c r="UOK1630" s="1"/>
      <c r="UOL1630" s="1"/>
      <c r="UOM1630" s="1"/>
      <c r="UON1630" s="1"/>
      <c r="UOO1630" s="1"/>
      <c r="UOP1630" s="1"/>
      <c r="UOQ1630" s="1"/>
      <c r="UOR1630" s="1"/>
      <c r="UOS1630" s="1"/>
      <c r="UOT1630" s="1"/>
      <c r="UOU1630" s="1"/>
      <c r="UOV1630" s="1"/>
      <c r="UOW1630" s="1"/>
      <c r="UOX1630" s="1"/>
      <c r="UOY1630" s="1"/>
      <c r="UOZ1630" s="1"/>
      <c r="UPA1630" s="1"/>
      <c r="UPB1630" s="1"/>
      <c r="UPC1630" s="1"/>
      <c r="UPD1630" s="1"/>
      <c r="UPE1630" s="1"/>
      <c r="UPF1630" s="1"/>
      <c r="UPG1630" s="1"/>
      <c r="UPH1630" s="1"/>
      <c r="UPI1630" s="1"/>
      <c r="UPJ1630" s="1"/>
      <c r="UPK1630" s="1"/>
      <c r="UPL1630" s="1"/>
      <c r="UPM1630" s="1"/>
      <c r="UPN1630" s="1"/>
      <c r="UPO1630" s="1"/>
      <c r="UPP1630" s="1"/>
      <c r="UPQ1630" s="1"/>
      <c r="UPR1630" s="1"/>
      <c r="UPS1630" s="1"/>
      <c r="UPT1630" s="1"/>
      <c r="UPU1630" s="1"/>
      <c r="UPV1630" s="1"/>
      <c r="UPW1630" s="1"/>
      <c r="UPX1630" s="1"/>
      <c r="UPY1630" s="1"/>
      <c r="UPZ1630" s="1"/>
      <c r="UQA1630" s="1"/>
      <c r="UQB1630" s="1"/>
      <c r="UQC1630" s="1"/>
      <c r="UQD1630" s="1"/>
      <c r="UQE1630" s="1"/>
      <c r="UQF1630" s="1"/>
      <c r="UQG1630" s="1"/>
      <c r="UQH1630" s="1"/>
      <c r="UQI1630" s="1"/>
      <c r="UQJ1630" s="1"/>
      <c r="UQK1630" s="1"/>
      <c r="UQL1630" s="1"/>
      <c r="UQM1630" s="1"/>
      <c r="UQN1630" s="1"/>
      <c r="UQO1630" s="1"/>
      <c r="UQP1630" s="1"/>
      <c r="UQQ1630" s="1"/>
      <c r="UQR1630" s="1"/>
      <c r="UQS1630" s="1"/>
      <c r="UQT1630" s="1"/>
      <c r="UQU1630" s="1"/>
      <c r="UQV1630" s="1"/>
      <c r="UQW1630" s="1"/>
      <c r="UQX1630" s="1"/>
      <c r="UQY1630" s="1"/>
      <c r="UQZ1630" s="1"/>
      <c r="URA1630" s="1"/>
      <c r="URB1630" s="1"/>
      <c r="URC1630" s="1"/>
      <c r="URD1630" s="1"/>
      <c r="URE1630" s="1"/>
      <c r="URF1630" s="1"/>
      <c r="URG1630" s="1"/>
      <c r="URH1630" s="1"/>
      <c r="URI1630" s="1"/>
      <c r="URJ1630" s="1"/>
      <c r="URK1630" s="1"/>
      <c r="URL1630" s="1"/>
      <c r="URM1630" s="1"/>
      <c r="URN1630" s="1"/>
      <c r="URO1630" s="1"/>
      <c r="URP1630" s="1"/>
      <c r="URQ1630" s="1"/>
      <c r="URR1630" s="1"/>
      <c r="URS1630" s="1"/>
      <c r="URT1630" s="1"/>
      <c r="URU1630" s="1"/>
      <c r="URV1630" s="1"/>
      <c r="URW1630" s="1"/>
      <c r="URX1630" s="1"/>
      <c r="URY1630" s="1"/>
      <c r="URZ1630" s="1"/>
      <c r="USA1630" s="1"/>
      <c r="USB1630" s="1"/>
      <c r="USC1630" s="1"/>
      <c r="USD1630" s="1"/>
      <c r="USE1630" s="1"/>
      <c r="USF1630" s="1"/>
      <c r="USG1630" s="1"/>
      <c r="USH1630" s="1"/>
      <c r="USI1630" s="1"/>
      <c r="USJ1630" s="1"/>
      <c r="USK1630" s="1"/>
      <c r="USL1630" s="1"/>
      <c r="USM1630" s="1"/>
      <c r="USN1630" s="1"/>
      <c r="USO1630" s="1"/>
      <c r="USP1630" s="1"/>
      <c r="USQ1630" s="1"/>
      <c r="USR1630" s="1"/>
      <c r="USS1630" s="1"/>
      <c r="UST1630" s="1"/>
      <c r="USU1630" s="1"/>
      <c r="USV1630" s="1"/>
      <c r="USW1630" s="1"/>
      <c r="USX1630" s="1"/>
      <c r="USY1630" s="1"/>
      <c r="USZ1630" s="1"/>
      <c r="UTA1630" s="1"/>
      <c r="UTB1630" s="1"/>
      <c r="UTC1630" s="1"/>
      <c r="UTD1630" s="1"/>
      <c r="UTE1630" s="1"/>
      <c r="UTF1630" s="1"/>
      <c r="UTG1630" s="1"/>
      <c r="UTH1630" s="1"/>
      <c r="UTI1630" s="1"/>
      <c r="UTJ1630" s="1"/>
      <c r="UTK1630" s="1"/>
      <c r="UTL1630" s="1"/>
      <c r="UTM1630" s="1"/>
      <c r="UTN1630" s="1"/>
      <c r="UTO1630" s="1"/>
      <c r="UTP1630" s="1"/>
      <c r="UTQ1630" s="1"/>
      <c r="UTR1630" s="1"/>
      <c r="UTS1630" s="1"/>
      <c r="UTT1630" s="1"/>
      <c r="UTU1630" s="1"/>
      <c r="UTV1630" s="1"/>
      <c r="UTW1630" s="1"/>
      <c r="UTX1630" s="1"/>
      <c r="UTY1630" s="1"/>
      <c r="UTZ1630" s="1"/>
      <c r="UUA1630" s="1"/>
      <c r="UUB1630" s="1"/>
      <c r="UUC1630" s="1"/>
      <c r="UUD1630" s="1"/>
      <c r="UUE1630" s="1"/>
      <c r="UUF1630" s="1"/>
      <c r="UUG1630" s="1"/>
      <c r="UUH1630" s="1"/>
      <c r="UUI1630" s="1"/>
      <c r="UUJ1630" s="1"/>
      <c r="UUK1630" s="1"/>
      <c r="UUL1630" s="1"/>
      <c r="UUM1630" s="1"/>
      <c r="UUN1630" s="1"/>
      <c r="UUO1630" s="1"/>
      <c r="UUP1630" s="1"/>
      <c r="UUQ1630" s="1"/>
      <c r="UUR1630" s="1"/>
      <c r="UUS1630" s="1"/>
      <c r="UUT1630" s="1"/>
      <c r="UUU1630" s="1"/>
      <c r="UUV1630" s="1"/>
      <c r="UUW1630" s="1"/>
      <c r="UUX1630" s="1"/>
      <c r="UUY1630" s="1"/>
      <c r="UUZ1630" s="1"/>
      <c r="UVA1630" s="1"/>
      <c r="UVB1630" s="1"/>
      <c r="UVC1630" s="1"/>
      <c r="UVD1630" s="1"/>
      <c r="UVE1630" s="1"/>
      <c r="UVF1630" s="1"/>
      <c r="UVG1630" s="1"/>
      <c r="UVH1630" s="1"/>
      <c r="UVI1630" s="1"/>
      <c r="UVJ1630" s="1"/>
      <c r="UVK1630" s="1"/>
      <c r="UVL1630" s="1"/>
      <c r="UVM1630" s="1"/>
      <c r="UVN1630" s="1"/>
      <c r="UVO1630" s="1"/>
      <c r="UVP1630" s="1"/>
      <c r="UVQ1630" s="1"/>
      <c r="UVR1630" s="1"/>
      <c r="UVS1630" s="1"/>
      <c r="UVT1630" s="1"/>
      <c r="UVU1630" s="1"/>
      <c r="UVV1630" s="1"/>
      <c r="UVW1630" s="1"/>
      <c r="UVX1630" s="1"/>
      <c r="UVY1630" s="1"/>
      <c r="UVZ1630" s="1"/>
      <c r="UWA1630" s="1"/>
      <c r="UWB1630" s="1"/>
      <c r="UWC1630" s="1"/>
      <c r="UWD1630" s="1"/>
      <c r="UWE1630" s="1"/>
      <c r="UWF1630" s="1"/>
      <c r="UWG1630" s="1"/>
      <c r="UWH1630" s="1"/>
      <c r="UWI1630" s="1"/>
      <c r="UWJ1630" s="1"/>
      <c r="UWK1630" s="1"/>
      <c r="UWL1630" s="1"/>
      <c r="UWM1630" s="1"/>
      <c r="UWN1630" s="1"/>
      <c r="UWO1630" s="1"/>
      <c r="UWP1630" s="1"/>
      <c r="UWQ1630" s="1"/>
      <c r="UWR1630" s="1"/>
      <c r="UWS1630" s="1"/>
      <c r="UWT1630" s="1"/>
      <c r="UWU1630" s="1"/>
      <c r="UWV1630" s="1"/>
      <c r="UWW1630" s="1"/>
      <c r="UWX1630" s="1"/>
      <c r="UWY1630" s="1"/>
      <c r="UWZ1630" s="1"/>
      <c r="UXA1630" s="1"/>
      <c r="UXB1630" s="1"/>
      <c r="UXC1630" s="1"/>
      <c r="UXD1630" s="1"/>
      <c r="UXE1630" s="1"/>
      <c r="UXF1630" s="1"/>
      <c r="UXG1630" s="1"/>
      <c r="UXH1630" s="1"/>
      <c r="UXI1630" s="1"/>
      <c r="UXJ1630" s="1"/>
      <c r="UXK1630" s="1"/>
      <c r="UXL1630" s="1"/>
      <c r="UXM1630" s="1"/>
      <c r="UXN1630" s="1"/>
      <c r="UXO1630" s="1"/>
      <c r="UXP1630" s="1"/>
      <c r="UXQ1630" s="1"/>
      <c r="UXR1630" s="1"/>
      <c r="UXS1630" s="1"/>
      <c r="UXT1630" s="1"/>
      <c r="UXU1630" s="1"/>
      <c r="UXV1630" s="1"/>
      <c r="UXW1630" s="1"/>
      <c r="UXX1630" s="1"/>
      <c r="UXY1630" s="1"/>
      <c r="UXZ1630" s="1"/>
      <c r="UYA1630" s="1"/>
      <c r="UYB1630" s="1"/>
      <c r="UYC1630" s="1"/>
      <c r="UYD1630" s="1"/>
      <c r="UYE1630" s="1"/>
      <c r="UYF1630" s="1"/>
      <c r="UYG1630" s="1"/>
      <c r="UYH1630" s="1"/>
      <c r="UYI1630" s="1"/>
      <c r="UYJ1630" s="1"/>
      <c r="UYK1630" s="1"/>
      <c r="UYL1630" s="1"/>
      <c r="UYM1630" s="1"/>
      <c r="UYN1630" s="1"/>
      <c r="UYO1630" s="1"/>
      <c r="UYP1630" s="1"/>
      <c r="UYQ1630" s="1"/>
      <c r="UYR1630" s="1"/>
      <c r="UYS1630" s="1"/>
      <c r="UYT1630" s="1"/>
      <c r="UYU1630" s="1"/>
      <c r="UYV1630" s="1"/>
      <c r="UYW1630" s="1"/>
      <c r="UYX1630" s="1"/>
      <c r="UYY1630" s="1"/>
      <c r="UYZ1630" s="1"/>
      <c r="UZA1630" s="1"/>
      <c r="UZB1630" s="1"/>
      <c r="UZC1630" s="1"/>
      <c r="UZD1630" s="1"/>
      <c r="UZE1630" s="1"/>
      <c r="UZF1630" s="1"/>
      <c r="UZG1630" s="1"/>
      <c r="UZH1630" s="1"/>
      <c r="UZI1630" s="1"/>
      <c r="UZJ1630" s="1"/>
      <c r="UZK1630" s="1"/>
      <c r="UZL1630" s="1"/>
      <c r="UZM1630" s="1"/>
      <c r="UZN1630" s="1"/>
      <c r="UZO1630" s="1"/>
      <c r="UZP1630" s="1"/>
      <c r="UZQ1630" s="1"/>
      <c r="UZR1630" s="1"/>
      <c r="UZS1630" s="1"/>
      <c r="UZT1630" s="1"/>
      <c r="UZU1630" s="1"/>
      <c r="UZV1630" s="1"/>
      <c r="UZW1630" s="1"/>
      <c r="UZX1630" s="1"/>
      <c r="UZY1630" s="1"/>
      <c r="UZZ1630" s="1"/>
      <c r="VAA1630" s="1"/>
      <c r="VAB1630" s="1"/>
      <c r="VAC1630" s="1"/>
      <c r="VAD1630" s="1"/>
      <c r="VAE1630" s="1"/>
      <c r="VAF1630" s="1"/>
      <c r="VAG1630" s="1"/>
      <c r="VAH1630" s="1"/>
      <c r="VAI1630" s="1"/>
      <c r="VAJ1630" s="1"/>
      <c r="VAK1630" s="1"/>
      <c r="VAL1630" s="1"/>
      <c r="VAM1630" s="1"/>
      <c r="VAN1630" s="1"/>
      <c r="VAO1630" s="1"/>
      <c r="VAP1630" s="1"/>
      <c r="VAQ1630" s="1"/>
      <c r="VAR1630" s="1"/>
      <c r="VAS1630" s="1"/>
      <c r="VAT1630" s="1"/>
      <c r="VAU1630" s="1"/>
      <c r="VAV1630" s="1"/>
      <c r="VAW1630" s="1"/>
      <c r="VAX1630" s="1"/>
      <c r="VAY1630" s="1"/>
      <c r="VAZ1630" s="1"/>
      <c r="VBA1630" s="1"/>
      <c r="VBB1630" s="1"/>
      <c r="VBC1630" s="1"/>
      <c r="VBD1630" s="1"/>
      <c r="VBE1630" s="1"/>
      <c r="VBF1630" s="1"/>
      <c r="VBG1630" s="1"/>
      <c r="VBH1630" s="1"/>
      <c r="VBI1630" s="1"/>
      <c r="VBJ1630" s="1"/>
      <c r="VBK1630" s="1"/>
      <c r="VBL1630" s="1"/>
      <c r="VBM1630" s="1"/>
      <c r="VBN1630" s="1"/>
      <c r="VBO1630" s="1"/>
      <c r="VBP1630" s="1"/>
      <c r="VBQ1630" s="1"/>
      <c r="VBR1630" s="1"/>
      <c r="VBS1630" s="1"/>
      <c r="VBT1630" s="1"/>
      <c r="VBU1630" s="1"/>
      <c r="VBV1630" s="1"/>
      <c r="VBW1630" s="1"/>
      <c r="VBX1630" s="1"/>
      <c r="VBY1630" s="1"/>
      <c r="VBZ1630" s="1"/>
      <c r="VCA1630" s="1"/>
      <c r="VCB1630" s="1"/>
      <c r="VCC1630" s="1"/>
      <c r="VCD1630" s="1"/>
      <c r="VCE1630" s="1"/>
      <c r="VCF1630" s="1"/>
      <c r="VCG1630" s="1"/>
      <c r="VCH1630" s="1"/>
      <c r="VCI1630" s="1"/>
      <c r="VCJ1630" s="1"/>
      <c r="VCK1630" s="1"/>
      <c r="VCL1630" s="1"/>
      <c r="VCM1630" s="1"/>
      <c r="VCN1630" s="1"/>
      <c r="VCO1630" s="1"/>
      <c r="VCP1630" s="1"/>
      <c r="VCQ1630" s="1"/>
      <c r="VCR1630" s="1"/>
      <c r="VCS1630" s="1"/>
      <c r="VCT1630" s="1"/>
      <c r="VCU1630" s="1"/>
      <c r="VCV1630" s="1"/>
      <c r="VCW1630" s="1"/>
      <c r="VCX1630" s="1"/>
      <c r="VCY1630" s="1"/>
      <c r="VCZ1630" s="1"/>
      <c r="VDA1630" s="1"/>
      <c r="VDB1630" s="1"/>
      <c r="VDC1630" s="1"/>
      <c r="VDD1630" s="1"/>
      <c r="VDE1630" s="1"/>
      <c r="VDF1630" s="1"/>
      <c r="VDG1630" s="1"/>
      <c r="VDH1630" s="1"/>
      <c r="VDI1630" s="1"/>
      <c r="VDJ1630" s="1"/>
      <c r="VDK1630" s="1"/>
      <c r="VDL1630" s="1"/>
      <c r="VDM1630" s="1"/>
      <c r="VDN1630" s="1"/>
      <c r="VDO1630" s="1"/>
      <c r="VDP1630" s="1"/>
      <c r="VDQ1630" s="1"/>
      <c r="VDR1630" s="1"/>
      <c r="VDS1630" s="1"/>
      <c r="VDT1630" s="1"/>
      <c r="VDU1630" s="1"/>
      <c r="VDV1630" s="1"/>
      <c r="VDW1630" s="1"/>
      <c r="VDX1630" s="1"/>
      <c r="VDY1630" s="1"/>
      <c r="VDZ1630" s="1"/>
      <c r="VEA1630" s="1"/>
      <c r="VEB1630" s="1"/>
      <c r="VEC1630" s="1"/>
      <c r="VED1630" s="1"/>
      <c r="VEE1630" s="1"/>
      <c r="VEF1630" s="1"/>
      <c r="VEG1630" s="1"/>
      <c r="VEH1630" s="1"/>
      <c r="VEI1630" s="1"/>
      <c r="VEJ1630" s="1"/>
      <c r="VEK1630" s="1"/>
      <c r="VEL1630" s="1"/>
      <c r="VEM1630" s="1"/>
      <c r="VEN1630" s="1"/>
      <c r="VEO1630" s="1"/>
      <c r="VEP1630" s="1"/>
      <c r="VEQ1630" s="1"/>
      <c r="VER1630" s="1"/>
      <c r="VES1630" s="1"/>
      <c r="VET1630" s="1"/>
      <c r="VEU1630" s="1"/>
      <c r="VEV1630" s="1"/>
      <c r="VEW1630" s="1"/>
      <c r="VEX1630" s="1"/>
      <c r="VEY1630" s="1"/>
      <c r="VEZ1630" s="1"/>
      <c r="VFA1630" s="1"/>
      <c r="VFB1630" s="1"/>
      <c r="VFC1630" s="1"/>
      <c r="VFD1630" s="1"/>
      <c r="VFE1630" s="1"/>
      <c r="VFF1630" s="1"/>
      <c r="VFG1630" s="1"/>
      <c r="VFH1630" s="1"/>
      <c r="VFI1630" s="1"/>
      <c r="VFJ1630" s="1"/>
      <c r="VFK1630" s="1"/>
      <c r="VFL1630" s="1"/>
      <c r="VFM1630" s="1"/>
      <c r="VFN1630" s="1"/>
      <c r="VFO1630" s="1"/>
      <c r="VFP1630" s="1"/>
      <c r="VFQ1630" s="1"/>
      <c r="VFR1630" s="1"/>
      <c r="VFS1630" s="1"/>
      <c r="VFT1630" s="1"/>
      <c r="VFU1630" s="1"/>
      <c r="VFV1630" s="1"/>
      <c r="VFW1630" s="1"/>
      <c r="VFX1630" s="1"/>
      <c r="VFY1630" s="1"/>
      <c r="VFZ1630" s="1"/>
      <c r="VGA1630" s="1"/>
      <c r="VGB1630" s="1"/>
      <c r="VGC1630" s="1"/>
      <c r="VGD1630" s="1"/>
      <c r="VGE1630" s="1"/>
      <c r="VGF1630" s="1"/>
      <c r="VGG1630" s="1"/>
      <c r="VGH1630" s="1"/>
      <c r="VGI1630" s="1"/>
      <c r="VGJ1630" s="1"/>
      <c r="VGK1630" s="1"/>
      <c r="VGL1630" s="1"/>
      <c r="VGM1630" s="1"/>
      <c r="VGN1630" s="1"/>
      <c r="VGO1630" s="1"/>
      <c r="VGP1630" s="1"/>
      <c r="VGQ1630" s="1"/>
      <c r="VGR1630" s="1"/>
      <c r="VGS1630" s="1"/>
      <c r="VGT1630" s="1"/>
      <c r="VGU1630" s="1"/>
      <c r="VGV1630" s="1"/>
      <c r="VGW1630" s="1"/>
      <c r="VGX1630" s="1"/>
      <c r="VGY1630" s="1"/>
      <c r="VGZ1630" s="1"/>
      <c r="VHA1630" s="1"/>
      <c r="VHB1630" s="1"/>
      <c r="VHC1630" s="1"/>
      <c r="VHD1630" s="1"/>
      <c r="VHE1630" s="1"/>
      <c r="VHF1630" s="1"/>
      <c r="VHG1630" s="1"/>
      <c r="VHH1630" s="1"/>
      <c r="VHI1630" s="1"/>
      <c r="VHJ1630" s="1"/>
      <c r="VHK1630" s="1"/>
      <c r="VHL1630" s="1"/>
      <c r="VHM1630" s="1"/>
      <c r="VHN1630" s="1"/>
      <c r="VHO1630" s="1"/>
      <c r="VHP1630" s="1"/>
      <c r="VHQ1630" s="1"/>
      <c r="VHR1630" s="1"/>
      <c r="VHS1630" s="1"/>
      <c r="VHT1630" s="1"/>
      <c r="VHU1630" s="1"/>
      <c r="VHV1630" s="1"/>
      <c r="VHW1630" s="1"/>
      <c r="VHX1630" s="1"/>
      <c r="VHY1630" s="1"/>
      <c r="VHZ1630" s="1"/>
      <c r="VIA1630" s="1"/>
      <c r="VIB1630" s="1"/>
      <c r="VIC1630" s="1"/>
      <c r="VID1630" s="1"/>
      <c r="VIE1630" s="1"/>
      <c r="VIF1630" s="1"/>
      <c r="VIG1630" s="1"/>
      <c r="VIH1630" s="1"/>
      <c r="VII1630" s="1"/>
      <c r="VIJ1630" s="1"/>
      <c r="VIK1630" s="1"/>
      <c r="VIL1630" s="1"/>
      <c r="VIM1630" s="1"/>
      <c r="VIN1630" s="1"/>
      <c r="VIO1630" s="1"/>
      <c r="VIP1630" s="1"/>
      <c r="VIQ1630" s="1"/>
      <c r="VIR1630" s="1"/>
      <c r="VIS1630" s="1"/>
      <c r="VIT1630" s="1"/>
      <c r="VIU1630" s="1"/>
      <c r="VIV1630" s="1"/>
      <c r="VIW1630" s="1"/>
      <c r="VIX1630" s="1"/>
      <c r="VIY1630" s="1"/>
      <c r="VIZ1630" s="1"/>
      <c r="VJA1630" s="1"/>
      <c r="VJB1630" s="1"/>
      <c r="VJC1630" s="1"/>
      <c r="VJD1630" s="1"/>
      <c r="VJE1630" s="1"/>
      <c r="VJF1630" s="1"/>
      <c r="VJG1630" s="1"/>
      <c r="VJH1630" s="1"/>
      <c r="VJI1630" s="1"/>
      <c r="VJJ1630" s="1"/>
      <c r="VJK1630" s="1"/>
      <c r="VJL1630" s="1"/>
      <c r="VJM1630" s="1"/>
      <c r="VJN1630" s="1"/>
      <c r="VJO1630" s="1"/>
      <c r="VJP1630" s="1"/>
      <c r="VJQ1630" s="1"/>
      <c r="VJR1630" s="1"/>
      <c r="VJS1630" s="1"/>
      <c r="VJT1630" s="1"/>
      <c r="VJU1630" s="1"/>
      <c r="VJV1630" s="1"/>
      <c r="VJW1630" s="1"/>
      <c r="VJX1630" s="1"/>
      <c r="VJY1630" s="1"/>
      <c r="VJZ1630" s="1"/>
      <c r="VKA1630" s="1"/>
      <c r="VKB1630" s="1"/>
      <c r="VKC1630" s="1"/>
      <c r="VKD1630" s="1"/>
      <c r="VKE1630" s="1"/>
      <c r="VKF1630" s="1"/>
      <c r="VKG1630" s="1"/>
      <c r="VKH1630" s="1"/>
      <c r="VKI1630" s="1"/>
      <c r="VKJ1630" s="1"/>
      <c r="VKK1630" s="1"/>
      <c r="VKL1630" s="1"/>
      <c r="VKM1630" s="1"/>
      <c r="VKN1630" s="1"/>
      <c r="VKO1630" s="1"/>
      <c r="VKP1630" s="1"/>
      <c r="VKQ1630" s="1"/>
      <c r="VKR1630" s="1"/>
      <c r="VKS1630" s="1"/>
      <c r="VKT1630" s="1"/>
      <c r="VKU1630" s="1"/>
      <c r="VKV1630" s="1"/>
      <c r="VKW1630" s="1"/>
      <c r="VKX1630" s="1"/>
      <c r="VKY1630" s="1"/>
      <c r="VKZ1630" s="1"/>
      <c r="VLA1630" s="1"/>
      <c r="VLB1630" s="1"/>
      <c r="VLC1630" s="1"/>
      <c r="VLD1630" s="1"/>
      <c r="VLE1630" s="1"/>
      <c r="VLF1630" s="1"/>
      <c r="VLG1630" s="1"/>
      <c r="VLH1630" s="1"/>
      <c r="VLI1630" s="1"/>
      <c r="VLJ1630" s="1"/>
      <c r="VLK1630" s="1"/>
      <c r="VLL1630" s="1"/>
      <c r="VLM1630" s="1"/>
      <c r="VLN1630" s="1"/>
      <c r="VLO1630" s="1"/>
      <c r="VLP1630" s="1"/>
      <c r="VLQ1630" s="1"/>
      <c r="VLR1630" s="1"/>
      <c r="VLS1630" s="1"/>
      <c r="VLT1630" s="1"/>
      <c r="VLU1630" s="1"/>
      <c r="VLV1630" s="1"/>
      <c r="VLW1630" s="1"/>
      <c r="VLX1630" s="1"/>
      <c r="VLY1630" s="1"/>
      <c r="VLZ1630" s="1"/>
      <c r="VMA1630" s="1"/>
      <c r="VMB1630" s="1"/>
      <c r="VMC1630" s="1"/>
      <c r="VMD1630" s="1"/>
      <c r="VME1630" s="1"/>
      <c r="VMF1630" s="1"/>
      <c r="VMG1630" s="1"/>
      <c r="VMH1630" s="1"/>
      <c r="VMI1630" s="1"/>
      <c r="VMJ1630" s="1"/>
      <c r="VMK1630" s="1"/>
      <c r="VML1630" s="1"/>
      <c r="VMM1630" s="1"/>
      <c r="VMN1630" s="1"/>
      <c r="VMO1630" s="1"/>
      <c r="VMP1630" s="1"/>
      <c r="VMQ1630" s="1"/>
      <c r="VMR1630" s="1"/>
      <c r="VMS1630" s="1"/>
      <c r="VMT1630" s="1"/>
      <c r="VMU1630" s="1"/>
      <c r="VMV1630" s="1"/>
      <c r="VMW1630" s="1"/>
      <c r="VMX1630" s="1"/>
      <c r="VMY1630" s="1"/>
      <c r="VMZ1630" s="1"/>
      <c r="VNA1630" s="1"/>
      <c r="VNB1630" s="1"/>
      <c r="VNC1630" s="1"/>
      <c r="VND1630" s="1"/>
      <c r="VNE1630" s="1"/>
      <c r="VNF1630" s="1"/>
      <c r="VNG1630" s="1"/>
      <c r="VNH1630" s="1"/>
      <c r="VNI1630" s="1"/>
      <c r="VNJ1630" s="1"/>
      <c r="VNK1630" s="1"/>
      <c r="VNL1630" s="1"/>
      <c r="VNM1630" s="1"/>
      <c r="VNN1630" s="1"/>
      <c r="VNO1630" s="1"/>
      <c r="VNP1630" s="1"/>
      <c r="VNQ1630" s="1"/>
      <c r="VNR1630" s="1"/>
      <c r="VNS1630" s="1"/>
      <c r="VNT1630" s="1"/>
      <c r="VNU1630" s="1"/>
      <c r="VNV1630" s="1"/>
      <c r="VNW1630" s="1"/>
      <c r="VNX1630" s="1"/>
      <c r="VNY1630" s="1"/>
      <c r="VNZ1630" s="1"/>
      <c r="VOA1630" s="1"/>
      <c r="VOB1630" s="1"/>
      <c r="VOC1630" s="1"/>
      <c r="VOD1630" s="1"/>
      <c r="VOE1630" s="1"/>
      <c r="VOF1630" s="1"/>
      <c r="VOG1630" s="1"/>
      <c r="VOH1630" s="1"/>
      <c r="VOI1630" s="1"/>
      <c r="VOJ1630" s="1"/>
      <c r="VOK1630" s="1"/>
      <c r="VOL1630" s="1"/>
      <c r="VOM1630" s="1"/>
      <c r="VON1630" s="1"/>
      <c r="VOO1630" s="1"/>
      <c r="VOP1630" s="1"/>
      <c r="VOQ1630" s="1"/>
      <c r="VOR1630" s="1"/>
      <c r="VOS1630" s="1"/>
      <c r="VOT1630" s="1"/>
      <c r="VOU1630" s="1"/>
      <c r="VOV1630" s="1"/>
      <c r="VOW1630" s="1"/>
      <c r="VOX1630" s="1"/>
      <c r="VOY1630" s="1"/>
      <c r="VOZ1630" s="1"/>
      <c r="VPA1630" s="1"/>
      <c r="VPB1630" s="1"/>
      <c r="VPC1630" s="1"/>
      <c r="VPD1630" s="1"/>
      <c r="VPE1630" s="1"/>
      <c r="VPF1630" s="1"/>
      <c r="VPG1630" s="1"/>
      <c r="VPH1630" s="1"/>
      <c r="VPI1630" s="1"/>
      <c r="VPJ1630" s="1"/>
      <c r="VPK1630" s="1"/>
      <c r="VPL1630" s="1"/>
      <c r="VPM1630" s="1"/>
      <c r="VPN1630" s="1"/>
      <c r="VPO1630" s="1"/>
      <c r="VPP1630" s="1"/>
      <c r="VPQ1630" s="1"/>
      <c r="VPR1630" s="1"/>
      <c r="VPS1630" s="1"/>
      <c r="VPT1630" s="1"/>
      <c r="VPU1630" s="1"/>
      <c r="VPV1630" s="1"/>
      <c r="VPW1630" s="1"/>
      <c r="VPX1630" s="1"/>
      <c r="VPY1630" s="1"/>
      <c r="VPZ1630" s="1"/>
      <c r="VQA1630" s="1"/>
      <c r="VQB1630" s="1"/>
      <c r="VQC1630" s="1"/>
      <c r="VQD1630" s="1"/>
      <c r="VQE1630" s="1"/>
      <c r="VQF1630" s="1"/>
      <c r="VQG1630" s="1"/>
      <c r="VQH1630" s="1"/>
      <c r="VQI1630" s="1"/>
      <c r="VQJ1630" s="1"/>
      <c r="VQK1630" s="1"/>
      <c r="VQL1630" s="1"/>
      <c r="VQM1630" s="1"/>
      <c r="VQN1630" s="1"/>
      <c r="VQO1630" s="1"/>
      <c r="VQP1630" s="1"/>
      <c r="VQQ1630" s="1"/>
      <c r="VQR1630" s="1"/>
      <c r="VQS1630" s="1"/>
      <c r="VQT1630" s="1"/>
      <c r="VQU1630" s="1"/>
      <c r="VQV1630" s="1"/>
      <c r="VQW1630" s="1"/>
      <c r="VQX1630" s="1"/>
      <c r="VQY1630" s="1"/>
      <c r="VQZ1630" s="1"/>
      <c r="VRA1630" s="1"/>
      <c r="VRB1630" s="1"/>
      <c r="VRC1630" s="1"/>
      <c r="VRD1630" s="1"/>
      <c r="VRE1630" s="1"/>
      <c r="VRF1630" s="1"/>
      <c r="VRG1630" s="1"/>
      <c r="VRH1630" s="1"/>
      <c r="VRI1630" s="1"/>
      <c r="VRJ1630" s="1"/>
      <c r="VRK1630" s="1"/>
      <c r="VRL1630" s="1"/>
      <c r="VRM1630" s="1"/>
      <c r="VRN1630" s="1"/>
      <c r="VRO1630" s="1"/>
      <c r="VRP1630" s="1"/>
      <c r="VRQ1630" s="1"/>
      <c r="VRR1630" s="1"/>
      <c r="VRS1630" s="1"/>
      <c r="VRT1630" s="1"/>
      <c r="VRU1630" s="1"/>
      <c r="VRV1630" s="1"/>
      <c r="VRW1630" s="1"/>
      <c r="VRX1630" s="1"/>
      <c r="VRY1630" s="1"/>
      <c r="VRZ1630" s="1"/>
      <c r="VSA1630" s="1"/>
      <c r="VSB1630" s="1"/>
      <c r="VSC1630" s="1"/>
      <c r="VSD1630" s="1"/>
      <c r="VSE1630" s="1"/>
      <c r="VSF1630" s="1"/>
      <c r="VSG1630" s="1"/>
      <c r="VSH1630" s="1"/>
      <c r="VSI1630" s="1"/>
      <c r="VSJ1630" s="1"/>
      <c r="VSK1630" s="1"/>
      <c r="VSL1630" s="1"/>
      <c r="VSM1630" s="1"/>
      <c r="VSN1630" s="1"/>
      <c r="VSO1630" s="1"/>
      <c r="VSP1630" s="1"/>
      <c r="VSQ1630" s="1"/>
      <c r="VSR1630" s="1"/>
      <c r="VSS1630" s="1"/>
      <c r="VST1630" s="1"/>
      <c r="VSU1630" s="1"/>
      <c r="VSV1630" s="1"/>
      <c r="VSW1630" s="1"/>
      <c r="VSX1630" s="1"/>
      <c r="VSY1630" s="1"/>
      <c r="VSZ1630" s="1"/>
      <c r="VTA1630" s="1"/>
      <c r="VTB1630" s="1"/>
      <c r="VTC1630" s="1"/>
      <c r="VTD1630" s="1"/>
      <c r="VTE1630" s="1"/>
      <c r="VTF1630" s="1"/>
      <c r="VTG1630" s="1"/>
      <c r="VTH1630" s="1"/>
      <c r="VTI1630" s="1"/>
      <c r="VTJ1630" s="1"/>
      <c r="VTK1630" s="1"/>
      <c r="VTL1630" s="1"/>
      <c r="VTM1630" s="1"/>
      <c r="VTN1630" s="1"/>
      <c r="VTO1630" s="1"/>
      <c r="VTP1630" s="1"/>
      <c r="VTQ1630" s="1"/>
      <c r="VTR1630" s="1"/>
      <c r="VTS1630" s="1"/>
      <c r="VTT1630" s="1"/>
      <c r="VTU1630" s="1"/>
      <c r="VTV1630" s="1"/>
      <c r="VTW1630" s="1"/>
      <c r="VTX1630" s="1"/>
      <c r="VTY1630" s="1"/>
      <c r="VTZ1630" s="1"/>
      <c r="VUA1630" s="1"/>
      <c r="VUB1630" s="1"/>
      <c r="VUC1630" s="1"/>
      <c r="VUD1630" s="1"/>
      <c r="VUE1630" s="1"/>
      <c r="VUF1630" s="1"/>
      <c r="VUG1630" s="1"/>
      <c r="VUH1630" s="1"/>
      <c r="VUI1630" s="1"/>
      <c r="VUJ1630" s="1"/>
      <c r="VUK1630" s="1"/>
      <c r="VUL1630" s="1"/>
      <c r="VUM1630" s="1"/>
      <c r="VUN1630" s="1"/>
      <c r="VUO1630" s="1"/>
      <c r="VUP1630" s="1"/>
      <c r="VUQ1630" s="1"/>
      <c r="VUR1630" s="1"/>
      <c r="VUS1630" s="1"/>
      <c r="VUT1630" s="1"/>
      <c r="VUU1630" s="1"/>
      <c r="VUV1630" s="1"/>
      <c r="VUW1630" s="1"/>
      <c r="VUX1630" s="1"/>
      <c r="VUY1630" s="1"/>
      <c r="VUZ1630" s="1"/>
      <c r="VVA1630" s="1"/>
      <c r="VVB1630" s="1"/>
      <c r="VVC1630" s="1"/>
      <c r="VVD1630" s="1"/>
      <c r="VVE1630" s="1"/>
      <c r="VVF1630" s="1"/>
      <c r="VVG1630" s="1"/>
      <c r="VVH1630" s="1"/>
      <c r="VVI1630" s="1"/>
      <c r="VVJ1630" s="1"/>
      <c r="VVK1630" s="1"/>
      <c r="VVL1630" s="1"/>
      <c r="VVM1630" s="1"/>
      <c r="VVN1630" s="1"/>
      <c r="VVO1630" s="1"/>
      <c r="VVP1630" s="1"/>
      <c r="VVQ1630" s="1"/>
      <c r="VVR1630" s="1"/>
      <c r="VVS1630" s="1"/>
      <c r="VVT1630" s="1"/>
      <c r="VVU1630" s="1"/>
      <c r="VVV1630" s="1"/>
      <c r="VVW1630" s="1"/>
      <c r="VVX1630" s="1"/>
      <c r="VVY1630" s="1"/>
      <c r="VVZ1630" s="1"/>
      <c r="VWA1630" s="1"/>
      <c r="VWB1630" s="1"/>
      <c r="VWC1630" s="1"/>
      <c r="VWD1630" s="1"/>
      <c r="VWE1630" s="1"/>
      <c r="VWF1630" s="1"/>
      <c r="VWG1630" s="1"/>
      <c r="VWH1630" s="1"/>
      <c r="VWI1630" s="1"/>
      <c r="VWJ1630" s="1"/>
      <c r="VWK1630" s="1"/>
      <c r="VWL1630" s="1"/>
      <c r="VWM1630" s="1"/>
      <c r="VWN1630" s="1"/>
      <c r="VWO1630" s="1"/>
      <c r="VWP1630" s="1"/>
      <c r="VWQ1630" s="1"/>
      <c r="VWR1630" s="1"/>
      <c r="VWS1630" s="1"/>
      <c r="VWT1630" s="1"/>
      <c r="VWU1630" s="1"/>
      <c r="VWV1630" s="1"/>
      <c r="VWW1630" s="1"/>
      <c r="VWX1630" s="1"/>
      <c r="VWY1630" s="1"/>
      <c r="VWZ1630" s="1"/>
      <c r="VXA1630" s="1"/>
      <c r="VXB1630" s="1"/>
      <c r="VXC1630" s="1"/>
      <c r="VXD1630" s="1"/>
      <c r="VXE1630" s="1"/>
      <c r="VXF1630" s="1"/>
      <c r="VXG1630" s="1"/>
      <c r="VXH1630" s="1"/>
      <c r="VXI1630" s="1"/>
      <c r="VXJ1630" s="1"/>
      <c r="VXK1630" s="1"/>
      <c r="VXL1630" s="1"/>
      <c r="VXM1630" s="1"/>
      <c r="VXN1630" s="1"/>
      <c r="VXO1630" s="1"/>
      <c r="VXP1630" s="1"/>
      <c r="VXQ1630" s="1"/>
      <c r="VXR1630" s="1"/>
      <c r="VXS1630" s="1"/>
      <c r="VXT1630" s="1"/>
      <c r="VXU1630" s="1"/>
      <c r="VXV1630" s="1"/>
      <c r="VXW1630" s="1"/>
      <c r="VXX1630" s="1"/>
      <c r="VXY1630" s="1"/>
      <c r="VXZ1630" s="1"/>
      <c r="VYA1630" s="1"/>
      <c r="VYB1630" s="1"/>
      <c r="VYC1630" s="1"/>
      <c r="VYD1630" s="1"/>
      <c r="VYE1630" s="1"/>
      <c r="VYF1630" s="1"/>
      <c r="VYG1630" s="1"/>
      <c r="VYH1630" s="1"/>
      <c r="VYI1630" s="1"/>
      <c r="VYJ1630" s="1"/>
      <c r="VYK1630" s="1"/>
      <c r="VYL1630" s="1"/>
      <c r="VYM1630" s="1"/>
      <c r="VYN1630" s="1"/>
      <c r="VYO1630" s="1"/>
      <c r="VYP1630" s="1"/>
      <c r="VYQ1630" s="1"/>
      <c r="VYR1630" s="1"/>
      <c r="VYS1630" s="1"/>
      <c r="VYT1630" s="1"/>
      <c r="VYU1630" s="1"/>
      <c r="VYV1630" s="1"/>
      <c r="VYW1630" s="1"/>
      <c r="VYX1630" s="1"/>
      <c r="VYY1630" s="1"/>
      <c r="VYZ1630" s="1"/>
      <c r="VZA1630" s="1"/>
      <c r="VZB1630" s="1"/>
      <c r="VZC1630" s="1"/>
      <c r="VZD1630" s="1"/>
      <c r="VZE1630" s="1"/>
      <c r="VZF1630" s="1"/>
      <c r="VZG1630" s="1"/>
      <c r="VZH1630" s="1"/>
      <c r="VZI1630" s="1"/>
      <c r="VZJ1630" s="1"/>
      <c r="VZK1630" s="1"/>
      <c r="VZL1630" s="1"/>
      <c r="VZM1630" s="1"/>
      <c r="VZN1630" s="1"/>
      <c r="VZO1630" s="1"/>
      <c r="VZP1630" s="1"/>
      <c r="VZQ1630" s="1"/>
      <c r="VZR1630" s="1"/>
      <c r="VZS1630" s="1"/>
      <c r="VZT1630" s="1"/>
      <c r="VZU1630" s="1"/>
      <c r="VZV1630" s="1"/>
      <c r="VZW1630" s="1"/>
      <c r="VZX1630" s="1"/>
      <c r="VZY1630" s="1"/>
      <c r="VZZ1630" s="1"/>
      <c r="WAA1630" s="1"/>
      <c r="WAB1630" s="1"/>
      <c r="WAC1630" s="1"/>
      <c r="WAD1630" s="1"/>
      <c r="WAE1630" s="1"/>
      <c r="WAF1630" s="1"/>
      <c r="WAG1630" s="1"/>
      <c r="WAH1630" s="1"/>
      <c r="WAI1630" s="1"/>
      <c r="WAJ1630" s="1"/>
      <c r="WAK1630" s="1"/>
      <c r="WAL1630" s="1"/>
      <c r="WAM1630" s="1"/>
      <c r="WAN1630" s="1"/>
      <c r="WAO1630" s="1"/>
      <c r="WAP1630" s="1"/>
      <c r="WAQ1630" s="1"/>
      <c r="WAR1630" s="1"/>
      <c r="WAS1630" s="1"/>
      <c r="WAT1630" s="1"/>
      <c r="WAU1630" s="1"/>
      <c r="WAV1630" s="1"/>
      <c r="WAW1630" s="1"/>
      <c r="WAX1630" s="1"/>
      <c r="WAY1630" s="1"/>
      <c r="WAZ1630" s="1"/>
      <c r="WBA1630" s="1"/>
      <c r="WBB1630" s="1"/>
      <c r="WBC1630" s="1"/>
      <c r="WBD1630" s="1"/>
      <c r="WBE1630" s="1"/>
      <c r="WBF1630" s="1"/>
      <c r="WBG1630" s="1"/>
      <c r="WBH1630" s="1"/>
      <c r="WBI1630" s="1"/>
      <c r="WBJ1630" s="1"/>
      <c r="WBK1630" s="1"/>
      <c r="WBL1630" s="1"/>
      <c r="WBM1630" s="1"/>
      <c r="WBN1630" s="1"/>
      <c r="WBO1630" s="1"/>
      <c r="WBP1630" s="1"/>
      <c r="WBQ1630" s="1"/>
      <c r="WBR1630" s="1"/>
      <c r="WBS1630" s="1"/>
      <c r="WBT1630" s="1"/>
      <c r="WBU1630" s="1"/>
      <c r="WBV1630" s="1"/>
      <c r="WBW1630" s="1"/>
      <c r="WBX1630" s="1"/>
      <c r="WBY1630" s="1"/>
      <c r="WBZ1630" s="1"/>
      <c r="WCA1630" s="1"/>
      <c r="WCB1630" s="1"/>
      <c r="WCC1630" s="1"/>
      <c r="WCD1630" s="1"/>
      <c r="WCE1630" s="1"/>
      <c r="WCF1630" s="1"/>
      <c r="WCG1630" s="1"/>
      <c r="WCH1630" s="1"/>
      <c r="WCI1630" s="1"/>
      <c r="WCJ1630" s="1"/>
      <c r="WCK1630" s="1"/>
      <c r="WCL1630" s="1"/>
      <c r="WCM1630" s="1"/>
      <c r="WCN1630" s="1"/>
      <c r="WCO1630" s="1"/>
      <c r="WCP1630" s="1"/>
      <c r="WCQ1630" s="1"/>
      <c r="WCR1630" s="1"/>
      <c r="WCS1630" s="1"/>
      <c r="WCT1630" s="1"/>
      <c r="WCU1630" s="1"/>
      <c r="WCV1630" s="1"/>
      <c r="WCW1630" s="1"/>
      <c r="WCX1630" s="1"/>
      <c r="WCY1630" s="1"/>
      <c r="WCZ1630" s="1"/>
      <c r="WDA1630" s="1"/>
      <c r="WDB1630" s="1"/>
      <c r="WDC1630" s="1"/>
      <c r="WDD1630" s="1"/>
      <c r="WDE1630" s="1"/>
      <c r="WDF1630" s="1"/>
      <c r="WDG1630" s="1"/>
      <c r="WDH1630" s="1"/>
      <c r="WDI1630" s="1"/>
      <c r="WDJ1630" s="1"/>
      <c r="WDK1630" s="1"/>
      <c r="WDL1630" s="1"/>
      <c r="WDM1630" s="1"/>
      <c r="WDN1630" s="1"/>
      <c r="WDO1630" s="1"/>
      <c r="WDP1630" s="1"/>
      <c r="WDQ1630" s="1"/>
      <c r="WDR1630" s="1"/>
      <c r="WDS1630" s="1"/>
      <c r="WDT1630" s="1"/>
      <c r="WDU1630" s="1"/>
      <c r="WDV1630" s="1"/>
      <c r="WDW1630" s="1"/>
      <c r="WDX1630" s="1"/>
      <c r="WDY1630" s="1"/>
      <c r="WDZ1630" s="1"/>
      <c r="WEA1630" s="1"/>
      <c r="WEB1630" s="1"/>
      <c r="WEC1630" s="1"/>
      <c r="WED1630" s="1"/>
      <c r="WEE1630" s="1"/>
      <c r="WEF1630" s="1"/>
      <c r="WEG1630" s="1"/>
      <c r="WEH1630" s="1"/>
      <c r="WEI1630" s="1"/>
      <c r="WEJ1630" s="1"/>
      <c r="WEK1630" s="1"/>
      <c r="WEL1630" s="1"/>
      <c r="WEM1630" s="1"/>
      <c r="WEN1630" s="1"/>
      <c r="WEO1630" s="1"/>
      <c r="WEP1630" s="1"/>
      <c r="WEQ1630" s="1"/>
      <c r="WER1630" s="1"/>
      <c r="WES1630" s="1"/>
      <c r="WET1630" s="1"/>
      <c r="WEU1630" s="1"/>
      <c r="WEV1630" s="1"/>
      <c r="WEW1630" s="1"/>
      <c r="WEX1630" s="1"/>
      <c r="WEY1630" s="1"/>
      <c r="WEZ1630" s="1"/>
      <c r="WFA1630" s="1"/>
      <c r="WFB1630" s="1"/>
      <c r="WFC1630" s="1"/>
      <c r="WFD1630" s="1"/>
      <c r="WFE1630" s="1"/>
      <c r="WFF1630" s="1"/>
      <c r="WFG1630" s="1"/>
      <c r="WFH1630" s="1"/>
      <c r="WFI1630" s="1"/>
      <c r="WFJ1630" s="1"/>
      <c r="WFK1630" s="1"/>
      <c r="WFL1630" s="1"/>
      <c r="WFM1630" s="1"/>
      <c r="WFN1630" s="1"/>
      <c r="WFO1630" s="1"/>
      <c r="WFP1630" s="1"/>
      <c r="WFQ1630" s="1"/>
      <c r="WFR1630" s="1"/>
      <c r="WFS1630" s="1"/>
      <c r="WFT1630" s="1"/>
      <c r="WFU1630" s="1"/>
      <c r="WFV1630" s="1"/>
      <c r="WFW1630" s="1"/>
      <c r="WFX1630" s="1"/>
      <c r="WFY1630" s="1"/>
      <c r="WFZ1630" s="1"/>
      <c r="WGA1630" s="1"/>
      <c r="WGB1630" s="1"/>
      <c r="WGC1630" s="1"/>
      <c r="WGD1630" s="1"/>
      <c r="WGE1630" s="1"/>
      <c r="WGF1630" s="1"/>
      <c r="WGG1630" s="1"/>
      <c r="WGH1630" s="1"/>
      <c r="WGI1630" s="1"/>
      <c r="WGJ1630" s="1"/>
      <c r="WGK1630" s="1"/>
      <c r="WGL1630" s="1"/>
      <c r="WGM1630" s="1"/>
      <c r="WGN1630" s="1"/>
      <c r="WGO1630" s="1"/>
      <c r="WGP1630" s="1"/>
      <c r="WGQ1630" s="1"/>
      <c r="WGR1630" s="1"/>
      <c r="WGS1630" s="1"/>
      <c r="WGT1630" s="1"/>
      <c r="WGU1630" s="1"/>
      <c r="WGV1630" s="1"/>
      <c r="WGW1630" s="1"/>
      <c r="WGX1630" s="1"/>
      <c r="WGY1630" s="1"/>
      <c r="WGZ1630" s="1"/>
      <c r="WHA1630" s="1"/>
      <c r="WHB1630" s="1"/>
      <c r="WHC1630" s="1"/>
      <c r="WHD1630" s="1"/>
      <c r="WHE1630" s="1"/>
      <c r="WHF1630" s="1"/>
      <c r="WHG1630" s="1"/>
      <c r="WHH1630" s="1"/>
      <c r="WHI1630" s="1"/>
      <c r="WHJ1630" s="1"/>
      <c r="WHK1630" s="1"/>
      <c r="WHL1630" s="1"/>
      <c r="WHM1630" s="1"/>
      <c r="WHN1630" s="1"/>
      <c r="WHO1630" s="1"/>
      <c r="WHP1630" s="1"/>
      <c r="WHQ1630" s="1"/>
      <c r="WHR1630" s="1"/>
      <c r="WHS1630" s="1"/>
      <c r="WHT1630" s="1"/>
      <c r="WHU1630" s="1"/>
      <c r="WHV1630" s="1"/>
      <c r="WHW1630" s="1"/>
      <c r="WHX1630" s="1"/>
      <c r="WHY1630" s="1"/>
      <c r="WHZ1630" s="1"/>
      <c r="WIA1630" s="1"/>
      <c r="WIB1630" s="1"/>
      <c r="WIC1630" s="1"/>
      <c r="WID1630" s="1"/>
      <c r="WIE1630" s="1"/>
      <c r="WIF1630" s="1"/>
      <c r="WIG1630" s="1"/>
      <c r="WIH1630" s="1"/>
      <c r="WII1630" s="1"/>
      <c r="WIJ1630" s="1"/>
      <c r="WIK1630" s="1"/>
      <c r="WIL1630" s="1"/>
      <c r="WIM1630" s="1"/>
      <c r="WIN1630" s="1"/>
      <c r="WIO1630" s="1"/>
      <c r="WIP1630" s="1"/>
      <c r="WIQ1630" s="1"/>
      <c r="WIR1630" s="1"/>
      <c r="WIS1630" s="1"/>
      <c r="WIT1630" s="1"/>
      <c r="WIU1630" s="1"/>
      <c r="WIV1630" s="1"/>
      <c r="WIW1630" s="1"/>
      <c r="WIX1630" s="1"/>
      <c r="WIY1630" s="1"/>
      <c r="WIZ1630" s="1"/>
      <c r="WJA1630" s="1"/>
      <c r="WJB1630" s="1"/>
      <c r="WJC1630" s="1"/>
      <c r="WJD1630" s="1"/>
      <c r="WJE1630" s="1"/>
      <c r="WJF1630" s="1"/>
      <c r="WJG1630" s="1"/>
      <c r="WJH1630" s="1"/>
      <c r="WJI1630" s="1"/>
      <c r="WJJ1630" s="1"/>
      <c r="WJK1630" s="1"/>
      <c r="WJL1630" s="1"/>
      <c r="WJM1630" s="1"/>
      <c r="WJN1630" s="1"/>
      <c r="WJO1630" s="1"/>
      <c r="WJP1630" s="1"/>
      <c r="WJQ1630" s="1"/>
      <c r="WJR1630" s="1"/>
      <c r="WJS1630" s="1"/>
      <c r="WJT1630" s="1"/>
      <c r="WJU1630" s="1"/>
      <c r="WJV1630" s="1"/>
      <c r="WJW1630" s="1"/>
      <c r="WJX1630" s="1"/>
      <c r="WJY1630" s="1"/>
      <c r="WJZ1630" s="1"/>
      <c r="WKA1630" s="1"/>
      <c r="WKB1630" s="1"/>
      <c r="WKC1630" s="1"/>
      <c r="WKD1630" s="1"/>
      <c r="WKE1630" s="1"/>
      <c r="WKF1630" s="1"/>
      <c r="WKG1630" s="1"/>
      <c r="WKH1630" s="1"/>
      <c r="WKI1630" s="1"/>
      <c r="WKJ1630" s="1"/>
      <c r="WKK1630" s="1"/>
      <c r="WKL1630" s="1"/>
      <c r="WKM1630" s="1"/>
      <c r="WKN1630" s="1"/>
      <c r="WKO1630" s="1"/>
      <c r="WKP1630" s="1"/>
      <c r="WKQ1630" s="1"/>
      <c r="WKR1630" s="1"/>
      <c r="WKS1630" s="1"/>
      <c r="WKT1630" s="1"/>
      <c r="WKU1630" s="1"/>
      <c r="WKV1630" s="1"/>
      <c r="WKW1630" s="1"/>
      <c r="WKX1630" s="1"/>
      <c r="WKY1630" s="1"/>
      <c r="WKZ1630" s="1"/>
      <c r="WLA1630" s="1"/>
      <c r="WLB1630" s="1"/>
      <c r="WLC1630" s="1"/>
      <c r="WLD1630" s="1"/>
      <c r="WLE1630" s="1"/>
      <c r="WLF1630" s="1"/>
      <c r="WLG1630" s="1"/>
      <c r="WLH1630" s="1"/>
      <c r="WLI1630" s="1"/>
      <c r="WLJ1630" s="1"/>
      <c r="WLK1630" s="1"/>
      <c r="WLL1630" s="1"/>
      <c r="WLM1630" s="1"/>
      <c r="WLN1630" s="1"/>
      <c r="WLO1630" s="1"/>
      <c r="WLP1630" s="1"/>
      <c r="WLQ1630" s="1"/>
      <c r="WLR1630" s="1"/>
      <c r="WLS1630" s="1"/>
      <c r="WLT1630" s="1"/>
      <c r="WLU1630" s="1"/>
      <c r="WLV1630" s="1"/>
      <c r="WLW1630" s="1"/>
      <c r="WLX1630" s="1"/>
      <c r="WLY1630" s="1"/>
      <c r="WLZ1630" s="1"/>
      <c r="WMA1630" s="1"/>
      <c r="WMB1630" s="1"/>
      <c r="WMC1630" s="1"/>
      <c r="WMD1630" s="1"/>
      <c r="WME1630" s="1"/>
      <c r="WMF1630" s="1"/>
      <c r="WMG1630" s="1"/>
      <c r="WMH1630" s="1"/>
      <c r="WMI1630" s="1"/>
      <c r="WMJ1630" s="1"/>
      <c r="WMK1630" s="1"/>
      <c r="WML1630" s="1"/>
      <c r="WMM1630" s="1"/>
      <c r="WMN1630" s="1"/>
      <c r="WMO1630" s="1"/>
      <c r="WMP1630" s="1"/>
      <c r="WMQ1630" s="1"/>
      <c r="WMR1630" s="1"/>
      <c r="WMS1630" s="1"/>
      <c r="WMT1630" s="1"/>
      <c r="WMU1630" s="1"/>
      <c r="WMV1630" s="1"/>
      <c r="WMW1630" s="1"/>
      <c r="WMX1630" s="1"/>
      <c r="WMY1630" s="1"/>
      <c r="WMZ1630" s="1"/>
      <c r="WNA1630" s="1"/>
      <c r="WNB1630" s="1"/>
      <c r="WNC1630" s="1"/>
      <c r="WND1630" s="1"/>
      <c r="WNE1630" s="1"/>
      <c r="WNF1630" s="1"/>
      <c r="WNG1630" s="1"/>
      <c r="WNH1630" s="1"/>
      <c r="WNI1630" s="1"/>
      <c r="WNJ1630" s="1"/>
      <c r="WNK1630" s="1"/>
      <c r="WNL1630" s="1"/>
      <c r="WNM1630" s="1"/>
      <c r="WNN1630" s="1"/>
      <c r="WNO1630" s="1"/>
      <c r="WNP1630" s="1"/>
      <c r="WNQ1630" s="1"/>
      <c r="WNR1630" s="1"/>
      <c r="WNS1630" s="1"/>
      <c r="WNT1630" s="1"/>
      <c r="WNU1630" s="1"/>
      <c r="WNV1630" s="1"/>
      <c r="WNW1630" s="1"/>
      <c r="WNX1630" s="1"/>
      <c r="WNY1630" s="1"/>
      <c r="WNZ1630" s="1"/>
      <c r="WOA1630" s="1"/>
      <c r="WOB1630" s="1"/>
      <c r="WOC1630" s="1"/>
      <c r="WOD1630" s="1"/>
      <c r="WOE1630" s="1"/>
      <c r="WOF1630" s="1"/>
      <c r="WOG1630" s="1"/>
      <c r="WOH1630" s="1"/>
      <c r="WOI1630" s="1"/>
      <c r="WOJ1630" s="1"/>
      <c r="WOK1630" s="1"/>
      <c r="WOL1630" s="1"/>
      <c r="WOM1630" s="1"/>
      <c r="WON1630" s="1"/>
      <c r="WOO1630" s="1"/>
      <c r="WOP1630" s="1"/>
      <c r="WOQ1630" s="1"/>
      <c r="WOR1630" s="1"/>
      <c r="WOS1630" s="1"/>
      <c r="WOT1630" s="1"/>
      <c r="WOU1630" s="1"/>
      <c r="WOV1630" s="1"/>
      <c r="WOW1630" s="1"/>
      <c r="WOX1630" s="1"/>
      <c r="WOY1630" s="1"/>
      <c r="WOZ1630" s="1"/>
      <c r="WPA1630" s="1"/>
      <c r="WPB1630" s="1"/>
      <c r="WPC1630" s="1"/>
      <c r="WPD1630" s="1"/>
      <c r="WPE1630" s="1"/>
      <c r="WPF1630" s="1"/>
      <c r="WPG1630" s="1"/>
      <c r="WPH1630" s="1"/>
      <c r="WPI1630" s="1"/>
      <c r="WPJ1630" s="1"/>
      <c r="WPK1630" s="1"/>
      <c r="WPL1630" s="1"/>
      <c r="WPM1630" s="1"/>
      <c r="WPN1630" s="1"/>
      <c r="WPO1630" s="1"/>
      <c r="WPP1630" s="1"/>
      <c r="WPQ1630" s="1"/>
      <c r="WPR1630" s="1"/>
      <c r="WPS1630" s="1"/>
      <c r="WPT1630" s="1"/>
      <c r="WPU1630" s="1"/>
      <c r="WPV1630" s="1"/>
      <c r="WPW1630" s="1"/>
      <c r="WPX1630" s="1"/>
      <c r="WPY1630" s="1"/>
      <c r="WPZ1630" s="1"/>
      <c r="WQA1630" s="1"/>
      <c r="WQB1630" s="1"/>
      <c r="WQC1630" s="1"/>
      <c r="WQD1630" s="1"/>
      <c r="WQE1630" s="1"/>
      <c r="WQF1630" s="1"/>
      <c r="WQG1630" s="1"/>
      <c r="WQH1630" s="1"/>
      <c r="WQI1630" s="1"/>
      <c r="WQJ1630" s="1"/>
      <c r="WQK1630" s="1"/>
      <c r="WQL1630" s="1"/>
      <c r="WQM1630" s="1"/>
      <c r="WQN1630" s="1"/>
      <c r="WQO1630" s="1"/>
      <c r="WQP1630" s="1"/>
      <c r="WQQ1630" s="1"/>
      <c r="WQR1630" s="1"/>
      <c r="WQS1630" s="1"/>
      <c r="WQT1630" s="1"/>
      <c r="WQU1630" s="1"/>
      <c r="WQV1630" s="1"/>
      <c r="WQW1630" s="1"/>
      <c r="WQX1630" s="1"/>
      <c r="WQY1630" s="1"/>
      <c r="WQZ1630" s="1"/>
      <c r="WRA1630" s="1"/>
      <c r="WRB1630" s="1"/>
      <c r="WRC1630" s="1"/>
      <c r="WRD1630" s="1"/>
      <c r="WRE1630" s="1"/>
      <c r="WRF1630" s="1"/>
      <c r="WRG1630" s="1"/>
      <c r="WRH1630" s="1"/>
      <c r="WRI1630" s="1"/>
      <c r="WRJ1630" s="1"/>
      <c r="WRK1630" s="1"/>
      <c r="WRL1630" s="1"/>
      <c r="WRM1630" s="1"/>
      <c r="WRN1630" s="1"/>
      <c r="WRO1630" s="1"/>
      <c r="WRP1630" s="1"/>
      <c r="WRQ1630" s="1"/>
      <c r="WRR1630" s="1"/>
      <c r="WRS1630" s="1"/>
      <c r="WRT1630" s="1"/>
      <c r="WRU1630" s="1"/>
      <c r="WRV1630" s="1"/>
      <c r="WRW1630" s="1"/>
      <c r="WRX1630" s="1"/>
      <c r="WRY1630" s="1"/>
      <c r="WRZ1630" s="1"/>
      <c r="WSA1630" s="1"/>
      <c r="WSB1630" s="1"/>
      <c r="WSC1630" s="1"/>
      <c r="WSD1630" s="1"/>
      <c r="WSE1630" s="1"/>
      <c r="WSF1630" s="1"/>
      <c r="WSG1630" s="1"/>
      <c r="WSH1630" s="1"/>
      <c r="WSI1630" s="1"/>
      <c r="WSJ1630" s="1"/>
      <c r="WSK1630" s="1"/>
      <c r="WSL1630" s="1"/>
      <c r="WSM1630" s="1"/>
      <c r="WSN1630" s="1"/>
      <c r="WSO1630" s="1"/>
      <c r="WSP1630" s="1"/>
      <c r="WSQ1630" s="1"/>
      <c r="WSR1630" s="1"/>
      <c r="WSS1630" s="1"/>
      <c r="WST1630" s="1"/>
      <c r="WSU1630" s="1"/>
      <c r="WSV1630" s="1"/>
      <c r="WSW1630" s="1"/>
      <c r="WSX1630" s="1"/>
      <c r="WSY1630" s="1"/>
      <c r="WSZ1630" s="1"/>
      <c r="WTA1630" s="1"/>
      <c r="WTB1630" s="1"/>
      <c r="WTC1630" s="1"/>
      <c r="WTD1630" s="1"/>
      <c r="WTE1630" s="1"/>
      <c r="WTF1630" s="1"/>
      <c r="WTG1630" s="1"/>
      <c r="WTH1630" s="1"/>
      <c r="WTI1630" s="1"/>
      <c r="WTJ1630" s="1"/>
      <c r="WTK1630" s="1"/>
      <c r="WTL1630" s="1"/>
      <c r="WTM1630" s="1"/>
      <c r="WTN1630" s="1"/>
      <c r="WTO1630" s="1"/>
      <c r="WTP1630" s="1"/>
      <c r="WTQ1630" s="1"/>
      <c r="WTR1630" s="1"/>
      <c r="WTS1630" s="1"/>
      <c r="WTT1630" s="1"/>
      <c r="WTU1630" s="1"/>
      <c r="WTV1630" s="1"/>
      <c r="WTW1630" s="1"/>
      <c r="WTX1630" s="1"/>
      <c r="WTY1630" s="1"/>
      <c r="WTZ1630" s="1"/>
      <c r="WUA1630" s="1"/>
      <c r="WUB1630" s="1"/>
      <c r="WUC1630" s="1"/>
      <c r="WUD1630" s="1"/>
      <c r="WUE1630" s="1"/>
      <c r="WUF1630" s="1"/>
      <c r="WUG1630" s="1"/>
      <c r="WUH1630" s="1"/>
      <c r="WUI1630" s="1"/>
      <c r="WUJ1630" s="1"/>
      <c r="WUK1630" s="1"/>
      <c r="WUL1630" s="1"/>
      <c r="WUM1630" s="1"/>
      <c r="WUN1630" s="1"/>
      <c r="WUO1630" s="1"/>
      <c r="WUP1630" s="1"/>
      <c r="WUQ1630" s="1"/>
      <c r="WUR1630" s="1"/>
      <c r="WUS1630" s="1"/>
      <c r="WUT1630" s="1"/>
      <c r="WUU1630" s="1"/>
      <c r="WUV1630" s="1"/>
      <c r="WUW1630" s="1"/>
      <c r="WUX1630" s="1"/>
      <c r="WUY1630" s="1"/>
      <c r="WUZ1630" s="1"/>
      <c r="WVA1630" s="1"/>
      <c r="WVB1630" s="1"/>
      <c r="WVC1630" s="1"/>
      <c r="WVD1630" s="1"/>
      <c r="WVE1630" s="1"/>
      <c r="WVF1630" s="1"/>
      <c r="WVG1630" s="1"/>
      <c r="WVH1630" s="1"/>
      <c r="WVI1630" s="1"/>
      <c r="WVJ1630" s="1"/>
      <c r="WVK1630" s="1"/>
      <c r="WVL1630" s="1"/>
      <c r="WVM1630" s="1"/>
      <c r="WVN1630" s="1"/>
      <c r="WVO1630" s="1"/>
      <c r="WVP1630" s="1"/>
      <c r="WVQ1630" s="1"/>
      <c r="WVR1630" s="1"/>
      <c r="WVS1630" s="1"/>
      <c r="WVT1630" s="1"/>
      <c r="WVU1630" s="1"/>
      <c r="WVV1630" s="1"/>
      <c r="WVW1630" s="1"/>
      <c r="WVX1630" s="1"/>
      <c r="WVY1630" s="1"/>
      <c r="WVZ1630" s="1"/>
      <c r="WWA1630" s="1"/>
      <c r="WWB1630" s="1"/>
      <c r="WWC1630" s="1"/>
      <c r="WWD1630" s="1"/>
      <c r="WWE1630" s="1"/>
      <c r="WWF1630" s="1"/>
      <c r="WWG1630" s="1"/>
      <c r="WWH1630" s="1"/>
      <c r="WWI1630" s="1"/>
      <c r="WWJ1630" s="1"/>
      <c r="WWK1630" s="1"/>
      <c r="WWL1630" s="1"/>
      <c r="WWM1630" s="1"/>
      <c r="WWN1630" s="1"/>
      <c r="WWO1630" s="1"/>
      <c r="WWP1630" s="1"/>
      <c r="WWQ1630" s="1"/>
      <c r="WWR1630" s="1"/>
      <c r="WWS1630" s="1"/>
      <c r="WWT1630" s="1"/>
      <c r="WWU1630" s="1"/>
      <c r="WWV1630" s="1"/>
      <c r="WWW1630" s="1"/>
      <c r="WWX1630" s="1"/>
      <c r="WWY1630" s="1"/>
      <c r="WWZ1630" s="1"/>
      <c r="WXA1630" s="1"/>
      <c r="WXB1630" s="1"/>
      <c r="WXC1630" s="1"/>
      <c r="WXD1630" s="1"/>
      <c r="WXE1630" s="1"/>
      <c r="WXF1630" s="1"/>
      <c r="WXG1630" s="1"/>
      <c r="WXH1630" s="1"/>
      <c r="WXI1630" s="1"/>
      <c r="WXJ1630" s="1"/>
      <c r="WXK1630" s="1"/>
      <c r="WXL1630" s="1"/>
      <c r="WXM1630" s="1"/>
      <c r="WXN1630" s="1"/>
      <c r="WXO1630" s="1"/>
      <c r="WXP1630" s="1"/>
      <c r="WXQ1630" s="1"/>
      <c r="WXR1630" s="1"/>
      <c r="WXS1630" s="1"/>
      <c r="WXT1630" s="1"/>
      <c r="WXU1630" s="1"/>
      <c r="WXV1630" s="1"/>
      <c r="WXW1630" s="1"/>
      <c r="WXX1630" s="1"/>
      <c r="WXY1630" s="1"/>
      <c r="WXZ1630" s="1"/>
      <c r="WYA1630" s="1"/>
      <c r="WYB1630" s="1"/>
      <c r="WYC1630" s="1"/>
      <c r="WYD1630" s="1"/>
      <c r="WYE1630" s="1"/>
      <c r="WYF1630" s="1"/>
      <c r="WYG1630" s="1"/>
      <c r="WYH1630" s="1"/>
      <c r="WYI1630" s="1"/>
      <c r="WYJ1630" s="1"/>
      <c r="WYK1630" s="1"/>
      <c r="WYL1630" s="1"/>
      <c r="WYM1630" s="1"/>
      <c r="WYN1630" s="1"/>
      <c r="WYO1630" s="1"/>
      <c r="WYP1630" s="1"/>
      <c r="WYQ1630" s="1"/>
      <c r="WYR1630" s="1"/>
      <c r="WYS1630" s="1"/>
      <c r="WYT1630" s="1"/>
      <c r="WYU1630" s="1"/>
      <c r="WYV1630" s="1"/>
      <c r="WYW1630" s="1"/>
      <c r="WYX1630" s="1"/>
      <c r="WYY1630" s="1"/>
      <c r="WYZ1630" s="1"/>
      <c r="WZA1630" s="1"/>
      <c r="WZB1630" s="1"/>
      <c r="WZC1630" s="1"/>
      <c r="WZD1630" s="1"/>
      <c r="WZE1630" s="1"/>
      <c r="WZF1630" s="1"/>
      <c r="WZG1630" s="1"/>
      <c r="WZH1630" s="1"/>
      <c r="WZI1630" s="1"/>
      <c r="WZJ1630" s="1"/>
      <c r="WZK1630" s="1"/>
      <c r="WZL1630" s="1"/>
      <c r="WZM1630" s="1"/>
      <c r="WZN1630" s="1"/>
      <c r="WZO1630" s="1"/>
      <c r="WZP1630" s="1"/>
      <c r="WZQ1630" s="1"/>
      <c r="WZR1630" s="1"/>
      <c r="WZS1630" s="1"/>
      <c r="WZT1630" s="1"/>
      <c r="WZU1630" s="1"/>
      <c r="WZV1630" s="1"/>
      <c r="WZW1630" s="1"/>
      <c r="WZX1630" s="1"/>
      <c r="WZY1630" s="1"/>
      <c r="WZZ1630" s="1"/>
      <c r="XAA1630" s="1"/>
      <c r="XAB1630" s="1"/>
      <c r="XAC1630" s="1"/>
      <c r="XAD1630" s="1"/>
      <c r="XAE1630" s="1"/>
      <c r="XAF1630" s="1"/>
      <c r="XAG1630" s="1"/>
      <c r="XAH1630" s="1"/>
      <c r="XAI1630" s="1"/>
      <c r="XAJ1630" s="1"/>
      <c r="XAK1630" s="1"/>
      <c r="XAL1630" s="1"/>
      <c r="XAM1630" s="1"/>
      <c r="XAN1630" s="1"/>
      <c r="XAO1630" s="1"/>
      <c r="XAP1630" s="1"/>
      <c r="XAQ1630" s="1"/>
      <c r="XAR1630" s="1"/>
      <c r="XAS1630" s="1"/>
      <c r="XAT1630" s="1"/>
      <c r="XAU1630" s="1"/>
      <c r="XAV1630" s="1"/>
      <c r="XAW1630" s="1"/>
      <c r="XAX1630" s="1"/>
      <c r="XAY1630" s="1"/>
      <c r="XAZ1630" s="1"/>
      <c r="XBA1630" s="1"/>
      <c r="XBB1630" s="1"/>
      <c r="XBC1630" s="1"/>
      <c r="XBD1630" s="1"/>
      <c r="XBE1630" s="1"/>
      <c r="XBF1630" s="1"/>
      <c r="XBG1630" s="1"/>
      <c r="XBH1630" s="1"/>
      <c r="XBI1630" s="1"/>
      <c r="XBJ1630" s="1"/>
      <c r="XBK1630" s="1"/>
      <c r="XBL1630" s="1"/>
      <c r="XBM1630" s="1"/>
      <c r="XBN1630" s="1"/>
      <c r="XBO1630" s="1"/>
      <c r="XBP1630" s="1"/>
      <c r="XBQ1630" s="1"/>
      <c r="XBR1630" s="1"/>
      <c r="XBS1630" s="1"/>
      <c r="XBT1630" s="1"/>
      <c r="XBU1630" s="1"/>
      <c r="XBV1630" s="1"/>
      <c r="XBW1630" s="1"/>
      <c r="XBX1630" s="1"/>
      <c r="XBY1630" s="1"/>
      <c r="XBZ1630" s="1"/>
      <c r="XCA1630" s="1"/>
      <c r="XCB1630" s="1"/>
      <c r="XCC1630" s="1"/>
      <c r="XCD1630" s="1"/>
      <c r="XCE1630" s="1"/>
      <c r="XCF1630" s="1"/>
      <c r="XCG1630" s="1"/>
      <c r="XCH1630" s="1"/>
      <c r="XCI1630" s="1"/>
      <c r="XCJ1630" s="1"/>
      <c r="XCK1630" s="1"/>
      <c r="XCL1630" s="1"/>
      <c r="XCM1630" s="1"/>
      <c r="XCN1630" s="1"/>
      <c r="XCO1630" s="1"/>
      <c r="XCP1630" s="1"/>
      <c r="XCQ1630" s="1"/>
      <c r="XCR1630" s="1"/>
      <c r="XCS1630" s="1"/>
      <c r="XCT1630" s="1"/>
      <c r="XCU1630" s="1"/>
      <c r="XCV1630" s="1"/>
      <c r="XCW1630" s="1"/>
      <c r="XCX1630" s="1"/>
      <c r="XCY1630" s="1"/>
      <c r="XCZ1630" s="1"/>
      <c r="XDA1630" s="1"/>
      <c r="XDB1630" s="1"/>
      <c r="XDC1630" s="1"/>
      <c r="XDD1630" s="1"/>
      <c r="XDE1630" s="1"/>
      <c r="XDF1630" s="1"/>
      <c r="XDG1630" s="1"/>
      <c r="XDH1630" s="1"/>
      <c r="XDI1630" s="1"/>
      <c r="XDJ1630" s="1"/>
      <c r="XDK1630" s="1"/>
      <c r="XDL1630" s="1"/>
      <c r="XDM1630" s="1"/>
      <c r="XDN1630" s="1"/>
      <c r="XDO1630" s="1"/>
      <c r="XDP1630" s="1"/>
      <c r="XDQ1630" s="1"/>
      <c r="XDR1630" s="1"/>
      <c r="XDS1630" s="1"/>
    </row>
    <row r="1631" spans="1:16347" s="26" customFormat="1" x14ac:dyDescent="0.25">
      <c r="A1631" s="1" t="s">
        <v>1014</v>
      </c>
      <c r="B1631" s="1" t="s">
        <v>1345</v>
      </c>
      <c r="C1631" s="1">
        <v>1074</v>
      </c>
      <c r="D1631" s="1">
        <v>0.5</v>
      </c>
      <c r="E1631" s="3">
        <f t="shared" si="104"/>
        <v>537</v>
      </c>
      <c r="F1631" s="1">
        <f t="shared" si="105"/>
        <v>644.4</v>
      </c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  <c r="BF1631" s="1"/>
      <c r="BG1631" s="1"/>
      <c r="BH1631" s="1"/>
      <c r="BI1631" s="1"/>
      <c r="BJ1631" s="1"/>
      <c r="BK1631" s="1"/>
      <c r="BL1631" s="1"/>
      <c r="BM1631" s="1"/>
      <c r="BN1631" s="1"/>
      <c r="BO1631" s="1"/>
      <c r="BP1631" s="1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  <c r="CC1631" s="1"/>
      <c r="CD1631" s="1"/>
      <c r="CE1631" s="1"/>
      <c r="CF1631" s="1"/>
      <c r="CG1631" s="1"/>
      <c r="CH1631" s="1"/>
      <c r="CI1631" s="1"/>
      <c r="CJ1631" s="1"/>
      <c r="CK1631" s="1"/>
      <c r="CL1631" s="1"/>
      <c r="CM1631" s="1"/>
      <c r="CN1631" s="1"/>
      <c r="CO1631" s="1"/>
      <c r="CP1631" s="1"/>
      <c r="CQ1631" s="1"/>
      <c r="CR1631" s="1"/>
      <c r="CS1631" s="1"/>
      <c r="CT1631" s="1"/>
      <c r="CU1631" s="1"/>
      <c r="CV1631" s="1"/>
      <c r="CW1631" s="1"/>
      <c r="CX1631" s="1"/>
      <c r="CY1631" s="1"/>
      <c r="CZ1631" s="1"/>
      <c r="DA1631" s="1"/>
      <c r="DB1631" s="1"/>
      <c r="DC1631" s="1"/>
      <c r="DD1631" s="1"/>
      <c r="DE1631" s="1"/>
      <c r="DF1631" s="1"/>
      <c r="DG1631" s="1"/>
      <c r="DH1631" s="1"/>
      <c r="DI1631" s="1"/>
      <c r="DJ1631" s="1"/>
      <c r="DK1631" s="1"/>
      <c r="DL1631" s="1"/>
      <c r="DM1631" s="1"/>
      <c r="DN1631" s="1"/>
      <c r="DO1631" s="1"/>
      <c r="DP1631" s="1"/>
      <c r="DQ1631" s="1"/>
      <c r="DR1631" s="1"/>
      <c r="DS1631" s="1"/>
      <c r="DT1631" s="1"/>
      <c r="DU1631" s="1"/>
      <c r="DV1631" s="1"/>
      <c r="DW1631" s="1"/>
      <c r="DX1631" s="1"/>
      <c r="DY1631" s="1"/>
      <c r="DZ1631" s="1"/>
      <c r="EA1631" s="1"/>
      <c r="EB1631" s="1"/>
      <c r="EC1631" s="1"/>
      <c r="ED1631" s="1"/>
      <c r="EE1631" s="1"/>
      <c r="EF1631" s="1"/>
      <c r="EG1631" s="1"/>
      <c r="EH1631" s="1"/>
      <c r="EI1631" s="1"/>
      <c r="EJ1631" s="1"/>
      <c r="EK1631" s="1"/>
      <c r="EL1631" s="1"/>
      <c r="EM1631" s="1"/>
      <c r="EN1631" s="1"/>
      <c r="EO1631" s="1"/>
      <c r="EP1631" s="1"/>
      <c r="EQ1631" s="1"/>
      <c r="ER1631" s="1"/>
      <c r="ES1631" s="1"/>
      <c r="ET1631" s="1"/>
      <c r="EU1631" s="1"/>
      <c r="EV1631" s="1"/>
      <c r="EW1631" s="1"/>
      <c r="EX1631" s="1"/>
      <c r="EY1631" s="1"/>
      <c r="EZ1631" s="1"/>
      <c r="FA1631" s="1"/>
      <c r="FB1631" s="1"/>
      <c r="FC1631" s="1"/>
      <c r="FD1631" s="1"/>
      <c r="FE1631" s="1"/>
      <c r="FF1631" s="1"/>
      <c r="FG1631" s="1"/>
      <c r="FH1631" s="1"/>
      <c r="FI1631" s="1"/>
      <c r="FJ1631" s="1"/>
      <c r="FK1631" s="1"/>
      <c r="FL1631" s="1"/>
      <c r="FM1631" s="1"/>
      <c r="FN1631" s="1"/>
      <c r="FO1631" s="1"/>
      <c r="FP1631" s="1"/>
      <c r="FQ1631" s="1"/>
      <c r="FR1631" s="1"/>
      <c r="FS1631" s="1"/>
      <c r="FT1631" s="1"/>
      <c r="FU1631" s="1"/>
      <c r="FV1631" s="1"/>
      <c r="FW1631" s="1"/>
      <c r="FX1631" s="1"/>
      <c r="FY1631" s="1"/>
      <c r="FZ1631" s="1"/>
      <c r="GA1631" s="1"/>
      <c r="GB1631" s="1"/>
      <c r="GC1631" s="1"/>
      <c r="GD1631" s="1"/>
      <c r="GE1631" s="1"/>
      <c r="GF1631" s="1"/>
      <c r="GG1631" s="1"/>
      <c r="GH1631" s="1"/>
      <c r="GI1631" s="1"/>
      <c r="GJ1631" s="1"/>
      <c r="GK1631" s="1"/>
      <c r="GL1631" s="1"/>
      <c r="GM1631" s="1"/>
      <c r="GN1631" s="1"/>
      <c r="GO1631" s="1"/>
      <c r="GP1631" s="1"/>
      <c r="GQ1631" s="1"/>
      <c r="GR1631" s="1"/>
      <c r="GS1631" s="1"/>
      <c r="GT1631" s="1"/>
      <c r="GU1631" s="1"/>
      <c r="GV1631" s="1"/>
      <c r="GW1631" s="1"/>
      <c r="GX1631" s="1"/>
      <c r="GY1631" s="1"/>
      <c r="GZ1631" s="1"/>
      <c r="HA1631" s="1"/>
      <c r="HB1631" s="1"/>
      <c r="HC1631" s="1"/>
      <c r="HD1631" s="1"/>
      <c r="HE1631" s="1"/>
      <c r="HF1631" s="1"/>
      <c r="HG1631" s="1"/>
      <c r="HH1631" s="1"/>
      <c r="HI1631" s="1"/>
      <c r="HJ1631" s="1"/>
      <c r="HK1631" s="1"/>
      <c r="HL1631" s="1"/>
      <c r="HM1631" s="1"/>
      <c r="HN1631" s="1"/>
      <c r="HO1631" s="1"/>
      <c r="HP1631" s="1"/>
      <c r="HQ1631" s="1"/>
      <c r="HR1631" s="1"/>
      <c r="HS1631" s="1"/>
      <c r="HT1631" s="1"/>
      <c r="HU1631" s="1"/>
      <c r="HV1631" s="1"/>
      <c r="HW1631" s="1"/>
      <c r="HX1631" s="1"/>
      <c r="HY1631" s="1"/>
      <c r="HZ1631" s="1"/>
      <c r="IA1631" s="1"/>
      <c r="IB1631" s="1"/>
      <c r="IC1631" s="1"/>
      <c r="ID1631" s="1"/>
      <c r="IE1631" s="1"/>
      <c r="IF1631" s="1"/>
      <c r="IG1631" s="1"/>
      <c r="IH1631" s="1"/>
      <c r="II1631" s="1"/>
      <c r="IJ1631" s="1"/>
      <c r="IK1631" s="1"/>
      <c r="IL1631" s="1"/>
      <c r="IM1631" s="1"/>
      <c r="IN1631" s="1"/>
      <c r="IO1631" s="1"/>
      <c r="IP1631" s="1"/>
      <c r="IQ1631" s="1"/>
      <c r="IR1631" s="1"/>
      <c r="IS1631" s="1"/>
      <c r="IT1631" s="1"/>
      <c r="IU1631" s="1"/>
      <c r="IV1631" s="1"/>
      <c r="IW1631" s="1"/>
      <c r="IX1631" s="1"/>
      <c r="IY1631" s="1"/>
      <c r="IZ1631" s="1"/>
      <c r="JA1631" s="1"/>
      <c r="JB1631" s="1"/>
      <c r="JC1631" s="1"/>
      <c r="JD1631" s="1"/>
      <c r="JE1631" s="1"/>
      <c r="JF1631" s="1"/>
      <c r="JG1631" s="1"/>
      <c r="JH1631" s="1"/>
      <c r="JI1631" s="1"/>
      <c r="JJ1631" s="1"/>
      <c r="JK1631" s="1"/>
      <c r="JL1631" s="1"/>
      <c r="JM1631" s="1"/>
      <c r="JN1631" s="1"/>
      <c r="JO1631" s="1"/>
      <c r="JP1631" s="1"/>
      <c r="JQ1631" s="1"/>
      <c r="JR1631" s="1"/>
      <c r="JS1631" s="1"/>
      <c r="JT1631" s="1"/>
      <c r="JU1631" s="1"/>
      <c r="JV1631" s="1"/>
      <c r="JW1631" s="1"/>
      <c r="JX1631" s="1"/>
      <c r="JY1631" s="1"/>
      <c r="JZ1631" s="1"/>
      <c r="KA1631" s="1"/>
      <c r="KB1631" s="1"/>
      <c r="KC1631" s="1"/>
      <c r="KD1631" s="1"/>
      <c r="KE1631" s="1"/>
      <c r="KF1631" s="1"/>
      <c r="KG1631" s="1"/>
      <c r="KH1631" s="1"/>
      <c r="KI1631" s="1"/>
      <c r="KJ1631" s="1"/>
      <c r="KK1631" s="1"/>
      <c r="KL1631" s="1"/>
      <c r="KM1631" s="1"/>
      <c r="KN1631" s="1"/>
      <c r="KO1631" s="1"/>
      <c r="KP1631" s="1"/>
      <c r="KQ1631" s="1"/>
      <c r="KR1631" s="1"/>
      <c r="KS1631" s="1"/>
      <c r="KT1631" s="1"/>
      <c r="KU1631" s="1"/>
      <c r="KV1631" s="1"/>
      <c r="KW1631" s="1"/>
      <c r="KX1631" s="1"/>
      <c r="KY1631" s="1"/>
      <c r="KZ1631" s="1"/>
      <c r="LA1631" s="1"/>
      <c r="LB1631" s="1"/>
      <c r="LC1631" s="1"/>
      <c r="LD1631" s="1"/>
      <c r="LE1631" s="1"/>
      <c r="LF1631" s="1"/>
      <c r="LG1631" s="1"/>
      <c r="LH1631" s="1"/>
      <c r="LI1631" s="1"/>
      <c r="LJ1631" s="1"/>
      <c r="LK1631" s="1"/>
      <c r="LL1631" s="1"/>
      <c r="LM1631" s="1"/>
      <c r="LN1631" s="1"/>
      <c r="LO1631" s="1"/>
      <c r="LP1631" s="1"/>
      <c r="LQ1631" s="1"/>
      <c r="LR1631" s="1"/>
      <c r="LS1631" s="1"/>
      <c r="LT1631" s="1"/>
      <c r="LU1631" s="1"/>
      <c r="LV1631" s="1"/>
      <c r="LW1631" s="1"/>
      <c r="LX1631" s="1"/>
      <c r="LY1631" s="1"/>
      <c r="LZ1631" s="1"/>
      <c r="MA1631" s="1"/>
      <c r="MB1631" s="1"/>
      <c r="MC1631" s="1"/>
      <c r="MD1631" s="1"/>
      <c r="ME1631" s="1"/>
      <c r="MF1631" s="1"/>
      <c r="MG1631" s="1"/>
      <c r="MH1631" s="1"/>
      <c r="MI1631" s="1"/>
      <c r="MJ1631" s="1"/>
      <c r="MK1631" s="1"/>
      <c r="ML1631" s="1"/>
      <c r="MM1631" s="1"/>
      <c r="MN1631" s="1"/>
      <c r="MO1631" s="1"/>
      <c r="MP1631" s="1"/>
      <c r="MQ1631" s="1"/>
      <c r="MR1631" s="1"/>
      <c r="MS1631" s="1"/>
      <c r="MT1631" s="1"/>
      <c r="MU1631" s="1"/>
      <c r="MV1631" s="1"/>
      <c r="MW1631" s="1"/>
      <c r="MX1631" s="1"/>
      <c r="MY1631" s="1"/>
      <c r="MZ1631" s="1"/>
      <c r="NA1631" s="1"/>
      <c r="NB1631" s="1"/>
      <c r="NC1631" s="1"/>
      <c r="ND1631" s="1"/>
      <c r="NE1631" s="1"/>
      <c r="NF1631" s="1"/>
      <c r="NG1631" s="1"/>
      <c r="NH1631" s="1"/>
      <c r="NI1631" s="1"/>
      <c r="NJ1631" s="1"/>
      <c r="NK1631" s="1"/>
      <c r="NL1631" s="1"/>
      <c r="NM1631" s="1"/>
      <c r="NN1631" s="1"/>
      <c r="NO1631" s="1"/>
      <c r="NP1631" s="1"/>
      <c r="NQ1631" s="1"/>
      <c r="NR1631" s="1"/>
      <c r="NS1631" s="1"/>
      <c r="NT1631" s="1"/>
      <c r="NU1631" s="1"/>
      <c r="NV1631" s="1"/>
      <c r="NW1631" s="1"/>
      <c r="NX1631" s="1"/>
      <c r="NY1631" s="1"/>
      <c r="NZ1631" s="1"/>
      <c r="OA1631" s="1"/>
      <c r="OB1631" s="1"/>
      <c r="OC1631" s="1"/>
      <c r="OD1631" s="1"/>
      <c r="OE1631" s="1"/>
      <c r="OF1631" s="1"/>
      <c r="OG1631" s="1"/>
      <c r="OH1631" s="1"/>
      <c r="OI1631" s="1"/>
      <c r="OJ1631" s="1"/>
      <c r="OK1631" s="1"/>
      <c r="OL1631" s="1"/>
      <c r="OM1631" s="1"/>
      <c r="ON1631" s="1"/>
      <c r="OO1631" s="1"/>
      <c r="OP1631" s="1"/>
      <c r="OQ1631" s="1"/>
      <c r="OR1631" s="1"/>
      <c r="OS1631" s="1"/>
      <c r="OT1631" s="1"/>
      <c r="OU1631" s="1"/>
      <c r="OV1631" s="1"/>
      <c r="OW1631" s="1"/>
      <c r="OX1631" s="1"/>
      <c r="OY1631" s="1"/>
      <c r="OZ1631" s="1"/>
      <c r="PA1631" s="1"/>
      <c r="PB1631" s="1"/>
      <c r="PC1631" s="1"/>
      <c r="PD1631" s="1"/>
      <c r="PE1631" s="1"/>
      <c r="PF1631" s="1"/>
      <c r="PG1631" s="1"/>
      <c r="PH1631" s="1"/>
      <c r="PI1631" s="1"/>
      <c r="PJ1631" s="1"/>
      <c r="PK1631" s="1"/>
      <c r="PL1631" s="1"/>
      <c r="PM1631" s="1"/>
      <c r="PN1631" s="1"/>
      <c r="PO1631" s="1"/>
      <c r="PP1631" s="1"/>
      <c r="PQ1631" s="1"/>
      <c r="PR1631" s="1"/>
      <c r="PS1631" s="1"/>
      <c r="PT1631" s="1"/>
      <c r="PU1631" s="1"/>
      <c r="PV1631" s="1"/>
      <c r="PW1631" s="1"/>
      <c r="PX1631" s="1"/>
      <c r="PY1631" s="1"/>
      <c r="PZ1631" s="1"/>
      <c r="QA1631" s="1"/>
      <c r="QB1631" s="1"/>
      <c r="QC1631" s="1"/>
      <c r="QD1631" s="1"/>
      <c r="QE1631" s="1"/>
      <c r="QF1631" s="1"/>
      <c r="QG1631" s="1"/>
      <c r="QH1631" s="1"/>
      <c r="QI1631" s="1"/>
      <c r="QJ1631" s="1"/>
      <c r="QK1631" s="1"/>
      <c r="QL1631" s="1"/>
      <c r="QM1631" s="1"/>
      <c r="QN1631" s="1"/>
      <c r="QO1631" s="1"/>
      <c r="QP1631" s="1"/>
      <c r="QQ1631" s="1"/>
      <c r="QR1631" s="1"/>
      <c r="QS1631" s="1"/>
      <c r="QT1631" s="1"/>
      <c r="QU1631" s="1"/>
      <c r="QV1631" s="1"/>
      <c r="QW1631" s="1"/>
      <c r="QX1631" s="1"/>
      <c r="QY1631" s="1"/>
      <c r="QZ1631" s="1"/>
      <c r="RA1631" s="1"/>
      <c r="RB1631" s="1"/>
      <c r="RC1631" s="1"/>
      <c r="RD1631" s="1"/>
      <c r="RE1631" s="1"/>
      <c r="RF1631" s="1"/>
      <c r="RG1631" s="1"/>
      <c r="RH1631" s="1"/>
      <c r="RI1631" s="1"/>
      <c r="RJ1631" s="1"/>
      <c r="RK1631" s="1"/>
      <c r="RL1631" s="1"/>
      <c r="RM1631" s="1"/>
      <c r="RN1631" s="1"/>
      <c r="RO1631" s="1"/>
      <c r="RP1631" s="1"/>
      <c r="RQ1631" s="1"/>
      <c r="RR1631" s="1"/>
      <c r="RS1631" s="1"/>
      <c r="RT1631" s="1"/>
      <c r="RU1631" s="1"/>
      <c r="RV1631" s="1"/>
      <c r="RW1631" s="1"/>
      <c r="RX1631" s="1"/>
      <c r="RY1631" s="1"/>
      <c r="RZ1631" s="1"/>
      <c r="SA1631" s="1"/>
      <c r="SB1631" s="1"/>
      <c r="SC1631" s="1"/>
      <c r="SD1631" s="1"/>
      <c r="SE1631" s="1"/>
      <c r="SF1631" s="1"/>
      <c r="SG1631" s="1"/>
      <c r="SH1631" s="1"/>
      <c r="SI1631" s="1"/>
      <c r="SJ1631" s="1"/>
      <c r="SK1631" s="1"/>
      <c r="SL1631" s="1"/>
      <c r="SM1631" s="1"/>
      <c r="SN1631" s="1"/>
      <c r="SO1631" s="1"/>
      <c r="SP1631" s="1"/>
      <c r="SQ1631" s="1"/>
      <c r="SR1631" s="1"/>
      <c r="SS1631" s="1"/>
      <c r="ST1631" s="1"/>
      <c r="SU1631" s="1"/>
      <c r="SV1631" s="1"/>
      <c r="SW1631" s="1"/>
      <c r="SX1631" s="1"/>
      <c r="SY1631" s="1"/>
      <c r="SZ1631" s="1"/>
      <c r="TA1631" s="1"/>
      <c r="TB1631" s="1"/>
      <c r="TC1631" s="1"/>
      <c r="TD1631" s="1"/>
      <c r="TE1631" s="1"/>
      <c r="TF1631" s="1"/>
      <c r="TG1631" s="1"/>
      <c r="TH1631" s="1"/>
      <c r="TI1631" s="1"/>
      <c r="TJ1631" s="1"/>
      <c r="TK1631" s="1"/>
      <c r="TL1631" s="1"/>
      <c r="TM1631" s="1"/>
      <c r="TN1631" s="1"/>
      <c r="TO1631" s="1"/>
      <c r="TP1631" s="1"/>
      <c r="TQ1631" s="1"/>
      <c r="TR1631" s="1"/>
      <c r="TS1631" s="1"/>
      <c r="TT1631" s="1"/>
      <c r="TU1631" s="1"/>
      <c r="TV1631" s="1"/>
      <c r="TW1631" s="1"/>
      <c r="TX1631" s="1"/>
      <c r="TY1631" s="1"/>
      <c r="TZ1631" s="1"/>
      <c r="UA1631" s="1"/>
      <c r="UB1631" s="1"/>
      <c r="UC1631" s="1"/>
      <c r="UD1631" s="1"/>
      <c r="UE1631" s="1"/>
      <c r="UF1631" s="1"/>
      <c r="UG1631" s="1"/>
      <c r="UH1631" s="1"/>
      <c r="UI1631" s="1"/>
      <c r="UJ1631" s="1"/>
      <c r="UK1631" s="1"/>
      <c r="UL1631" s="1"/>
      <c r="UM1631" s="1"/>
      <c r="UN1631" s="1"/>
      <c r="UO1631" s="1"/>
      <c r="UP1631" s="1"/>
      <c r="UQ1631" s="1"/>
      <c r="UR1631" s="1"/>
      <c r="US1631" s="1"/>
      <c r="UT1631" s="1"/>
      <c r="UU1631" s="1"/>
      <c r="UV1631" s="1"/>
      <c r="UW1631" s="1"/>
      <c r="UX1631" s="1"/>
      <c r="UY1631" s="1"/>
      <c r="UZ1631" s="1"/>
      <c r="VA1631" s="1"/>
      <c r="VB1631" s="1"/>
      <c r="VC1631" s="1"/>
      <c r="VD1631" s="1"/>
      <c r="VE1631" s="1"/>
      <c r="VF1631" s="1"/>
      <c r="VG1631" s="1"/>
      <c r="VH1631" s="1"/>
      <c r="VI1631" s="1"/>
      <c r="VJ1631" s="1"/>
      <c r="VK1631" s="1"/>
      <c r="VL1631" s="1"/>
      <c r="VM1631" s="1"/>
      <c r="VN1631" s="1"/>
      <c r="VO1631" s="1"/>
      <c r="VP1631" s="1"/>
      <c r="VQ1631" s="1"/>
      <c r="VR1631" s="1"/>
      <c r="VS1631" s="1"/>
      <c r="VT1631" s="1"/>
      <c r="VU1631" s="1"/>
      <c r="VV1631" s="1"/>
      <c r="VW1631" s="1"/>
      <c r="VX1631" s="1"/>
      <c r="VY1631" s="1"/>
      <c r="VZ1631" s="1"/>
      <c r="WA1631" s="1"/>
      <c r="WB1631" s="1"/>
      <c r="WC1631" s="1"/>
      <c r="WD1631" s="1"/>
      <c r="WE1631" s="1"/>
      <c r="WF1631" s="1"/>
      <c r="WG1631" s="1"/>
      <c r="WH1631" s="1"/>
      <c r="WI1631" s="1"/>
      <c r="WJ1631" s="1"/>
      <c r="WK1631" s="1"/>
      <c r="WL1631" s="1"/>
      <c r="WM1631" s="1"/>
      <c r="WN1631" s="1"/>
      <c r="WO1631" s="1"/>
      <c r="WP1631" s="1"/>
      <c r="WQ1631" s="1"/>
      <c r="WR1631" s="1"/>
      <c r="WS1631" s="1"/>
      <c r="WT1631" s="1"/>
      <c r="WU1631" s="1"/>
      <c r="WV1631" s="1"/>
      <c r="WW1631" s="1"/>
      <c r="WX1631" s="1"/>
      <c r="WY1631" s="1"/>
      <c r="WZ1631" s="1"/>
      <c r="XA1631" s="1"/>
      <c r="XB1631" s="1"/>
      <c r="XC1631" s="1"/>
      <c r="XD1631" s="1"/>
      <c r="XE1631" s="1"/>
      <c r="XF1631" s="1"/>
      <c r="XG1631" s="1"/>
      <c r="XH1631" s="1"/>
      <c r="XI1631" s="1"/>
      <c r="XJ1631" s="1"/>
      <c r="XK1631" s="1"/>
      <c r="XL1631" s="1"/>
      <c r="XM1631" s="1"/>
      <c r="XN1631" s="1"/>
      <c r="XO1631" s="1"/>
      <c r="XP1631" s="1"/>
      <c r="XQ1631" s="1"/>
      <c r="XR1631" s="1"/>
      <c r="XS1631" s="1"/>
      <c r="XT1631" s="1"/>
      <c r="XU1631" s="1"/>
      <c r="XV1631" s="1"/>
      <c r="XW1631" s="1"/>
      <c r="XX1631" s="1"/>
      <c r="XY1631" s="1"/>
      <c r="XZ1631" s="1"/>
      <c r="YA1631" s="1"/>
      <c r="YB1631" s="1"/>
      <c r="YC1631" s="1"/>
      <c r="YD1631" s="1"/>
      <c r="YE1631" s="1"/>
      <c r="YF1631" s="1"/>
      <c r="YG1631" s="1"/>
      <c r="YH1631" s="1"/>
      <c r="YI1631" s="1"/>
      <c r="YJ1631" s="1"/>
      <c r="YK1631" s="1"/>
      <c r="YL1631" s="1"/>
      <c r="YM1631" s="1"/>
      <c r="YN1631" s="1"/>
      <c r="YO1631" s="1"/>
      <c r="YP1631" s="1"/>
      <c r="YQ1631" s="1"/>
      <c r="YR1631" s="1"/>
      <c r="YS1631" s="1"/>
      <c r="YT1631" s="1"/>
      <c r="YU1631" s="1"/>
      <c r="YV1631" s="1"/>
      <c r="YW1631" s="1"/>
      <c r="YX1631" s="1"/>
      <c r="YY1631" s="1"/>
      <c r="YZ1631" s="1"/>
      <c r="ZA1631" s="1"/>
      <c r="ZB1631" s="1"/>
      <c r="ZC1631" s="1"/>
      <c r="ZD1631" s="1"/>
      <c r="ZE1631" s="1"/>
      <c r="ZF1631" s="1"/>
      <c r="ZG1631" s="1"/>
      <c r="ZH1631" s="1"/>
      <c r="ZI1631" s="1"/>
      <c r="ZJ1631" s="1"/>
      <c r="ZK1631" s="1"/>
      <c r="ZL1631" s="1"/>
      <c r="ZM1631" s="1"/>
      <c r="ZN1631" s="1"/>
      <c r="ZO1631" s="1"/>
      <c r="ZP1631" s="1"/>
      <c r="ZQ1631" s="1"/>
      <c r="ZR1631" s="1"/>
      <c r="ZS1631" s="1"/>
      <c r="ZT1631" s="1"/>
      <c r="ZU1631" s="1"/>
      <c r="ZV1631" s="1"/>
      <c r="ZW1631" s="1"/>
      <c r="ZX1631" s="1"/>
      <c r="ZY1631" s="1"/>
      <c r="ZZ1631" s="1"/>
      <c r="AAA1631" s="1"/>
      <c r="AAB1631" s="1"/>
      <c r="AAC1631" s="1"/>
      <c r="AAD1631" s="1"/>
      <c r="AAE1631" s="1"/>
      <c r="AAF1631" s="1"/>
      <c r="AAG1631" s="1"/>
      <c r="AAH1631" s="1"/>
      <c r="AAI1631" s="1"/>
      <c r="AAJ1631" s="1"/>
      <c r="AAK1631" s="1"/>
      <c r="AAL1631" s="1"/>
      <c r="AAM1631" s="1"/>
      <c r="AAN1631" s="1"/>
      <c r="AAO1631" s="1"/>
      <c r="AAP1631" s="1"/>
      <c r="AAQ1631" s="1"/>
      <c r="AAR1631" s="1"/>
      <c r="AAS1631" s="1"/>
      <c r="AAT1631" s="1"/>
      <c r="AAU1631" s="1"/>
      <c r="AAV1631" s="1"/>
      <c r="AAW1631" s="1"/>
      <c r="AAX1631" s="1"/>
      <c r="AAY1631" s="1"/>
      <c r="AAZ1631" s="1"/>
      <c r="ABA1631" s="1"/>
      <c r="ABB1631" s="1"/>
      <c r="ABC1631" s="1"/>
      <c r="ABD1631" s="1"/>
      <c r="ABE1631" s="1"/>
      <c r="ABF1631" s="1"/>
      <c r="ABG1631" s="1"/>
      <c r="ABH1631" s="1"/>
      <c r="ABI1631" s="1"/>
      <c r="ABJ1631" s="1"/>
      <c r="ABK1631" s="1"/>
      <c r="ABL1631" s="1"/>
      <c r="ABM1631" s="1"/>
      <c r="ABN1631" s="1"/>
      <c r="ABO1631" s="1"/>
      <c r="ABP1631" s="1"/>
      <c r="ABQ1631" s="1"/>
      <c r="ABR1631" s="1"/>
      <c r="ABS1631" s="1"/>
      <c r="ABT1631" s="1"/>
      <c r="ABU1631" s="1"/>
      <c r="ABV1631" s="1"/>
      <c r="ABW1631" s="1"/>
      <c r="ABX1631" s="1"/>
      <c r="ABY1631" s="1"/>
      <c r="ABZ1631" s="1"/>
      <c r="ACA1631" s="1"/>
      <c r="ACB1631" s="1"/>
      <c r="ACC1631" s="1"/>
      <c r="ACD1631" s="1"/>
      <c r="ACE1631" s="1"/>
      <c r="ACF1631" s="1"/>
      <c r="ACG1631" s="1"/>
      <c r="ACH1631" s="1"/>
      <c r="ACI1631" s="1"/>
      <c r="ACJ1631" s="1"/>
      <c r="ACK1631" s="1"/>
      <c r="ACL1631" s="1"/>
      <c r="ACM1631" s="1"/>
      <c r="ACN1631" s="1"/>
      <c r="ACO1631" s="1"/>
      <c r="ACP1631" s="1"/>
      <c r="ACQ1631" s="1"/>
      <c r="ACR1631" s="1"/>
      <c r="ACS1631" s="1"/>
      <c r="ACT1631" s="1"/>
      <c r="ACU1631" s="1"/>
      <c r="ACV1631" s="1"/>
      <c r="ACW1631" s="1"/>
      <c r="ACX1631" s="1"/>
      <c r="ACY1631" s="1"/>
      <c r="ACZ1631" s="1"/>
      <c r="ADA1631" s="1"/>
      <c r="ADB1631" s="1"/>
      <c r="ADC1631" s="1"/>
      <c r="ADD1631" s="1"/>
      <c r="ADE1631" s="1"/>
      <c r="ADF1631" s="1"/>
      <c r="ADG1631" s="1"/>
      <c r="ADH1631" s="1"/>
      <c r="ADI1631" s="1"/>
      <c r="ADJ1631" s="1"/>
      <c r="ADK1631" s="1"/>
      <c r="ADL1631" s="1"/>
      <c r="ADM1631" s="1"/>
      <c r="ADN1631" s="1"/>
      <c r="ADO1631" s="1"/>
      <c r="ADP1631" s="1"/>
      <c r="ADQ1631" s="1"/>
      <c r="ADR1631" s="1"/>
      <c r="ADS1631" s="1"/>
      <c r="ADT1631" s="1"/>
      <c r="ADU1631" s="1"/>
      <c r="ADV1631" s="1"/>
      <c r="ADW1631" s="1"/>
      <c r="ADX1631" s="1"/>
      <c r="ADY1631" s="1"/>
      <c r="ADZ1631" s="1"/>
      <c r="AEA1631" s="1"/>
      <c r="AEB1631" s="1"/>
      <c r="AEC1631" s="1"/>
      <c r="AED1631" s="1"/>
      <c r="AEE1631" s="1"/>
      <c r="AEF1631" s="1"/>
      <c r="AEG1631" s="1"/>
      <c r="AEH1631" s="1"/>
      <c r="AEI1631" s="1"/>
      <c r="AEJ1631" s="1"/>
      <c r="AEK1631" s="1"/>
      <c r="AEL1631" s="1"/>
      <c r="AEM1631" s="1"/>
      <c r="AEN1631" s="1"/>
      <c r="AEO1631" s="1"/>
      <c r="AEP1631" s="1"/>
      <c r="AEQ1631" s="1"/>
      <c r="AER1631" s="1"/>
      <c r="AES1631" s="1"/>
      <c r="AET1631" s="1"/>
      <c r="AEU1631" s="1"/>
      <c r="AEV1631" s="1"/>
      <c r="AEW1631" s="1"/>
      <c r="AEX1631" s="1"/>
      <c r="AEY1631" s="1"/>
      <c r="AEZ1631" s="1"/>
      <c r="AFA1631" s="1"/>
      <c r="AFB1631" s="1"/>
      <c r="AFC1631" s="1"/>
      <c r="AFD1631" s="1"/>
      <c r="AFE1631" s="1"/>
      <c r="AFF1631" s="1"/>
      <c r="AFG1631" s="1"/>
      <c r="AFH1631" s="1"/>
      <c r="AFI1631" s="1"/>
      <c r="AFJ1631" s="1"/>
      <c r="AFK1631" s="1"/>
      <c r="AFL1631" s="1"/>
      <c r="AFM1631" s="1"/>
      <c r="AFN1631" s="1"/>
      <c r="AFO1631" s="1"/>
      <c r="AFP1631" s="1"/>
      <c r="AFQ1631" s="1"/>
      <c r="AFR1631" s="1"/>
      <c r="AFS1631" s="1"/>
      <c r="AFT1631" s="1"/>
      <c r="AFU1631" s="1"/>
      <c r="AFV1631" s="1"/>
      <c r="AFW1631" s="1"/>
      <c r="AFX1631" s="1"/>
      <c r="AFY1631" s="1"/>
      <c r="AFZ1631" s="1"/>
      <c r="AGA1631" s="1"/>
      <c r="AGB1631" s="1"/>
      <c r="AGC1631" s="1"/>
      <c r="AGD1631" s="1"/>
      <c r="AGE1631" s="1"/>
      <c r="AGF1631" s="1"/>
      <c r="AGG1631" s="1"/>
      <c r="AGH1631" s="1"/>
      <c r="AGI1631" s="1"/>
      <c r="AGJ1631" s="1"/>
      <c r="AGK1631" s="1"/>
      <c r="AGL1631" s="1"/>
      <c r="AGM1631" s="1"/>
      <c r="AGN1631" s="1"/>
      <c r="AGO1631" s="1"/>
      <c r="AGP1631" s="1"/>
      <c r="AGQ1631" s="1"/>
      <c r="AGR1631" s="1"/>
      <c r="AGS1631" s="1"/>
      <c r="AGT1631" s="1"/>
      <c r="AGU1631" s="1"/>
      <c r="AGV1631" s="1"/>
      <c r="AGW1631" s="1"/>
      <c r="AGX1631" s="1"/>
      <c r="AGY1631" s="1"/>
      <c r="AGZ1631" s="1"/>
      <c r="AHA1631" s="1"/>
      <c r="AHB1631" s="1"/>
      <c r="AHC1631" s="1"/>
      <c r="AHD1631" s="1"/>
      <c r="AHE1631" s="1"/>
      <c r="AHF1631" s="1"/>
      <c r="AHG1631" s="1"/>
      <c r="AHH1631" s="1"/>
      <c r="AHI1631" s="1"/>
      <c r="AHJ1631" s="1"/>
      <c r="AHK1631" s="1"/>
      <c r="AHL1631" s="1"/>
      <c r="AHM1631" s="1"/>
      <c r="AHN1631" s="1"/>
      <c r="AHO1631" s="1"/>
      <c r="AHP1631" s="1"/>
      <c r="AHQ1631" s="1"/>
      <c r="AHR1631" s="1"/>
      <c r="AHS1631" s="1"/>
      <c r="AHT1631" s="1"/>
      <c r="AHU1631" s="1"/>
      <c r="AHV1631" s="1"/>
      <c r="AHW1631" s="1"/>
      <c r="AHX1631" s="1"/>
      <c r="AHY1631" s="1"/>
      <c r="AHZ1631" s="1"/>
      <c r="AIA1631" s="1"/>
      <c r="AIB1631" s="1"/>
      <c r="AIC1631" s="1"/>
      <c r="AID1631" s="1"/>
      <c r="AIE1631" s="1"/>
      <c r="AIF1631" s="1"/>
      <c r="AIG1631" s="1"/>
      <c r="AIH1631" s="1"/>
      <c r="AII1631" s="1"/>
      <c r="AIJ1631" s="1"/>
      <c r="AIK1631" s="1"/>
      <c r="AIL1631" s="1"/>
      <c r="AIM1631" s="1"/>
      <c r="AIN1631" s="1"/>
      <c r="AIO1631" s="1"/>
      <c r="AIP1631" s="1"/>
      <c r="AIQ1631" s="1"/>
      <c r="AIR1631" s="1"/>
      <c r="AIS1631" s="1"/>
      <c r="AIT1631" s="1"/>
      <c r="AIU1631" s="1"/>
      <c r="AIV1631" s="1"/>
      <c r="AIW1631" s="1"/>
      <c r="AIX1631" s="1"/>
      <c r="AIY1631" s="1"/>
      <c r="AIZ1631" s="1"/>
      <c r="AJA1631" s="1"/>
      <c r="AJB1631" s="1"/>
      <c r="AJC1631" s="1"/>
      <c r="AJD1631" s="1"/>
      <c r="AJE1631" s="1"/>
      <c r="AJF1631" s="1"/>
      <c r="AJG1631" s="1"/>
      <c r="AJH1631" s="1"/>
      <c r="AJI1631" s="1"/>
      <c r="AJJ1631" s="1"/>
      <c r="AJK1631" s="1"/>
      <c r="AJL1631" s="1"/>
      <c r="AJM1631" s="1"/>
      <c r="AJN1631" s="1"/>
      <c r="AJO1631" s="1"/>
      <c r="AJP1631" s="1"/>
      <c r="AJQ1631" s="1"/>
      <c r="AJR1631" s="1"/>
      <c r="AJS1631" s="1"/>
      <c r="AJT1631" s="1"/>
      <c r="AJU1631" s="1"/>
      <c r="AJV1631" s="1"/>
      <c r="AJW1631" s="1"/>
      <c r="AJX1631" s="1"/>
      <c r="AJY1631" s="1"/>
      <c r="AJZ1631" s="1"/>
      <c r="AKA1631" s="1"/>
      <c r="AKB1631" s="1"/>
      <c r="AKC1631" s="1"/>
      <c r="AKD1631" s="1"/>
      <c r="AKE1631" s="1"/>
      <c r="AKF1631" s="1"/>
      <c r="AKG1631" s="1"/>
      <c r="AKH1631" s="1"/>
      <c r="AKI1631" s="1"/>
      <c r="AKJ1631" s="1"/>
      <c r="AKK1631" s="1"/>
      <c r="AKL1631" s="1"/>
      <c r="AKM1631" s="1"/>
      <c r="AKN1631" s="1"/>
      <c r="AKO1631" s="1"/>
      <c r="AKP1631" s="1"/>
      <c r="AKQ1631" s="1"/>
      <c r="AKR1631" s="1"/>
      <c r="AKS1631" s="1"/>
      <c r="AKT1631" s="1"/>
      <c r="AKU1631" s="1"/>
      <c r="AKV1631" s="1"/>
      <c r="AKW1631" s="1"/>
      <c r="AKX1631" s="1"/>
      <c r="AKY1631" s="1"/>
      <c r="AKZ1631" s="1"/>
      <c r="ALA1631" s="1"/>
      <c r="ALB1631" s="1"/>
      <c r="ALC1631" s="1"/>
      <c r="ALD1631" s="1"/>
      <c r="ALE1631" s="1"/>
      <c r="ALF1631" s="1"/>
      <c r="ALG1631" s="1"/>
      <c r="ALH1631" s="1"/>
      <c r="ALI1631" s="1"/>
      <c r="ALJ1631" s="1"/>
      <c r="ALK1631" s="1"/>
      <c r="ALL1631" s="1"/>
      <c r="ALM1631" s="1"/>
      <c r="ALN1631" s="1"/>
      <c r="ALO1631" s="1"/>
      <c r="ALP1631" s="1"/>
      <c r="ALQ1631" s="1"/>
      <c r="ALR1631" s="1"/>
      <c r="ALS1631" s="1"/>
      <c r="ALT1631" s="1"/>
      <c r="ALU1631" s="1"/>
      <c r="ALV1631" s="1"/>
      <c r="ALW1631" s="1"/>
      <c r="ALX1631" s="1"/>
      <c r="ALY1631" s="1"/>
      <c r="ALZ1631" s="1"/>
      <c r="AMA1631" s="1"/>
      <c r="AMB1631" s="1"/>
      <c r="AMC1631" s="1"/>
      <c r="AMD1631" s="1"/>
      <c r="AME1631" s="1"/>
      <c r="AMF1631" s="1"/>
      <c r="AMG1631" s="1"/>
      <c r="AMH1631" s="1"/>
      <c r="AMI1631" s="1"/>
      <c r="AMJ1631" s="1"/>
      <c r="AMK1631" s="1"/>
      <c r="AML1631" s="1"/>
      <c r="AMM1631" s="1"/>
      <c r="AMN1631" s="1"/>
      <c r="AMO1631" s="1"/>
      <c r="AMP1631" s="1"/>
      <c r="AMQ1631" s="1"/>
      <c r="AMR1631" s="1"/>
      <c r="AMS1631" s="1"/>
      <c r="AMT1631" s="1"/>
      <c r="AMU1631" s="1"/>
      <c r="AMV1631" s="1"/>
      <c r="AMW1631" s="1"/>
      <c r="AMX1631" s="1"/>
      <c r="AMY1631" s="1"/>
      <c r="AMZ1631" s="1"/>
      <c r="ANA1631" s="1"/>
      <c r="ANB1631" s="1"/>
      <c r="ANC1631" s="1"/>
      <c r="AND1631" s="1"/>
      <c r="ANE1631" s="1"/>
      <c r="ANF1631" s="1"/>
      <c r="ANG1631" s="1"/>
      <c r="ANH1631" s="1"/>
      <c r="ANI1631" s="1"/>
      <c r="ANJ1631" s="1"/>
      <c r="ANK1631" s="1"/>
      <c r="ANL1631" s="1"/>
      <c r="ANM1631" s="1"/>
      <c r="ANN1631" s="1"/>
      <c r="ANO1631" s="1"/>
      <c r="ANP1631" s="1"/>
      <c r="ANQ1631" s="1"/>
      <c r="ANR1631" s="1"/>
      <c r="ANS1631" s="1"/>
      <c r="ANT1631" s="1"/>
      <c r="ANU1631" s="1"/>
      <c r="ANV1631" s="1"/>
      <c r="ANW1631" s="1"/>
      <c r="ANX1631" s="1"/>
      <c r="ANY1631" s="1"/>
      <c r="ANZ1631" s="1"/>
      <c r="AOA1631" s="1"/>
      <c r="AOB1631" s="1"/>
      <c r="AOC1631" s="1"/>
      <c r="AOD1631" s="1"/>
      <c r="AOE1631" s="1"/>
      <c r="AOF1631" s="1"/>
      <c r="AOG1631" s="1"/>
      <c r="AOH1631" s="1"/>
      <c r="AOI1631" s="1"/>
      <c r="AOJ1631" s="1"/>
      <c r="AOK1631" s="1"/>
      <c r="AOL1631" s="1"/>
      <c r="AOM1631" s="1"/>
      <c r="AON1631" s="1"/>
      <c r="AOO1631" s="1"/>
      <c r="AOP1631" s="1"/>
      <c r="AOQ1631" s="1"/>
      <c r="AOR1631" s="1"/>
      <c r="AOS1631" s="1"/>
      <c r="AOT1631" s="1"/>
      <c r="AOU1631" s="1"/>
      <c r="AOV1631" s="1"/>
      <c r="AOW1631" s="1"/>
      <c r="AOX1631" s="1"/>
      <c r="AOY1631" s="1"/>
      <c r="AOZ1631" s="1"/>
      <c r="APA1631" s="1"/>
      <c r="APB1631" s="1"/>
      <c r="APC1631" s="1"/>
      <c r="APD1631" s="1"/>
      <c r="APE1631" s="1"/>
      <c r="APF1631" s="1"/>
      <c r="APG1631" s="1"/>
      <c r="APH1631" s="1"/>
      <c r="API1631" s="1"/>
      <c r="APJ1631" s="1"/>
      <c r="APK1631" s="1"/>
      <c r="APL1631" s="1"/>
      <c r="APM1631" s="1"/>
      <c r="APN1631" s="1"/>
      <c r="APO1631" s="1"/>
      <c r="APP1631" s="1"/>
      <c r="APQ1631" s="1"/>
      <c r="APR1631" s="1"/>
      <c r="APS1631" s="1"/>
      <c r="APT1631" s="1"/>
      <c r="APU1631" s="1"/>
      <c r="APV1631" s="1"/>
      <c r="APW1631" s="1"/>
      <c r="APX1631" s="1"/>
      <c r="APY1631" s="1"/>
      <c r="APZ1631" s="1"/>
      <c r="AQA1631" s="1"/>
      <c r="AQB1631" s="1"/>
      <c r="AQC1631" s="1"/>
      <c r="AQD1631" s="1"/>
      <c r="AQE1631" s="1"/>
      <c r="AQF1631" s="1"/>
      <c r="AQG1631" s="1"/>
      <c r="AQH1631" s="1"/>
      <c r="AQI1631" s="1"/>
      <c r="AQJ1631" s="1"/>
      <c r="AQK1631" s="1"/>
      <c r="AQL1631" s="1"/>
      <c r="AQM1631" s="1"/>
      <c r="AQN1631" s="1"/>
      <c r="AQO1631" s="1"/>
      <c r="AQP1631" s="1"/>
      <c r="AQQ1631" s="1"/>
      <c r="AQR1631" s="1"/>
      <c r="AQS1631" s="1"/>
      <c r="AQT1631" s="1"/>
      <c r="AQU1631" s="1"/>
      <c r="AQV1631" s="1"/>
      <c r="AQW1631" s="1"/>
      <c r="AQX1631" s="1"/>
      <c r="AQY1631" s="1"/>
      <c r="AQZ1631" s="1"/>
      <c r="ARA1631" s="1"/>
      <c r="ARB1631" s="1"/>
      <c r="ARC1631" s="1"/>
      <c r="ARD1631" s="1"/>
      <c r="ARE1631" s="1"/>
      <c r="ARF1631" s="1"/>
      <c r="ARG1631" s="1"/>
      <c r="ARH1631" s="1"/>
      <c r="ARI1631" s="1"/>
      <c r="ARJ1631" s="1"/>
      <c r="ARK1631" s="1"/>
      <c r="ARL1631" s="1"/>
      <c r="ARM1631" s="1"/>
      <c r="ARN1631" s="1"/>
      <c r="ARO1631" s="1"/>
      <c r="ARP1631" s="1"/>
      <c r="ARQ1631" s="1"/>
      <c r="ARR1631" s="1"/>
      <c r="ARS1631" s="1"/>
      <c r="ART1631" s="1"/>
      <c r="ARU1631" s="1"/>
      <c r="ARV1631" s="1"/>
      <c r="ARW1631" s="1"/>
      <c r="ARX1631" s="1"/>
      <c r="ARY1631" s="1"/>
      <c r="ARZ1631" s="1"/>
      <c r="ASA1631" s="1"/>
      <c r="ASB1631" s="1"/>
      <c r="ASC1631" s="1"/>
      <c r="ASD1631" s="1"/>
      <c r="ASE1631" s="1"/>
      <c r="ASF1631" s="1"/>
      <c r="ASG1631" s="1"/>
      <c r="ASH1631" s="1"/>
      <c r="ASI1631" s="1"/>
      <c r="ASJ1631" s="1"/>
      <c r="ASK1631" s="1"/>
      <c r="ASL1631" s="1"/>
      <c r="ASM1631" s="1"/>
      <c r="ASN1631" s="1"/>
      <c r="ASO1631" s="1"/>
      <c r="ASP1631" s="1"/>
      <c r="ASQ1631" s="1"/>
      <c r="ASR1631" s="1"/>
      <c r="ASS1631" s="1"/>
      <c r="AST1631" s="1"/>
      <c r="ASU1631" s="1"/>
      <c r="ASV1631" s="1"/>
      <c r="ASW1631" s="1"/>
      <c r="ASX1631" s="1"/>
      <c r="ASY1631" s="1"/>
      <c r="ASZ1631" s="1"/>
      <c r="ATA1631" s="1"/>
      <c r="ATB1631" s="1"/>
      <c r="ATC1631" s="1"/>
      <c r="ATD1631" s="1"/>
      <c r="ATE1631" s="1"/>
      <c r="ATF1631" s="1"/>
      <c r="ATG1631" s="1"/>
      <c r="ATH1631" s="1"/>
      <c r="ATI1631" s="1"/>
      <c r="ATJ1631" s="1"/>
      <c r="ATK1631" s="1"/>
      <c r="ATL1631" s="1"/>
      <c r="ATM1631" s="1"/>
      <c r="ATN1631" s="1"/>
      <c r="ATO1631" s="1"/>
      <c r="ATP1631" s="1"/>
      <c r="ATQ1631" s="1"/>
      <c r="ATR1631" s="1"/>
      <c r="ATS1631" s="1"/>
      <c r="ATT1631" s="1"/>
      <c r="ATU1631" s="1"/>
      <c r="ATV1631" s="1"/>
      <c r="ATW1631" s="1"/>
      <c r="ATX1631" s="1"/>
      <c r="ATY1631" s="1"/>
      <c r="ATZ1631" s="1"/>
      <c r="AUA1631" s="1"/>
      <c r="AUB1631" s="1"/>
      <c r="AUC1631" s="1"/>
      <c r="AUD1631" s="1"/>
      <c r="AUE1631" s="1"/>
      <c r="AUF1631" s="1"/>
      <c r="AUG1631" s="1"/>
      <c r="AUH1631" s="1"/>
      <c r="AUI1631" s="1"/>
      <c r="AUJ1631" s="1"/>
      <c r="AUK1631" s="1"/>
      <c r="AUL1631" s="1"/>
      <c r="AUM1631" s="1"/>
      <c r="AUN1631" s="1"/>
      <c r="AUO1631" s="1"/>
      <c r="AUP1631" s="1"/>
      <c r="AUQ1631" s="1"/>
      <c r="AUR1631" s="1"/>
      <c r="AUS1631" s="1"/>
      <c r="AUT1631" s="1"/>
      <c r="AUU1631" s="1"/>
      <c r="AUV1631" s="1"/>
      <c r="AUW1631" s="1"/>
      <c r="AUX1631" s="1"/>
      <c r="AUY1631" s="1"/>
      <c r="AUZ1631" s="1"/>
      <c r="AVA1631" s="1"/>
      <c r="AVB1631" s="1"/>
      <c r="AVC1631" s="1"/>
      <c r="AVD1631" s="1"/>
      <c r="AVE1631" s="1"/>
      <c r="AVF1631" s="1"/>
      <c r="AVG1631" s="1"/>
      <c r="AVH1631" s="1"/>
      <c r="AVI1631" s="1"/>
      <c r="AVJ1631" s="1"/>
      <c r="AVK1631" s="1"/>
      <c r="AVL1631" s="1"/>
      <c r="AVM1631" s="1"/>
      <c r="AVN1631" s="1"/>
      <c r="AVO1631" s="1"/>
      <c r="AVP1631" s="1"/>
      <c r="AVQ1631" s="1"/>
      <c r="AVR1631" s="1"/>
      <c r="AVS1631" s="1"/>
      <c r="AVT1631" s="1"/>
      <c r="AVU1631" s="1"/>
      <c r="AVV1631" s="1"/>
      <c r="AVW1631" s="1"/>
      <c r="AVX1631" s="1"/>
      <c r="AVY1631" s="1"/>
      <c r="AVZ1631" s="1"/>
      <c r="AWA1631" s="1"/>
      <c r="AWB1631" s="1"/>
      <c r="AWC1631" s="1"/>
      <c r="AWD1631" s="1"/>
      <c r="AWE1631" s="1"/>
      <c r="AWF1631" s="1"/>
      <c r="AWG1631" s="1"/>
      <c r="AWH1631" s="1"/>
      <c r="AWI1631" s="1"/>
      <c r="AWJ1631" s="1"/>
      <c r="AWK1631" s="1"/>
      <c r="AWL1631" s="1"/>
      <c r="AWM1631" s="1"/>
      <c r="AWN1631" s="1"/>
      <c r="AWO1631" s="1"/>
      <c r="AWP1631" s="1"/>
      <c r="AWQ1631" s="1"/>
      <c r="AWR1631" s="1"/>
      <c r="AWS1631" s="1"/>
      <c r="AWT1631" s="1"/>
      <c r="AWU1631" s="1"/>
      <c r="AWV1631" s="1"/>
      <c r="AWW1631" s="1"/>
      <c r="AWX1631" s="1"/>
      <c r="AWY1631" s="1"/>
      <c r="AWZ1631" s="1"/>
      <c r="AXA1631" s="1"/>
      <c r="AXB1631" s="1"/>
      <c r="AXC1631" s="1"/>
      <c r="AXD1631" s="1"/>
      <c r="AXE1631" s="1"/>
      <c r="AXF1631" s="1"/>
      <c r="AXG1631" s="1"/>
      <c r="AXH1631" s="1"/>
      <c r="AXI1631" s="1"/>
      <c r="AXJ1631" s="1"/>
      <c r="AXK1631" s="1"/>
      <c r="AXL1631" s="1"/>
      <c r="AXM1631" s="1"/>
      <c r="AXN1631" s="1"/>
      <c r="AXO1631" s="1"/>
      <c r="AXP1631" s="1"/>
      <c r="AXQ1631" s="1"/>
      <c r="AXR1631" s="1"/>
      <c r="AXS1631" s="1"/>
      <c r="AXT1631" s="1"/>
      <c r="AXU1631" s="1"/>
      <c r="AXV1631" s="1"/>
      <c r="AXW1631" s="1"/>
      <c r="AXX1631" s="1"/>
      <c r="AXY1631" s="1"/>
      <c r="AXZ1631" s="1"/>
      <c r="AYA1631" s="1"/>
      <c r="AYB1631" s="1"/>
      <c r="AYC1631" s="1"/>
      <c r="AYD1631" s="1"/>
      <c r="AYE1631" s="1"/>
      <c r="AYF1631" s="1"/>
      <c r="AYG1631" s="1"/>
      <c r="AYH1631" s="1"/>
      <c r="AYI1631" s="1"/>
      <c r="AYJ1631" s="1"/>
      <c r="AYK1631" s="1"/>
      <c r="AYL1631" s="1"/>
      <c r="AYM1631" s="1"/>
      <c r="AYN1631" s="1"/>
      <c r="AYO1631" s="1"/>
      <c r="AYP1631" s="1"/>
      <c r="AYQ1631" s="1"/>
      <c r="AYR1631" s="1"/>
      <c r="AYS1631" s="1"/>
      <c r="AYT1631" s="1"/>
      <c r="AYU1631" s="1"/>
      <c r="AYV1631" s="1"/>
      <c r="AYW1631" s="1"/>
      <c r="AYX1631" s="1"/>
      <c r="AYY1631" s="1"/>
      <c r="AYZ1631" s="1"/>
      <c r="AZA1631" s="1"/>
      <c r="AZB1631" s="1"/>
      <c r="AZC1631" s="1"/>
      <c r="AZD1631" s="1"/>
      <c r="AZE1631" s="1"/>
      <c r="AZF1631" s="1"/>
      <c r="AZG1631" s="1"/>
      <c r="AZH1631" s="1"/>
      <c r="AZI1631" s="1"/>
      <c r="AZJ1631" s="1"/>
      <c r="AZK1631" s="1"/>
      <c r="AZL1631" s="1"/>
      <c r="AZM1631" s="1"/>
      <c r="AZN1631" s="1"/>
      <c r="AZO1631" s="1"/>
      <c r="AZP1631" s="1"/>
      <c r="AZQ1631" s="1"/>
      <c r="AZR1631" s="1"/>
      <c r="AZS1631" s="1"/>
      <c r="AZT1631" s="1"/>
      <c r="AZU1631" s="1"/>
      <c r="AZV1631" s="1"/>
      <c r="AZW1631" s="1"/>
      <c r="AZX1631" s="1"/>
      <c r="AZY1631" s="1"/>
      <c r="AZZ1631" s="1"/>
      <c r="BAA1631" s="1"/>
      <c r="BAB1631" s="1"/>
      <c r="BAC1631" s="1"/>
      <c r="BAD1631" s="1"/>
      <c r="BAE1631" s="1"/>
      <c r="BAF1631" s="1"/>
      <c r="BAG1631" s="1"/>
      <c r="BAH1631" s="1"/>
      <c r="BAI1631" s="1"/>
      <c r="BAJ1631" s="1"/>
      <c r="BAK1631" s="1"/>
      <c r="BAL1631" s="1"/>
      <c r="BAM1631" s="1"/>
      <c r="BAN1631" s="1"/>
      <c r="BAO1631" s="1"/>
      <c r="BAP1631" s="1"/>
      <c r="BAQ1631" s="1"/>
      <c r="BAR1631" s="1"/>
      <c r="BAS1631" s="1"/>
      <c r="BAT1631" s="1"/>
      <c r="BAU1631" s="1"/>
      <c r="BAV1631" s="1"/>
      <c r="BAW1631" s="1"/>
      <c r="BAX1631" s="1"/>
      <c r="BAY1631" s="1"/>
      <c r="BAZ1631" s="1"/>
      <c r="BBA1631" s="1"/>
      <c r="BBB1631" s="1"/>
      <c r="BBC1631" s="1"/>
      <c r="BBD1631" s="1"/>
      <c r="BBE1631" s="1"/>
      <c r="BBF1631" s="1"/>
      <c r="BBG1631" s="1"/>
      <c r="BBH1631" s="1"/>
      <c r="BBI1631" s="1"/>
      <c r="BBJ1631" s="1"/>
      <c r="BBK1631" s="1"/>
      <c r="BBL1631" s="1"/>
      <c r="BBM1631" s="1"/>
      <c r="BBN1631" s="1"/>
      <c r="BBO1631" s="1"/>
      <c r="BBP1631" s="1"/>
      <c r="BBQ1631" s="1"/>
      <c r="BBR1631" s="1"/>
      <c r="BBS1631" s="1"/>
      <c r="BBT1631" s="1"/>
      <c r="BBU1631" s="1"/>
      <c r="BBV1631" s="1"/>
      <c r="BBW1631" s="1"/>
      <c r="BBX1631" s="1"/>
      <c r="BBY1631" s="1"/>
      <c r="BBZ1631" s="1"/>
      <c r="BCA1631" s="1"/>
      <c r="BCB1631" s="1"/>
      <c r="BCC1631" s="1"/>
      <c r="BCD1631" s="1"/>
      <c r="BCE1631" s="1"/>
      <c r="BCF1631" s="1"/>
      <c r="BCG1631" s="1"/>
      <c r="BCH1631" s="1"/>
      <c r="BCI1631" s="1"/>
      <c r="BCJ1631" s="1"/>
      <c r="BCK1631" s="1"/>
      <c r="BCL1631" s="1"/>
      <c r="BCM1631" s="1"/>
      <c r="BCN1631" s="1"/>
      <c r="BCO1631" s="1"/>
      <c r="BCP1631" s="1"/>
      <c r="BCQ1631" s="1"/>
      <c r="BCR1631" s="1"/>
      <c r="BCS1631" s="1"/>
      <c r="BCT1631" s="1"/>
      <c r="BCU1631" s="1"/>
      <c r="BCV1631" s="1"/>
      <c r="BCW1631" s="1"/>
      <c r="BCX1631" s="1"/>
      <c r="BCY1631" s="1"/>
      <c r="BCZ1631" s="1"/>
      <c r="BDA1631" s="1"/>
      <c r="BDB1631" s="1"/>
      <c r="BDC1631" s="1"/>
      <c r="BDD1631" s="1"/>
      <c r="BDE1631" s="1"/>
      <c r="BDF1631" s="1"/>
      <c r="BDG1631" s="1"/>
      <c r="BDH1631" s="1"/>
      <c r="BDI1631" s="1"/>
      <c r="BDJ1631" s="1"/>
      <c r="BDK1631" s="1"/>
      <c r="BDL1631" s="1"/>
      <c r="BDM1631" s="1"/>
      <c r="BDN1631" s="1"/>
      <c r="BDO1631" s="1"/>
      <c r="BDP1631" s="1"/>
      <c r="BDQ1631" s="1"/>
      <c r="BDR1631" s="1"/>
      <c r="BDS1631" s="1"/>
      <c r="BDT1631" s="1"/>
      <c r="BDU1631" s="1"/>
      <c r="BDV1631" s="1"/>
      <c r="BDW1631" s="1"/>
      <c r="BDX1631" s="1"/>
      <c r="BDY1631" s="1"/>
      <c r="BDZ1631" s="1"/>
      <c r="BEA1631" s="1"/>
      <c r="BEB1631" s="1"/>
      <c r="BEC1631" s="1"/>
      <c r="BED1631" s="1"/>
      <c r="BEE1631" s="1"/>
      <c r="BEF1631" s="1"/>
      <c r="BEG1631" s="1"/>
      <c r="BEH1631" s="1"/>
      <c r="BEI1631" s="1"/>
      <c r="BEJ1631" s="1"/>
      <c r="BEK1631" s="1"/>
      <c r="BEL1631" s="1"/>
      <c r="BEM1631" s="1"/>
      <c r="BEN1631" s="1"/>
      <c r="BEO1631" s="1"/>
      <c r="BEP1631" s="1"/>
      <c r="BEQ1631" s="1"/>
      <c r="BER1631" s="1"/>
      <c r="BES1631" s="1"/>
      <c r="BET1631" s="1"/>
      <c r="BEU1631" s="1"/>
      <c r="BEV1631" s="1"/>
      <c r="BEW1631" s="1"/>
      <c r="BEX1631" s="1"/>
      <c r="BEY1631" s="1"/>
      <c r="BEZ1631" s="1"/>
      <c r="BFA1631" s="1"/>
      <c r="BFB1631" s="1"/>
      <c r="BFC1631" s="1"/>
      <c r="BFD1631" s="1"/>
      <c r="BFE1631" s="1"/>
      <c r="BFF1631" s="1"/>
      <c r="BFG1631" s="1"/>
      <c r="BFH1631" s="1"/>
      <c r="BFI1631" s="1"/>
      <c r="BFJ1631" s="1"/>
      <c r="BFK1631" s="1"/>
      <c r="BFL1631" s="1"/>
      <c r="BFM1631" s="1"/>
      <c r="BFN1631" s="1"/>
      <c r="BFO1631" s="1"/>
      <c r="BFP1631" s="1"/>
      <c r="BFQ1631" s="1"/>
      <c r="BFR1631" s="1"/>
      <c r="BFS1631" s="1"/>
      <c r="BFT1631" s="1"/>
      <c r="BFU1631" s="1"/>
      <c r="BFV1631" s="1"/>
      <c r="BFW1631" s="1"/>
      <c r="BFX1631" s="1"/>
      <c r="BFY1631" s="1"/>
      <c r="BFZ1631" s="1"/>
      <c r="BGA1631" s="1"/>
      <c r="BGB1631" s="1"/>
      <c r="BGC1631" s="1"/>
      <c r="BGD1631" s="1"/>
      <c r="BGE1631" s="1"/>
      <c r="BGF1631" s="1"/>
      <c r="BGG1631" s="1"/>
      <c r="BGH1631" s="1"/>
      <c r="BGI1631" s="1"/>
      <c r="BGJ1631" s="1"/>
      <c r="BGK1631" s="1"/>
      <c r="BGL1631" s="1"/>
      <c r="BGM1631" s="1"/>
      <c r="BGN1631" s="1"/>
      <c r="BGO1631" s="1"/>
      <c r="BGP1631" s="1"/>
      <c r="BGQ1631" s="1"/>
      <c r="BGR1631" s="1"/>
      <c r="BGS1631" s="1"/>
      <c r="BGT1631" s="1"/>
      <c r="BGU1631" s="1"/>
      <c r="BGV1631" s="1"/>
      <c r="BGW1631" s="1"/>
      <c r="BGX1631" s="1"/>
      <c r="BGY1631" s="1"/>
      <c r="BGZ1631" s="1"/>
      <c r="BHA1631" s="1"/>
      <c r="BHB1631" s="1"/>
      <c r="BHC1631" s="1"/>
      <c r="BHD1631" s="1"/>
      <c r="BHE1631" s="1"/>
      <c r="BHF1631" s="1"/>
      <c r="BHG1631" s="1"/>
      <c r="BHH1631" s="1"/>
      <c r="BHI1631" s="1"/>
      <c r="BHJ1631" s="1"/>
      <c r="BHK1631" s="1"/>
      <c r="BHL1631" s="1"/>
      <c r="BHM1631" s="1"/>
      <c r="BHN1631" s="1"/>
      <c r="BHO1631" s="1"/>
      <c r="BHP1631" s="1"/>
      <c r="BHQ1631" s="1"/>
      <c r="BHR1631" s="1"/>
      <c r="BHS1631" s="1"/>
      <c r="BHT1631" s="1"/>
      <c r="BHU1631" s="1"/>
      <c r="BHV1631" s="1"/>
      <c r="BHW1631" s="1"/>
      <c r="BHX1631" s="1"/>
      <c r="BHY1631" s="1"/>
      <c r="BHZ1631" s="1"/>
      <c r="BIA1631" s="1"/>
      <c r="BIB1631" s="1"/>
      <c r="BIC1631" s="1"/>
      <c r="BID1631" s="1"/>
      <c r="BIE1631" s="1"/>
      <c r="BIF1631" s="1"/>
      <c r="BIG1631" s="1"/>
      <c r="BIH1631" s="1"/>
      <c r="BII1631" s="1"/>
      <c r="BIJ1631" s="1"/>
      <c r="BIK1631" s="1"/>
      <c r="BIL1631" s="1"/>
      <c r="BIM1631" s="1"/>
      <c r="BIN1631" s="1"/>
      <c r="BIO1631" s="1"/>
      <c r="BIP1631" s="1"/>
      <c r="BIQ1631" s="1"/>
      <c r="BIR1631" s="1"/>
      <c r="BIS1631" s="1"/>
      <c r="BIT1631" s="1"/>
      <c r="BIU1631" s="1"/>
      <c r="BIV1631" s="1"/>
      <c r="BIW1631" s="1"/>
      <c r="BIX1631" s="1"/>
      <c r="BIY1631" s="1"/>
      <c r="BIZ1631" s="1"/>
      <c r="BJA1631" s="1"/>
      <c r="BJB1631" s="1"/>
      <c r="BJC1631" s="1"/>
      <c r="BJD1631" s="1"/>
      <c r="BJE1631" s="1"/>
      <c r="BJF1631" s="1"/>
      <c r="BJG1631" s="1"/>
      <c r="BJH1631" s="1"/>
      <c r="BJI1631" s="1"/>
      <c r="BJJ1631" s="1"/>
      <c r="BJK1631" s="1"/>
      <c r="BJL1631" s="1"/>
      <c r="BJM1631" s="1"/>
      <c r="BJN1631" s="1"/>
      <c r="BJO1631" s="1"/>
      <c r="BJP1631" s="1"/>
      <c r="BJQ1631" s="1"/>
      <c r="BJR1631" s="1"/>
      <c r="BJS1631" s="1"/>
      <c r="BJT1631" s="1"/>
      <c r="BJU1631" s="1"/>
      <c r="BJV1631" s="1"/>
      <c r="BJW1631" s="1"/>
      <c r="BJX1631" s="1"/>
      <c r="BJY1631" s="1"/>
      <c r="BJZ1631" s="1"/>
      <c r="BKA1631" s="1"/>
      <c r="BKB1631" s="1"/>
      <c r="BKC1631" s="1"/>
      <c r="BKD1631" s="1"/>
      <c r="BKE1631" s="1"/>
      <c r="BKF1631" s="1"/>
      <c r="BKG1631" s="1"/>
      <c r="BKH1631" s="1"/>
      <c r="BKI1631" s="1"/>
      <c r="BKJ1631" s="1"/>
      <c r="BKK1631" s="1"/>
      <c r="BKL1631" s="1"/>
      <c r="BKM1631" s="1"/>
      <c r="BKN1631" s="1"/>
      <c r="BKO1631" s="1"/>
      <c r="BKP1631" s="1"/>
      <c r="BKQ1631" s="1"/>
      <c r="BKR1631" s="1"/>
      <c r="BKS1631" s="1"/>
      <c r="BKT1631" s="1"/>
      <c r="BKU1631" s="1"/>
      <c r="BKV1631" s="1"/>
      <c r="BKW1631" s="1"/>
      <c r="BKX1631" s="1"/>
      <c r="BKY1631" s="1"/>
      <c r="BKZ1631" s="1"/>
      <c r="BLA1631" s="1"/>
      <c r="BLB1631" s="1"/>
      <c r="BLC1631" s="1"/>
      <c r="BLD1631" s="1"/>
      <c r="BLE1631" s="1"/>
      <c r="BLF1631" s="1"/>
      <c r="BLG1631" s="1"/>
      <c r="BLH1631" s="1"/>
      <c r="BLI1631" s="1"/>
      <c r="BLJ1631" s="1"/>
      <c r="BLK1631" s="1"/>
      <c r="BLL1631" s="1"/>
      <c r="BLM1631" s="1"/>
      <c r="BLN1631" s="1"/>
      <c r="BLO1631" s="1"/>
      <c r="BLP1631" s="1"/>
      <c r="BLQ1631" s="1"/>
      <c r="BLR1631" s="1"/>
      <c r="BLS1631" s="1"/>
      <c r="BLT1631" s="1"/>
      <c r="BLU1631" s="1"/>
      <c r="BLV1631" s="1"/>
      <c r="BLW1631" s="1"/>
      <c r="BLX1631" s="1"/>
      <c r="BLY1631" s="1"/>
      <c r="BLZ1631" s="1"/>
      <c r="BMA1631" s="1"/>
      <c r="BMB1631" s="1"/>
      <c r="BMC1631" s="1"/>
      <c r="BMD1631" s="1"/>
      <c r="BME1631" s="1"/>
      <c r="BMF1631" s="1"/>
      <c r="BMG1631" s="1"/>
      <c r="BMH1631" s="1"/>
      <c r="BMI1631" s="1"/>
      <c r="BMJ1631" s="1"/>
      <c r="BMK1631" s="1"/>
      <c r="BML1631" s="1"/>
      <c r="BMM1631" s="1"/>
      <c r="BMN1631" s="1"/>
      <c r="BMO1631" s="1"/>
      <c r="BMP1631" s="1"/>
      <c r="BMQ1631" s="1"/>
      <c r="BMR1631" s="1"/>
      <c r="BMS1631" s="1"/>
      <c r="BMT1631" s="1"/>
      <c r="BMU1631" s="1"/>
      <c r="BMV1631" s="1"/>
      <c r="BMW1631" s="1"/>
      <c r="BMX1631" s="1"/>
      <c r="BMY1631" s="1"/>
      <c r="BMZ1631" s="1"/>
      <c r="BNA1631" s="1"/>
      <c r="BNB1631" s="1"/>
      <c r="BNC1631" s="1"/>
      <c r="BND1631" s="1"/>
      <c r="BNE1631" s="1"/>
      <c r="BNF1631" s="1"/>
      <c r="BNG1631" s="1"/>
      <c r="BNH1631" s="1"/>
      <c r="BNI1631" s="1"/>
      <c r="BNJ1631" s="1"/>
      <c r="BNK1631" s="1"/>
      <c r="BNL1631" s="1"/>
      <c r="BNM1631" s="1"/>
      <c r="BNN1631" s="1"/>
      <c r="BNO1631" s="1"/>
      <c r="BNP1631" s="1"/>
      <c r="BNQ1631" s="1"/>
      <c r="BNR1631" s="1"/>
      <c r="BNS1631" s="1"/>
      <c r="BNT1631" s="1"/>
      <c r="BNU1631" s="1"/>
      <c r="BNV1631" s="1"/>
      <c r="BNW1631" s="1"/>
      <c r="BNX1631" s="1"/>
      <c r="BNY1631" s="1"/>
      <c r="BNZ1631" s="1"/>
      <c r="BOA1631" s="1"/>
      <c r="BOB1631" s="1"/>
      <c r="BOC1631" s="1"/>
      <c r="BOD1631" s="1"/>
      <c r="BOE1631" s="1"/>
      <c r="BOF1631" s="1"/>
      <c r="BOG1631" s="1"/>
      <c r="BOH1631" s="1"/>
      <c r="BOI1631" s="1"/>
      <c r="BOJ1631" s="1"/>
      <c r="BOK1631" s="1"/>
      <c r="BOL1631" s="1"/>
      <c r="BOM1631" s="1"/>
      <c r="BON1631" s="1"/>
      <c r="BOO1631" s="1"/>
      <c r="BOP1631" s="1"/>
      <c r="BOQ1631" s="1"/>
      <c r="BOR1631" s="1"/>
      <c r="BOS1631" s="1"/>
      <c r="BOT1631" s="1"/>
      <c r="BOU1631" s="1"/>
      <c r="BOV1631" s="1"/>
      <c r="BOW1631" s="1"/>
      <c r="BOX1631" s="1"/>
      <c r="BOY1631" s="1"/>
      <c r="BOZ1631" s="1"/>
      <c r="BPA1631" s="1"/>
      <c r="BPB1631" s="1"/>
      <c r="BPC1631" s="1"/>
      <c r="BPD1631" s="1"/>
      <c r="BPE1631" s="1"/>
      <c r="BPF1631" s="1"/>
      <c r="BPG1631" s="1"/>
      <c r="BPH1631" s="1"/>
      <c r="BPI1631" s="1"/>
      <c r="BPJ1631" s="1"/>
      <c r="BPK1631" s="1"/>
      <c r="BPL1631" s="1"/>
      <c r="BPM1631" s="1"/>
      <c r="BPN1631" s="1"/>
      <c r="BPO1631" s="1"/>
      <c r="BPP1631" s="1"/>
      <c r="BPQ1631" s="1"/>
      <c r="BPR1631" s="1"/>
      <c r="BPS1631" s="1"/>
      <c r="BPT1631" s="1"/>
      <c r="BPU1631" s="1"/>
      <c r="BPV1631" s="1"/>
      <c r="BPW1631" s="1"/>
      <c r="BPX1631" s="1"/>
      <c r="BPY1631" s="1"/>
      <c r="BPZ1631" s="1"/>
      <c r="BQA1631" s="1"/>
      <c r="BQB1631" s="1"/>
      <c r="BQC1631" s="1"/>
      <c r="BQD1631" s="1"/>
      <c r="BQE1631" s="1"/>
      <c r="BQF1631" s="1"/>
      <c r="BQG1631" s="1"/>
      <c r="BQH1631" s="1"/>
      <c r="BQI1631" s="1"/>
      <c r="BQJ1631" s="1"/>
      <c r="BQK1631" s="1"/>
      <c r="BQL1631" s="1"/>
      <c r="BQM1631" s="1"/>
      <c r="BQN1631" s="1"/>
      <c r="BQO1631" s="1"/>
      <c r="BQP1631" s="1"/>
      <c r="BQQ1631" s="1"/>
      <c r="BQR1631" s="1"/>
      <c r="BQS1631" s="1"/>
      <c r="BQT1631" s="1"/>
      <c r="BQU1631" s="1"/>
      <c r="BQV1631" s="1"/>
      <c r="BQW1631" s="1"/>
      <c r="BQX1631" s="1"/>
      <c r="BQY1631" s="1"/>
      <c r="BQZ1631" s="1"/>
      <c r="BRA1631" s="1"/>
      <c r="BRB1631" s="1"/>
      <c r="BRC1631" s="1"/>
      <c r="BRD1631" s="1"/>
      <c r="BRE1631" s="1"/>
      <c r="BRF1631" s="1"/>
      <c r="BRG1631" s="1"/>
      <c r="BRH1631" s="1"/>
      <c r="BRI1631" s="1"/>
      <c r="BRJ1631" s="1"/>
      <c r="BRK1631" s="1"/>
      <c r="BRL1631" s="1"/>
      <c r="BRM1631" s="1"/>
      <c r="BRN1631" s="1"/>
      <c r="BRO1631" s="1"/>
      <c r="BRP1631" s="1"/>
      <c r="BRQ1631" s="1"/>
      <c r="BRR1631" s="1"/>
      <c r="BRS1631" s="1"/>
      <c r="BRT1631" s="1"/>
      <c r="BRU1631" s="1"/>
      <c r="BRV1631" s="1"/>
      <c r="BRW1631" s="1"/>
      <c r="BRX1631" s="1"/>
      <c r="BRY1631" s="1"/>
      <c r="BRZ1631" s="1"/>
      <c r="BSA1631" s="1"/>
      <c r="BSB1631" s="1"/>
      <c r="BSC1631" s="1"/>
      <c r="BSD1631" s="1"/>
      <c r="BSE1631" s="1"/>
      <c r="BSF1631" s="1"/>
      <c r="BSG1631" s="1"/>
      <c r="BSH1631" s="1"/>
      <c r="BSI1631" s="1"/>
      <c r="BSJ1631" s="1"/>
      <c r="BSK1631" s="1"/>
      <c r="BSL1631" s="1"/>
      <c r="BSM1631" s="1"/>
      <c r="BSN1631" s="1"/>
      <c r="BSO1631" s="1"/>
      <c r="BSP1631" s="1"/>
      <c r="BSQ1631" s="1"/>
      <c r="BSR1631" s="1"/>
      <c r="BSS1631" s="1"/>
      <c r="BST1631" s="1"/>
      <c r="BSU1631" s="1"/>
      <c r="BSV1631" s="1"/>
      <c r="BSW1631" s="1"/>
      <c r="BSX1631" s="1"/>
      <c r="BSY1631" s="1"/>
      <c r="BSZ1631" s="1"/>
      <c r="BTA1631" s="1"/>
      <c r="BTB1631" s="1"/>
      <c r="BTC1631" s="1"/>
      <c r="BTD1631" s="1"/>
      <c r="BTE1631" s="1"/>
      <c r="BTF1631" s="1"/>
      <c r="BTG1631" s="1"/>
      <c r="BTH1631" s="1"/>
      <c r="BTI1631" s="1"/>
      <c r="BTJ1631" s="1"/>
      <c r="BTK1631" s="1"/>
      <c r="BTL1631" s="1"/>
      <c r="BTM1631" s="1"/>
      <c r="BTN1631" s="1"/>
      <c r="BTO1631" s="1"/>
      <c r="BTP1631" s="1"/>
      <c r="BTQ1631" s="1"/>
      <c r="BTR1631" s="1"/>
      <c r="BTS1631" s="1"/>
      <c r="BTT1631" s="1"/>
      <c r="BTU1631" s="1"/>
      <c r="BTV1631" s="1"/>
      <c r="BTW1631" s="1"/>
      <c r="BTX1631" s="1"/>
      <c r="BTY1631" s="1"/>
      <c r="BTZ1631" s="1"/>
      <c r="BUA1631" s="1"/>
      <c r="BUB1631" s="1"/>
      <c r="BUC1631" s="1"/>
      <c r="BUD1631" s="1"/>
      <c r="BUE1631" s="1"/>
      <c r="BUF1631" s="1"/>
      <c r="BUG1631" s="1"/>
      <c r="BUH1631" s="1"/>
      <c r="BUI1631" s="1"/>
      <c r="BUJ1631" s="1"/>
      <c r="BUK1631" s="1"/>
      <c r="BUL1631" s="1"/>
      <c r="BUM1631" s="1"/>
      <c r="BUN1631" s="1"/>
      <c r="BUO1631" s="1"/>
      <c r="BUP1631" s="1"/>
      <c r="BUQ1631" s="1"/>
      <c r="BUR1631" s="1"/>
      <c r="BUS1631" s="1"/>
      <c r="BUT1631" s="1"/>
      <c r="BUU1631" s="1"/>
      <c r="BUV1631" s="1"/>
      <c r="BUW1631" s="1"/>
      <c r="BUX1631" s="1"/>
      <c r="BUY1631" s="1"/>
      <c r="BUZ1631" s="1"/>
      <c r="BVA1631" s="1"/>
      <c r="BVB1631" s="1"/>
      <c r="BVC1631" s="1"/>
      <c r="BVD1631" s="1"/>
      <c r="BVE1631" s="1"/>
      <c r="BVF1631" s="1"/>
      <c r="BVG1631" s="1"/>
      <c r="BVH1631" s="1"/>
      <c r="BVI1631" s="1"/>
      <c r="BVJ1631" s="1"/>
      <c r="BVK1631" s="1"/>
      <c r="BVL1631" s="1"/>
      <c r="BVM1631" s="1"/>
      <c r="BVN1631" s="1"/>
      <c r="BVO1631" s="1"/>
      <c r="BVP1631" s="1"/>
      <c r="BVQ1631" s="1"/>
      <c r="BVR1631" s="1"/>
      <c r="BVS1631" s="1"/>
      <c r="BVT1631" s="1"/>
      <c r="BVU1631" s="1"/>
      <c r="BVV1631" s="1"/>
      <c r="BVW1631" s="1"/>
      <c r="BVX1631" s="1"/>
      <c r="BVY1631" s="1"/>
      <c r="BVZ1631" s="1"/>
      <c r="BWA1631" s="1"/>
      <c r="BWB1631" s="1"/>
      <c r="BWC1631" s="1"/>
      <c r="BWD1631" s="1"/>
      <c r="BWE1631" s="1"/>
      <c r="BWF1631" s="1"/>
      <c r="BWG1631" s="1"/>
      <c r="BWH1631" s="1"/>
      <c r="BWI1631" s="1"/>
      <c r="BWJ1631" s="1"/>
      <c r="BWK1631" s="1"/>
      <c r="BWL1631" s="1"/>
      <c r="BWM1631" s="1"/>
      <c r="BWN1631" s="1"/>
      <c r="BWO1631" s="1"/>
      <c r="BWP1631" s="1"/>
      <c r="BWQ1631" s="1"/>
      <c r="BWR1631" s="1"/>
      <c r="BWS1631" s="1"/>
      <c r="BWT1631" s="1"/>
      <c r="BWU1631" s="1"/>
      <c r="BWV1631" s="1"/>
      <c r="BWW1631" s="1"/>
      <c r="BWX1631" s="1"/>
      <c r="BWY1631" s="1"/>
      <c r="BWZ1631" s="1"/>
      <c r="BXA1631" s="1"/>
      <c r="BXB1631" s="1"/>
      <c r="BXC1631" s="1"/>
      <c r="BXD1631" s="1"/>
      <c r="BXE1631" s="1"/>
      <c r="BXF1631" s="1"/>
      <c r="BXG1631" s="1"/>
      <c r="BXH1631" s="1"/>
      <c r="BXI1631" s="1"/>
      <c r="BXJ1631" s="1"/>
      <c r="BXK1631" s="1"/>
      <c r="BXL1631" s="1"/>
      <c r="BXM1631" s="1"/>
      <c r="BXN1631" s="1"/>
      <c r="BXO1631" s="1"/>
      <c r="BXP1631" s="1"/>
      <c r="BXQ1631" s="1"/>
      <c r="BXR1631" s="1"/>
      <c r="BXS1631" s="1"/>
      <c r="BXT1631" s="1"/>
      <c r="BXU1631" s="1"/>
      <c r="BXV1631" s="1"/>
      <c r="BXW1631" s="1"/>
      <c r="BXX1631" s="1"/>
      <c r="BXY1631" s="1"/>
      <c r="BXZ1631" s="1"/>
      <c r="BYA1631" s="1"/>
      <c r="BYB1631" s="1"/>
      <c r="BYC1631" s="1"/>
      <c r="BYD1631" s="1"/>
      <c r="BYE1631" s="1"/>
      <c r="BYF1631" s="1"/>
      <c r="BYG1631" s="1"/>
      <c r="BYH1631" s="1"/>
      <c r="BYI1631" s="1"/>
      <c r="BYJ1631" s="1"/>
      <c r="BYK1631" s="1"/>
      <c r="BYL1631" s="1"/>
      <c r="BYM1631" s="1"/>
      <c r="BYN1631" s="1"/>
      <c r="BYO1631" s="1"/>
      <c r="BYP1631" s="1"/>
      <c r="BYQ1631" s="1"/>
      <c r="BYR1631" s="1"/>
      <c r="BYS1631" s="1"/>
      <c r="BYT1631" s="1"/>
      <c r="BYU1631" s="1"/>
      <c r="BYV1631" s="1"/>
      <c r="BYW1631" s="1"/>
      <c r="BYX1631" s="1"/>
      <c r="BYY1631" s="1"/>
      <c r="BYZ1631" s="1"/>
      <c r="BZA1631" s="1"/>
      <c r="BZB1631" s="1"/>
      <c r="BZC1631" s="1"/>
      <c r="BZD1631" s="1"/>
      <c r="BZE1631" s="1"/>
      <c r="BZF1631" s="1"/>
      <c r="BZG1631" s="1"/>
      <c r="BZH1631" s="1"/>
      <c r="BZI1631" s="1"/>
      <c r="BZJ1631" s="1"/>
      <c r="BZK1631" s="1"/>
      <c r="BZL1631" s="1"/>
      <c r="BZM1631" s="1"/>
      <c r="BZN1631" s="1"/>
      <c r="BZO1631" s="1"/>
      <c r="BZP1631" s="1"/>
      <c r="BZQ1631" s="1"/>
      <c r="BZR1631" s="1"/>
      <c r="BZS1631" s="1"/>
      <c r="BZT1631" s="1"/>
      <c r="BZU1631" s="1"/>
      <c r="BZV1631" s="1"/>
      <c r="BZW1631" s="1"/>
      <c r="BZX1631" s="1"/>
      <c r="BZY1631" s="1"/>
      <c r="BZZ1631" s="1"/>
      <c r="CAA1631" s="1"/>
      <c r="CAB1631" s="1"/>
      <c r="CAC1631" s="1"/>
      <c r="CAD1631" s="1"/>
      <c r="CAE1631" s="1"/>
      <c r="CAF1631" s="1"/>
      <c r="CAG1631" s="1"/>
      <c r="CAH1631" s="1"/>
      <c r="CAI1631" s="1"/>
      <c r="CAJ1631" s="1"/>
      <c r="CAK1631" s="1"/>
      <c r="CAL1631" s="1"/>
      <c r="CAM1631" s="1"/>
      <c r="CAN1631" s="1"/>
      <c r="CAO1631" s="1"/>
      <c r="CAP1631" s="1"/>
      <c r="CAQ1631" s="1"/>
      <c r="CAR1631" s="1"/>
      <c r="CAS1631" s="1"/>
      <c r="CAT1631" s="1"/>
      <c r="CAU1631" s="1"/>
      <c r="CAV1631" s="1"/>
      <c r="CAW1631" s="1"/>
      <c r="CAX1631" s="1"/>
      <c r="CAY1631" s="1"/>
      <c r="CAZ1631" s="1"/>
      <c r="CBA1631" s="1"/>
      <c r="CBB1631" s="1"/>
      <c r="CBC1631" s="1"/>
      <c r="CBD1631" s="1"/>
      <c r="CBE1631" s="1"/>
      <c r="CBF1631" s="1"/>
      <c r="CBG1631" s="1"/>
      <c r="CBH1631" s="1"/>
      <c r="CBI1631" s="1"/>
      <c r="CBJ1631" s="1"/>
      <c r="CBK1631" s="1"/>
      <c r="CBL1631" s="1"/>
      <c r="CBM1631" s="1"/>
      <c r="CBN1631" s="1"/>
      <c r="CBO1631" s="1"/>
      <c r="CBP1631" s="1"/>
      <c r="CBQ1631" s="1"/>
      <c r="CBR1631" s="1"/>
      <c r="CBS1631" s="1"/>
      <c r="CBT1631" s="1"/>
      <c r="CBU1631" s="1"/>
      <c r="CBV1631" s="1"/>
      <c r="CBW1631" s="1"/>
      <c r="CBX1631" s="1"/>
      <c r="CBY1631" s="1"/>
      <c r="CBZ1631" s="1"/>
      <c r="CCA1631" s="1"/>
      <c r="CCB1631" s="1"/>
      <c r="CCC1631" s="1"/>
      <c r="CCD1631" s="1"/>
      <c r="CCE1631" s="1"/>
      <c r="CCF1631" s="1"/>
      <c r="CCG1631" s="1"/>
      <c r="CCH1631" s="1"/>
      <c r="CCI1631" s="1"/>
      <c r="CCJ1631" s="1"/>
      <c r="CCK1631" s="1"/>
      <c r="CCL1631" s="1"/>
      <c r="CCM1631" s="1"/>
      <c r="CCN1631" s="1"/>
      <c r="CCO1631" s="1"/>
      <c r="CCP1631" s="1"/>
      <c r="CCQ1631" s="1"/>
      <c r="CCR1631" s="1"/>
      <c r="CCS1631" s="1"/>
      <c r="CCT1631" s="1"/>
      <c r="CCU1631" s="1"/>
      <c r="CCV1631" s="1"/>
      <c r="CCW1631" s="1"/>
      <c r="CCX1631" s="1"/>
      <c r="CCY1631" s="1"/>
      <c r="CCZ1631" s="1"/>
      <c r="CDA1631" s="1"/>
      <c r="CDB1631" s="1"/>
      <c r="CDC1631" s="1"/>
      <c r="CDD1631" s="1"/>
      <c r="CDE1631" s="1"/>
      <c r="CDF1631" s="1"/>
      <c r="CDG1631" s="1"/>
      <c r="CDH1631" s="1"/>
      <c r="CDI1631" s="1"/>
      <c r="CDJ1631" s="1"/>
      <c r="CDK1631" s="1"/>
      <c r="CDL1631" s="1"/>
      <c r="CDM1631" s="1"/>
      <c r="CDN1631" s="1"/>
      <c r="CDO1631" s="1"/>
      <c r="CDP1631" s="1"/>
      <c r="CDQ1631" s="1"/>
      <c r="CDR1631" s="1"/>
      <c r="CDS1631" s="1"/>
      <c r="CDT1631" s="1"/>
      <c r="CDU1631" s="1"/>
      <c r="CDV1631" s="1"/>
      <c r="CDW1631" s="1"/>
      <c r="CDX1631" s="1"/>
      <c r="CDY1631" s="1"/>
      <c r="CDZ1631" s="1"/>
      <c r="CEA1631" s="1"/>
      <c r="CEB1631" s="1"/>
      <c r="CEC1631" s="1"/>
      <c r="CED1631" s="1"/>
      <c r="CEE1631" s="1"/>
      <c r="CEF1631" s="1"/>
      <c r="CEG1631" s="1"/>
      <c r="CEH1631" s="1"/>
      <c r="CEI1631" s="1"/>
      <c r="CEJ1631" s="1"/>
      <c r="CEK1631" s="1"/>
      <c r="CEL1631" s="1"/>
      <c r="CEM1631" s="1"/>
      <c r="CEN1631" s="1"/>
      <c r="CEO1631" s="1"/>
      <c r="CEP1631" s="1"/>
      <c r="CEQ1631" s="1"/>
      <c r="CER1631" s="1"/>
      <c r="CES1631" s="1"/>
      <c r="CET1631" s="1"/>
      <c r="CEU1631" s="1"/>
      <c r="CEV1631" s="1"/>
      <c r="CEW1631" s="1"/>
      <c r="CEX1631" s="1"/>
      <c r="CEY1631" s="1"/>
      <c r="CEZ1631" s="1"/>
      <c r="CFA1631" s="1"/>
      <c r="CFB1631" s="1"/>
      <c r="CFC1631" s="1"/>
      <c r="CFD1631" s="1"/>
      <c r="CFE1631" s="1"/>
      <c r="CFF1631" s="1"/>
      <c r="CFG1631" s="1"/>
      <c r="CFH1631" s="1"/>
      <c r="CFI1631" s="1"/>
      <c r="CFJ1631" s="1"/>
      <c r="CFK1631" s="1"/>
      <c r="CFL1631" s="1"/>
      <c r="CFM1631" s="1"/>
      <c r="CFN1631" s="1"/>
      <c r="CFO1631" s="1"/>
      <c r="CFP1631" s="1"/>
      <c r="CFQ1631" s="1"/>
      <c r="CFR1631" s="1"/>
      <c r="CFS1631" s="1"/>
      <c r="CFT1631" s="1"/>
      <c r="CFU1631" s="1"/>
      <c r="CFV1631" s="1"/>
      <c r="CFW1631" s="1"/>
      <c r="CFX1631" s="1"/>
      <c r="CFY1631" s="1"/>
      <c r="CFZ1631" s="1"/>
      <c r="CGA1631" s="1"/>
      <c r="CGB1631" s="1"/>
      <c r="CGC1631" s="1"/>
      <c r="CGD1631" s="1"/>
      <c r="CGE1631" s="1"/>
      <c r="CGF1631" s="1"/>
      <c r="CGG1631" s="1"/>
      <c r="CGH1631" s="1"/>
      <c r="CGI1631" s="1"/>
      <c r="CGJ1631" s="1"/>
      <c r="CGK1631" s="1"/>
      <c r="CGL1631" s="1"/>
      <c r="CGM1631" s="1"/>
      <c r="CGN1631" s="1"/>
      <c r="CGO1631" s="1"/>
      <c r="CGP1631" s="1"/>
      <c r="CGQ1631" s="1"/>
      <c r="CGR1631" s="1"/>
      <c r="CGS1631" s="1"/>
      <c r="CGT1631" s="1"/>
      <c r="CGU1631" s="1"/>
      <c r="CGV1631" s="1"/>
      <c r="CGW1631" s="1"/>
      <c r="CGX1631" s="1"/>
      <c r="CGY1631" s="1"/>
      <c r="CGZ1631" s="1"/>
      <c r="CHA1631" s="1"/>
      <c r="CHB1631" s="1"/>
      <c r="CHC1631" s="1"/>
      <c r="CHD1631" s="1"/>
      <c r="CHE1631" s="1"/>
      <c r="CHF1631" s="1"/>
      <c r="CHG1631" s="1"/>
      <c r="CHH1631" s="1"/>
      <c r="CHI1631" s="1"/>
      <c r="CHJ1631" s="1"/>
      <c r="CHK1631" s="1"/>
      <c r="CHL1631" s="1"/>
      <c r="CHM1631" s="1"/>
      <c r="CHN1631" s="1"/>
      <c r="CHO1631" s="1"/>
      <c r="CHP1631" s="1"/>
      <c r="CHQ1631" s="1"/>
      <c r="CHR1631" s="1"/>
      <c r="CHS1631" s="1"/>
      <c r="CHT1631" s="1"/>
      <c r="CHU1631" s="1"/>
      <c r="CHV1631" s="1"/>
      <c r="CHW1631" s="1"/>
      <c r="CHX1631" s="1"/>
      <c r="CHY1631" s="1"/>
      <c r="CHZ1631" s="1"/>
      <c r="CIA1631" s="1"/>
      <c r="CIB1631" s="1"/>
      <c r="CIC1631" s="1"/>
      <c r="CID1631" s="1"/>
      <c r="CIE1631" s="1"/>
      <c r="CIF1631" s="1"/>
      <c r="CIG1631" s="1"/>
      <c r="CIH1631" s="1"/>
      <c r="CII1631" s="1"/>
      <c r="CIJ1631" s="1"/>
      <c r="CIK1631" s="1"/>
      <c r="CIL1631" s="1"/>
      <c r="CIM1631" s="1"/>
      <c r="CIN1631" s="1"/>
      <c r="CIO1631" s="1"/>
      <c r="CIP1631" s="1"/>
      <c r="CIQ1631" s="1"/>
      <c r="CIR1631" s="1"/>
      <c r="CIS1631" s="1"/>
      <c r="CIT1631" s="1"/>
      <c r="CIU1631" s="1"/>
      <c r="CIV1631" s="1"/>
      <c r="CIW1631" s="1"/>
      <c r="CIX1631" s="1"/>
      <c r="CIY1631" s="1"/>
      <c r="CIZ1631" s="1"/>
      <c r="CJA1631" s="1"/>
      <c r="CJB1631" s="1"/>
      <c r="CJC1631" s="1"/>
      <c r="CJD1631" s="1"/>
      <c r="CJE1631" s="1"/>
      <c r="CJF1631" s="1"/>
      <c r="CJG1631" s="1"/>
      <c r="CJH1631" s="1"/>
      <c r="CJI1631" s="1"/>
      <c r="CJJ1631" s="1"/>
      <c r="CJK1631" s="1"/>
      <c r="CJL1631" s="1"/>
      <c r="CJM1631" s="1"/>
      <c r="CJN1631" s="1"/>
      <c r="CJO1631" s="1"/>
      <c r="CJP1631" s="1"/>
      <c r="CJQ1631" s="1"/>
      <c r="CJR1631" s="1"/>
      <c r="CJS1631" s="1"/>
      <c r="CJT1631" s="1"/>
      <c r="CJU1631" s="1"/>
      <c r="CJV1631" s="1"/>
      <c r="CJW1631" s="1"/>
      <c r="CJX1631" s="1"/>
      <c r="CJY1631" s="1"/>
      <c r="CJZ1631" s="1"/>
      <c r="CKA1631" s="1"/>
      <c r="CKB1631" s="1"/>
      <c r="CKC1631" s="1"/>
      <c r="CKD1631" s="1"/>
      <c r="CKE1631" s="1"/>
      <c r="CKF1631" s="1"/>
      <c r="CKG1631" s="1"/>
      <c r="CKH1631" s="1"/>
      <c r="CKI1631" s="1"/>
      <c r="CKJ1631" s="1"/>
      <c r="CKK1631" s="1"/>
      <c r="CKL1631" s="1"/>
      <c r="CKM1631" s="1"/>
      <c r="CKN1631" s="1"/>
      <c r="CKO1631" s="1"/>
      <c r="CKP1631" s="1"/>
      <c r="CKQ1631" s="1"/>
      <c r="CKR1631" s="1"/>
      <c r="CKS1631" s="1"/>
      <c r="CKT1631" s="1"/>
      <c r="CKU1631" s="1"/>
      <c r="CKV1631" s="1"/>
      <c r="CKW1631" s="1"/>
      <c r="CKX1631" s="1"/>
      <c r="CKY1631" s="1"/>
      <c r="CKZ1631" s="1"/>
      <c r="CLA1631" s="1"/>
      <c r="CLB1631" s="1"/>
      <c r="CLC1631" s="1"/>
      <c r="CLD1631" s="1"/>
      <c r="CLE1631" s="1"/>
      <c r="CLF1631" s="1"/>
      <c r="CLG1631" s="1"/>
      <c r="CLH1631" s="1"/>
      <c r="CLI1631" s="1"/>
      <c r="CLJ1631" s="1"/>
      <c r="CLK1631" s="1"/>
      <c r="CLL1631" s="1"/>
      <c r="CLM1631" s="1"/>
      <c r="CLN1631" s="1"/>
      <c r="CLO1631" s="1"/>
      <c r="CLP1631" s="1"/>
      <c r="CLQ1631" s="1"/>
      <c r="CLR1631" s="1"/>
      <c r="CLS1631" s="1"/>
      <c r="CLT1631" s="1"/>
      <c r="CLU1631" s="1"/>
      <c r="CLV1631" s="1"/>
      <c r="CLW1631" s="1"/>
      <c r="CLX1631" s="1"/>
      <c r="CLY1631" s="1"/>
      <c r="CLZ1631" s="1"/>
      <c r="CMA1631" s="1"/>
      <c r="CMB1631" s="1"/>
      <c r="CMC1631" s="1"/>
      <c r="CMD1631" s="1"/>
      <c r="CME1631" s="1"/>
      <c r="CMF1631" s="1"/>
      <c r="CMG1631" s="1"/>
      <c r="CMH1631" s="1"/>
      <c r="CMI1631" s="1"/>
      <c r="CMJ1631" s="1"/>
      <c r="CMK1631" s="1"/>
      <c r="CML1631" s="1"/>
      <c r="CMM1631" s="1"/>
      <c r="CMN1631" s="1"/>
      <c r="CMO1631" s="1"/>
      <c r="CMP1631" s="1"/>
      <c r="CMQ1631" s="1"/>
      <c r="CMR1631" s="1"/>
      <c r="CMS1631" s="1"/>
      <c r="CMT1631" s="1"/>
      <c r="CMU1631" s="1"/>
      <c r="CMV1631" s="1"/>
      <c r="CMW1631" s="1"/>
      <c r="CMX1631" s="1"/>
      <c r="CMY1631" s="1"/>
      <c r="CMZ1631" s="1"/>
      <c r="CNA1631" s="1"/>
      <c r="CNB1631" s="1"/>
      <c r="CNC1631" s="1"/>
      <c r="CND1631" s="1"/>
      <c r="CNE1631" s="1"/>
      <c r="CNF1631" s="1"/>
      <c r="CNG1631" s="1"/>
      <c r="CNH1631" s="1"/>
      <c r="CNI1631" s="1"/>
      <c r="CNJ1631" s="1"/>
      <c r="CNK1631" s="1"/>
      <c r="CNL1631" s="1"/>
      <c r="CNM1631" s="1"/>
      <c r="CNN1631" s="1"/>
      <c r="CNO1631" s="1"/>
      <c r="CNP1631" s="1"/>
      <c r="CNQ1631" s="1"/>
      <c r="CNR1631" s="1"/>
      <c r="CNS1631" s="1"/>
      <c r="CNT1631" s="1"/>
      <c r="CNU1631" s="1"/>
      <c r="CNV1631" s="1"/>
      <c r="CNW1631" s="1"/>
      <c r="CNX1631" s="1"/>
      <c r="CNY1631" s="1"/>
      <c r="CNZ1631" s="1"/>
      <c r="COA1631" s="1"/>
      <c r="COB1631" s="1"/>
      <c r="COC1631" s="1"/>
      <c r="COD1631" s="1"/>
      <c r="COE1631" s="1"/>
      <c r="COF1631" s="1"/>
      <c r="COG1631" s="1"/>
      <c r="COH1631" s="1"/>
      <c r="COI1631" s="1"/>
      <c r="COJ1631" s="1"/>
      <c r="COK1631" s="1"/>
      <c r="COL1631" s="1"/>
      <c r="COM1631" s="1"/>
      <c r="CON1631" s="1"/>
      <c r="COO1631" s="1"/>
      <c r="COP1631" s="1"/>
      <c r="COQ1631" s="1"/>
      <c r="COR1631" s="1"/>
      <c r="COS1631" s="1"/>
      <c r="COT1631" s="1"/>
      <c r="COU1631" s="1"/>
      <c r="COV1631" s="1"/>
      <c r="COW1631" s="1"/>
      <c r="COX1631" s="1"/>
      <c r="COY1631" s="1"/>
      <c r="COZ1631" s="1"/>
      <c r="CPA1631" s="1"/>
      <c r="CPB1631" s="1"/>
      <c r="CPC1631" s="1"/>
      <c r="CPD1631" s="1"/>
      <c r="CPE1631" s="1"/>
      <c r="CPF1631" s="1"/>
      <c r="CPG1631" s="1"/>
      <c r="CPH1631" s="1"/>
      <c r="CPI1631" s="1"/>
      <c r="CPJ1631" s="1"/>
      <c r="CPK1631" s="1"/>
      <c r="CPL1631" s="1"/>
      <c r="CPM1631" s="1"/>
      <c r="CPN1631" s="1"/>
      <c r="CPO1631" s="1"/>
      <c r="CPP1631" s="1"/>
      <c r="CPQ1631" s="1"/>
      <c r="CPR1631" s="1"/>
      <c r="CPS1631" s="1"/>
      <c r="CPT1631" s="1"/>
      <c r="CPU1631" s="1"/>
      <c r="CPV1631" s="1"/>
      <c r="CPW1631" s="1"/>
      <c r="CPX1631" s="1"/>
      <c r="CPY1631" s="1"/>
      <c r="CPZ1631" s="1"/>
      <c r="CQA1631" s="1"/>
      <c r="CQB1631" s="1"/>
      <c r="CQC1631" s="1"/>
      <c r="CQD1631" s="1"/>
      <c r="CQE1631" s="1"/>
      <c r="CQF1631" s="1"/>
      <c r="CQG1631" s="1"/>
      <c r="CQH1631" s="1"/>
      <c r="CQI1631" s="1"/>
      <c r="CQJ1631" s="1"/>
      <c r="CQK1631" s="1"/>
      <c r="CQL1631" s="1"/>
      <c r="CQM1631" s="1"/>
      <c r="CQN1631" s="1"/>
      <c r="CQO1631" s="1"/>
      <c r="CQP1631" s="1"/>
      <c r="CQQ1631" s="1"/>
      <c r="CQR1631" s="1"/>
      <c r="CQS1631" s="1"/>
      <c r="CQT1631" s="1"/>
      <c r="CQU1631" s="1"/>
      <c r="CQV1631" s="1"/>
      <c r="CQW1631" s="1"/>
      <c r="CQX1631" s="1"/>
      <c r="CQY1631" s="1"/>
      <c r="CQZ1631" s="1"/>
      <c r="CRA1631" s="1"/>
      <c r="CRB1631" s="1"/>
      <c r="CRC1631" s="1"/>
      <c r="CRD1631" s="1"/>
      <c r="CRE1631" s="1"/>
      <c r="CRF1631" s="1"/>
      <c r="CRG1631" s="1"/>
      <c r="CRH1631" s="1"/>
      <c r="CRI1631" s="1"/>
      <c r="CRJ1631" s="1"/>
      <c r="CRK1631" s="1"/>
      <c r="CRL1631" s="1"/>
      <c r="CRM1631" s="1"/>
      <c r="CRN1631" s="1"/>
      <c r="CRO1631" s="1"/>
      <c r="CRP1631" s="1"/>
      <c r="CRQ1631" s="1"/>
      <c r="CRR1631" s="1"/>
      <c r="CRS1631" s="1"/>
      <c r="CRT1631" s="1"/>
      <c r="CRU1631" s="1"/>
      <c r="CRV1631" s="1"/>
      <c r="CRW1631" s="1"/>
      <c r="CRX1631" s="1"/>
      <c r="CRY1631" s="1"/>
      <c r="CRZ1631" s="1"/>
      <c r="CSA1631" s="1"/>
      <c r="CSB1631" s="1"/>
      <c r="CSC1631" s="1"/>
      <c r="CSD1631" s="1"/>
      <c r="CSE1631" s="1"/>
      <c r="CSF1631" s="1"/>
      <c r="CSG1631" s="1"/>
      <c r="CSH1631" s="1"/>
      <c r="CSI1631" s="1"/>
      <c r="CSJ1631" s="1"/>
      <c r="CSK1631" s="1"/>
      <c r="CSL1631" s="1"/>
      <c r="CSM1631" s="1"/>
      <c r="CSN1631" s="1"/>
      <c r="CSO1631" s="1"/>
      <c r="CSP1631" s="1"/>
      <c r="CSQ1631" s="1"/>
      <c r="CSR1631" s="1"/>
      <c r="CSS1631" s="1"/>
      <c r="CST1631" s="1"/>
      <c r="CSU1631" s="1"/>
      <c r="CSV1631" s="1"/>
      <c r="CSW1631" s="1"/>
      <c r="CSX1631" s="1"/>
      <c r="CSY1631" s="1"/>
      <c r="CSZ1631" s="1"/>
      <c r="CTA1631" s="1"/>
      <c r="CTB1631" s="1"/>
      <c r="CTC1631" s="1"/>
      <c r="CTD1631" s="1"/>
      <c r="CTE1631" s="1"/>
      <c r="CTF1631" s="1"/>
      <c r="CTG1631" s="1"/>
      <c r="CTH1631" s="1"/>
      <c r="CTI1631" s="1"/>
      <c r="CTJ1631" s="1"/>
      <c r="CTK1631" s="1"/>
      <c r="CTL1631" s="1"/>
      <c r="CTM1631" s="1"/>
      <c r="CTN1631" s="1"/>
      <c r="CTO1631" s="1"/>
      <c r="CTP1631" s="1"/>
      <c r="CTQ1631" s="1"/>
      <c r="CTR1631" s="1"/>
      <c r="CTS1631" s="1"/>
      <c r="CTT1631" s="1"/>
      <c r="CTU1631" s="1"/>
      <c r="CTV1631" s="1"/>
      <c r="CTW1631" s="1"/>
      <c r="CTX1631" s="1"/>
      <c r="CTY1631" s="1"/>
      <c r="CTZ1631" s="1"/>
      <c r="CUA1631" s="1"/>
      <c r="CUB1631" s="1"/>
      <c r="CUC1631" s="1"/>
      <c r="CUD1631" s="1"/>
      <c r="CUE1631" s="1"/>
      <c r="CUF1631" s="1"/>
      <c r="CUG1631" s="1"/>
      <c r="CUH1631" s="1"/>
      <c r="CUI1631" s="1"/>
      <c r="CUJ1631" s="1"/>
      <c r="CUK1631" s="1"/>
      <c r="CUL1631" s="1"/>
      <c r="CUM1631" s="1"/>
      <c r="CUN1631" s="1"/>
      <c r="CUO1631" s="1"/>
      <c r="CUP1631" s="1"/>
      <c r="CUQ1631" s="1"/>
      <c r="CUR1631" s="1"/>
      <c r="CUS1631" s="1"/>
      <c r="CUT1631" s="1"/>
      <c r="CUU1631" s="1"/>
      <c r="CUV1631" s="1"/>
      <c r="CUW1631" s="1"/>
      <c r="CUX1631" s="1"/>
      <c r="CUY1631" s="1"/>
      <c r="CUZ1631" s="1"/>
      <c r="CVA1631" s="1"/>
      <c r="CVB1631" s="1"/>
      <c r="CVC1631" s="1"/>
      <c r="CVD1631" s="1"/>
      <c r="CVE1631" s="1"/>
      <c r="CVF1631" s="1"/>
      <c r="CVG1631" s="1"/>
      <c r="CVH1631" s="1"/>
      <c r="CVI1631" s="1"/>
      <c r="CVJ1631" s="1"/>
      <c r="CVK1631" s="1"/>
      <c r="CVL1631" s="1"/>
      <c r="CVM1631" s="1"/>
      <c r="CVN1631" s="1"/>
      <c r="CVO1631" s="1"/>
      <c r="CVP1631" s="1"/>
      <c r="CVQ1631" s="1"/>
      <c r="CVR1631" s="1"/>
      <c r="CVS1631" s="1"/>
      <c r="CVT1631" s="1"/>
      <c r="CVU1631" s="1"/>
      <c r="CVV1631" s="1"/>
      <c r="CVW1631" s="1"/>
      <c r="CVX1631" s="1"/>
      <c r="CVY1631" s="1"/>
      <c r="CVZ1631" s="1"/>
      <c r="CWA1631" s="1"/>
      <c r="CWB1631" s="1"/>
      <c r="CWC1631" s="1"/>
      <c r="CWD1631" s="1"/>
      <c r="CWE1631" s="1"/>
      <c r="CWF1631" s="1"/>
      <c r="CWG1631" s="1"/>
      <c r="CWH1631" s="1"/>
      <c r="CWI1631" s="1"/>
      <c r="CWJ1631" s="1"/>
      <c r="CWK1631" s="1"/>
      <c r="CWL1631" s="1"/>
      <c r="CWM1631" s="1"/>
      <c r="CWN1631" s="1"/>
      <c r="CWO1631" s="1"/>
      <c r="CWP1631" s="1"/>
      <c r="CWQ1631" s="1"/>
      <c r="CWR1631" s="1"/>
      <c r="CWS1631" s="1"/>
      <c r="CWT1631" s="1"/>
      <c r="CWU1631" s="1"/>
      <c r="CWV1631" s="1"/>
      <c r="CWW1631" s="1"/>
      <c r="CWX1631" s="1"/>
      <c r="CWY1631" s="1"/>
      <c r="CWZ1631" s="1"/>
      <c r="CXA1631" s="1"/>
      <c r="CXB1631" s="1"/>
      <c r="CXC1631" s="1"/>
      <c r="CXD1631" s="1"/>
      <c r="CXE1631" s="1"/>
      <c r="CXF1631" s="1"/>
      <c r="CXG1631" s="1"/>
      <c r="CXH1631" s="1"/>
      <c r="CXI1631" s="1"/>
      <c r="CXJ1631" s="1"/>
      <c r="CXK1631" s="1"/>
      <c r="CXL1631" s="1"/>
      <c r="CXM1631" s="1"/>
      <c r="CXN1631" s="1"/>
      <c r="CXO1631" s="1"/>
      <c r="CXP1631" s="1"/>
      <c r="CXQ1631" s="1"/>
      <c r="CXR1631" s="1"/>
      <c r="CXS1631" s="1"/>
      <c r="CXT1631" s="1"/>
      <c r="CXU1631" s="1"/>
      <c r="CXV1631" s="1"/>
      <c r="CXW1631" s="1"/>
      <c r="CXX1631" s="1"/>
      <c r="CXY1631" s="1"/>
      <c r="CXZ1631" s="1"/>
      <c r="CYA1631" s="1"/>
      <c r="CYB1631" s="1"/>
      <c r="CYC1631" s="1"/>
      <c r="CYD1631" s="1"/>
      <c r="CYE1631" s="1"/>
      <c r="CYF1631" s="1"/>
      <c r="CYG1631" s="1"/>
      <c r="CYH1631" s="1"/>
      <c r="CYI1631" s="1"/>
      <c r="CYJ1631" s="1"/>
      <c r="CYK1631" s="1"/>
      <c r="CYL1631" s="1"/>
      <c r="CYM1631" s="1"/>
      <c r="CYN1631" s="1"/>
      <c r="CYO1631" s="1"/>
      <c r="CYP1631" s="1"/>
      <c r="CYQ1631" s="1"/>
      <c r="CYR1631" s="1"/>
      <c r="CYS1631" s="1"/>
      <c r="CYT1631" s="1"/>
      <c r="CYU1631" s="1"/>
      <c r="CYV1631" s="1"/>
      <c r="CYW1631" s="1"/>
      <c r="CYX1631" s="1"/>
      <c r="CYY1631" s="1"/>
      <c r="CYZ1631" s="1"/>
      <c r="CZA1631" s="1"/>
      <c r="CZB1631" s="1"/>
      <c r="CZC1631" s="1"/>
      <c r="CZD1631" s="1"/>
      <c r="CZE1631" s="1"/>
      <c r="CZF1631" s="1"/>
      <c r="CZG1631" s="1"/>
      <c r="CZH1631" s="1"/>
      <c r="CZI1631" s="1"/>
      <c r="CZJ1631" s="1"/>
      <c r="CZK1631" s="1"/>
      <c r="CZL1631" s="1"/>
      <c r="CZM1631" s="1"/>
      <c r="CZN1631" s="1"/>
      <c r="CZO1631" s="1"/>
      <c r="CZP1631" s="1"/>
      <c r="CZQ1631" s="1"/>
      <c r="CZR1631" s="1"/>
      <c r="CZS1631" s="1"/>
      <c r="CZT1631" s="1"/>
      <c r="CZU1631" s="1"/>
      <c r="CZV1631" s="1"/>
      <c r="CZW1631" s="1"/>
      <c r="CZX1631" s="1"/>
      <c r="CZY1631" s="1"/>
      <c r="CZZ1631" s="1"/>
      <c r="DAA1631" s="1"/>
      <c r="DAB1631" s="1"/>
      <c r="DAC1631" s="1"/>
      <c r="DAD1631" s="1"/>
      <c r="DAE1631" s="1"/>
      <c r="DAF1631" s="1"/>
      <c r="DAG1631" s="1"/>
      <c r="DAH1631" s="1"/>
      <c r="DAI1631" s="1"/>
      <c r="DAJ1631" s="1"/>
      <c r="DAK1631" s="1"/>
      <c r="DAL1631" s="1"/>
      <c r="DAM1631" s="1"/>
      <c r="DAN1631" s="1"/>
      <c r="DAO1631" s="1"/>
      <c r="DAP1631" s="1"/>
      <c r="DAQ1631" s="1"/>
      <c r="DAR1631" s="1"/>
      <c r="DAS1631" s="1"/>
      <c r="DAT1631" s="1"/>
      <c r="DAU1631" s="1"/>
      <c r="DAV1631" s="1"/>
      <c r="DAW1631" s="1"/>
      <c r="DAX1631" s="1"/>
      <c r="DAY1631" s="1"/>
      <c r="DAZ1631" s="1"/>
      <c r="DBA1631" s="1"/>
      <c r="DBB1631" s="1"/>
      <c r="DBC1631" s="1"/>
      <c r="DBD1631" s="1"/>
      <c r="DBE1631" s="1"/>
      <c r="DBF1631" s="1"/>
      <c r="DBG1631" s="1"/>
      <c r="DBH1631" s="1"/>
      <c r="DBI1631" s="1"/>
      <c r="DBJ1631" s="1"/>
      <c r="DBK1631" s="1"/>
      <c r="DBL1631" s="1"/>
      <c r="DBM1631" s="1"/>
      <c r="DBN1631" s="1"/>
      <c r="DBO1631" s="1"/>
      <c r="DBP1631" s="1"/>
      <c r="DBQ1631" s="1"/>
      <c r="DBR1631" s="1"/>
      <c r="DBS1631" s="1"/>
      <c r="DBT1631" s="1"/>
      <c r="DBU1631" s="1"/>
      <c r="DBV1631" s="1"/>
      <c r="DBW1631" s="1"/>
      <c r="DBX1631" s="1"/>
      <c r="DBY1631" s="1"/>
      <c r="DBZ1631" s="1"/>
      <c r="DCA1631" s="1"/>
      <c r="DCB1631" s="1"/>
      <c r="DCC1631" s="1"/>
      <c r="DCD1631" s="1"/>
      <c r="DCE1631" s="1"/>
      <c r="DCF1631" s="1"/>
      <c r="DCG1631" s="1"/>
      <c r="DCH1631" s="1"/>
      <c r="DCI1631" s="1"/>
      <c r="DCJ1631" s="1"/>
      <c r="DCK1631" s="1"/>
      <c r="DCL1631" s="1"/>
      <c r="DCM1631" s="1"/>
      <c r="DCN1631" s="1"/>
      <c r="DCO1631" s="1"/>
      <c r="DCP1631" s="1"/>
      <c r="DCQ1631" s="1"/>
      <c r="DCR1631" s="1"/>
      <c r="DCS1631" s="1"/>
      <c r="DCT1631" s="1"/>
      <c r="DCU1631" s="1"/>
      <c r="DCV1631" s="1"/>
      <c r="DCW1631" s="1"/>
      <c r="DCX1631" s="1"/>
      <c r="DCY1631" s="1"/>
      <c r="DCZ1631" s="1"/>
      <c r="DDA1631" s="1"/>
      <c r="DDB1631" s="1"/>
      <c r="DDC1631" s="1"/>
      <c r="DDD1631" s="1"/>
      <c r="DDE1631" s="1"/>
      <c r="DDF1631" s="1"/>
      <c r="DDG1631" s="1"/>
      <c r="DDH1631" s="1"/>
      <c r="DDI1631" s="1"/>
      <c r="DDJ1631" s="1"/>
      <c r="DDK1631" s="1"/>
      <c r="DDL1631" s="1"/>
      <c r="DDM1631" s="1"/>
      <c r="DDN1631" s="1"/>
      <c r="DDO1631" s="1"/>
      <c r="DDP1631" s="1"/>
      <c r="DDQ1631" s="1"/>
      <c r="DDR1631" s="1"/>
      <c r="DDS1631" s="1"/>
      <c r="DDT1631" s="1"/>
      <c r="DDU1631" s="1"/>
      <c r="DDV1631" s="1"/>
      <c r="DDW1631" s="1"/>
      <c r="DDX1631" s="1"/>
      <c r="DDY1631" s="1"/>
      <c r="DDZ1631" s="1"/>
      <c r="DEA1631" s="1"/>
      <c r="DEB1631" s="1"/>
      <c r="DEC1631" s="1"/>
      <c r="DED1631" s="1"/>
      <c r="DEE1631" s="1"/>
      <c r="DEF1631" s="1"/>
      <c r="DEG1631" s="1"/>
      <c r="DEH1631" s="1"/>
      <c r="DEI1631" s="1"/>
      <c r="DEJ1631" s="1"/>
      <c r="DEK1631" s="1"/>
      <c r="DEL1631" s="1"/>
      <c r="DEM1631" s="1"/>
      <c r="DEN1631" s="1"/>
      <c r="DEO1631" s="1"/>
      <c r="DEP1631" s="1"/>
      <c r="DEQ1631" s="1"/>
      <c r="DER1631" s="1"/>
      <c r="DES1631" s="1"/>
      <c r="DET1631" s="1"/>
      <c r="DEU1631" s="1"/>
      <c r="DEV1631" s="1"/>
      <c r="DEW1631" s="1"/>
      <c r="DEX1631" s="1"/>
      <c r="DEY1631" s="1"/>
      <c r="DEZ1631" s="1"/>
      <c r="DFA1631" s="1"/>
      <c r="DFB1631" s="1"/>
      <c r="DFC1631" s="1"/>
      <c r="DFD1631" s="1"/>
      <c r="DFE1631" s="1"/>
      <c r="DFF1631" s="1"/>
      <c r="DFG1631" s="1"/>
      <c r="DFH1631" s="1"/>
      <c r="DFI1631" s="1"/>
      <c r="DFJ1631" s="1"/>
      <c r="DFK1631" s="1"/>
      <c r="DFL1631" s="1"/>
      <c r="DFM1631" s="1"/>
      <c r="DFN1631" s="1"/>
      <c r="DFO1631" s="1"/>
      <c r="DFP1631" s="1"/>
      <c r="DFQ1631" s="1"/>
      <c r="DFR1631" s="1"/>
      <c r="DFS1631" s="1"/>
      <c r="DFT1631" s="1"/>
      <c r="DFU1631" s="1"/>
      <c r="DFV1631" s="1"/>
      <c r="DFW1631" s="1"/>
      <c r="DFX1631" s="1"/>
      <c r="DFY1631" s="1"/>
      <c r="DFZ1631" s="1"/>
      <c r="DGA1631" s="1"/>
      <c r="DGB1631" s="1"/>
      <c r="DGC1631" s="1"/>
      <c r="DGD1631" s="1"/>
      <c r="DGE1631" s="1"/>
      <c r="DGF1631" s="1"/>
      <c r="DGG1631" s="1"/>
      <c r="DGH1631" s="1"/>
      <c r="DGI1631" s="1"/>
      <c r="DGJ1631" s="1"/>
      <c r="DGK1631" s="1"/>
      <c r="DGL1631" s="1"/>
      <c r="DGM1631" s="1"/>
      <c r="DGN1631" s="1"/>
      <c r="DGO1631" s="1"/>
      <c r="DGP1631" s="1"/>
      <c r="DGQ1631" s="1"/>
      <c r="DGR1631" s="1"/>
      <c r="DGS1631" s="1"/>
      <c r="DGT1631" s="1"/>
      <c r="DGU1631" s="1"/>
      <c r="DGV1631" s="1"/>
      <c r="DGW1631" s="1"/>
      <c r="DGX1631" s="1"/>
      <c r="DGY1631" s="1"/>
      <c r="DGZ1631" s="1"/>
      <c r="DHA1631" s="1"/>
      <c r="DHB1631" s="1"/>
      <c r="DHC1631" s="1"/>
      <c r="DHD1631" s="1"/>
      <c r="DHE1631" s="1"/>
      <c r="DHF1631" s="1"/>
      <c r="DHG1631" s="1"/>
      <c r="DHH1631" s="1"/>
      <c r="DHI1631" s="1"/>
      <c r="DHJ1631" s="1"/>
      <c r="DHK1631" s="1"/>
      <c r="DHL1631" s="1"/>
      <c r="DHM1631" s="1"/>
      <c r="DHN1631" s="1"/>
      <c r="DHO1631" s="1"/>
      <c r="DHP1631" s="1"/>
      <c r="DHQ1631" s="1"/>
      <c r="DHR1631" s="1"/>
      <c r="DHS1631" s="1"/>
      <c r="DHT1631" s="1"/>
      <c r="DHU1631" s="1"/>
      <c r="DHV1631" s="1"/>
      <c r="DHW1631" s="1"/>
      <c r="DHX1631" s="1"/>
      <c r="DHY1631" s="1"/>
      <c r="DHZ1631" s="1"/>
      <c r="DIA1631" s="1"/>
      <c r="DIB1631" s="1"/>
      <c r="DIC1631" s="1"/>
      <c r="DID1631" s="1"/>
      <c r="DIE1631" s="1"/>
      <c r="DIF1631" s="1"/>
      <c r="DIG1631" s="1"/>
      <c r="DIH1631" s="1"/>
      <c r="DII1631" s="1"/>
      <c r="DIJ1631" s="1"/>
      <c r="DIK1631" s="1"/>
      <c r="DIL1631" s="1"/>
      <c r="DIM1631" s="1"/>
      <c r="DIN1631" s="1"/>
      <c r="DIO1631" s="1"/>
      <c r="DIP1631" s="1"/>
      <c r="DIQ1631" s="1"/>
      <c r="DIR1631" s="1"/>
      <c r="DIS1631" s="1"/>
      <c r="DIT1631" s="1"/>
      <c r="DIU1631" s="1"/>
      <c r="DIV1631" s="1"/>
      <c r="DIW1631" s="1"/>
      <c r="DIX1631" s="1"/>
      <c r="DIY1631" s="1"/>
      <c r="DIZ1631" s="1"/>
      <c r="DJA1631" s="1"/>
      <c r="DJB1631" s="1"/>
      <c r="DJC1631" s="1"/>
      <c r="DJD1631" s="1"/>
      <c r="DJE1631" s="1"/>
      <c r="DJF1631" s="1"/>
      <c r="DJG1631" s="1"/>
      <c r="DJH1631" s="1"/>
      <c r="DJI1631" s="1"/>
      <c r="DJJ1631" s="1"/>
      <c r="DJK1631" s="1"/>
      <c r="DJL1631" s="1"/>
      <c r="DJM1631" s="1"/>
      <c r="DJN1631" s="1"/>
      <c r="DJO1631" s="1"/>
      <c r="DJP1631" s="1"/>
      <c r="DJQ1631" s="1"/>
      <c r="DJR1631" s="1"/>
      <c r="DJS1631" s="1"/>
      <c r="DJT1631" s="1"/>
      <c r="DJU1631" s="1"/>
      <c r="DJV1631" s="1"/>
      <c r="DJW1631" s="1"/>
      <c r="DJX1631" s="1"/>
      <c r="DJY1631" s="1"/>
      <c r="DJZ1631" s="1"/>
      <c r="DKA1631" s="1"/>
      <c r="DKB1631" s="1"/>
      <c r="DKC1631" s="1"/>
      <c r="DKD1631" s="1"/>
      <c r="DKE1631" s="1"/>
      <c r="DKF1631" s="1"/>
      <c r="DKG1631" s="1"/>
      <c r="DKH1631" s="1"/>
      <c r="DKI1631" s="1"/>
      <c r="DKJ1631" s="1"/>
      <c r="DKK1631" s="1"/>
      <c r="DKL1631" s="1"/>
      <c r="DKM1631" s="1"/>
      <c r="DKN1631" s="1"/>
      <c r="DKO1631" s="1"/>
      <c r="DKP1631" s="1"/>
      <c r="DKQ1631" s="1"/>
      <c r="DKR1631" s="1"/>
      <c r="DKS1631" s="1"/>
      <c r="DKT1631" s="1"/>
      <c r="DKU1631" s="1"/>
      <c r="DKV1631" s="1"/>
      <c r="DKW1631" s="1"/>
      <c r="DKX1631" s="1"/>
      <c r="DKY1631" s="1"/>
      <c r="DKZ1631" s="1"/>
      <c r="DLA1631" s="1"/>
      <c r="DLB1631" s="1"/>
      <c r="DLC1631" s="1"/>
      <c r="DLD1631" s="1"/>
      <c r="DLE1631" s="1"/>
      <c r="DLF1631" s="1"/>
      <c r="DLG1631" s="1"/>
      <c r="DLH1631" s="1"/>
      <c r="DLI1631" s="1"/>
      <c r="DLJ1631" s="1"/>
      <c r="DLK1631" s="1"/>
      <c r="DLL1631" s="1"/>
      <c r="DLM1631" s="1"/>
      <c r="DLN1631" s="1"/>
      <c r="DLO1631" s="1"/>
      <c r="DLP1631" s="1"/>
      <c r="DLQ1631" s="1"/>
      <c r="DLR1631" s="1"/>
      <c r="DLS1631" s="1"/>
      <c r="DLT1631" s="1"/>
      <c r="DLU1631" s="1"/>
      <c r="DLV1631" s="1"/>
      <c r="DLW1631" s="1"/>
      <c r="DLX1631" s="1"/>
      <c r="DLY1631" s="1"/>
      <c r="DLZ1631" s="1"/>
      <c r="DMA1631" s="1"/>
      <c r="DMB1631" s="1"/>
      <c r="DMC1631" s="1"/>
      <c r="DMD1631" s="1"/>
      <c r="DME1631" s="1"/>
      <c r="DMF1631" s="1"/>
      <c r="DMG1631" s="1"/>
      <c r="DMH1631" s="1"/>
      <c r="DMI1631" s="1"/>
      <c r="DMJ1631" s="1"/>
      <c r="DMK1631" s="1"/>
      <c r="DML1631" s="1"/>
      <c r="DMM1631" s="1"/>
      <c r="DMN1631" s="1"/>
      <c r="DMO1631" s="1"/>
      <c r="DMP1631" s="1"/>
      <c r="DMQ1631" s="1"/>
      <c r="DMR1631" s="1"/>
      <c r="DMS1631" s="1"/>
      <c r="DMT1631" s="1"/>
      <c r="DMU1631" s="1"/>
      <c r="DMV1631" s="1"/>
      <c r="DMW1631" s="1"/>
      <c r="DMX1631" s="1"/>
      <c r="DMY1631" s="1"/>
      <c r="DMZ1631" s="1"/>
      <c r="DNA1631" s="1"/>
      <c r="DNB1631" s="1"/>
      <c r="DNC1631" s="1"/>
      <c r="DND1631" s="1"/>
      <c r="DNE1631" s="1"/>
      <c r="DNF1631" s="1"/>
      <c r="DNG1631" s="1"/>
      <c r="DNH1631" s="1"/>
      <c r="DNI1631" s="1"/>
      <c r="DNJ1631" s="1"/>
      <c r="DNK1631" s="1"/>
      <c r="DNL1631" s="1"/>
      <c r="DNM1631" s="1"/>
      <c r="DNN1631" s="1"/>
      <c r="DNO1631" s="1"/>
      <c r="DNP1631" s="1"/>
      <c r="DNQ1631" s="1"/>
      <c r="DNR1631" s="1"/>
      <c r="DNS1631" s="1"/>
      <c r="DNT1631" s="1"/>
      <c r="DNU1631" s="1"/>
      <c r="DNV1631" s="1"/>
      <c r="DNW1631" s="1"/>
      <c r="DNX1631" s="1"/>
      <c r="DNY1631" s="1"/>
      <c r="DNZ1631" s="1"/>
      <c r="DOA1631" s="1"/>
      <c r="DOB1631" s="1"/>
      <c r="DOC1631" s="1"/>
      <c r="DOD1631" s="1"/>
      <c r="DOE1631" s="1"/>
      <c r="DOF1631" s="1"/>
      <c r="DOG1631" s="1"/>
      <c r="DOH1631" s="1"/>
      <c r="DOI1631" s="1"/>
      <c r="DOJ1631" s="1"/>
      <c r="DOK1631" s="1"/>
      <c r="DOL1631" s="1"/>
      <c r="DOM1631" s="1"/>
      <c r="DON1631" s="1"/>
      <c r="DOO1631" s="1"/>
      <c r="DOP1631" s="1"/>
      <c r="DOQ1631" s="1"/>
      <c r="DOR1631" s="1"/>
      <c r="DOS1631" s="1"/>
      <c r="DOT1631" s="1"/>
      <c r="DOU1631" s="1"/>
      <c r="DOV1631" s="1"/>
      <c r="DOW1631" s="1"/>
      <c r="DOX1631" s="1"/>
      <c r="DOY1631" s="1"/>
      <c r="DOZ1631" s="1"/>
      <c r="DPA1631" s="1"/>
      <c r="DPB1631" s="1"/>
      <c r="DPC1631" s="1"/>
      <c r="DPD1631" s="1"/>
      <c r="DPE1631" s="1"/>
      <c r="DPF1631" s="1"/>
      <c r="DPG1631" s="1"/>
      <c r="DPH1631" s="1"/>
      <c r="DPI1631" s="1"/>
      <c r="DPJ1631" s="1"/>
      <c r="DPK1631" s="1"/>
      <c r="DPL1631" s="1"/>
      <c r="DPM1631" s="1"/>
      <c r="DPN1631" s="1"/>
      <c r="DPO1631" s="1"/>
      <c r="DPP1631" s="1"/>
      <c r="DPQ1631" s="1"/>
      <c r="DPR1631" s="1"/>
      <c r="DPS1631" s="1"/>
      <c r="DPT1631" s="1"/>
      <c r="DPU1631" s="1"/>
      <c r="DPV1631" s="1"/>
      <c r="DPW1631" s="1"/>
      <c r="DPX1631" s="1"/>
      <c r="DPY1631" s="1"/>
      <c r="DPZ1631" s="1"/>
      <c r="DQA1631" s="1"/>
      <c r="DQB1631" s="1"/>
      <c r="DQC1631" s="1"/>
      <c r="DQD1631" s="1"/>
      <c r="DQE1631" s="1"/>
      <c r="DQF1631" s="1"/>
      <c r="DQG1631" s="1"/>
      <c r="DQH1631" s="1"/>
      <c r="DQI1631" s="1"/>
      <c r="DQJ1631" s="1"/>
      <c r="DQK1631" s="1"/>
      <c r="DQL1631" s="1"/>
      <c r="DQM1631" s="1"/>
      <c r="DQN1631" s="1"/>
      <c r="DQO1631" s="1"/>
      <c r="DQP1631" s="1"/>
      <c r="DQQ1631" s="1"/>
      <c r="DQR1631" s="1"/>
      <c r="DQS1631" s="1"/>
      <c r="DQT1631" s="1"/>
      <c r="DQU1631" s="1"/>
      <c r="DQV1631" s="1"/>
      <c r="DQW1631" s="1"/>
      <c r="DQX1631" s="1"/>
      <c r="DQY1631" s="1"/>
      <c r="DQZ1631" s="1"/>
      <c r="DRA1631" s="1"/>
      <c r="DRB1631" s="1"/>
      <c r="DRC1631" s="1"/>
      <c r="DRD1631" s="1"/>
      <c r="DRE1631" s="1"/>
      <c r="DRF1631" s="1"/>
      <c r="DRG1631" s="1"/>
      <c r="DRH1631" s="1"/>
      <c r="DRI1631" s="1"/>
      <c r="DRJ1631" s="1"/>
      <c r="DRK1631" s="1"/>
      <c r="DRL1631" s="1"/>
      <c r="DRM1631" s="1"/>
      <c r="DRN1631" s="1"/>
      <c r="DRO1631" s="1"/>
      <c r="DRP1631" s="1"/>
      <c r="DRQ1631" s="1"/>
      <c r="DRR1631" s="1"/>
      <c r="DRS1631" s="1"/>
      <c r="DRT1631" s="1"/>
      <c r="DRU1631" s="1"/>
      <c r="DRV1631" s="1"/>
      <c r="DRW1631" s="1"/>
      <c r="DRX1631" s="1"/>
      <c r="DRY1631" s="1"/>
      <c r="DRZ1631" s="1"/>
      <c r="DSA1631" s="1"/>
      <c r="DSB1631" s="1"/>
      <c r="DSC1631" s="1"/>
      <c r="DSD1631" s="1"/>
      <c r="DSE1631" s="1"/>
      <c r="DSF1631" s="1"/>
      <c r="DSG1631" s="1"/>
      <c r="DSH1631" s="1"/>
      <c r="DSI1631" s="1"/>
      <c r="DSJ1631" s="1"/>
      <c r="DSK1631" s="1"/>
      <c r="DSL1631" s="1"/>
      <c r="DSM1631" s="1"/>
      <c r="DSN1631" s="1"/>
      <c r="DSO1631" s="1"/>
      <c r="DSP1631" s="1"/>
      <c r="DSQ1631" s="1"/>
      <c r="DSR1631" s="1"/>
      <c r="DSS1631" s="1"/>
      <c r="DST1631" s="1"/>
      <c r="DSU1631" s="1"/>
      <c r="DSV1631" s="1"/>
      <c r="DSW1631" s="1"/>
      <c r="DSX1631" s="1"/>
      <c r="DSY1631" s="1"/>
      <c r="DSZ1631" s="1"/>
      <c r="DTA1631" s="1"/>
      <c r="DTB1631" s="1"/>
      <c r="DTC1631" s="1"/>
      <c r="DTD1631" s="1"/>
      <c r="DTE1631" s="1"/>
      <c r="DTF1631" s="1"/>
      <c r="DTG1631" s="1"/>
      <c r="DTH1631" s="1"/>
      <c r="DTI1631" s="1"/>
      <c r="DTJ1631" s="1"/>
      <c r="DTK1631" s="1"/>
      <c r="DTL1631" s="1"/>
      <c r="DTM1631" s="1"/>
      <c r="DTN1631" s="1"/>
      <c r="DTO1631" s="1"/>
      <c r="DTP1631" s="1"/>
      <c r="DTQ1631" s="1"/>
      <c r="DTR1631" s="1"/>
      <c r="DTS1631" s="1"/>
      <c r="DTT1631" s="1"/>
      <c r="DTU1631" s="1"/>
      <c r="DTV1631" s="1"/>
      <c r="DTW1631" s="1"/>
      <c r="DTX1631" s="1"/>
      <c r="DTY1631" s="1"/>
      <c r="DTZ1631" s="1"/>
      <c r="DUA1631" s="1"/>
      <c r="DUB1631" s="1"/>
      <c r="DUC1631" s="1"/>
      <c r="DUD1631" s="1"/>
      <c r="DUE1631" s="1"/>
      <c r="DUF1631" s="1"/>
      <c r="DUG1631" s="1"/>
      <c r="DUH1631" s="1"/>
      <c r="DUI1631" s="1"/>
      <c r="DUJ1631" s="1"/>
      <c r="DUK1631" s="1"/>
      <c r="DUL1631" s="1"/>
      <c r="DUM1631" s="1"/>
      <c r="DUN1631" s="1"/>
      <c r="DUO1631" s="1"/>
      <c r="DUP1631" s="1"/>
      <c r="DUQ1631" s="1"/>
      <c r="DUR1631" s="1"/>
      <c r="DUS1631" s="1"/>
      <c r="DUT1631" s="1"/>
      <c r="DUU1631" s="1"/>
      <c r="DUV1631" s="1"/>
      <c r="DUW1631" s="1"/>
      <c r="DUX1631" s="1"/>
      <c r="DUY1631" s="1"/>
      <c r="DUZ1631" s="1"/>
      <c r="DVA1631" s="1"/>
      <c r="DVB1631" s="1"/>
      <c r="DVC1631" s="1"/>
      <c r="DVD1631" s="1"/>
      <c r="DVE1631" s="1"/>
      <c r="DVF1631" s="1"/>
      <c r="DVG1631" s="1"/>
      <c r="DVH1631" s="1"/>
      <c r="DVI1631" s="1"/>
      <c r="DVJ1631" s="1"/>
      <c r="DVK1631" s="1"/>
      <c r="DVL1631" s="1"/>
      <c r="DVM1631" s="1"/>
      <c r="DVN1631" s="1"/>
      <c r="DVO1631" s="1"/>
      <c r="DVP1631" s="1"/>
      <c r="DVQ1631" s="1"/>
      <c r="DVR1631" s="1"/>
      <c r="DVS1631" s="1"/>
      <c r="DVT1631" s="1"/>
      <c r="DVU1631" s="1"/>
      <c r="DVV1631" s="1"/>
      <c r="DVW1631" s="1"/>
      <c r="DVX1631" s="1"/>
      <c r="DVY1631" s="1"/>
      <c r="DVZ1631" s="1"/>
      <c r="DWA1631" s="1"/>
      <c r="DWB1631" s="1"/>
      <c r="DWC1631" s="1"/>
      <c r="DWD1631" s="1"/>
      <c r="DWE1631" s="1"/>
      <c r="DWF1631" s="1"/>
      <c r="DWG1631" s="1"/>
      <c r="DWH1631" s="1"/>
      <c r="DWI1631" s="1"/>
      <c r="DWJ1631" s="1"/>
      <c r="DWK1631" s="1"/>
      <c r="DWL1631" s="1"/>
      <c r="DWM1631" s="1"/>
      <c r="DWN1631" s="1"/>
      <c r="DWO1631" s="1"/>
      <c r="DWP1631" s="1"/>
      <c r="DWQ1631" s="1"/>
      <c r="DWR1631" s="1"/>
      <c r="DWS1631" s="1"/>
      <c r="DWT1631" s="1"/>
      <c r="DWU1631" s="1"/>
      <c r="DWV1631" s="1"/>
      <c r="DWW1631" s="1"/>
      <c r="DWX1631" s="1"/>
      <c r="DWY1631" s="1"/>
      <c r="DWZ1631" s="1"/>
      <c r="DXA1631" s="1"/>
      <c r="DXB1631" s="1"/>
      <c r="DXC1631" s="1"/>
      <c r="DXD1631" s="1"/>
      <c r="DXE1631" s="1"/>
      <c r="DXF1631" s="1"/>
      <c r="DXG1631" s="1"/>
      <c r="DXH1631" s="1"/>
      <c r="DXI1631" s="1"/>
      <c r="DXJ1631" s="1"/>
      <c r="DXK1631" s="1"/>
      <c r="DXL1631" s="1"/>
      <c r="DXM1631" s="1"/>
      <c r="DXN1631" s="1"/>
      <c r="DXO1631" s="1"/>
      <c r="DXP1631" s="1"/>
      <c r="DXQ1631" s="1"/>
      <c r="DXR1631" s="1"/>
      <c r="DXS1631" s="1"/>
      <c r="DXT1631" s="1"/>
      <c r="DXU1631" s="1"/>
      <c r="DXV1631" s="1"/>
      <c r="DXW1631" s="1"/>
      <c r="DXX1631" s="1"/>
      <c r="DXY1631" s="1"/>
      <c r="DXZ1631" s="1"/>
      <c r="DYA1631" s="1"/>
      <c r="DYB1631" s="1"/>
      <c r="DYC1631" s="1"/>
      <c r="DYD1631" s="1"/>
      <c r="DYE1631" s="1"/>
      <c r="DYF1631" s="1"/>
      <c r="DYG1631" s="1"/>
      <c r="DYH1631" s="1"/>
      <c r="DYI1631" s="1"/>
      <c r="DYJ1631" s="1"/>
      <c r="DYK1631" s="1"/>
      <c r="DYL1631" s="1"/>
      <c r="DYM1631" s="1"/>
      <c r="DYN1631" s="1"/>
      <c r="DYO1631" s="1"/>
      <c r="DYP1631" s="1"/>
      <c r="DYQ1631" s="1"/>
      <c r="DYR1631" s="1"/>
      <c r="DYS1631" s="1"/>
      <c r="DYT1631" s="1"/>
      <c r="DYU1631" s="1"/>
      <c r="DYV1631" s="1"/>
      <c r="DYW1631" s="1"/>
      <c r="DYX1631" s="1"/>
      <c r="DYY1631" s="1"/>
      <c r="DYZ1631" s="1"/>
      <c r="DZA1631" s="1"/>
      <c r="DZB1631" s="1"/>
      <c r="DZC1631" s="1"/>
      <c r="DZD1631" s="1"/>
      <c r="DZE1631" s="1"/>
      <c r="DZF1631" s="1"/>
      <c r="DZG1631" s="1"/>
      <c r="DZH1631" s="1"/>
      <c r="DZI1631" s="1"/>
      <c r="DZJ1631" s="1"/>
      <c r="DZK1631" s="1"/>
      <c r="DZL1631" s="1"/>
      <c r="DZM1631" s="1"/>
      <c r="DZN1631" s="1"/>
      <c r="DZO1631" s="1"/>
      <c r="DZP1631" s="1"/>
      <c r="DZQ1631" s="1"/>
      <c r="DZR1631" s="1"/>
      <c r="DZS1631" s="1"/>
      <c r="DZT1631" s="1"/>
      <c r="DZU1631" s="1"/>
      <c r="DZV1631" s="1"/>
      <c r="DZW1631" s="1"/>
      <c r="DZX1631" s="1"/>
      <c r="DZY1631" s="1"/>
      <c r="DZZ1631" s="1"/>
      <c r="EAA1631" s="1"/>
      <c r="EAB1631" s="1"/>
      <c r="EAC1631" s="1"/>
      <c r="EAD1631" s="1"/>
      <c r="EAE1631" s="1"/>
      <c r="EAF1631" s="1"/>
      <c r="EAG1631" s="1"/>
      <c r="EAH1631" s="1"/>
      <c r="EAI1631" s="1"/>
      <c r="EAJ1631" s="1"/>
      <c r="EAK1631" s="1"/>
      <c r="EAL1631" s="1"/>
      <c r="EAM1631" s="1"/>
      <c r="EAN1631" s="1"/>
      <c r="EAO1631" s="1"/>
      <c r="EAP1631" s="1"/>
      <c r="EAQ1631" s="1"/>
      <c r="EAR1631" s="1"/>
      <c r="EAS1631" s="1"/>
      <c r="EAT1631" s="1"/>
      <c r="EAU1631" s="1"/>
      <c r="EAV1631" s="1"/>
      <c r="EAW1631" s="1"/>
      <c r="EAX1631" s="1"/>
      <c r="EAY1631" s="1"/>
      <c r="EAZ1631" s="1"/>
      <c r="EBA1631" s="1"/>
      <c r="EBB1631" s="1"/>
      <c r="EBC1631" s="1"/>
      <c r="EBD1631" s="1"/>
      <c r="EBE1631" s="1"/>
      <c r="EBF1631" s="1"/>
      <c r="EBG1631" s="1"/>
      <c r="EBH1631" s="1"/>
      <c r="EBI1631" s="1"/>
      <c r="EBJ1631" s="1"/>
      <c r="EBK1631" s="1"/>
      <c r="EBL1631" s="1"/>
      <c r="EBM1631" s="1"/>
      <c r="EBN1631" s="1"/>
      <c r="EBO1631" s="1"/>
      <c r="EBP1631" s="1"/>
      <c r="EBQ1631" s="1"/>
      <c r="EBR1631" s="1"/>
      <c r="EBS1631" s="1"/>
      <c r="EBT1631" s="1"/>
      <c r="EBU1631" s="1"/>
      <c r="EBV1631" s="1"/>
      <c r="EBW1631" s="1"/>
      <c r="EBX1631" s="1"/>
      <c r="EBY1631" s="1"/>
      <c r="EBZ1631" s="1"/>
      <c r="ECA1631" s="1"/>
      <c r="ECB1631" s="1"/>
      <c r="ECC1631" s="1"/>
      <c r="ECD1631" s="1"/>
      <c r="ECE1631" s="1"/>
      <c r="ECF1631" s="1"/>
      <c r="ECG1631" s="1"/>
      <c r="ECH1631" s="1"/>
      <c r="ECI1631" s="1"/>
      <c r="ECJ1631" s="1"/>
      <c r="ECK1631" s="1"/>
      <c r="ECL1631" s="1"/>
      <c r="ECM1631" s="1"/>
      <c r="ECN1631" s="1"/>
      <c r="ECO1631" s="1"/>
      <c r="ECP1631" s="1"/>
      <c r="ECQ1631" s="1"/>
      <c r="ECR1631" s="1"/>
      <c r="ECS1631" s="1"/>
      <c r="ECT1631" s="1"/>
      <c r="ECU1631" s="1"/>
      <c r="ECV1631" s="1"/>
      <c r="ECW1631" s="1"/>
      <c r="ECX1631" s="1"/>
      <c r="ECY1631" s="1"/>
      <c r="ECZ1631" s="1"/>
      <c r="EDA1631" s="1"/>
      <c r="EDB1631" s="1"/>
      <c r="EDC1631" s="1"/>
      <c r="EDD1631" s="1"/>
      <c r="EDE1631" s="1"/>
      <c r="EDF1631" s="1"/>
      <c r="EDG1631" s="1"/>
      <c r="EDH1631" s="1"/>
      <c r="EDI1631" s="1"/>
      <c r="EDJ1631" s="1"/>
      <c r="EDK1631" s="1"/>
      <c r="EDL1631" s="1"/>
      <c r="EDM1631" s="1"/>
      <c r="EDN1631" s="1"/>
      <c r="EDO1631" s="1"/>
      <c r="EDP1631" s="1"/>
      <c r="EDQ1631" s="1"/>
      <c r="EDR1631" s="1"/>
      <c r="EDS1631" s="1"/>
      <c r="EDT1631" s="1"/>
      <c r="EDU1631" s="1"/>
      <c r="EDV1631" s="1"/>
      <c r="EDW1631" s="1"/>
      <c r="EDX1631" s="1"/>
      <c r="EDY1631" s="1"/>
      <c r="EDZ1631" s="1"/>
      <c r="EEA1631" s="1"/>
      <c r="EEB1631" s="1"/>
      <c r="EEC1631" s="1"/>
      <c r="EED1631" s="1"/>
      <c r="EEE1631" s="1"/>
      <c r="EEF1631" s="1"/>
      <c r="EEG1631" s="1"/>
      <c r="EEH1631" s="1"/>
      <c r="EEI1631" s="1"/>
      <c r="EEJ1631" s="1"/>
      <c r="EEK1631" s="1"/>
      <c r="EEL1631" s="1"/>
      <c r="EEM1631" s="1"/>
      <c r="EEN1631" s="1"/>
      <c r="EEO1631" s="1"/>
      <c r="EEP1631" s="1"/>
      <c r="EEQ1631" s="1"/>
      <c r="EER1631" s="1"/>
      <c r="EES1631" s="1"/>
      <c r="EET1631" s="1"/>
      <c r="EEU1631" s="1"/>
      <c r="EEV1631" s="1"/>
      <c r="EEW1631" s="1"/>
      <c r="EEX1631" s="1"/>
      <c r="EEY1631" s="1"/>
      <c r="EEZ1631" s="1"/>
      <c r="EFA1631" s="1"/>
      <c r="EFB1631" s="1"/>
      <c r="EFC1631" s="1"/>
      <c r="EFD1631" s="1"/>
      <c r="EFE1631" s="1"/>
      <c r="EFF1631" s="1"/>
      <c r="EFG1631" s="1"/>
      <c r="EFH1631" s="1"/>
      <c r="EFI1631" s="1"/>
      <c r="EFJ1631" s="1"/>
      <c r="EFK1631" s="1"/>
      <c r="EFL1631" s="1"/>
      <c r="EFM1631" s="1"/>
      <c r="EFN1631" s="1"/>
      <c r="EFO1631" s="1"/>
      <c r="EFP1631" s="1"/>
      <c r="EFQ1631" s="1"/>
      <c r="EFR1631" s="1"/>
      <c r="EFS1631" s="1"/>
      <c r="EFT1631" s="1"/>
      <c r="EFU1631" s="1"/>
      <c r="EFV1631" s="1"/>
      <c r="EFW1631" s="1"/>
      <c r="EFX1631" s="1"/>
      <c r="EFY1631" s="1"/>
      <c r="EFZ1631" s="1"/>
      <c r="EGA1631" s="1"/>
      <c r="EGB1631" s="1"/>
      <c r="EGC1631" s="1"/>
      <c r="EGD1631" s="1"/>
      <c r="EGE1631" s="1"/>
      <c r="EGF1631" s="1"/>
      <c r="EGG1631" s="1"/>
      <c r="EGH1631" s="1"/>
      <c r="EGI1631" s="1"/>
      <c r="EGJ1631" s="1"/>
      <c r="EGK1631" s="1"/>
      <c r="EGL1631" s="1"/>
      <c r="EGM1631" s="1"/>
      <c r="EGN1631" s="1"/>
      <c r="EGO1631" s="1"/>
      <c r="EGP1631" s="1"/>
      <c r="EGQ1631" s="1"/>
      <c r="EGR1631" s="1"/>
      <c r="EGS1631" s="1"/>
      <c r="EGT1631" s="1"/>
      <c r="EGU1631" s="1"/>
      <c r="EGV1631" s="1"/>
      <c r="EGW1631" s="1"/>
      <c r="EGX1631" s="1"/>
      <c r="EGY1631" s="1"/>
      <c r="EGZ1631" s="1"/>
      <c r="EHA1631" s="1"/>
      <c r="EHB1631" s="1"/>
      <c r="EHC1631" s="1"/>
      <c r="EHD1631" s="1"/>
      <c r="EHE1631" s="1"/>
      <c r="EHF1631" s="1"/>
      <c r="EHG1631" s="1"/>
      <c r="EHH1631" s="1"/>
      <c r="EHI1631" s="1"/>
      <c r="EHJ1631" s="1"/>
      <c r="EHK1631" s="1"/>
      <c r="EHL1631" s="1"/>
      <c r="EHM1631" s="1"/>
      <c r="EHN1631" s="1"/>
      <c r="EHO1631" s="1"/>
      <c r="EHP1631" s="1"/>
      <c r="EHQ1631" s="1"/>
      <c r="EHR1631" s="1"/>
      <c r="EHS1631" s="1"/>
      <c r="EHT1631" s="1"/>
      <c r="EHU1631" s="1"/>
      <c r="EHV1631" s="1"/>
      <c r="EHW1631" s="1"/>
      <c r="EHX1631" s="1"/>
      <c r="EHY1631" s="1"/>
      <c r="EHZ1631" s="1"/>
      <c r="EIA1631" s="1"/>
      <c r="EIB1631" s="1"/>
      <c r="EIC1631" s="1"/>
      <c r="EID1631" s="1"/>
      <c r="EIE1631" s="1"/>
      <c r="EIF1631" s="1"/>
      <c r="EIG1631" s="1"/>
      <c r="EIH1631" s="1"/>
      <c r="EII1631" s="1"/>
      <c r="EIJ1631" s="1"/>
      <c r="EIK1631" s="1"/>
      <c r="EIL1631" s="1"/>
      <c r="EIM1631" s="1"/>
      <c r="EIN1631" s="1"/>
      <c r="EIO1631" s="1"/>
      <c r="EIP1631" s="1"/>
      <c r="EIQ1631" s="1"/>
      <c r="EIR1631" s="1"/>
      <c r="EIS1631" s="1"/>
      <c r="EIT1631" s="1"/>
      <c r="EIU1631" s="1"/>
      <c r="EIV1631" s="1"/>
      <c r="EIW1631" s="1"/>
      <c r="EIX1631" s="1"/>
      <c r="EIY1631" s="1"/>
      <c r="EIZ1631" s="1"/>
      <c r="EJA1631" s="1"/>
      <c r="EJB1631" s="1"/>
      <c r="EJC1631" s="1"/>
      <c r="EJD1631" s="1"/>
      <c r="EJE1631" s="1"/>
      <c r="EJF1631" s="1"/>
      <c r="EJG1631" s="1"/>
      <c r="EJH1631" s="1"/>
      <c r="EJI1631" s="1"/>
      <c r="EJJ1631" s="1"/>
      <c r="EJK1631" s="1"/>
      <c r="EJL1631" s="1"/>
      <c r="EJM1631" s="1"/>
      <c r="EJN1631" s="1"/>
      <c r="EJO1631" s="1"/>
      <c r="EJP1631" s="1"/>
      <c r="EJQ1631" s="1"/>
      <c r="EJR1631" s="1"/>
      <c r="EJS1631" s="1"/>
      <c r="EJT1631" s="1"/>
      <c r="EJU1631" s="1"/>
      <c r="EJV1631" s="1"/>
      <c r="EJW1631" s="1"/>
      <c r="EJX1631" s="1"/>
      <c r="EJY1631" s="1"/>
      <c r="EJZ1631" s="1"/>
      <c r="EKA1631" s="1"/>
      <c r="EKB1631" s="1"/>
      <c r="EKC1631" s="1"/>
      <c r="EKD1631" s="1"/>
      <c r="EKE1631" s="1"/>
      <c r="EKF1631" s="1"/>
      <c r="EKG1631" s="1"/>
      <c r="EKH1631" s="1"/>
      <c r="EKI1631" s="1"/>
      <c r="EKJ1631" s="1"/>
      <c r="EKK1631" s="1"/>
      <c r="EKL1631" s="1"/>
      <c r="EKM1631" s="1"/>
      <c r="EKN1631" s="1"/>
      <c r="EKO1631" s="1"/>
      <c r="EKP1631" s="1"/>
      <c r="EKQ1631" s="1"/>
      <c r="EKR1631" s="1"/>
      <c r="EKS1631" s="1"/>
      <c r="EKT1631" s="1"/>
      <c r="EKU1631" s="1"/>
      <c r="EKV1631" s="1"/>
      <c r="EKW1631" s="1"/>
      <c r="EKX1631" s="1"/>
      <c r="EKY1631" s="1"/>
      <c r="EKZ1631" s="1"/>
      <c r="ELA1631" s="1"/>
      <c r="ELB1631" s="1"/>
      <c r="ELC1631" s="1"/>
      <c r="ELD1631" s="1"/>
      <c r="ELE1631" s="1"/>
      <c r="ELF1631" s="1"/>
      <c r="ELG1631" s="1"/>
      <c r="ELH1631" s="1"/>
      <c r="ELI1631" s="1"/>
      <c r="ELJ1631" s="1"/>
      <c r="ELK1631" s="1"/>
      <c r="ELL1631" s="1"/>
      <c r="ELM1631" s="1"/>
      <c r="ELN1631" s="1"/>
      <c r="ELO1631" s="1"/>
      <c r="ELP1631" s="1"/>
      <c r="ELQ1631" s="1"/>
      <c r="ELR1631" s="1"/>
      <c r="ELS1631" s="1"/>
      <c r="ELT1631" s="1"/>
      <c r="ELU1631" s="1"/>
      <c r="ELV1631" s="1"/>
      <c r="ELW1631" s="1"/>
      <c r="ELX1631" s="1"/>
      <c r="ELY1631" s="1"/>
      <c r="ELZ1631" s="1"/>
      <c r="EMA1631" s="1"/>
      <c r="EMB1631" s="1"/>
      <c r="EMC1631" s="1"/>
      <c r="EMD1631" s="1"/>
      <c r="EME1631" s="1"/>
      <c r="EMF1631" s="1"/>
      <c r="EMG1631" s="1"/>
      <c r="EMH1631" s="1"/>
      <c r="EMI1631" s="1"/>
      <c r="EMJ1631" s="1"/>
      <c r="EMK1631" s="1"/>
      <c r="EML1631" s="1"/>
      <c r="EMM1631" s="1"/>
      <c r="EMN1631" s="1"/>
      <c r="EMO1631" s="1"/>
      <c r="EMP1631" s="1"/>
      <c r="EMQ1631" s="1"/>
      <c r="EMR1631" s="1"/>
      <c r="EMS1631" s="1"/>
      <c r="EMT1631" s="1"/>
      <c r="EMU1631" s="1"/>
      <c r="EMV1631" s="1"/>
      <c r="EMW1631" s="1"/>
      <c r="EMX1631" s="1"/>
      <c r="EMY1631" s="1"/>
      <c r="EMZ1631" s="1"/>
      <c r="ENA1631" s="1"/>
      <c r="ENB1631" s="1"/>
      <c r="ENC1631" s="1"/>
      <c r="END1631" s="1"/>
      <c r="ENE1631" s="1"/>
      <c r="ENF1631" s="1"/>
      <c r="ENG1631" s="1"/>
      <c r="ENH1631" s="1"/>
      <c r="ENI1631" s="1"/>
      <c r="ENJ1631" s="1"/>
      <c r="ENK1631" s="1"/>
      <c r="ENL1631" s="1"/>
      <c r="ENM1631" s="1"/>
      <c r="ENN1631" s="1"/>
      <c r="ENO1631" s="1"/>
      <c r="ENP1631" s="1"/>
      <c r="ENQ1631" s="1"/>
      <c r="ENR1631" s="1"/>
      <c r="ENS1631" s="1"/>
      <c r="ENT1631" s="1"/>
      <c r="ENU1631" s="1"/>
      <c r="ENV1631" s="1"/>
      <c r="ENW1631" s="1"/>
      <c r="ENX1631" s="1"/>
      <c r="ENY1631" s="1"/>
      <c r="ENZ1631" s="1"/>
      <c r="EOA1631" s="1"/>
      <c r="EOB1631" s="1"/>
      <c r="EOC1631" s="1"/>
      <c r="EOD1631" s="1"/>
      <c r="EOE1631" s="1"/>
      <c r="EOF1631" s="1"/>
      <c r="EOG1631" s="1"/>
      <c r="EOH1631" s="1"/>
      <c r="EOI1631" s="1"/>
      <c r="EOJ1631" s="1"/>
      <c r="EOK1631" s="1"/>
      <c r="EOL1631" s="1"/>
      <c r="EOM1631" s="1"/>
      <c r="EON1631" s="1"/>
      <c r="EOO1631" s="1"/>
      <c r="EOP1631" s="1"/>
      <c r="EOQ1631" s="1"/>
      <c r="EOR1631" s="1"/>
      <c r="EOS1631" s="1"/>
      <c r="EOT1631" s="1"/>
      <c r="EOU1631" s="1"/>
      <c r="EOV1631" s="1"/>
      <c r="EOW1631" s="1"/>
      <c r="EOX1631" s="1"/>
      <c r="EOY1631" s="1"/>
      <c r="EOZ1631" s="1"/>
      <c r="EPA1631" s="1"/>
      <c r="EPB1631" s="1"/>
      <c r="EPC1631" s="1"/>
      <c r="EPD1631" s="1"/>
      <c r="EPE1631" s="1"/>
      <c r="EPF1631" s="1"/>
      <c r="EPG1631" s="1"/>
      <c r="EPH1631" s="1"/>
      <c r="EPI1631" s="1"/>
      <c r="EPJ1631" s="1"/>
      <c r="EPK1631" s="1"/>
      <c r="EPL1631" s="1"/>
      <c r="EPM1631" s="1"/>
      <c r="EPN1631" s="1"/>
      <c r="EPO1631" s="1"/>
      <c r="EPP1631" s="1"/>
      <c r="EPQ1631" s="1"/>
      <c r="EPR1631" s="1"/>
      <c r="EPS1631" s="1"/>
      <c r="EPT1631" s="1"/>
      <c r="EPU1631" s="1"/>
      <c r="EPV1631" s="1"/>
      <c r="EPW1631" s="1"/>
      <c r="EPX1631" s="1"/>
      <c r="EPY1631" s="1"/>
      <c r="EPZ1631" s="1"/>
      <c r="EQA1631" s="1"/>
      <c r="EQB1631" s="1"/>
      <c r="EQC1631" s="1"/>
      <c r="EQD1631" s="1"/>
      <c r="EQE1631" s="1"/>
      <c r="EQF1631" s="1"/>
      <c r="EQG1631" s="1"/>
      <c r="EQH1631" s="1"/>
      <c r="EQI1631" s="1"/>
      <c r="EQJ1631" s="1"/>
      <c r="EQK1631" s="1"/>
      <c r="EQL1631" s="1"/>
      <c r="EQM1631" s="1"/>
      <c r="EQN1631" s="1"/>
      <c r="EQO1631" s="1"/>
      <c r="EQP1631" s="1"/>
      <c r="EQQ1631" s="1"/>
      <c r="EQR1631" s="1"/>
      <c r="EQS1631" s="1"/>
      <c r="EQT1631" s="1"/>
      <c r="EQU1631" s="1"/>
      <c r="EQV1631" s="1"/>
      <c r="EQW1631" s="1"/>
      <c r="EQX1631" s="1"/>
      <c r="EQY1631" s="1"/>
      <c r="EQZ1631" s="1"/>
      <c r="ERA1631" s="1"/>
      <c r="ERB1631" s="1"/>
      <c r="ERC1631" s="1"/>
      <c r="ERD1631" s="1"/>
      <c r="ERE1631" s="1"/>
      <c r="ERF1631" s="1"/>
      <c r="ERG1631" s="1"/>
      <c r="ERH1631" s="1"/>
      <c r="ERI1631" s="1"/>
      <c r="ERJ1631" s="1"/>
      <c r="ERK1631" s="1"/>
      <c r="ERL1631" s="1"/>
      <c r="ERM1631" s="1"/>
      <c r="ERN1631" s="1"/>
      <c r="ERO1631" s="1"/>
      <c r="ERP1631" s="1"/>
      <c r="ERQ1631" s="1"/>
      <c r="ERR1631" s="1"/>
      <c r="ERS1631" s="1"/>
      <c r="ERT1631" s="1"/>
      <c r="ERU1631" s="1"/>
      <c r="ERV1631" s="1"/>
      <c r="ERW1631" s="1"/>
      <c r="ERX1631" s="1"/>
      <c r="ERY1631" s="1"/>
      <c r="ERZ1631" s="1"/>
      <c r="ESA1631" s="1"/>
      <c r="ESB1631" s="1"/>
      <c r="ESC1631" s="1"/>
      <c r="ESD1631" s="1"/>
      <c r="ESE1631" s="1"/>
      <c r="ESF1631" s="1"/>
      <c r="ESG1631" s="1"/>
      <c r="ESH1631" s="1"/>
      <c r="ESI1631" s="1"/>
      <c r="ESJ1631" s="1"/>
      <c r="ESK1631" s="1"/>
      <c r="ESL1631" s="1"/>
      <c r="ESM1631" s="1"/>
      <c r="ESN1631" s="1"/>
      <c r="ESO1631" s="1"/>
      <c r="ESP1631" s="1"/>
      <c r="ESQ1631" s="1"/>
      <c r="ESR1631" s="1"/>
      <c r="ESS1631" s="1"/>
      <c r="EST1631" s="1"/>
      <c r="ESU1631" s="1"/>
      <c r="ESV1631" s="1"/>
      <c r="ESW1631" s="1"/>
      <c r="ESX1631" s="1"/>
      <c r="ESY1631" s="1"/>
      <c r="ESZ1631" s="1"/>
      <c r="ETA1631" s="1"/>
      <c r="ETB1631" s="1"/>
      <c r="ETC1631" s="1"/>
      <c r="ETD1631" s="1"/>
      <c r="ETE1631" s="1"/>
      <c r="ETF1631" s="1"/>
      <c r="ETG1631" s="1"/>
      <c r="ETH1631" s="1"/>
      <c r="ETI1631" s="1"/>
      <c r="ETJ1631" s="1"/>
      <c r="ETK1631" s="1"/>
      <c r="ETL1631" s="1"/>
      <c r="ETM1631" s="1"/>
      <c r="ETN1631" s="1"/>
      <c r="ETO1631" s="1"/>
      <c r="ETP1631" s="1"/>
      <c r="ETQ1631" s="1"/>
      <c r="ETR1631" s="1"/>
      <c r="ETS1631" s="1"/>
      <c r="ETT1631" s="1"/>
      <c r="ETU1631" s="1"/>
      <c r="ETV1631" s="1"/>
      <c r="ETW1631" s="1"/>
      <c r="ETX1631" s="1"/>
      <c r="ETY1631" s="1"/>
      <c r="ETZ1631" s="1"/>
      <c r="EUA1631" s="1"/>
      <c r="EUB1631" s="1"/>
      <c r="EUC1631" s="1"/>
      <c r="EUD1631" s="1"/>
      <c r="EUE1631" s="1"/>
      <c r="EUF1631" s="1"/>
      <c r="EUG1631" s="1"/>
      <c r="EUH1631" s="1"/>
      <c r="EUI1631" s="1"/>
      <c r="EUJ1631" s="1"/>
      <c r="EUK1631" s="1"/>
      <c r="EUL1631" s="1"/>
      <c r="EUM1631" s="1"/>
      <c r="EUN1631" s="1"/>
      <c r="EUO1631" s="1"/>
      <c r="EUP1631" s="1"/>
      <c r="EUQ1631" s="1"/>
      <c r="EUR1631" s="1"/>
      <c r="EUS1631" s="1"/>
      <c r="EUT1631" s="1"/>
      <c r="EUU1631" s="1"/>
      <c r="EUV1631" s="1"/>
      <c r="EUW1631" s="1"/>
      <c r="EUX1631" s="1"/>
      <c r="EUY1631" s="1"/>
      <c r="EUZ1631" s="1"/>
      <c r="EVA1631" s="1"/>
      <c r="EVB1631" s="1"/>
      <c r="EVC1631" s="1"/>
      <c r="EVD1631" s="1"/>
      <c r="EVE1631" s="1"/>
      <c r="EVF1631" s="1"/>
      <c r="EVG1631" s="1"/>
      <c r="EVH1631" s="1"/>
      <c r="EVI1631" s="1"/>
      <c r="EVJ1631" s="1"/>
      <c r="EVK1631" s="1"/>
      <c r="EVL1631" s="1"/>
      <c r="EVM1631" s="1"/>
      <c r="EVN1631" s="1"/>
      <c r="EVO1631" s="1"/>
      <c r="EVP1631" s="1"/>
      <c r="EVQ1631" s="1"/>
      <c r="EVR1631" s="1"/>
      <c r="EVS1631" s="1"/>
      <c r="EVT1631" s="1"/>
      <c r="EVU1631" s="1"/>
      <c r="EVV1631" s="1"/>
      <c r="EVW1631" s="1"/>
      <c r="EVX1631" s="1"/>
      <c r="EVY1631" s="1"/>
      <c r="EVZ1631" s="1"/>
      <c r="EWA1631" s="1"/>
      <c r="EWB1631" s="1"/>
      <c r="EWC1631" s="1"/>
      <c r="EWD1631" s="1"/>
      <c r="EWE1631" s="1"/>
      <c r="EWF1631" s="1"/>
      <c r="EWG1631" s="1"/>
      <c r="EWH1631" s="1"/>
      <c r="EWI1631" s="1"/>
      <c r="EWJ1631" s="1"/>
      <c r="EWK1631" s="1"/>
      <c r="EWL1631" s="1"/>
      <c r="EWM1631" s="1"/>
      <c r="EWN1631" s="1"/>
      <c r="EWO1631" s="1"/>
      <c r="EWP1631" s="1"/>
      <c r="EWQ1631" s="1"/>
      <c r="EWR1631" s="1"/>
      <c r="EWS1631" s="1"/>
      <c r="EWT1631" s="1"/>
      <c r="EWU1631" s="1"/>
      <c r="EWV1631" s="1"/>
      <c r="EWW1631" s="1"/>
      <c r="EWX1631" s="1"/>
      <c r="EWY1631" s="1"/>
      <c r="EWZ1631" s="1"/>
      <c r="EXA1631" s="1"/>
      <c r="EXB1631" s="1"/>
      <c r="EXC1631" s="1"/>
      <c r="EXD1631" s="1"/>
      <c r="EXE1631" s="1"/>
      <c r="EXF1631" s="1"/>
      <c r="EXG1631" s="1"/>
      <c r="EXH1631" s="1"/>
      <c r="EXI1631" s="1"/>
      <c r="EXJ1631" s="1"/>
      <c r="EXK1631" s="1"/>
      <c r="EXL1631" s="1"/>
      <c r="EXM1631" s="1"/>
      <c r="EXN1631" s="1"/>
      <c r="EXO1631" s="1"/>
      <c r="EXP1631" s="1"/>
      <c r="EXQ1631" s="1"/>
      <c r="EXR1631" s="1"/>
      <c r="EXS1631" s="1"/>
      <c r="EXT1631" s="1"/>
      <c r="EXU1631" s="1"/>
      <c r="EXV1631" s="1"/>
      <c r="EXW1631" s="1"/>
      <c r="EXX1631" s="1"/>
      <c r="EXY1631" s="1"/>
      <c r="EXZ1631" s="1"/>
      <c r="EYA1631" s="1"/>
      <c r="EYB1631" s="1"/>
      <c r="EYC1631" s="1"/>
      <c r="EYD1631" s="1"/>
      <c r="EYE1631" s="1"/>
      <c r="EYF1631" s="1"/>
      <c r="EYG1631" s="1"/>
      <c r="EYH1631" s="1"/>
      <c r="EYI1631" s="1"/>
      <c r="EYJ1631" s="1"/>
      <c r="EYK1631" s="1"/>
      <c r="EYL1631" s="1"/>
      <c r="EYM1631" s="1"/>
      <c r="EYN1631" s="1"/>
      <c r="EYO1631" s="1"/>
      <c r="EYP1631" s="1"/>
      <c r="EYQ1631" s="1"/>
      <c r="EYR1631" s="1"/>
      <c r="EYS1631" s="1"/>
      <c r="EYT1631" s="1"/>
      <c r="EYU1631" s="1"/>
      <c r="EYV1631" s="1"/>
      <c r="EYW1631" s="1"/>
      <c r="EYX1631" s="1"/>
      <c r="EYY1631" s="1"/>
      <c r="EYZ1631" s="1"/>
      <c r="EZA1631" s="1"/>
      <c r="EZB1631" s="1"/>
      <c r="EZC1631" s="1"/>
      <c r="EZD1631" s="1"/>
      <c r="EZE1631" s="1"/>
      <c r="EZF1631" s="1"/>
      <c r="EZG1631" s="1"/>
      <c r="EZH1631" s="1"/>
      <c r="EZI1631" s="1"/>
      <c r="EZJ1631" s="1"/>
      <c r="EZK1631" s="1"/>
      <c r="EZL1631" s="1"/>
      <c r="EZM1631" s="1"/>
      <c r="EZN1631" s="1"/>
      <c r="EZO1631" s="1"/>
      <c r="EZP1631" s="1"/>
      <c r="EZQ1631" s="1"/>
      <c r="EZR1631" s="1"/>
      <c r="EZS1631" s="1"/>
      <c r="EZT1631" s="1"/>
      <c r="EZU1631" s="1"/>
      <c r="EZV1631" s="1"/>
      <c r="EZW1631" s="1"/>
      <c r="EZX1631" s="1"/>
      <c r="EZY1631" s="1"/>
      <c r="EZZ1631" s="1"/>
      <c r="FAA1631" s="1"/>
      <c r="FAB1631" s="1"/>
      <c r="FAC1631" s="1"/>
      <c r="FAD1631" s="1"/>
      <c r="FAE1631" s="1"/>
      <c r="FAF1631" s="1"/>
      <c r="FAG1631" s="1"/>
      <c r="FAH1631" s="1"/>
      <c r="FAI1631" s="1"/>
      <c r="FAJ1631" s="1"/>
      <c r="FAK1631" s="1"/>
      <c r="FAL1631" s="1"/>
      <c r="FAM1631" s="1"/>
      <c r="FAN1631" s="1"/>
      <c r="FAO1631" s="1"/>
      <c r="FAP1631" s="1"/>
      <c r="FAQ1631" s="1"/>
      <c r="FAR1631" s="1"/>
      <c r="FAS1631" s="1"/>
      <c r="FAT1631" s="1"/>
      <c r="FAU1631" s="1"/>
      <c r="FAV1631" s="1"/>
      <c r="FAW1631" s="1"/>
      <c r="FAX1631" s="1"/>
      <c r="FAY1631" s="1"/>
      <c r="FAZ1631" s="1"/>
      <c r="FBA1631" s="1"/>
      <c r="FBB1631" s="1"/>
      <c r="FBC1631" s="1"/>
      <c r="FBD1631" s="1"/>
      <c r="FBE1631" s="1"/>
      <c r="FBF1631" s="1"/>
      <c r="FBG1631" s="1"/>
      <c r="FBH1631" s="1"/>
      <c r="FBI1631" s="1"/>
      <c r="FBJ1631" s="1"/>
      <c r="FBK1631" s="1"/>
      <c r="FBL1631" s="1"/>
      <c r="FBM1631" s="1"/>
      <c r="FBN1631" s="1"/>
      <c r="FBO1631" s="1"/>
      <c r="FBP1631" s="1"/>
      <c r="FBQ1631" s="1"/>
      <c r="FBR1631" s="1"/>
      <c r="FBS1631" s="1"/>
      <c r="FBT1631" s="1"/>
      <c r="FBU1631" s="1"/>
      <c r="FBV1631" s="1"/>
      <c r="FBW1631" s="1"/>
      <c r="FBX1631" s="1"/>
      <c r="FBY1631" s="1"/>
      <c r="FBZ1631" s="1"/>
      <c r="FCA1631" s="1"/>
      <c r="FCB1631" s="1"/>
      <c r="FCC1631" s="1"/>
      <c r="FCD1631" s="1"/>
      <c r="FCE1631" s="1"/>
      <c r="FCF1631" s="1"/>
      <c r="FCG1631" s="1"/>
      <c r="FCH1631" s="1"/>
      <c r="FCI1631" s="1"/>
      <c r="FCJ1631" s="1"/>
      <c r="FCK1631" s="1"/>
      <c r="FCL1631" s="1"/>
      <c r="FCM1631" s="1"/>
      <c r="FCN1631" s="1"/>
      <c r="FCO1631" s="1"/>
      <c r="FCP1631" s="1"/>
      <c r="FCQ1631" s="1"/>
      <c r="FCR1631" s="1"/>
      <c r="FCS1631" s="1"/>
      <c r="FCT1631" s="1"/>
      <c r="FCU1631" s="1"/>
      <c r="FCV1631" s="1"/>
      <c r="FCW1631" s="1"/>
      <c r="FCX1631" s="1"/>
      <c r="FCY1631" s="1"/>
      <c r="FCZ1631" s="1"/>
      <c r="FDA1631" s="1"/>
      <c r="FDB1631" s="1"/>
      <c r="FDC1631" s="1"/>
      <c r="FDD1631" s="1"/>
      <c r="FDE1631" s="1"/>
      <c r="FDF1631" s="1"/>
      <c r="FDG1631" s="1"/>
      <c r="FDH1631" s="1"/>
      <c r="FDI1631" s="1"/>
      <c r="FDJ1631" s="1"/>
      <c r="FDK1631" s="1"/>
      <c r="FDL1631" s="1"/>
      <c r="FDM1631" s="1"/>
      <c r="FDN1631" s="1"/>
      <c r="FDO1631" s="1"/>
      <c r="FDP1631" s="1"/>
      <c r="FDQ1631" s="1"/>
      <c r="FDR1631" s="1"/>
      <c r="FDS1631" s="1"/>
      <c r="FDT1631" s="1"/>
      <c r="FDU1631" s="1"/>
      <c r="FDV1631" s="1"/>
      <c r="FDW1631" s="1"/>
      <c r="FDX1631" s="1"/>
      <c r="FDY1631" s="1"/>
      <c r="FDZ1631" s="1"/>
      <c r="FEA1631" s="1"/>
      <c r="FEB1631" s="1"/>
      <c r="FEC1631" s="1"/>
      <c r="FED1631" s="1"/>
      <c r="FEE1631" s="1"/>
      <c r="FEF1631" s="1"/>
      <c r="FEG1631" s="1"/>
      <c r="FEH1631" s="1"/>
      <c r="FEI1631" s="1"/>
      <c r="FEJ1631" s="1"/>
      <c r="FEK1631" s="1"/>
      <c r="FEL1631" s="1"/>
      <c r="FEM1631" s="1"/>
      <c r="FEN1631" s="1"/>
      <c r="FEO1631" s="1"/>
      <c r="FEP1631" s="1"/>
      <c r="FEQ1631" s="1"/>
      <c r="FER1631" s="1"/>
      <c r="FES1631" s="1"/>
      <c r="FET1631" s="1"/>
      <c r="FEU1631" s="1"/>
      <c r="FEV1631" s="1"/>
      <c r="FEW1631" s="1"/>
      <c r="FEX1631" s="1"/>
      <c r="FEY1631" s="1"/>
      <c r="FEZ1631" s="1"/>
      <c r="FFA1631" s="1"/>
      <c r="FFB1631" s="1"/>
      <c r="FFC1631" s="1"/>
      <c r="FFD1631" s="1"/>
      <c r="FFE1631" s="1"/>
      <c r="FFF1631" s="1"/>
      <c r="FFG1631" s="1"/>
      <c r="FFH1631" s="1"/>
      <c r="FFI1631" s="1"/>
      <c r="FFJ1631" s="1"/>
      <c r="FFK1631" s="1"/>
      <c r="FFL1631" s="1"/>
      <c r="FFM1631" s="1"/>
      <c r="FFN1631" s="1"/>
      <c r="FFO1631" s="1"/>
      <c r="FFP1631" s="1"/>
      <c r="FFQ1631" s="1"/>
      <c r="FFR1631" s="1"/>
      <c r="FFS1631" s="1"/>
      <c r="FFT1631" s="1"/>
      <c r="FFU1631" s="1"/>
      <c r="FFV1631" s="1"/>
      <c r="FFW1631" s="1"/>
      <c r="FFX1631" s="1"/>
      <c r="FFY1631" s="1"/>
      <c r="FFZ1631" s="1"/>
      <c r="FGA1631" s="1"/>
      <c r="FGB1631" s="1"/>
      <c r="FGC1631" s="1"/>
      <c r="FGD1631" s="1"/>
      <c r="FGE1631" s="1"/>
      <c r="FGF1631" s="1"/>
      <c r="FGG1631" s="1"/>
      <c r="FGH1631" s="1"/>
      <c r="FGI1631" s="1"/>
      <c r="FGJ1631" s="1"/>
      <c r="FGK1631" s="1"/>
      <c r="FGL1631" s="1"/>
      <c r="FGM1631" s="1"/>
      <c r="FGN1631" s="1"/>
      <c r="FGO1631" s="1"/>
      <c r="FGP1631" s="1"/>
      <c r="FGQ1631" s="1"/>
      <c r="FGR1631" s="1"/>
      <c r="FGS1631" s="1"/>
      <c r="FGT1631" s="1"/>
      <c r="FGU1631" s="1"/>
      <c r="FGV1631" s="1"/>
      <c r="FGW1631" s="1"/>
      <c r="FGX1631" s="1"/>
      <c r="FGY1631" s="1"/>
      <c r="FGZ1631" s="1"/>
      <c r="FHA1631" s="1"/>
      <c r="FHB1631" s="1"/>
      <c r="FHC1631" s="1"/>
      <c r="FHD1631" s="1"/>
      <c r="FHE1631" s="1"/>
      <c r="FHF1631" s="1"/>
      <c r="FHG1631" s="1"/>
      <c r="FHH1631" s="1"/>
      <c r="FHI1631" s="1"/>
      <c r="FHJ1631" s="1"/>
      <c r="FHK1631" s="1"/>
      <c r="FHL1631" s="1"/>
      <c r="FHM1631" s="1"/>
      <c r="FHN1631" s="1"/>
      <c r="FHO1631" s="1"/>
      <c r="FHP1631" s="1"/>
      <c r="FHQ1631" s="1"/>
      <c r="FHR1631" s="1"/>
      <c r="FHS1631" s="1"/>
      <c r="FHT1631" s="1"/>
      <c r="FHU1631" s="1"/>
      <c r="FHV1631" s="1"/>
      <c r="FHW1631" s="1"/>
      <c r="FHX1631" s="1"/>
      <c r="FHY1631" s="1"/>
      <c r="FHZ1631" s="1"/>
      <c r="FIA1631" s="1"/>
      <c r="FIB1631" s="1"/>
      <c r="FIC1631" s="1"/>
      <c r="FID1631" s="1"/>
      <c r="FIE1631" s="1"/>
      <c r="FIF1631" s="1"/>
      <c r="FIG1631" s="1"/>
      <c r="FIH1631" s="1"/>
      <c r="FII1631" s="1"/>
      <c r="FIJ1631" s="1"/>
      <c r="FIK1631" s="1"/>
      <c r="FIL1631" s="1"/>
      <c r="FIM1631" s="1"/>
      <c r="FIN1631" s="1"/>
      <c r="FIO1631" s="1"/>
      <c r="FIP1631" s="1"/>
      <c r="FIQ1631" s="1"/>
      <c r="FIR1631" s="1"/>
      <c r="FIS1631" s="1"/>
      <c r="FIT1631" s="1"/>
      <c r="FIU1631" s="1"/>
      <c r="FIV1631" s="1"/>
      <c r="FIW1631" s="1"/>
      <c r="FIX1631" s="1"/>
      <c r="FIY1631" s="1"/>
      <c r="FIZ1631" s="1"/>
      <c r="FJA1631" s="1"/>
      <c r="FJB1631" s="1"/>
      <c r="FJC1631" s="1"/>
      <c r="FJD1631" s="1"/>
      <c r="FJE1631" s="1"/>
      <c r="FJF1631" s="1"/>
      <c r="FJG1631" s="1"/>
      <c r="FJH1631" s="1"/>
      <c r="FJI1631" s="1"/>
      <c r="FJJ1631" s="1"/>
      <c r="FJK1631" s="1"/>
      <c r="FJL1631" s="1"/>
      <c r="FJM1631" s="1"/>
      <c r="FJN1631" s="1"/>
      <c r="FJO1631" s="1"/>
      <c r="FJP1631" s="1"/>
      <c r="FJQ1631" s="1"/>
      <c r="FJR1631" s="1"/>
      <c r="FJS1631" s="1"/>
      <c r="FJT1631" s="1"/>
      <c r="FJU1631" s="1"/>
      <c r="FJV1631" s="1"/>
      <c r="FJW1631" s="1"/>
      <c r="FJX1631" s="1"/>
      <c r="FJY1631" s="1"/>
      <c r="FJZ1631" s="1"/>
      <c r="FKA1631" s="1"/>
      <c r="FKB1631" s="1"/>
      <c r="FKC1631" s="1"/>
      <c r="FKD1631" s="1"/>
      <c r="FKE1631" s="1"/>
      <c r="FKF1631" s="1"/>
      <c r="FKG1631" s="1"/>
      <c r="FKH1631" s="1"/>
      <c r="FKI1631" s="1"/>
      <c r="FKJ1631" s="1"/>
      <c r="FKK1631" s="1"/>
      <c r="FKL1631" s="1"/>
      <c r="FKM1631" s="1"/>
      <c r="FKN1631" s="1"/>
      <c r="FKO1631" s="1"/>
      <c r="FKP1631" s="1"/>
      <c r="FKQ1631" s="1"/>
      <c r="FKR1631" s="1"/>
      <c r="FKS1631" s="1"/>
      <c r="FKT1631" s="1"/>
      <c r="FKU1631" s="1"/>
      <c r="FKV1631" s="1"/>
      <c r="FKW1631" s="1"/>
      <c r="FKX1631" s="1"/>
      <c r="FKY1631" s="1"/>
      <c r="FKZ1631" s="1"/>
      <c r="FLA1631" s="1"/>
      <c r="FLB1631" s="1"/>
      <c r="FLC1631" s="1"/>
      <c r="FLD1631" s="1"/>
      <c r="FLE1631" s="1"/>
      <c r="FLF1631" s="1"/>
      <c r="FLG1631" s="1"/>
      <c r="FLH1631" s="1"/>
      <c r="FLI1631" s="1"/>
      <c r="FLJ1631" s="1"/>
      <c r="FLK1631" s="1"/>
      <c r="FLL1631" s="1"/>
      <c r="FLM1631" s="1"/>
      <c r="FLN1631" s="1"/>
      <c r="FLO1631" s="1"/>
      <c r="FLP1631" s="1"/>
      <c r="FLQ1631" s="1"/>
      <c r="FLR1631" s="1"/>
      <c r="FLS1631" s="1"/>
      <c r="FLT1631" s="1"/>
      <c r="FLU1631" s="1"/>
      <c r="FLV1631" s="1"/>
      <c r="FLW1631" s="1"/>
      <c r="FLX1631" s="1"/>
      <c r="FLY1631" s="1"/>
      <c r="FLZ1631" s="1"/>
      <c r="FMA1631" s="1"/>
      <c r="FMB1631" s="1"/>
      <c r="FMC1631" s="1"/>
      <c r="FMD1631" s="1"/>
      <c r="FME1631" s="1"/>
      <c r="FMF1631" s="1"/>
      <c r="FMG1631" s="1"/>
      <c r="FMH1631" s="1"/>
      <c r="FMI1631" s="1"/>
      <c r="FMJ1631" s="1"/>
      <c r="FMK1631" s="1"/>
      <c r="FML1631" s="1"/>
      <c r="FMM1631" s="1"/>
      <c r="FMN1631" s="1"/>
      <c r="FMO1631" s="1"/>
      <c r="FMP1631" s="1"/>
      <c r="FMQ1631" s="1"/>
      <c r="FMR1631" s="1"/>
      <c r="FMS1631" s="1"/>
      <c r="FMT1631" s="1"/>
      <c r="FMU1631" s="1"/>
      <c r="FMV1631" s="1"/>
      <c r="FMW1631" s="1"/>
      <c r="FMX1631" s="1"/>
      <c r="FMY1631" s="1"/>
      <c r="FMZ1631" s="1"/>
      <c r="FNA1631" s="1"/>
      <c r="FNB1631" s="1"/>
      <c r="FNC1631" s="1"/>
      <c r="FND1631" s="1"/>
      <c r="FNE1631" s="1"/>
      <c r="FNF1631" s="1"/>
      <c r="FNG1631" s="1"/>
      <c r="FNH1631" s="1"/>
      <c r="FNI1631" s="1"/>
      <c r="FNJ1631" s="1"/>
      <c r="FNK1631" s="1"/>
      <c r="FNL1631" s="1"/>
      <c r="FNM1631" s="1"/>
      <c r="FNN1631" s="1"/>
      <c r="FNO1631" s="1"/>
      <c r="FNP1631" s="1"/>
      <c r="FNQ1631" s="1"/>
      <c r="FNR1631" s="1"/>
      <c r="FNS1631" s="1"/>
      <c r="FNT1631" s="1"/>
      <c r="FNU1631" s="1"/>
      <c r="FNV1631" s="1"/>
      <c r="FNW1631" s="1"/>
      <c r="FNX1631" s="1"/>
      <c r="FNY1631" s="1"/>
      <c r="FNZ1631" s="1"/>
      <c r="FOA1631" s="1"/>
      <c r="FOB1631" s="1"/>
      <c r="FOC1631" s="1"/>
      <c r="FOD1631" s="1"/>
      <c r="FOE1631" s="1"/>
      <c r="FOF1631" s="1"/>
      <c r="FOG1631" s="1"/>
      <c r="FOH1631" s="1"/>
      <c r="FOI1631" s="1"/>
      <c r="FOJ1631" s="1"/>
      <c r="FOK1631" s="1"/>
      <c r="FOL1631" s="1"/>
      <c r="FOM1631" s="1"/>
      <c r="FON1631" s="1"/>
      <c r="FOO1631" s="1"/>
      <c r="FOP1631" s="1"/>
      <c r="FOQ1631" s="1"/>
      <c r="FOR1631" s="1"/>
      <c r="FOS1631" s="1"/>
      <c r="FOT1631" s="1"/>
      <c r="FOU1631" s="1"/>
      <c r="FOV1631" s="1"/>
      <c r="FOW1631" s="1"/>
      <c r="FOX1631" s="1"/>
      <c r="FOY1631" s="1"/>
      <c r="FOZ1631" s="1"/>
      <c r="FPA1631" s="1"/>
      <c r="FPB1631" s="1"/>
      <c r="FPC1631" s="1"/>
      <c r="FPD1631" s="1"/>
      <c r="FPE1631" s="1"/>
      <c r="FPF1631" s="1"/>
      <c r="FPG1631" s="1"/>
      <c r="FPH1631" s="1"/>
      <c r="FPI1631" s="1"/>
      <c r="FPJ1631" s="1"/>
      <c r="FPK1631" s="1"/>
      <c r="FPL1631" s="1"/>
      <c r="FPM1631" s="1"/>
      <c r="FPN1631" s="1"/>
      <c r="FPO1631" s="1"/>
      <c r="FPP1631" s="1"/>
      <c r="FPQ1631" s="1"/>
      <c r="FPR1631" s="1"/>
      <c r="FPS1631" s="1"/>
      <c r="FPT1631" s="1"/>
      <c r="FPU1631" s="1"/>
      <c r="FPV1631" s="1"/>
      <c r="FPW1631" s="1"/>
      <c r="FPX1631" s="1"/>
      <c r="FPY1631" s="1"/>
      <c r="FPZ1631" s="1"/>
      <c r="FQA1631" s="1"/>
      <c r="FQB1631" s="1"/>
      <c r="FQC1631" s="1"/>
      <c r="FQD1631" s="1"/>
      <c r="FQE1631" s="1"/>
      <c r="FQF1631" s="1"/>
      <c r="FQG1631" s="1"/>
      <c r="FQH1631" s="1"/>
      <c r="FQI1631" s="1"/>
      <c r="FQJ1631" s="1"/>
      <c r="FQK1631" s="1"/>
      <c r="FQL1631" s="1"/>
      <c r="FQM1631" s="1"/>
      <c r="FQN1631" s="1"/>
      <c r="FQO1631" s="1"/>
      <c r="FQP1631" s="1"/>
      <c r="FQQ1631" s="1"/>
      <c r="FQR1631" s="1"/>
      <c r="FQS1631" s="1"/>
      <c r="FQT1631" s="1"/>
      <c r="FQU1631" s="1"/>
      <c r="FQV1631" s="1"/>
      <c r="FQW1631" s="1"/>
      <c r="FQX1631" s="1"/>
      <c r="FQY1631" s="1"/>
      <c r="FQZ1631" s="1"/>
      <c r="FRA1631" s="1"/>
      <c r="FRB1631" s="1"/>
      <c r="FRC1631" s="1"/>
      <c r="FRD1631" s="1"/>
      <c r="FRE1631" s="1"/>
      <c r="FRF1631" s="1"/>
      <c r="FRG1631" s="1"/>
      <c r="FRH1631" s="1"/>
      <c r="FRI1631" s="1"/>
      <c r="FRJ1631" s="1"/>
      <c r="FRK1631" s="1"/>
      <c r="FRL1631" s="1"/>
      <c r="FRM1631" s="1"/>
      <c r="FRN1631" s="1"/>
      <c r="FRO1631" s="1"/>
      <c r="FRP1631" s="1"/>
      <c r="FRQ1631" s="1"/>
      <c r="FRR1631" s="1"/>
      <c r="FRS1631" s="1"/>
      <c r="FRT1631" s="1"/>
      <c r="FRU1631" s="1"/>
      <c r="FRV1631" s="1"/>
      <c r="FRW1631" s="1"/>
      <c r="FRX1631" s="1"/>
      <c r="FRY1631" s="1"/>
      <c r="FRZ1631" s="1"/>
      <c r="FSA1631" s="1"/>
      <c r="FSB1631" s="1"/>
      <c r="FSC1631" s="1"/>
      <c r="FSD1631" s="1"/>
      <c r="FSE1631" s="1"/>
      <c r="FSF1631" s="1"/>
      <c r="FSG1631" s="1"/>
      <c r="FSH1631" s="1"/>
      <c r="FSI1631" s="1"/>
      <c r="FSJ1631" s="1"/>
      <c r="FSK1631" s="1"/>
      <c r="FSL1631" s="1"/>
      <c r="FSM1631" s="1"/>
      <c r="FSN1631" s="1"/>
      <c r="FSO1631" s="1"/>
      <c r="FSP1631" s="1"/>
      <c r="FSQ1631" s="1"/>
      <c r="FSR1631" s="1"/>
      <c r="FSS1631" s="1"/>
      <c r="FST1631" s="1"/>
      <c r="FSU1631" s="1"/>
      <c r="FSV1631" s="1"/>
      <c r="FSW1631" s="1"/>
      <c r="FSX1631" s="1"/>
      <c r="FSY1631" s="1"/>
      <c r="FSZ1631" s="1"/>
      <c r="FTA1631" s="1"/>
      <c r="FTB1631" s="1"/>
      <c r="FTC1631" s="1"/>
      <c r="FTD1631" s="1"/>
      <c r="FTE1631" s="1"/>
      <c r="FTF1631" s="1"/>
      <c r="FTG1631" s="1"/>
      <c r="FTH1631" s="1"/>
      <c r="FTI1631" s="1"/>
      <c r="FTJ1631" s="1"/>
      <c r="FTK1631" s="1"/>
      <c r="FTL1631" s="1"/>
      <c r="FTM1631" s="1"/>
      <c r="FTN1631" s="1"/>
      <c r="FTO1631" s="1"/>
      <c r="FTP1631" s="1"/>
      <c r="FTQ1631" s="1"/>
      <c r="FTR1631" s="1"/>
      <c r="FTS1631" s="1"/>
      <c r="FTT1631" s="1"/>
      <c r="FTU1631" s="1"/>
      <c r="FTV1631" s="1"/>
      <c r="FTW1631" s="1"/>
      <c r="FTX1631" s="1"/>
      <c r="FTY1631" s="1"/>
      <c r="FTZ1631" s="1"/>
      <c r="FUA1631" s="1"/>
      <c r="FUB1631" s="1"/>
      <c r="FUC1631" s="1"/>
      <c r="FUD1631" s="1"/>
      <c r="FUE1631" s="1"/>
      <c r="FUF1631" s="1"/>
      <c r="FUG1631" s="1"/>
      <c r="FUH1631" s="1"/>
      <c r="FUI1631" s="1"/>
      <c r="FUJ1631" s="1"/>
      <c r="FUK1631" s="1"/>
      <c r="FUL1631" s="1"/>
      <c r="FUM1631" s="1"/>
      <c r="FUN1631" s="1"/>
      <c r="FUO1631" s="1"/>
      <c r="FUP1631" s="1"/>
      <c r="FUQ1631" s="1"/>
      <c r="FUR1631" s="1"/>
      <c r="FUS1631" s="1"/>
      <c r="FUT1631" s="1"/>
      <c r="FUU1631" s="1"/>
      <c r="FUV1631" s="1"/>
      <c r="FUW1631" s="1"/>
      <c r="FUX1631" s="1"/>
      <c r="FUY1631" s="1"/>
      <c r="FUZ1631" s="1"/>
      <c r="FVA1631" s="1"/>
      <c r="FVB1631" s="1"/>
      <c r="FVC1631" s="1"/>
      <c r="FVD1631" s="1"/>
      <c r="FVE1631" s="1"/>
      <c r="FVF1631" s="1"/>
      <c r="FVG1631" s="1"/>
      <c r="FVH1631" s="1"/>
      <c r="FVI1631" s="1"/>
      <c r="FVJ1631" s="1"/>
      <c r="FVK1631" s="1"/>
      <c r="FVL1631" s="1"/>
      <c r="FVM1631" s="1"/>
      <c r="FVN1631" s="1"/>
      <c r="FVO1631" s="1"/>
      <c r="FVP1631" s="1"/>
      <c r="FVQ1631" s="1"/>
      <c r="FVR1631" s="1"/>
      <c r="FVS1631" s="1"/>
      <c r="FVT1631" s="1"/>
      <c r="FVU1631" s="1"/>
      <c r="FVV1631" s="1"/>
      <c r="FVW1631" s="1"/>
      <c r="FVX1631" s="1"/>
      <c r="FVY1631" s="1"/>
      <c r="FVZ1631" s="1"/>
      <c r="FWA1631" s="1"/>
      <c r="FWB1631" s="1"/>
      <c r="FWC1631" s="1"/>
      <c r="FWD1631" s="1"/>
      <c r="FWE1631" s="1"/>
      <c r="FWF1631" s="1"/>
      <c r="FWG1631" s="1"/>
      <c r="FWH1631" s="1"/>
      <c r="FWI1631" s="1"/>
      <c r="FWJ1631" s="1"/>
      <c r="FWK1631" s="1"/>
      <c r="FWL1631" s="1"/>
      <c r="FWM1631" s="1"/>
      <c r="FWN1631" s="1"/>
      <c r="FWO1631" s="1"/>
      <c r="FWP1631" s="1"/>
      <c r="FWQ1631" s="1"/>
      <c r="FWR1631" s="1"/>
      <c r="FWS1631" s="1"/>
      <c r="FWT1631" s="1"/>
      <c r="FWU1631" s="1"/>
      <c r="FWV1631" s="1"/>
      <c r="FWW1631" s="1"/>
      <c r="FWX1631" s="1"/>
      <c r="FWY1631" s="1"/>
      <c r="FWZ1631" s="1"/>
      <c r="FXA1631" s="1"/>
      <c r="FXB1631" s="1"/>
      <c r="FXC1631" s="1"/>
      <c r="FXD1631" s="1"/>
      <c r="FXE1631" s="1"/>
      <c r="FXF1631" s="1"/>
      <c r="FXG1631" s="1"/>
      <c r="FXH1631" s="1"/>
      <c r="FXI1631" s="1"/>
      <c r="FXJ1631" s="1"/>
      <c r="FXK1631" s="1"/>
      <c r="FXL1631" s="1"/>
      <c r="FXM1631" s="1"/>
      <c r="FXN1631" s="1"/>
      <c r="FXO1631" s="1"/>
      <c r="FXP1631" s="1"/>
      <c r="FXQ1631" s="1"/>
      <c r="FXR1631" s="1"/>
      <c r="FXS1631" s="1"/>
      <c r="FXT1631" s="1"/>
      <c r="FXU1631" s="1"/>
      <c r="FXV1631" s="1"/>
      <c r="FXW1631" s="1"/>
      <c r="FXX1631" s="1"/>
      <c r="FXY1631" s="1"/>
      <c r="FXZ1631" s="1"/>
      <c r="FYA1631" s="1"/>
      <c r="FYB1631" s="1"/>
      <c r="FYC1631" s="1"/>
      <c r="FYD1631" s="1"/>
      <c r="FYE1631" s="1"/>
      <c r="FYF1631" s="1"/>
      <c r="FYG1631" s="1"/>
      <c r="FYH1631" s="1"/>
      <c r="FYI1631" s="1"/>
      <c r="FYJ1631" s="1"/>
      <c r="FYK1631" s="1"/>
      <c r="FYL1631" s="1"/>
      <c r="FYM1631" s="1"/>
      <c r="FYN1631" s="1"/>
      <c r="FYO1631" s="1"/>
      <c r="FYP1631" s="1"/>
      <c r="FYQ1631" s="1"/>
      <c r="FYR1631" s="1"/>
      <c r="FYS1631" s="1"/>
      <c r="FYT1631" s="1"/>
      <c r="FYU1631" s="1"/>
      <c r="FYV1631" s="1"/>
      <c r="FYW1631" s="1"/>
      <c r="FYX1631" s="1"/>
      <c r="FYY1631" s="1"/>
      <c r="FYZ1631" s="1"/>
      <c r="FZA1631" s="1"/>
      <c r="FZB1631" s="1"/>
      <c r="FZC1631" s="1"/>
      <c r="FZD1631" s="1"/>
      <c r="FZE1631" s="1"/>
      <c r="FZF1631" s="1"/>
      <c r="FZG1631" s="1"/>
      <c r="FZH1631" s="1"/>
      <c r="FZI1631" s="1"/>
      <c r="FZJ1631" s="1"/>
      <c r="FZK1631" s="1"/>
      <c r="FZL1631" s="1"/>
      <c r="FZM1631" s="1"/>
      <c r="FZN1631" s="1"/>
      <c r="FZO1631" s="1"/>
      <c r="FZP1631" s="1"/>
      <c r="FZQ1631" s="1"/>
      <c r="FZR1631" s="1"/>
      <c r="FZS1631" s="1"/>
      <c r="FZT1631" s="1"/>
      <c r="FZU1631" s="1"/>
      <c r="FZV1631" s="1"/>
      <c r="FZW1631" s="1"/>
      <c r="FZX1631" s="1"/>
      <c r="FZY1631" s="1"/>
      <c r="FZZ1631" s="1"/>
      <c r="GAA1631" s="1"/>
      <c r="GAB1631" s="1"/>
      <c r="GAC1631" s="1"/>
      <c r="GAD1631" s="1"/>
      <c r="GAE1631" s="1"/>
      <c r="GAF1631" s="1"/>
      <c r="GAG1631" s="1"/>
      <c r="GAH1631" s="1"/>
      <c r="GAI1631" s="1"/>
      <c r="GAJ1631" s="1"/>
      <c r="GAK1631" s="1"/>
      <c r="GAL1631" s="1"/>
      <c r="GAM1631" s="1"/>
      <c r="GAN1631" s="1"/>
      <c r="GAO1631" s="1"/>
      <c r="GAP1631" s="1"/>
      <c r="GAQ1631" s="1"/>
      <c r="GAR1631" s="1"/>
      <c r="GAS1631" s="1"/>
      <c r="GAT1631" s="1"/>
      <c r="GAU1631" s="1"/>
      <c r="GAV1631" s="1"/>
      <c r="GAW1631" s="1"/>
      <c r="GAX1631" s="1"/>
      <c r="GAY1631" s="1"/>
      <c r="GAZ1631" s="1"/>
      <c r="GBA1631" s="1"/>
      <c r="GBB1631" s="1"/>
      <c r="GBC1631" s="1"/>
      <c r="GBD1631" s="1"/>
      <c r="GBE1631" s="1"/>
      <c r="GBF1631" s="1"/>
      <c r="GBG1631" s="1"/>
      <c r="GBH1631" s="1"/>
      <c r="GBI1631" s="1"/>
      <c r="GBJ1631" s="1"/>
      <c r="GBK1631" s="1"/>
      <c r="GBL1631" s="1"/>
      <c r="GBM1631" s="1"/>
      <c r="GBN1631" s="1"/>
      <c r="GBO1631" s="1"/>
      <c r="GBP1631" s="1"/>
      <c r="GBQ1631" s="1"/>
      <c r="GBR1631" s="1"/>
      <c r="GBS1631" s="1"/>
      <c r="GBT1631" s="1"/>
      <c r="GBU1631" s="1"/>
      <c r="GBV1631" s="1"/>
      <c r="GBW1631" s="1"/>
      <c r="GBX1631" s="1"/>
      <c r="GBY1631" s="1"/>
      <c r="GBZ1631" s="1"/>
      <c r="GCA1631" s="1"/>
      <c r="GCB1631" s="1"/>
      <c r="GCC1631" s="1"/>
      <c r="GCD1631" s="1"/>
      <c r="GCE1631" s="1"/>
      <c r="GCF1631" s="1"/>
      <c r="GCG1631" s="1"/>
      <c r="GCH1631" s="1"/>
      <c r="GCI1631" s="1"/>
      <c r="GCJ1631" s="1"/>
      <c r="GCK1631" s="1"/>
      <c r="GCL1631" s="1"/>
      <c r="GCM1631" s="1"/>
      <c r="GCN1631" s="1"/>
      <c r="GCO1631" s="1"/>
      <c r="GCP1631" s="1"/>
      <c r="GCQ1631" s="1"/>
      <c r="GCR1631" s="1"/>
      <c r="GCS1631" s="1"/>
      <c r="GCT1631" s="1"/>
      <c r="GCU1631" s="1"/>
      <c r="GCV1631" s="1"/>
      <c r="GCW1631" s="1"/>
      <c r="GCX1631" s="1"/>
      <c r="GCY1631" s="1"/>
      <c r="GCZ1631" s="1"/>
      <c r="GDA1631" s="1"/>
      <c r="GDB1631" s="1"/>
      <c r="GDC1631" s="1"/>
      <c r="GDD1631" s="1"/>
      <c r="GDE1631" s="1"/>
      <c r="GDF1631" s="1"/>
      <c r="GDG1631" s="1"/>
      <c r="GDH1631" s="1"/>
      <c r="GDI1631" s="1"/>
      <c r="GDJ1631" s="1"/>
      <c r="GDK1631" s="1"/>
      <c r="GDL1631" s="1"/>
      <c r="GDM1631" s="1"/>
      <c r="GDN1631" s="1"/>
      <c r="GDO1631" s="1"/>
      <c r="GDP1631" s="1"/>
      <c r="GDQ1631" s="1"/>
      <c r="GDR1631" s="1"/>
      <c r="GDS1631" s="1"/>
      <c r="GDT1631" s="1"/>
      <c r="GDU1631" s="1"/>
      <c r="GDV1631" s="1"/>
      <c r="GDW1631" s="1"/>
      <c r="GDX1631" s="1"/>
      <c r="GDY1631" s="1"/>
      <c r="GDZ1631" s="1"/>
      <c r="GEA1631" s="1"/>
      <c r="GEB1631" s="1"/>
      <c r="GEC1631" s="1"/>
      <c r="GED1631" s="1"/>
      <c r="GEE1631" s="1"/>
      <c r="GEF1631" s="1"/>
      <c r="GEG1631" s="1"/>
      <c r="GEH1631" s="1"/>
      <c r="GEI1631" s="1"/>
      <c r="GEJ1631" s="1"/>
      <c r="GEK1631" s="1"/>
      <c r="GEL1631" s="1"/>
      <c r="GEM1631" s="1"/>
      <c r="GEN1631" s="1"/>
      <c r="GEO1631" s="1"/>
      <c r="GEP1631" s="1"/>
      <c r="GEQ1631" s="1"/>
      <c r="GER1631" s="1"/>
      <c r="GES1631" s="1"/>
      <c r="GET1631" s="1"/>
      <c r="GEU1631" s="1"/>
      <c r="GEV1631" s="1"/>
      <c r="GEW1631" s="1"/>
      <c r="GEX1631" s="1"/>
      <c r="GEY1631" s="1"/>
      <c r="GEZ1631" s="1"/>
      <c r="GFA1631" s="1"/>
      <c r="GFB1631" s="1"/>
      <c r="GFC1631" s="1"/>
      <c r="GFD1631" s="1"/>
      <c r="GFE1631" s="1"/>
      <c r="GFF1631" s="1"/>
      <c r="GFG1631" s="1"/>
      <c r="GFH1631" s="1"/>
      <c r="GFI1631" s="1"/>
      <c r="GFJ1631" s="1"/>
      <c r="GFK1631" s="1"/>
      <c r="GFL1631" s="1"/>
      <c r="GFM1631" s="1"/>
      <c r="GFN1631" s="1"/>
      <c r="GFO1631" s="1"/>
      <c r="GFP1631" s="1"/>
      <c r="GFQ1631" s="1"/>
      <c r="GFR1631" s="1"/>
      <c r="GFS1631" s="1"/>
      <c r="GFT1631" s="1"/>
      <c r="GFU1631" s="1"/>
      <c r="GFV1631" s="1"/>
      <c r="GFW1631" s="1"/>
      <c r="GFX1631" s="1"/>
      <c r="GFY1631" s="1"/>
      <c r="GFZ1631" s="1"/>
      <c r="GGA1631" s="1"/>
      <c r="GGB1631" s="1"/>
      <c r="GGC1631" s="1"/>
      <c r="GGD1631" s="1"/>
      <c r="GGE1631" s="1"/>
      <c r="GGF1631" s="1"/>
      <c r="GGG1631" s="1"/>
      <c r="GGH1631" s="1"/>
      <c r="GGI1631" s="1"/>
      <c r="GGJ1631" s="1"/>
      <c r="GGK1631" s="1"/>
      <c r="GGL1631" s="1"/>
      <c r="GGM1631" s="1"/>
      <c r="GGN1631" s="1"/>
      <c r="GGO1631" s="1"/>
      <c r="GGP1631" s="1"/>
      <c r="GGQ1631" s="1"/>
      <c r="GGR1631" s="1"/>
      <c r="GGS1631" s="1"/>
      <c r="GGT1631" s="1"/>
      <c r="GGU1631" s="1"/>
      <c r="GGV1631" s="1"/>
      <c r="GGW1631" s="1"/>
      <c r="GGX1631" s="1"/>
      <c r="GGY1631" s="1"/>
      <c r="GGZ1631" s="1"/>
      <c r="GHA1631" s="1"/>
      <c r="GHB1631" s="1"/>
      <c r="GHC1631" s="1"/>
      <c r="GHD1631" s="1"/>
      <c r="GHE1631" s="1"/>
      <c r="GHF1631" s="1"/>
      <c r="GHG1631" s="1"/>
      <c r="GHH1631" s="1"/>
      <c r="GHI1631" s="1"/>
      <c r="GHJ1631" s="1"/>
      <c r="GHK1631" s="1"/>
      <c r="GHL1631" s="1"/>
      <c r="GHM1631" s="1"/>
      <c r="GHN1631" s="1"/>
      <c r="GHO1631" s="1"/>
      <c r="GHP1631" s="1"/>
      <c r="GHQ1631" s="1"/>
      <c r="GHR1631" s="1"/>
      <c r="GHS1631" s="1"/>
      <c r="GHT1631" s="1"/>
      <c r="GHU1631" s="1"/>
      <c r="GHV1631" s="1"/>
      <c r="GHW1631" s="1"/>
      <c r="GHX1631" s="1"/>
      <c r="GHY1631" s="1"/>
      <c r="GHZ1631" s="1"/>
      <c r="GIA1631" s="1"/>
      <c r="GIB1631" s="1"/>
      <c r="GIC1631" s="1"/>
      <c r="GID1631" s="1"/>
      <c r="GIE1631" s="1"/>
      <c r="GIF1631" s="1"/>
      <c r="GIG1631" s="1"/>
      <c r="GIH1631" s="1"/>
      <c r="GII1631" s="1"/>
      <c r="GIJ1631" s="1"/>
      <c r="GIK1631" s="1"/>
      <c r="GIL1631" s="1"/>
      <c r="GIM1631" s="1"/>
      <c r="GIN1631" s="1"/>
      <c r="GIO1631" s="1"/>
      <c r="GIP1631" s="1"/>
      <c r="GIQ1631" s="1"/>
      <c r="GIR1631" s="1"/>
      <c r="GIS1631" s="1"/>
      <c r="GIT1631" s="1"/>
      <c r="GIU1631" s="1"/>
      <c r="GIV1631" s="1"/>
      <c r="GIW1631" s="1"/>
      <c r="GIX1631" s="1"/>
      <c r="GIY1631" s="1"/>
      <c r="GIZ1631" s="1"/>
      <c r="GJA1631" s="1"/>
      <c r="GJB1631" s="1"/>
      <c r="GJC1631" s="1"/>
      <c r="GJD1631" s="1"/>
      <c r="GJE1631" s="1"/>
      <c r="GJF1631" s="1"/>
      <c r="GJG1631" s="1"/>
      <c r="GJH1631" s="1"/>
      <c r="GJI1631" s="1"/>
      <c r="GJJ1631" s="1"/>
      <c r="GJK1631" s="1"/>
      <c r="GJL1631" s="1"/>
      <c r="GJM1631" s="1"/>
      <c r="GJN1631" s="1"/>
      <c r="GJO1631" s="1"/>
      <c r="GJP1631" s="1"/>
      <c r="GJQ1631" s="1"/>
      <c r="GJR1631" s="1"/>
      <c r="GJS1631" s="1"/>
      <c r="GJT1631" s="1"/>
      <c r="GJU1631" s="1"/>
      <c r="GJV1631" s="1"/>
      <c r="GJW1631" s="1"/>
      <c r="GJX1631" s="1"/>
      <c r="GJY1631" s="1"/>
      <c r="GJZ1631" s="1"/>
      <c r="GKA1631" s="1"/>
      <c r="GKB1631" s="1"/>
      <c r="GKC1631" s="1"/>
      <c r="GKD1631" s="1"/>
      <c r="GKE1631" s="1"/>
      <c r="GKF1631" s="1"/>
      <c r="GKG1631" s="1"/>
      <c r="GKH1631" s="1"/>
      <c r="GKI1631" s="1"/>
      <c r="GKJ1631" s="1"/>
      <c r="GKK1631" s="1"/>
      <c r="GKL1631" s="1"/>
      <c r="GKM1631" s="1"/>
      <c r="GKN1631" s="1"/>
      <c r="GKO1631" s="1"/>
      <c r="GKP1631" s="1"/>
      <c r="GKQ1631" s="1"/>
      <c r="GKR1631" s="1"/>
      <c r="GKS1631" s="1"/>
      <c r="GKT1631" s="1"/>
      <c r="GKU1631" s="1"/>
      <c r="GKV1631" s="1"/>
      <c r="GKW1631" s="1"/>
      <c r="GKX1631" s="1"/>
      <c r="GKY1631" s="1"/>
      <c r="GKZ1631" s="1"/>
      <c r="GLA1631" s="1"/>
      <c r="GLB1631" s="1"/>
      <c r="GLC1631" s="1"/>
      <c r="GLD1631" s="1"/>
      <c r="GLE1631" s="1"/>
      <c r="GLF1631" s="1"/>
      <c r="GLG1631" s="1"/>
      <c r="GLH1631" s="1"/>
      <c r="GLI1631" s="1"/>
      <c r="GLJ1631" s="1"/>
      <c r="GLK1631" s="1"/>
      <c r="GLL1631" s="1"/>
      <c r="GLM1631" s="1"/>
      <c r="GLN1631" s="1"/>
      <c r="GLO1631" s="1"/>
      <c r="GLP1631" s="1"/>
      <c r="GLQ1631" s="1"/>
      <c r="GLR1631" s="1"/>
      <c r="GLS1631" s="1"/>
      <c r="GLT1631" s="1"/>
      <c r="GLU1631" s="1"/>
      <c r="GLV1631" s="1"/>
      <c r="GLW1631" s="1"/>
      <c r="GLX1631" s="1"/>
      <c r="GLY1631" s="1"/>
      <c r="GLZ1631" s="1"/>
      <c r="GMA1631" s="1"/>
      <c r="GMB1631" s="1"/>
      <c r="GMC1631" s="1"/>
      <c r="GMD1631" s="1"/>
      <c r="GME1631" s="1"/>
      <c r="GMF1631" s="1"/>
      <c r="GMG1631" s="1"/>
      <c r="GMH1631" s="1"/>
      <c r="GMI1631" s="1"/>
      <c r="GMJ1631" s="1"/>
      <c r="GMK1631" s="1"/>
      <c r="GML1631" s="1"/>
      <c r="GMM1631" s="1"/>
      <c r="GMN1631" s="1"/>
      <c r="GMO1631" s="1"/>
      <c r="GMP1631" s="1"/>
      <c r="GMQ1631" s="1"/>
      <c r="GMR1631" s="1"/>
      <c r="GMS1631" s="1"/>
      <c r="GMT1631" s="1"/>
      <c r="GMU1631" s="1"/>
      <c r="GMV1631" s="1"/>
      <c r="GMW1631" s="1"/>
      <c r="GMX1631" s="1"/>
      <c r="GMY1631" s="1"/>
      <c r="GMZ1631" s="1"/>
      <c r="GNA1631" s="1"/>
      <c r="GNB1631" s="1"/>
      <c r="GNC1631" s="1"/>
      <c r="GND1631" s="1"/>
      <c r="GNE1631" s="1"/>
      <c r="GNF1631" s="1"/>
      <c r="GNG1631" s="1"/>
      <c r="GNH1631" s="1"/>
      <c r="GNI1631" s="1"/>
      <c r="GNJ1631" s="1"/>
      <c r="GNK1631" s="1"/>
      <c r="GNL1631" s="1"/>
      <c r="GNM1631" s="1"/>
      <c r="GNN1631" s="1"/>
      <c r="GNO1631" s="1"/>
      <c r="GNP1631" s="1"/>
      <c r="GNQ1631" s="1"/>
      <c r="GNR1631" s="1"/>
      <c r="GNS1631" s="1"/>
      <c r="GNT1631" s="1"/>
      <c r="GNU1631" s="1"/>
      <c r="GNV1631" s="1"/>
      <c r="GNW1631" s="1"/>
      <c r="GNX1631" s="1"/>
      <c r="GNY1631" s="1"/>
      <c r="GNZ1631" s="1"/>
      <c r="GOA1631" s="1"/>
      <c r="GOB1631" s="1"/>
      <c r="GOC1631" s="1"/>
      <c r="GOD1631" s="1"/>
      <c r="GOE1631" s="1"/>
      <c r="GOF1631" s="1"/>
      <c r="GOG1631" s="1"/>
      <c r="GOH1631" s="1"/>
      <c r="GOI1631" s="1"/>
      <c r="GOJ1631" s="1"/>
      <c r="GOK1631" s="1"/>
      <c r="GOL1631" s="1"/>
      <c r="GOM1631" s="1"/>
      <c r="GON1631" s="1"/>
      <c r="GOO1631" s="1"/>
      <c r="GOP1631" s="1"/>
      <c r="GOQ1631" s="1"/>
      <c r="GOR1631" s="1"/>
      <c r="GOS1631" s="1"/>
      <c r="GOT1631" s="1"/>
      <c r="GOU1631" s="1"/>
      <c r="GOV1631" s="1"/>
      <c r="GOW1631" s="1"/>
      <c r="GOX1631" s="1"/>
      <c r="GOY1631" s="1"/>
      <c r="GOZ1631" s="1"/>
      <c r="GPA1631" s="1"/>
      <c r="GPB1631" s="1"/>
      <c r="GPC1631" s="1"/>
      <c r="GPD1631" s="1"/>
      <c r="GPE1631" s="1"/>
      <c r="GPF1631" s="1"/>
      <c r="GPG1631" s="1"/>
      <c r="GPH1631" s="1"/>
      <c r="GPI1631" s="1"/>
      <c r="GPJ1631" s="1"/>
      <c r="GPK1631" s="1"/>
      <c r="GPL1631" s="1"/>
      <c r="GPM1631" s="1"/>
      <c r="GPN1631" s="1"/>
      <c r="GPO1631" s="1"/>
      <c r="GPP1631" s="1"/>
      <c r="GPQ1631" s="1"/>
      <c r="GPR1631" s="1"/>
      <c r="GPS1631" s="1"/>
      <c r="GPT1631" s="1"/>
      <c r="GPU1631" s="1"/>
      <c r="GPV1631" s="1"/>
      <c r="GPW1631" s="1"/>
      <c r="GPX1631" s="1"/>
      <c r="GPY1631" s="1"/>
      <c r="GPZ1631" s="1"/>
      <c r="GQA1631" s="1"/>
      <c r="GQB1631" s="1"/>
      <c r="GQC1631" s="1"/>
      <c r="GQD1631" s="1"/>
      <c r="GQE1631" s="1"/>
      <c r="GQF1631" s="1"/>
      <c r="GQG1631" s="1"/>
      <c r="GQH1631" s="1"/>
      <c r="GQI1631" s="1"/>
      <c r="GQJ1631" s="1"/>
      <c r="GQK1631" s="1"/>
      <c r="GQL1631" s="1"/>
      <c r="GQM1631" s="1"/>
      <c r="GQN1631" s="1"/>
      <c r="GQO1631" s="1"/>
      <c r="GQP1631" s="1"/>
      <c r="GQQ1631" s="1"/>
      <c r="GQR1631" s="1"/>
      <c r="GQS1631" s="1"/>
      <c r="GQT1631" s="1"/>
      <c r="GQU1631" s="1"/>
      <c r="GQV1631" s="1"/>
      <c r="GQW1631" s="1"/>
      <c r="GQX1631" s="1"/>
      <c r="GQY1631" s="1"/>
      <c r="GQZ1631" s="1"/>
      <c r="GRA1631" s="1"/>
      <c r="GRB1631" s="1"/>
      <c r="GRC1631" s="1"/>
      <c r="GRD1631" s="1"/>
      <c r="GRE1631" s="1"/>
      <c r="GRF1631" s="1"/>
      <c r="GRG1631" s="1"/>
      <c r="GRH1631" s="1"/>
      <c r="GRI1631" s="1"/>
      <c r="GRJ1631" s="1"/>
      <c r="GRK1631" s="1"/>
      <c r="GRL1631" s="1"/>
      <c r="GRM1631" s="1"/>
      <c r="GRN1631" s="1"/>
      <c r="GRO1631" s="1"/>
      <c r="GRP1631" s="1"/>
      <c r="GRQ1631" s="1"/>
      <c r="GRR1631" s="1"/>
      <c r="GRS1631" s="1"/>
      <c r="GRT1631" s="1"/>
      <c r="GRU1631" s="1"/>
      <c r="GRV1631" s="1"/>
      <c r="GRW1631" s="1"/>
      <c r="GRX1631" s="1"/>
      <c r="GRY1631" s="1"/>
      <c r="GRZ1631" s="1"/>
      <c r="GSA1631" s="1"/>
      <c r="GSB1631" s="1"/>
      <c r="GSC1631" s="1"/>
      <c r="GSD1631" s="1"/>
      <c r="GSE1631" s="1"/>
      <c r="GSF1631" s="1"/>
      <c r="GSG1631" s="1"/>
      <c r="GSH1631" s="1"/>
      <c r="GSI1631" s="1"/>
      <c r="GSJ1631" s="1"/>
      <c r="GSK1631" s="1"/>
      <c r="GSL1631" s="1"/>
      <c r="GSM1631" s="1"/>
      <c r="GSN1631" s="1"/>
      <c r="GSO1631" s="1"/>
      <c r="GSP1631" s="1"/>
      <c r="GSQ1631" s="1"/>
      <c r="GSR1631" s="1"/>
      <c r="GSS1631" s="1"/>
      <c r="GST1631" s="1"/>
      <c r="GSU1631" s="1"/>
      <c r="GSV1631" s="1"/>
      <c r="GSW1631" s="1"/>
      <c r="GSX1631" s="1"/>
      <c r="GSY1631" s="1"/>
      <c r="GSZ1631" s="1"/>
      <c r="GTA1631" s="1"/>
      <c r="GTB1631" s="1"/>
      <c r="GTC1631" s="1"/>
      <c r="GTD1631" s="1"/>
      <c r="GTE1631" s="1"/>
      <c r="GTF1631" s="1"/>
      <c r="GTG1631" s="1"/>
      <c r="GTH1631" s="1"/>
      <c r="GTI1631" s="1"/>
      <c r="GTJ1631" s="1"/>
      <c r="GTK1631" s="1"/>
      <c r="GTL1631" s="1"/>
      <c r="GTM1631" s="1"/>
      <c r="GTN1631" s="1"/>
      <c r="GTO1631" s="1"/>
      <c r="GTP1631" s="1"/>
      <c r="GTQ1631" s="1"/>
      <c r="GTR1631" s="1"/>
      <c r="GTS1631" s="1"/>
      <c r="GTT1631" s="1"/>
      <c r="GTU1631" s="1"/>
      <c r="GTV1631" s="1"/>
      <c r="GTW1631" s="1"/>
      <c r="GTX1631" s="1"/>
      <c r="GTY1631" s="1"/>
      <c r="GTZ1631" s="1"/>
      <c r="GUA1631" s="1"/>
      <c r="GUB1631" s="1"/>
      <c r="GUC1631" s="1"/>
      <c r="GUD1631" s="1"/>
      <c r="GUE1631" s="1"/>
      <c r="GUF1631" s="1"/>
      <c r="GUG1631" s="1"/>
      <c r="GUH1631" s="1"/>
      <c r="GUI1631" s="1"/>
      <c r="GUJ1631" s="1"/>
      <c r="GUK1631" s="1"/>
      <c r="GUL1631" s="1"/>
      <c r="GUM1631" s="1"/>
      <c r="GUN1631" s="1"/>
      <c r="GUO1631" s="1"/>
      <c r="GUP1631" s="1"/>
      <c r="GUQ1631" s="1"/>
      <c r="GUR1631" s="1"/>
      <c r="GUS1631" s="1"/>
      <c r="GUT1631" s="1"/>
      <c r="GUU1631" s="1"/>
      <c r="GUV1631" s="1"/>
      <c r="GUW1631" s="1"/>
      <c r="GUX1631" s="1"/>
      <c r="GUY1631" s="1"/>
      <c r="GUZ1631" s="1"/>
      <c r="GVA1631" s="1"/>
      <c r="GVB1631" s="1"/>
      <c r="GVC1631" s="1"/>
      <c r="GVD1631" s="1"/>
      <c r="GVE1631" s="1"/>
      <c r="GVF1631" s="1"/>
      <c r="GVG1631" s="1"/>
      <c r="GVH1631" s="1"/>
      <c r="GVI1631" s="1"/>
      <c r="GVJ1631" s="1"/>
      <c r="GVK1631" s="1"/>
      <c r="GVL1631" s="1"/>
      <c r="GVM1631" s="1"/>
      <c r="GVN1631" s="1"/>
      <c r="GVO1631" s="1"/>
      <c r="GVP1631" s="1"/>
      <c r="GVQ1631" s="1"/>
      <c r="GVR1631" s="1"/>
      <c r="GVS1631" s="1"/>
      <c r="GVT1631" s="1"/>
      <c r="GVU1631" s="1"/>
      <c r="GVV1631" s="1"/>
      <c r="GVW1631" s="1"/>
      <c r="GVX1631" s="1"/>
      <c r="GVY1631" s="1"/>
      <c r="GVZ1631" s="1"/>
      <c r="GWA1631" s="1"/>
      <c r="GWB1631" s="1"/>
      <c r="GWC1631" s="1"/>
      <c r="GWD1631" s="1"/>
      <c r="GWE1631" s="1"/>
      <c r="GWF1631" s="1"/>
      <c r="GWG1631" s="1"/>
      <c r="GWH1631" s="1"/>
      <c r="GWI1631" s="1"/>
      <c r="GWJ1631" s="1"/>
      <c r="GWK1631" s="1"/>
      <c r="GWL1631" s="1"/>
      <c r="GWM1631" s="1"/>
      <c r="GWN1631" s="1"/>
      <c r="GWO1631" s="1"/>
      <c r="GWP1631" s="1"/>
      <c r="GWQ1631" s="1"/>
      <c r="GWR1631" s="1"/>
      <c r="GWS1631" s="1"/>
      <c r="GWT1631" s="1"/>
      <c r="GWU1631" s="1"/>
      <c r="GWV1631" s="1"/>
      <c r="GWW1631" s="1"/>
      <c r="GWX1631" s="1"/>
      <c r="GWY1631" s="1"/>
      <c r="GWZ1631" s="1"/>
      <c r="GXA1631" s="1"/>
      <c r="GXB1631" s="1"/>
      <c r="GXC1631" s="1"/>
      <c r="GXD1631" s="1"/>
      <c r="GXE1631" s="1"/>
      <c r="GXF1631" s="1"/>
      <c r="GXG1631" s="1"/>
      <c r="GXH1631" s="1"/>
      <c r="GXI1631" s="1"/>
      <c r="GXJ1631" s="1"/>
      <c r="GXK1631" s="1"/>
      <c r="GXL1631" s="1"/>
      <c r="GXM1631" s="1"/>
      <c r="GXN1631" s="1"/>
      <c r="GXO1631" s="1"/>
      <c r="GXP1631" s="1"/>
      <c r="GXQ1631" s="1"/>
      <c r="GXR1631" s="1"/>
      <c r="GXS1631" s="1"/>
      <c r="GXT1631" s="1"/>
      <c r="GXU1631" s="1"/>
      <c r="GXV1631" s="1"/>
      <c r="GXW1631" s="1"/>
      <c r="GXX1631" s="1"/>
      <c r="GXY1631" s="1"/>
      <c r="GXZ1631" s="1"/>
      <c r="GYA1631" s="1"/>
      <c r="GYB1631" s="1"/>
      <c r="GYC1631" s="1"/>
      <c r="GYD1631" s="1"/>
      <c r="GYE1631" s="1"/>
      <c r="GYF1631" s="1"/>
      <c r="GYG1631" s="1"/>
      <c r="GYH1631" s="1"/>
      <c r="GYI1631" s="1"/>
      <c r="GYJ1631" s="1"/>
      <c r="GYK1631" s="1"/>
      <c r="GYL1631" s="1"/>
      <c r="GYM1631" s="1"/>
      <c r="GYN1631" s="1"/>
      <c r="GYO1631" s="1"/>
      <c r="GYP1631" s="1"/>
      <c r="GYQ1631" s="1"/>
      <c r="GYR1631" s="1"/>
      <c r="GYS1631" s="1"/>
      <c r="GYT1631" s="1"/>
      <c r="GYU1631" s="1"/>
      <c r="GYV1631" s="1"/>
      <c r="GYW1631" s="1"/>
      <c r="GYX1631" s="1"/>
      <c r="GYY1631" s="1"/>
      <c r="GYZ1631" s="1"/>
      <c r="GZA1631" s="1"/>
      <c r="GZB1631" s="1"/>
      <c r="GZC1631" s="1"/>
      <c r="GZD1631" s="1"/>
      <c r="GZE1631" s="1"/>
      <c r="GZF1631" s="1"/>
      <c r="GZG1631" s="1"/>
      <c r="GZH1631" s="1"/>
      <c r="GZI1631" s="1"/>
      <c r="GZJ1631" s="1"/>
      <c r="GZK1631" s="1"/>
      <c r="GZL1631" s="1"/>
      <c r="GZM1631" s="1"/>
      <c r="GZN1631" s="1"/>
      <c r="GZO1631" s="1"/>
      <c r="GZP1631" s="1"/>
      <c r="GZQ1631" s="1"/>
      <c r="GZR1631" s="1"/>
      <c r="GZS1631" s="1"/>
      <c r="GZT1631" s="1"/>
      <c r="GZU1631" s="1"/>
      <c r="GZV1631" s="1"/>
      <c r="GZW1631" s="1"/>
      <c r="GZX1631" s="1"/>
      <c r="GZY1631" s="1"/>
      <c r="GZZ1631" s="1"/>
      <c r="HAA1631" s="1"/>
      <c r="HAB1631" s="1"/>
      <c r="HAC1631" s="1"/>
      <c r="HAD1631" s="1"/>
      <c r="HAE1631" s="1"/>
      <c r="HAF1631" s="1"/>
      <c r="HAG1631" s="1"/>
      <c r="HAH1631" s="1"/>
      <c r="HAI1631" s="1"/>
      <c r="HAJ1631" s="1"/>
      <c r="HAK1631" s="1"/>
      <c r="HAL1631" s="1"/>
      <c r="HAM1631" s="1"/>
      <c r="HAN1631" s="1"/>
      <c r="HAO1631" s="1"/>
      <c r="HAP1631" s="1"/>
      <c r="HAQ1631" s="1"/>
      <c r="HAR1631" s="1"/>
      <c r="HAS1631" s="1"/>
      <c r="HAT1631" s="1"/>
      <c r="HAU1631" s="1"/>
      <c r="HAV1631" s="1"/>
      <c r="HAW1631" s="1"/>
      <c r="HAX1631" s="1"/>
      <c r="HAY1631" s="1"/>
      <c r="HAZ1631" s="1"/>
      <c r="HBA1631" s="1"/>
      <c r="HBB1631" s="1"/>
      <c r="HBC1631" s="1"/>
      <c r="HBD1631" s="1"/>
      <c r="HBE1631" s="1"/>
      <c r="HBF1631" s="1"/>
      <c r="HBG1631" s="1"/>
      <c r="HBH1631" s="1"/>
      <c r="HBI1631" s="1"/>
      <c r="HBJ1631" s="1"/>
      <c r="HBK1631" s="1"/>
      <c r="HBL1631" s="1"/>
      <c r="HBM1631" s="1"/>
      <c r="HBN1631" s="1"/>
      <c r="HBO1631" s="1"/>
      <c r="HBP1631" s="1"/>
      <c r="HBQ1631" s="1"/>
      <c r="HBR1631" s="1"/>
      <c r="HBS1631" s="1"/>
      <c r="HBT1631" s="1"/>
      <c r="HBU1631" s="1"/>
      <c r="HBV1631" s="1"/>
      <c r="HBW1631" s="1"/>
      <c r="HBX1631" s="1"/>
      <c r="HBY1631" s="1"/>
      <c r="HBZ1631" s="1"/>
      <c r="HCA1631" s="1"/>
      <c r="HCB1631" s="1"/>
      <c r="HCC1631" s="1"/>
      <c r="HCD1631" s="1"/>
      <c r="HCE1631" s="1"/>
      <c r="HCF1631" s="1"/>
      <c r="HCG1631" s="1"/>
      <c r="HCH1631" s="1"/>
      <c r="HCI1631" s="1"/>
      <c r="HCJ1631" s="1"/>
      <c r="HCK1631" s="1"/>
      <c r="HCL1631" s="1"/>
      <c r="HCM1631" s="1"/>
      <c r="HCN1631" s="1"/>
      <c r="HCO1631" s="1"/>
      <c r="HCP1631" s="1"/>
      <c r="HCQ1631" s="1"/>
      <c r="HCR1631" s="1"/>
      <c r="HCS1631" s="1"/>
      <c r="HCT1631" s="1"/>
      <c r="HCU1631" s="1"/>
      <c r="HCV1631" s="1"/>
      <c r="HCW1631" s="1"/>
      <c r="HCX1631" s="1"/>
      <c r="HCY1631" s="1"/>
      <c r="HCZ1631" s="1"/>
      <c r="HDA1631" s="1"/>
      <c r="HDB1631" s="1"/>
      <c r="HDC1631" s="1"/>
      <c r="HDD1631" s="1"/>
      <c r="HDE1631" s="1"/>
      <c r="HDF1631" s="1"/>
      <c r="HDG1631" s="1"/>
      <c r="HDH1631" s="1"/>
      <c r="HDI1631" s="1"/>
      <c r="HDJ1631" s="1"/>
      <c r="HDK1631" s="1"/>
      <c r="HDL1631" s="1"/>
      <c r="HDM1631" s="1"/>
      <c r="HDN1631" s="1"/>
      <c r="HDO1631" s="1"/>
      <c r="HDP1631" s="1"/>
      <c r="HDQ1631" s="1"/>
      <c r="HDR1631" s="1"/>
      <c r="HDS1631" s="1"/>
      <c r="HDT1631" s="1"/>
      <c r="HDU1631" s="1"/>
      <c r="HDV1631" s="1"/>
      <c r="HDW1631" s="1"/>
      <c r="HDX1631" s="1"/>
      <c r="HDY1631" s="1"/>
      <c r="HDZ1631" s="1"/>
      <c r="HEA1631" s="1"/>
      <c r="HEB1631" s="1"/>
      <c r="HEC1631" s="1"/>
      <c r="HED1631" s="1"/>
      <c r="HEE1631" s="1"/>
      <c r="HEF1631" s="1"/>
      <c r="HEG1631" s="1"/>
      <c r="HEH1631" s="1"/>
      <c r="HEI1631" s="1"/>
      <c r="HEJ1631" s="1"/>
      <c r="HEK1631" s="1"/>
      <c r="HEL1631" s="1"/>
      <c r="HEM1631" s="1"/>
      <c r="HEN1631" s="1"/>
      <c r="HEO1631" s="1"/>
      <c r="HEP1631" s="1"/>
      <c r="HEQ1631" s="1"/>
      <c r="HER1631" s="1"/>
      <c r="HES1631" s="1"/>
      <c r="HET1631" s="1"/>
      <c r="HEU1631" s="1"/>
      <c r="HEV1631" s="1"/>
      <c r="HEW1631" s="1"/>
      <c r="HEX1631" s="1"/>
      <c r="HEY1631" s="1"/>
      <c r="HEZ1631" s="1"/>
      <c r="HFA1631" s="1"/>
      <c r="HFB1631" s="1"/>
      <c r="HFC1631" s="1"/>
      <c r="HFD1631" s="1"/>
      <c r="HFE1631" s="1"/>
      <c r="HFF1631" s="1"/>
      <c r="HFG1631" s="1"/>
      <c r="HFH1631" s="1"/>
      <c r="HFI1631" s="1"/>
      <c r="HFJ1631" s="1"/>
      <c r="HFK1631" s="1"/>
      <c r="HFL1631" s="1"/>
      <c r="HFM1631" s="1"/>
      <c r="HFN1631" s="1"/>
      <c r="HFO1631" s="1"/>
      <c r="HFP1631" s="1"/>
      <c r="HFQ1631" s="1"/>
      <c r="HFR1631" s="1"/>
      <c r="HFS1631" s="1"/>
      <c r="HFT1631" s="1"/>
      <c r="HFU1631" s="1"/>
      <c r="HFV1631" s="1"/>
      <c r="HFW1631" s="1"/>
      <c r="HFX1631" s="1"/>
      <c r="HFY1631" s="1"/>
      <c r="HFZ1631" s="1"/>
      <c r="HGA1631" s="1"/>
      <c r="HGB1631" s="1"/>
      <c r="HGC1631" s="1"/>
      <c r="HGD1631" s="1"/>
      <c r="HGE1631" s="1"/>
      <c r="HGF1631" s="1"/>
      <c r="HGG1631" s="1"/>
      <c r="HGH1631" s="1"/>
      <c r="HGI1631" s="1"/>
      <c r="HGJ1631" s="1"/>
      <c r="HGK1631" s="1"/>
      <c r="HGL1631" s="1"/>
      <c r="HGM1631" s="1"/>
      <c r="HGN1631" s="1"/>
      <c r="HGO1631" s="1"/>
      <c r="HGP1631" s="1"/>
      <c r="HGQ1631" s="1"/>
      <c r="HGR1631" s="1"/>
      <c r="HGS1631" s="1"/>
      <c r="HGT1631" s="1"/>
      <c r="HGU1631" s="1"/>
      <c r="HGV1631" s="1"/>
      <c r="HGW1631" s="1"/>
      <c r="HGX1631" s="1"/>
      <c r="HGY1631" s="1"/>
      <c r="HGZ1631" s="1"/>
      <c r="HHA1631" s="1"/>
      <c r="HHB1631" s="1"/>
      <c r="HHC1631" s="1"/>
      <c r="HHD1631" s="1"/>
      <c r="HHE1631" s="1"/>
      <c r="HHF1631" s="1"/>
      <c r="HHG1631" s="1"/>
      <c r="HHH1631" s="1"/>
      <c r="HHI1631" s="1"/>
      <c r="HHJ1631" s="1"/>
      <c r="HHK1631" s="1"/>
      <c r="HHL1631" s="1"/>
      <c r="HHM1631" s="1"/>
      <c r="HHN1631" s="1"/>
      <c r="HHO1631" s="1"/>
      <c r="HHP1631" s="1"/>
      <c r="HHQ1631" s="1"/>
      <c r="HHR1631" s="1"/>
      <c r="HHS1631" s="1"/>
      <c r="HHT1631" s="1"/>
      <c r="HHU1631" s="1"/>
      <c r="HHV1631" s="1"/>
      <c r="HHW1631" s="1"/>
      <c r="HHX1631" s="1"/>
      <c r="HHY1631" s="1"/>
      <c r="HHZ1631" s="1"/>
      <c r="HIA1631" s="1"/>
      <c r="HIB1631" s="1"/>
      <c r="HIC1631" s="1"/>
      <c r="HID1631" s="1"/>
      <c r="HIE1631" s="1"/>
      <c r="HIF1631" s="1"/>
      <c r="HIG1631" s="1"/>
      <c r="HIH1631" s="1"/>
      <c r="HII1631" s="1"/>
      <c r="HIJ1631" s="1"/>
      <c r="HIK1631" s="1"/>
      <c r="HIL1631" s="1"/>
      <c r="HIM1631" s="1"/>
      <c r="HIN1631" s="1"/>
      <c r="HIO1631" s="1"/>
      <c r="HIP1631" s="1"/>
      <c r="HIQ1631" s="1"/>
      <c r="HIR1631" s="1"/>
      <c r="HIS1631" s="1"/>
      <c r="HIT1631" s="1"/>
      <c r="HIU1631" s="1"/>
      <c r="HIV1631" s="1"/>
      <c r="HIW1631" s="1"/>
      <c r="HIX1631" s="1"/>
      <c r="HIY1631" s="1"/>
      <c r="HIZ1631" s="1"/>
      <c r="HJA1631" s="1"/>
      <c r="HJB1631" s="1"/>
      <c r="HJC1631" s="1"/>
      <c r="HJD1631" s="1"/>
      <c r="HJE1631" s="1"/>
      <c r="HJF1631" s="1"/>
      <c r="HJG1631" s="1"/>
      <c r="HJH1631" s="1"/>
      <c r="HJI1631" s="1"/>
      <c r="HJJ1631" s="1"/>
      <c r="HJK1631" s="1"/>
      <c r="HJL1631" s="1"/>
      <c r="HJM1631" s="1"/>
      <c r="HJN1631" s="1"/>
      <c r="HJO1631" s="1"/>
      <c r="HJP1631" s="1"/>
      <c r="HJQ1631" s="1"/>
      <c r="HJR1631" s="1"/>
      <c r="HJS1631" s="1"/>
      <c r="HJT1631" s="1"/>
      <c r="HJU1631" s="1"/>
      <c r="HJV1631" s="1"/>
      <c r="HJW1631" s="1"/>
      <c r="HJX1631" s="1"/>
      <c r="HJY1631" s="1"/>
      <c r="HJZ1631" s="1"/>
      <c r="HKA1631" s="1"/>
      <c r="HKB1631" s="1"/>
      <c r="HKC1631" s="1"/>
      <c r="HKD1631" s="1"/>
      <c r="HKE1631" s="1"/>
      <c r="HKF1631" s="1"/>
      <c r="HKG1631" s="1"/>
      <c r="HKH1631" s="1"/>
      <c r="HKI1631" s="1"/>
      <c r="HKJ1631" s="1"/>
      <c r="HKK1631" s="1"/>
      <c r="HKL1631" s="1"/>
      <c r="HKM1631" s="1"/>
      <c r="HKN1631" s="1"/>
      <c r="HKO1631" s="1"/>
      <c r="HKP1631" s="1"/>
      <c r="HKQ1631" s="1"/>
      <c r="HKR1631" s="1"/>
      <c r="HKS1631" s="1"/>
      <c r="HKT1631" s="1"/>
      <c r="HKU1631" s="1"/>
      <c r="HKV1631" s="1"/>
      <c r="HKW1631" s="1"/>
      <c r="HKX1631" s="1"/>
      <c r="HKY1631" s="1"/>
      <c r="HKZ1631" s="1"/>
      <c r="HLA1631" s="1"/>
      <c r="HLB1631" s="1"/>
      <c r="HLC1631" s="1"/>
      <c r="HLD1631" s="1"/>
      <c r="HLE1631" s="1"/>
      <c r="HLF1631" s="1"/>
      <c r="HLG1631" s="1"/>
      <c r="HLH1631" s="1"/>
      <c r="HLI1631" s="1"/>
      <c r="HLJ1631" s="1"/>
      <c r="HLK1631" s="1"/>
      <c r="HLL1631" s="1"/>
      <c r="HLM1631" s="1"/>
      <c r="HLN1631" s="1"/>
      <c r="HLO1631" s="1"/>
      <c r="HLP1631" s="1"/>
      <c r="HLQ1631" s="1"/>
      <c r="HLR1631" s="1"/>
      <c r="HLS1631" s="1"/>
      <c r="HLT1631" s="1"/>
      <c r="HLU1631" s="1"/>
      <c r="HLV1631" s="1"/>
      <c r="HLW1631" s="1"/>
      <c r="HLX1631" s="1"/>
      <c r="HLY1631" s="1"/>
      <c r="HLZ1631" s="1"/>
      <c r="HMA1631" s="1"/>
      <c r="HMB1631" s="1"/>
      <c r="HMC1631" s="1"/>
      <c r="HMD1631" s="1"/>
      <c r="HME1631" s="1"/>
      <c r="HMF1631" s="1"/>
      <c r="HMG1631" s="1"/>
      <c r="HMH1631" s="1"/>
      <c r="HMI1631" s="1"/>
      <c r="HMJ1631" s="1"/>
      <c r="HMK1631" s="1"/>
      <c r="HML1631" s="1"/>
      <c r="HMM1631" s="1"/>
      <c r="HMN1631" s="1"/>
      <c r="HMO1631" s="1"/>
      <c r="HMP1631" s="1"/>
      <c r="HMQ1631" s="1"/>
      <c r="HMR1631" s="1"/>
      <c r="HMS1631" s="1"/>
      <c r="HMT1631" s="1"/>
      <c r="HMU1631" s="1"/>
      <c r="HMV1631" s="1"/>
      <c r="HMW1631" s="1"/>
      <c r="HMX1631" s="1"/>
      <c r="HMY1631" s="1"/>
      <c r="HMZ1631" s="1"/>
      <c r="HNA1631" s="1"/>
      <c r="HNB1631" s="1"/>
      <c r="HNC1631" s="1"/>
      <c r="HND1631" s="1"/>
      <c r="HNE1631" s="1"/>
      <c r="HNF1631" s="1"/>
      <c r="HNG1631" s="1"/>
      <c r="HNH1631" s="1"/>
      <c r="HNI1631" s="1"/>
      <c r="HNJ1631" s="1"/>
      <c r="HNK1631" s="1"/>
      <c r="HNL1631" s="1"/>
      <c r="HNM1631" s="1"/>
      <c r="HNN1631" s="1"/>
      <c r="HNO1631" s="1"/>
      <c r="HNP1631" s="1"/>
      <c r="HNQ1631" s="1"/>
      <c r="HNR1631" s="1"/>
      <c r="HNS1631" s="1"/>
      <c r="HNT1631" s="1"/>
      <c r="HNU1631" s="1"/>
      <c r="HNV1631" s="1"/>
      <c r="HNW1631" s="1"/>
      <c r="HNX1631" s="1"/>
      <c r="HNY1631" s="1"/>
      <c r="HNZ1631" s="1"/>
      <c r="HOA1631" s="1"/>
      <c r="HOB1631" s="1"/>
      <c r="HOC1631" s="1"/>
      <c r="HOD1631" s="1"/>
      <c r="HOE1631" s="1"/>
      <c r="HOF1631" s="1"/>
      <c r="HOG1631" s="1"/>
      <c r="HOH1631" s="1"/>
      <c r="HOI1631" s="1"/>
      <c r="HOJ1631" s="1"/>
      <c r="HOK1631" s="1"/>
      <c r="HOL1631" s="1"/>
      <c r="HOM1631" s="1"/>
      <c r="HON1631" s="1"/>
      <c r="HOO1631" s="1"/>
      <c r="HOP1631" s="1"/>
      <c r="HOQ1631" s="1"/>
      <c r="HOR1631" s="1"/>
      <c r="HOS1631" s="1"/>
      <c r="HOT1631" s="1"/>
      <c r="HOU1631" s="1"/>
      <c r="HOV1631" s="1"/>
      <c r="HOW1631" s="1"/>
      <c r="HOX1631" s="1"/>
      <c r="HOY1631" s="1"/>
      <c r="HOZ1631" s="1"/>
      <c r="HPA1631" s="1"/>
      <c r="HPB1631" s="1"/>
      <c r="HPC1631" s="1"/>
      <c r="HPD1631" s="1"/>
      <c r="HPE1631" s="1"/>
      <c r="HPF1631" s="1"/>
      <c r="HPG1631" s="1"/>
      <c r="HPH1631" s="1"/>
      <c r="HPI1631" s="1"/>
      <c r="HPJ1631" s="1"/>
      <c r="HPK1631" s="1"/>
      <c r="HPL1631" s="1"/>
      <c r="HPM1631" s="1"/>
      <c r="HPN1631" s="1"/>
      <c r="HPO1631" s="1"/>
      <c r="HPP1631" s="1"/>
      <c r="HPQ1631" s="1"/>
      <c r="HPR1631" s="1"/>
      <c r="HPS1631" s="1"/>
      <c r="HPT1631" s="1"/>
      <c r="HPU1631" s="1"/>
      <c r="HPV1631" s="1"/>
      <c r="HPW1631" s="1"/>
      <c r="HPX1631" s="1"/>
      <c r="HPY1631" s="1"/>
      <c r="HPZ1631" s="1"/>
      <c r="HQA1631" s="1"/>
      <c r="HQB1631" s="1"/>
      <c r="HQC1631" s="1"/>
      <c r="HQD1631" s="1"/>
      <c r="HQE1631" s="1"/>
      <c r="HQF1631" s="1"/>
      <c r="HQG1631" s="1"/>
      <c r="HQH1631" s="1"/>
      <c r="HQI1631" s="1"/>
      <c r="HQJ1631" s="1"/>
      <c r="HQK1631" s="1"/>
      <c r="HQL1631" s="1"/>
      <c r="HQM1631" s="1"/>
      <c r="HQN1631" s="1"/>
      <c r="HQO1631" s="1"/>
      <c r="HQP1631" s="1"/>
      <c r="HQQ1631" s="1"/>
      <c r="HQR1631" s="1"/>
      <c r="HQS1631" s="1"/>
      <c r="HQT1631" s="1"/>
      <c r="HQU1631" s="1"/>
      <c r="HQV1631" s="1"/>
      <c r="HQW1631" s="1"/>
      <c r="HQX1631" s="1"/>
      <c r="HQY1631" s="1"/>
      <c r="HQZ1631" s="1"/>
      <c r="HRA1631" s="1"/>
      <c r="HRB1631" s="1"/>
      <c r="HRC1631" s="1"/>
      <c r="HRD1631" s="1"/>
      <c r="HRE1631" s="1"/>
      <c r="HRF1631" s="1"/>
      <c r="HRG1631" s="1"/>
      <c r="HRH1631" s="1"/>
      <c r="HRI1631" s="1"/>
      <c r="HRJ1631" s="1"/>
      <c r="HRK1631" s="1"/>
      <c r="HRL1631" s="1"/>
      <c r="HRM1631" s="1"/>
      <c r="HRN1631" s="1"/>
      <c r="HRO1631" s="1"/>
      <c r="HRP1631" s="1"/>
      <c r="HRQ1631" s="1"/>
      <c r="HRR1631" s="1"/>
      <c r="HRS1631" s="1"/>
      <c r="HRT1631" s="1"/>
      <c r="HRU1631" s="1"/>
      <c r="HRV1631" s="1"/>
      <c r="HRW1631" s="1"/>
      <c r="HRX1631" s="1"/>
      <c r="HRY1631" s="1"/>
      <c r="HRZ1631" s="1"/>
      <c r="HSA1631" s="1"/>
      <c r="HSB1631" s="1"/>
      <c r="HSC1631" s="1"/>
      <c r="HSD1631" s="1"/>
      <c r="HSE1631" s="1"/>
      <c r="HSF1631" s="1"/>
      <c r="HSG1631" s="1"/>
      <c r="HSH1631" s="1"/>
      <c r="HSI1631" s="1"/>
      <c r="HSJ1631" s="1"/>
      <c r="HSK1631" s="1"/>
      <c r="HSL1631" s="1"/>
      <c r="HSM1631" s="1"/>
      <c r="HSN1631" s="1"/>
      <c r="HSO1631" s="1"/>
      <c r="HSP1631" s="1"/>
      <c r="HSQ1631" s="1"/>
      <c r="HSR1631" s="1"/>
      <c r="HSS1631" s="1"/>
      <c r="HST1631" s="1"/>
      <c r="HSU1631" s="1"/>
      <c r="HSV1631" s="1"/>
      <c r="HSW1631" s="1"/>
      <c r="HSX1631" s="1"/>
      <c r="HSY1631" s="1"/>
      <c r="HSZ1631" s="1"/>
      <c r="HTA1631" s="1"/>
      <c r="HTB1631" s="1"/>
      <c r="HTC1631" s="1"/>
      <c r="HTD1631" s="1"/>
      <c r="HTE1631" s="1"/>
      <c r="HTF1631" s="1"/>
      <c r="HTG1631" s="1"/>
      <c r="HTH1631" s="1"/>
      <c r="HTI1631" s="1"/>
      <c r="HTJ1631" s="1"/>
      <c r="HTK1631" s="1"/>
      <c r="HTL1631" s="1"/>
      <c r="HTM1631" s="1"/>
      <c r="HTN1631" s="1"/>
      <c r="HTO1631" s="1"/>
      <c r="HTP1631" s="1"/>
      <c r="HTQ1631" s="1"/>
      <c r="HTR1631" s="1"/>
      <c r="HTS1631" s="1"/>
      <c r="HTT1631" s="1"/>
      <c r="HTU1631" s="1"/>
      <c r="HTV1631" s="1"/>
      <c r="HTW1631" s="1"/>
      <c r="HTX1631" s="1"/>
      <c r="HTY1631" s="1"/>
      <c r="HTZ1631" s="1"/>
      <c r="HUA1631" s="1"/>
      <c r="HUB1631" s="1"/>
      <c r="HUC1631" s="1"/>
      <c r="HUD1631" s="1"/>
      <c r="HUE1631" s="1"/>
      <c r="HUF1631" s="1"/>
      <c r="HUG1631" s="1"/>
      <c r="HUH1631" s="1"/>
      <c r="HUI1631" s="1"/>
      <c r="HUJ1631" s="1"/>
      <c r="HUK1631" s="1"/>
      <c r="HUL1631" s="1"/>
      <c r="HUM1631" s="1"/>
      <c r="HUN1631" s="1"/>
      <c r="HUO1631" s="1"/>
      <c r="HUP1631" s="1"/>
      <c r="HUQ1631" s="1"/>
      <c r="HUR1631" s="1"/>
      <c r="HUS1631" s="1"/>
      <c r="HUT1631" s="1"/>
      <c r="HUU1631" s="1"/>
      <c r="HUV1631" s="1"/>
      <c r="HUW1631" s="1"/>
      <c r="HUX1631" s="1"/>
      <c r="HUY1631" s="1"/>
      <c r="HUZ1631" s="1"/>
      <c r="HVA1631" s="1"/>
      <c r="HVB1631" s="1"/>
      <c r="HVC1631" s="1"/>
      <c r="HVD1631" s="1"/>
      <c r="HVE1631" s="1"/>
      <c r="HVF1631" s="1"/>
      <c r="HVG1631" s="1"/>
      <c r="HVH1631" s="1"/>
      <c r="HVI1631" s="1"/>
      <c r="HVJ1631" s="1"/>
      <c r="HVK1631" s="1"/>
      <c r="HVL1631" s="1"/>
      <c r="HVM1631" s="1"/>
      <c r="HVN1631" s="1"/>
      <c r="HVO1631" s="1"/>
      <c r="HVP1631" s="1"/>
      <c r="HVQ1631" s="1"/>
      <c r="HVR1631" s="1"/>
      <c r="HVS1631" s="1"/>
      <c r="HVT1631" s="1"/>
      <c r="HVU1631" s="1"/>
      <c r="HVV1631" s="1"/>
      <c r="HVW1631" s="1"/>
      <c r="HVX1631" s="1"/>
      <c r="HVY1631" s="1"/>
      <c r="HVZ1631" s="1"/>
      <c r="HWA1631" s="1"/>
      <c r="HWB1631" s="1"/>
      <c r="HWC1631" s="1"/>
      <c r="HWD1631" s="1"/>
      <c r="HWE1631" s="1"/>
      <c r="HWF1631" s="1"/>
      <c r="HWG1631" s="1"/>
      <c r="HWH1631" s="1"/>
      <c r="HWI1631" s="1"/>
      <c r="HWJ1631" s="1"/>
      <c r="HWK1631" s="1"/>
      <c r="HWL1631" s="1"/>
      <c r="HWM1631" s="1"/>
      <c r="HWN1631" s="1"/>
      <c r="HWO1631" s="1"/>
      <c r="HWP1631" s="1"/>
      <c r="HWQ1631" s="1"/>
      <c r="HWR1631" s="1"/>
      <c r="HWS1631" s="1"/>
      <c r="HWT1631" s="1"/>
      <c r="HWU1631" s="1"/>
      <c r="HWV1631" s="1"/>
      <c r="HWW1631" s="1"/>
      <c r="HWX1631" s="1"/>
      <c r="HWY1631" s="1"/>
      <c r="HWZ1631" s="1"/>
      <c r="HXA1631" s="1"/>
      <c r="HXB1631" s="1"/>
      <c r="HXC1631" s="1"/>
      <c r="HXD1631" s="1"/>
      <c r="HXE1631" s="1"/>
      <c r="HXF1631" s="1"/>
      <c r="HXG1631" s="1"/>
      <c r="HXH1631" s="1"/>
      <c r="HXI1631" s="1"/>
      <c r="HXJ1631" s="1"/>
      <c r="HXK1631" s="1"/>
      <c r="HXL1631" s="1"/>
      <c r="HXM1631" s="1"/>
      <c r="HXN1631" s="1"/>
      <c r="HXO1631" s="1"/>
      <c r="HXP1631" s="1"/>
      <c r="HXQ1631" s="1"/>
      <c r="HXR1631" s="1"/>
      <c r="HXS1631" s="1"/>
      <c r="HXT1631" s="1"/>
      <c r="HXU1631" s="1"/>
      <c r="HXV1631" s="1"/>
      <c r="HXW1631" s="1"/>
      <c r="HXX1631" s="1"/>
      <c r="HXY1631" s="1"/>
      <c r="HXZ1631" s="1"/>
      <c r="HYA1631" s="1"/>
      <c r="HYB1631" s="1"/>
      <c r="HYC1631" s="1"/>
      <c r="HYD1631" s="1"/>
      <c r="HYE1631" s="1"/>
      <c r="HYF1631" s="1"/>
      <c r="HYG1631" s="1"/>
      <c r="HYH1631" s="1"/>
      <c r="HYI1631" s="1"/>
      <c r="HYJ1631" s="1"/>
      <c r="HYK1631" s="1"/>
      <c r="HYL1631" s="1"/>
      <c r="HYM1631" s="1"/>
      <c r="HYN1631" s="1"/>
      <c r="HYO1631" s="1"/>
      <c r="HYP1631" s="1"/>
      <c r="HYQ1631" s="1"/>
      <c r="HYR1631" s="1"/>
      <c r="HYS1631" s="1"/>
      <c r="HYT1631" s="1"/>
      <c r="HYU1631" s="1"/>
      <c r="HYV1631" s="1"/>
      <c r="HYW1631" s="1"/>
      <c r="HYX1631" s="1"/>
      <c r="HYY1631" s="1"/>
      <c r="HYZ1631" s="1"/>
      <c r="HZA1631" s="1"/>
      <c r="HZB1631" s="1"/>
      <c r="HZC1631" s="1"/>
      <c r="HZD1631" s="1"/>
      <c r="HZE1631" s="1"/>
      <c r="HZF1631" s="1"/>
      <c r="HZG1631" s="1"/>
      <c r="HZH1631" s="1"/>
      <c r="HZI1631" s="1"/>
      <c r="HZJ1631" s="1"/>
      <c r="HZK1631" s="1"/>
      <c r="HZL1631" s="1"/>
      <c r="HZM1631" s="1"/>
      <c r="HZN1631" s="1"/>
      <c r="HZO1631" s="1"/>
      <c r="HZP1631" s="1"/>
      <c r="HZQ1631" s="1"/>
      <c r="HZR1631" s="1"/>
      <c r="HZS1631" s="1"/>
      <c r="HZT1631" s="1"/>
      <c r="HZU1631" s="1"/>
      <c r="HZV1631" s="1"/>
      <c r="HZW1631" s="1"/>
      <c r="HZX1631" s="1"/>
      <c r="HZY1631" s="1"/>
      <c r="HZZ1631" s="1"/>
      <c r="IAA1631" s="1"/>
      <c r="IAB1631" s="1"/>
      <c r="IAC1631" s="1"/>
      <c r="IAD1631" s="1"/>
      <c r="IAE1631" s="1"/>
      <c r="IAF1631" s="1"/>
      <c r="IAG1631" s="1"/>
      <c r="IAH1631" s="1"/>
      <c r="IAI1631" s="1"/>
      <c r="IAJ1631" s="1"/>
      <c r="IAK1631" s="1"/>
      <c r="IAL1631" s="1"/>
      <c r="IAM1631" s="1"/>
      <c r="IAN1631" s="1"/>
      <c r="IAO1631" s="1"/>
      <c r="IAP1631" s="1"/>
      <c r="IAQ1631" s="1"/>
      <c r="IAR1631" s="1"/>
      <c r="IAS1631" s="1"/>
      <c r="IAT1631" s="1"/>
      <c r="IAU1631" s="1"/>
      <c r="IAV1631" s="1"/>
      <c r="IAW1631" s="1"/>
      <c r="IAX1631" s="1"/>
      <c r="IAY1631" s="1"/>
      <c r="IAZ1631" s="1"/>
      <c r="IBA1631" s="1"/>
      <c r="IBB1631" s="1"/>
      <c r="IBC1631" s="1"/>
      <c r="IBD1631" s="1"/>
      <c r="IBE1631" s="1"/>
      <c r="IBF1631" s="1"/>
      <c r="IBG1631" s="1"/>
      <c r="IBH1631" s="1"/>
      <c r="IBI1631" s="1"/>
      <c r="IBJ1631" s="1"/>
      <c r="IBK1631" s="1"/>
      <c r="IBL1631" s="1"/>
      <c r="IBM1631" s="1"/>
      <c r="IBN1631" s="1"/>
      <c r="IBO1631" s="1"/>
      <c r="IBP1631" s="1"/>
      <c r="IBQ1631" s="1"/>
      <c r="IBR1631" s="1"/>
      <c r="IBS1631" s="1"/>
      <c r="IBT1631" s="1"/>
      <c r="IBU1631" s="1"/>
      <c r="IBV1631" s="1"/>
      <c r="IBW1631" s="1"/>
      <c r="IBX1631" s="1"/>
      <c r="IBY1631" s="1"/>
      <c r="IBZ1631" s="1"/>
      <c r="ICA1631" s="1"/>
      <c r="ICB1631" s="1"/>
      <c r="ICC1631" s="1"/>
      <c r="ICD1631" s="1"/>
      <c r="ICE1631" s="1"/>
      <c r="ICF1631" s="1"/>
      <c r="ICG1631" s="1"/>
      <c r="ICH1631" s="1"/>
      <c r="ICI1631" s="1"/>
      <c r="ICJ1631" s="1"/>
      <c r="ICK1631" s="1"/>
      <c r="ICL1631" s="1"/>
      <c r="ICM1631" s="1"/>
      <c r="ICN1631" s="1"/>
      <c r="ICO1631" s="1"/>
      <c r="ICP1631" s="1"/>
      <c r="ICQ1631" s="1"/>
      <c r="ICR1631" s="1"/>
      <c r="ICS1631" s="1"/>
      <c r="ICT1631" s="1"/>
      <c r="ICU1631" s="1"/>
      <c r="ICV1631" s="1"/>
      <c r="ICW1631" s="1"/>
      <c r="ICX1631" s="1"/>
      <c r="ICY1631" s="1"/>
      <c r="ICZ1631" s="1"/>
      <c r="IDA1631" s="1"/>
      <c r="IDB1631" s="1"/>
      <c r="IDC1631" s="1"/>
      <c r="IDD1631" s="1"/>
      <c r="IDE1631" s="1"/>
      <c r="IDF1631" s="1"/>
      <c r="IDG1631" s="1"/>
      <c r="IDH1631" s="1"/>
      <c r="IDI1631" s="1"/>
      <c r="IDJ1631" s="1"/>
      <c r="IDK1631" s="1"/>
      <c r="IDL1631" s="1"/>
      <c r="IDM1631" s="1"/>
      <c r="IDN1631" s="1"/>
      <c r="IDO1631" s="1"/>
      <c r="IDP1631" s="1"/>
      <c r="IDQ1631" s="1"/>
      <c r="IDR1631" s="1"/>
      <c r="IDS1631" s="1"/>
      <c r="IDT1631" s="1"/>
      <c r="IDU1631" s="1"/>
      <c r="IDV1631" s="1"/>
      <c r="IDW1631" s="1"/>
      <c r="IDX1631" s="1"/>
      <c r="IDY1631" s="1"/>
      <c r="IDZ1631" s="1"/>
      <c r="IEA1631" s="1"/>
      <c r="IEB1631" s="1"/>
      <c r="IEC1631" s="1"/>
      <c r="IED1631" s="1"/>
      <c r="IEE1631" s="1"/>
      <c r="IEF1631" s="1"/>
      <c r="IEG1631" s="1"/>
      <c r="IEH1631" s="1"/>
      <c r="IEI1631" s="1"/>
      <c r="IEJ1631" s="1"/>
      <c r="IEK1631" s="1"/>
      <c r="IEL1631" s="1"/>
      <c r="IEM1631" s="1"/>
      <c r="IEN1631" s="1"/>
      <c r="IEO1631" s="1"/>
      <c r="IEP1631" s="1"/>
      <c r="IEQ1631" s="1"/>
      <c r="IER1631" s="1"/>
      <c r="IES1631" s="1"/>
      <c r="IET1631" s="1"/>
      <c r="IEU1631" s="1"/>
      <c r="IEV1631" s="1"/>
      <c r="IEW1631" s="1"/>
      <c r="IEX1631" s="1"/>
      <c r="IEY1631" s="1"/>
      <c r="IEZ1631" s="1"/>
      <c r="IFA1631" s="1"/>
      <c r="IFB1631" s="1"/>
      <c r="IFC1631" s="1"/>
      <c r="IFD1631" s="1"/>
      <c r="IFE1631" s="1"/>
      <c r="IFF1631" s="1"/>
      <c r="IFG1631" s="1"/>
      <c r="IFH1631" s="1"/>
      <c r="IFI1631" s="1"/>
      <c r="IFJ1631" s="1"/>
      <c r="IFK1631" s="1"/>
      <c r="IFL1631" s="1"/>
      <c r="IFM1631" s="1"/>
      <c r="IFN1631" s="1"/>
      <c r="IFO1631" s="1"/>
      <c r="IFP1631" s="1"/>
      <c r="IFQ1631" s="1"/>
      <c r="IFR1631" s="1"/>
      <c r="IFS1631" s="1"/>
      <c r="IFT1631" s="1"/>
      <c r="IFU1631" s="1"/>
      <c r="IFV1631" s="1"/>
      <c r="IFW1631" s="1"/>
      <c r="IFX1631" s="1"/>
      <c r="IFY1631" s="1"/>
      <c r="IFZ1631" s="1"/>
      <c r="IGA1631" s="1"/>
      <c r="IGB1631" s="1"/>
      <c r="IGC1631" s="1"/>
      <c r="IGD1631" s="1"/>
      <c r="IGE1631" s="1"/>
      <c r="IGF1631" s="1"/>
      <c r="IGG1631" s="1"/>
      <c r="IGH1631" s="1"/>
      <c r="IGI1631" s="1"/>
      <c r="IGJ1631" s="1"/>
      <c r="IGK1631" s="1"/>
      <c r="IGL1631" s="1"/>
      <c r="IGM1631" s="1"/>
      <c r="IGN1631" s="1"/>
      <c r="IGO1631" s="1"/>
      <c r="IGP1631" s="1"/>
      <c r="IGQ1631" s="1"/>
      <c r="IGR1631" s="1"/>
      <c r="IGS1631" s="1"/>
      <c r="IGT1631" s="1"/>
      <c r="IGU1631" s="1"/>
      <c r="IGV1631" s="1"/>
      <c r="IGW1631" s="1"/>
      <c r="IGX1631" s="1"/>
      <c r="IGY1631" s="1"/>
      <c r="IGZ1631" s="1"/>
      <c r="IHA1631" s="1"/>
      <c r="IHB1631" s="1"/>
      <c r="IHC1631" s="1"/>
      <c r="IHD1631" s="1"/>
      <c r="IHE1631" s="1"/>
      <c r="IHF1631" s="1"/>
      <c r="IHG1631" s="1"/>
      <c r="IHH1631" s="1"/>
      <c r="IHI1631" s="1"/>
      <c r="IHJ1631" s="1"/>
      <c r="IHK1631" s="1"/>
      <c r="IHL1631" s="1"/>
      <c r="IHM1631" s="1"/>
      <c r="IHN1631" s="1"/>
      <c r="IHO1631" s="1"/>
      <c r="IHP1631" s="1"/>
      <c r="IHQ1631" s="1"/>
      <c r="IHR1631" s="1"/>
      <c r="IHS1631" s="1"/>
      <c r="IHT1631" s="1"/>
      <c r="IHU1631" s="1"/>
      <c r="IHV1631" s="1"/>
      <c r="IHW1631" s="1"/>
      <c r="IHX1631" s="1"/>
      <c r="IHY1631" s="1"/>
      <c r="IHZ1631" s="1"/>
      <c r="IIA1631" s="1"/>
      <c r="IIB1631" s="1"/>
      <c r="IIC1631" s="1"/>
      <c r="IID1631" s="1"/>
      <c r="IIE1631" s="1"/>
      <c r="IIF1631" s="1"/>
      <c r="IIG1631" s="1"/>
      <c r="IIH1631" s="1"/>
      <c r="III1631" s="1"/>
      <c r="IIJ1631" s="1"/>
      <c r="IIK1631" s="1"/>
      <c r="IIL1631" s="1"/>
      <c r="IIM1631" s="1"/>
      <c r="IIN1631" s="1"/>
      <c r="IIO1631" s="1"/>
      <c r="IIP1631" s="1"/>
      <c r="IIQ1631" s="1"/>
      <c r="IIR1631" s="1"/>
      <c r="IIS1631" s="1"/>
      <c r="IIT1631" s="1"/>
      <c r="IIU1631" s="1"/>
      <c r="IIV1631" s="1"/>
      <c r="IIW1631" s="1"/>
      <c r="IIX1631" s="1"/>
      <c r="IIY1631" s="1"/>
      <c r="IIZ1631" s="1"/>
      <c r="IJA1631" s="1"/>
      <c r="IJB1631" s="1"/>
      <c r="IJC1631" s="1"/>
      <c r="IJD1631" s="1"/>
      <c r="IJE1631" s="1"/>
      <c r="IJF1631" s="1"/>
      <c r="IJG1631" s="1"/>
      <c r="IJH1631" s="1"/>
      <c r="IJI1631" s="1"/>
      <c r="IJJ1631" s="1"/>
      <c r="IJK1631" s="1"/>
      <c r="IJL1631" s="1"/>
      <c r="IJM1631" s="1"/>
      <c r="IJN1631" s="1"/>
      <c r="IJO1631" s="1"/>
      <c r="IJP1631" s="1"/>
      <c r="IJQ1631" s="1"/>
      <c r="IJR1631" s="1"/>
      <c r="IJS1631" s="1"/>
      <c r="IJT1631" s="1"/>
      <c r="IJU1631" s="1"/>
      <c r="IJV1631" s="1"/>
      <c r="IJW1631" s="1"/>
      <c r="IJX1631" s="1"/>
      <c r="IJY1631" s="1"/>
      <c r="IJZ1631" s="1"/>
      <c r="IKA1631" s="1"/>
      <c r="IKB1631" s="1"/>
      <c r="IKC1631" s="1"/>
      <c r="IKD1631" s="1"/>
      <c r="IKE1631" s="1"/>
      <c r="IKF1631" s="1"/>
      <c r="IKG1631" s="1"/>
      <c r="IKH1631" s="1"/>
      <c r="IKI1631" s="1"/>
      <c r="IKJ1631" s="1"/>
      <c r="IKK1631" s="1"/>
      <c r="IKL1631" s="1"/>
      <c r="IKM1631" s="1"/>
      <c r="IKN1631" s="1"/>
      <c r="IKO1631" s="1"/>
      <c r="IKP1631" s="1"/>
      <c r="IKQ1631" s="1"/>
      <c r="IKR1631" s="1"/>
      <c r="IKS1631" s="1"/>
      <c r="IKT1631" s="1"/>
      <c r="IKU1631" s="1"/>
      <c r="IKV1631" s="1"/>
      <c r="IKW1631" s="1"/>
      <c r="IKX1631" s="1"/>
      <c r="IKY1631" s="1"/>
      <c r="IKZ1631" s="1"/>
      <c r="ILA1631" s="1"/>
      <c r="ILB1631" s="1"/>
      <c r="ILC1631" s="1"/>
      <c r="ILD1631" s="1"/>
      <c r="ILE1631" s="1"/>
      <c r="ILF1631" s="1"/>
      <c r="ILG1631" s="1"/>
      <c r="ILH1631" s="1"/>
      <c r="ILI1631" s="1"/>
      <c r="ILJ1631" s="1"/>
      <c r="ILK1631" s="1"/>
      <c r="ILL1631" s="1"/>
      <c r="ILM1631" s="1"/>
      <c r="ILN1631" s="1"/>
      <c r="ILO1631" s="1"/>
      <c r="ILP1631" s="1"/>
      <c r="ILQ1631" s="1"/>
      <c r="ILR1631" s="1"/>
      <c r="ILS1631" s="1"/>
      <c r="ILT1631" s="1"/>
      <c r="ILU1631" s="1"/>
      <c r="ILV1631" s="1"/>
      <c r="ILW1631" s="1"/>
      <c r="ILX1631" s="1"/>
      <c r="ILY1631" s="1"/>
      <c r="ILZ1631" s="1"/>
      <c r="IMA1631" s="1"/>
      <c r="IMB1631" s="1"/>
      <c r="IMC1631" s="1"/>
      <c r="IMD1631" s="1"/>
      <c r="IME1631" s="1"/>
      <c r="IMF1631" s="1"/>
      <c r="IMG1631" s="1"/>
      <c r="IMH1631" s="1"/>
      <c r="IMI1631" s="1"/>
      <c r="IMJ1631" s="1"/>
      <c r="IMK1631" s="1"/>
      <c r="IML1631" s="1"/>
      <c r="IMM1631" s="1"/>
      <c r="IMN1631" s="1"/>
      <c r="IMO1631" s="1"/>
      <c r="IMP1631" s="1"/>
      <c r="IMQ1631" s="1"/>
      <c r="IMR1631" s="1"/>
      <c r="IMS1631" s="1"/>
      <c r="IMT1631" s="1"/>
      <c r="IMU1631" s="1"/>
      <c r="IMV1631" s="1"/>
      <c r="IMW1631" s="1"/>
      <c r="IMX1631" s="1"/>
      <c r="IMY1631" s="1"/>
      <c r="IMZ1631" s="1"/>
      <c r="INA1631" s="1"/>
      <c r="INB1631" s="1"/>
      <c r="INC1631" s="1"/>
      <c r="IND1631" s="1"/>
      <c r="INE1631" s="1"/>
      <c r="INF1631" s="1"/>
      <c r="ING1631" s="1"/>
      <c r="INH1631" s="1"/>
      <c r="INI1631" s="1"/>
      <c r="INJ1631" s="1"/>
      <c r="INK1631" s="1"/>
      <c r="INL1631" s="1"/>
      <c r="INM1631" s="1"/>
      <c r="INN1631" s="1"/>
      <c r="INO1631" s="1"/>
      <c r="INP1631" s="1"/>
      <c r="INQ1631" s="1"/>
      <c r="INR1631" s="1"/>
      <c r="INS1631" s="1"/>
      <c r="INT1631" s="1"/>
      <c r="INU1631" s="1"/>
      <c r="INV1631" s="1"/>
      <c r="INW1631" s="1"/>
      <c r="INX1631" s="1"/>
      <c r="INY1631" s="1"/>
      <c r="INZ1631" s="1"/>
      <c r="IOA1631" s="1"/>
      <c r="IOB1631" s="1"/>
      <c r="IOC1631" s="1"/>
      <c r="IOD1631" s="1"/>
      <c r="IOE1631" s="1"/>
      <c r="IOF1631" s="1"/>
      <c r="IOG1631" s="1"/>
      <c r="IOH1631" s="1"/>
      <c r="IOI1631" s="1"/>
      <c r="IOJ1631" s="1"/>
      <c r="IOK1631" s="1"/>
      <c r="IOL1631" s="1"/>
      <c r="IOM1631" s="1"/>
      <c r="ION1631" s="1"/>
      <c r="IOO1631" s="1"/>
      <c r="IOP1631" s="1"/>
      <c r="IOQ1631" s="1"/>
      <c r="IOR1631" s="1"/>
      <c r="IOS1631" s="1"/>
      <c r="IOT1631" s="1"/>
      <c r="IOU1631" s="1"/>
      <c r="IOV1631" s="1"/>
      <c r="IOW1631" s="1"/>
      <c r="IOX1631" s="1"/>
      <c r="IOY1631" s="1"/>
      <c r="IOZ1631" s="1"/>
      <c r="IPA1631" s="1"/>
      <c r="IPB1631" s="1"/>
      <c r="IPC1631" s="1"/>
      <c r="IPD1631" s="1"/>
      <c r="IPE1631" s="1"/>
      <c r="IPF1631" s="1"/>
      <c r="IPG1631" s="1"/>
      <c r="IPH1631" s="1"/>
      <c r="IPI1631" s="1"/>
      <c r="IPJ1631" s="1"/>
      <c r="IPK1631" s="1"/>
      <c r="IPL1631" s="1"/>
      <c r="IPM1631" s="1"/>
      <c r="IPN1631" s="1"/>
      <c r="IPO1631" s="1"/>
      <c r="IPP1631" s="1"/>
      <c r="IPQ1631" s="1"/>
      <c r="IPR1631" s="1"/>
      <c r="IPS1631" s="1"/>
      <c r="IPT1631" s="1"/>
      <c r="IPU1631" s="1"/>
      <c r="IPV1631" s="1"/>
      <c r="IPW1631" s="1"/>
      <c r="IPX1631" s="1"/>
      <c r="IPY1631" s="1"/>
      <c r="IPZ1631" s="1"/>
      <c r="IQA1631" s="1"/>
      <c r="IQB1631" s="1"/>
      <c r="IQC1631" s="1"/>
      <c r="IQD1631" s="1"/>
      <c r="IQE1631" s="1"/>
      <c r="IQF1631" s="1"/>
      <c r="IQG1631" s="1"/>
      <c r="IQH1631" s="1"/>
      <c r="IQI1631" s="1"/>
      <c r="IQJ1631" s="1"/>
      <c r="IQK1631" s="1"/>
      <c r="IQL1631" s="1"/>
      <c r="IQM1631" s="1"/>
      <c r="IQN1631" s="1"/>
      <c r="IQO1631" s="1"/>
      <c r="IQP1631" s="1"/>
      <c r="IQQ1631" s="1"/>
      <c r="IQR1631" s="1"/>
      <c r="IQS1631" s="1"/>
      <c r="IQT1631" s="1"/>
      <c r="IQU1631" s="1"/>
      <c r="IQV1631" s="1"/>
      <c r="IQW1631" s="1"/>
      <c r="IQX1631" s="1"/>
      <c r="IQY1631" s="1"/>
      <c r="IQZ1631" s="1"/>
      <c r="IRA1631" s="1"/>
      <c r="IRB1631" s="1"/>
      <c r="IRC1631" s="1"/>
      <c r="IRD1631" s="1"/>
      <c r="IRE1631" s="1"/>
      <c r="IRF1631" s="1"/>
      <c r="IRG1631" s="1"/>
      <c r="IRH1631" s="1"/>
      <c r="IRI1631" s="1"/>
      <c r="IRJ1631" s="1"/>
      <c r="IRK1631" s="1"/>
      <c r="IRL1631" s="1"/>
      <c r="IRM1631" s="1"/>
      <c r="IRN1631" s="1"/>
      <c r="IRO1631" s="1"/>
      <c r="IRP1631" s="1"/>
      <c r="IRQ1631" s="1"/>
      <c r="IRR1631" s="1"/>
      <c r="IRS1631" s="1"/>
      <c r="IRT1631" s="1"/>
      <c r="IRU1631" s="1"/>
      <c r="IRV1631" s="1"/>
      <c r="IRW1631" s="1"/>
      <c r="IRX1631" s="1"/>
      <c r="IRY1631" s="1"/>
      <c r="IRZ1631" s="1"/>
      <c r="ISA1631" s="1"/>
      <c r="ISB1631" s="1"/>
      <c r="ISC1631" s="1"/>
      <c r="ISD1631" s="1"/>
      <c r="ISE1631" s="1"/>
      <c r="ISF1631" s="1"/>
      <c r="ISG1631" s="1"/>
      <c r="ISH1631" s="1"/>
      <c r="ISI1631" s="1"/>
      <c r="ISJ1631" s="1"/>
      <c r="ISK1631" s="1"/>
      <c r="ISL1631" s="1"/>
      <c r="ISM1631" s="1"/>
      <c r="ISN1631" s="1"/>
      <c r="ISO1631" s="1"/>
      <c r="ISP1631" s="1"/>
      <c r="ISQ1631" s="1"/>
      <c r="ISR1631" s="1"/>
      <c r="ISS1631" s="1"/>
      <c r="IST1631" s="1"/>
      <c r="ISU1631" s="1"/>
      <c r="ISV1631" s="1"/>
      <c r="ISW1631" s="1"/>
      <c r="ISX1631" s="1"/>
      <c r="ISY1631" s="1"/>
      <c r="ISZ1631" s="1"/>
      <c r="ITA1631" s="1"/>
      <c r="ITB1631" s="1"/>
      <c r="ITC1631" s="1"/>
      <c r="ITD1631" s="1"/>
      <c r="ITE1631" s="1"/>
      <c r="ITF1631" s="1"/>
      <c r="ITG1631" s="1"/>
      <c r="ITH1631" s="1"/>
      <c r="ITI1631" s="1"/>
      <c r="ITJ1631" s="1"/>
      <c r="ITK1631" s="1"/>
      <c r="ITL1631" s="1"/>
      <c r="ITM1631" s="1"/>
      <c r="ITN1631" s="1"/>
      <c r="ITO1631" s="1"/>
      <c r="ITP1631" s="1"/>
      <c r="ITQ1631" s="1"/>
      <c r="ITR1631" s="1"/>
      <c r="ITS1631" s="1"/>
      <c r="ITT1631" s="1"/>
      <c r="ITU1631" s="1"/>
      <c r="ITV1631" s="1"/>
      <c r="ITW1631" s="1"/>
      <c r="ITX1631" s="1"/>
      <c r="ITY1631" s="1"/>
      <c r="ITZ1631" s="1"/>
      <c r="IUA1631" s="1"/>
      <c r="IUB1631" s="1"/>
      <c r="IUC1631" s="1"/>
      <c r="IUD1631" s="1"/>
      <c r="IUE1631" s="1"/>
      <c r="IUF1631" s="1"/>
      <c r="IUG1631" s="1"/>
      <c r="IUH1631" s="1"/>
      <c r="IUI1631" s="1"/>
      <c r="IUJ1631" s="1"/>
      <c r="IUK1631" s="1"/>
      <c r="IUL1631" s="1"/>
      <c r="IUM1631" s="1"/>
      <c r="IUN1631" s="1"/>
      <c r="IUO1631" s="1"/>
      <c r="IUP1631" s="1"/>
      <c r="IUQ1631" s="1"/>
      <c r="IUR1631" s="1"/>
      <c r="IUS1631" s="1"/>
      <c r="IUT1631" s="1"/>
      <c r="IUU1631" s="1"/>
      <c r="IUV1631" s="1"/>
      <c r="IUW1631" s="1"/>
      <c r="IUX1631" s="1"/>
      <c r="IUY1631" s="1"/>
      <c r="IUZ1631" s="1"/>
      <c r="IVA1631" s="1"/>
      <c r="IVB1631" s="1"/>
      <c r="IVC1631" s="1"/>
      <c r="IVD1631" s="1"/>
      <c r="IVE1631" s="1"/>
      <c r="IVF1631" s="1"/>
      <c r="IVG1631" s="1"/>
      <c r="IVH1631" s="1"/>
      <c r="IVI1631" s="1"/>
      <c r="IVJ1631" s="1"/>
      <c r="IVK1631" s="1"/>
      <c r="IVL1631" s="1"/>
      <c r="IVM1631" s="1"/>
      <c r="IVN1631" s="1"/>
      <c r="IVO1631" s="1"/>
      <c r="IVP1631" s="1"/>
      <c r="IVQ1631" s="1"/>
      <c r="IVR1631" s="1"/>
      <c r="IVS1631" s="1"/>
      <c r="IVT1631" s="1"/>
      <c r="IVU1631" s="1"/>
      <c r="IVV1631" s="1"/>
      <c r="IVW1631" s="1"/>
      <c r="IVX1631" s="1"/>
      <c r="IVY1631" s="1"/>
      <c r="IVZ1631" s="1"/>
      <c r="IWA1631" s="1"/>
      <c r="IWB1631" s="1"/>
      <c r="IWC1631" s="1"/>
      <c r="IWD1631" s="1"/>
      <c r="IWE1631" s="1"/>
      <c r="IWF1631" s="1"/>
      <c r="IWG1631" s="1"/>
      <c r="IWH1631" s="1"/>
      <c r="IWI1631" s="1"/>
      <c r="IWJ1631" s="1"/>
      <c r="IWK1631" s="1"/>
      <c r="IWL1631" s="1"/>
      <c r="IWM1631" s="1"/>
      <c r="IWN1631" s="1"/>
      <c r="IWO1631" s="1"/>
      <c r="IWP1631" s="1"/>
      <c r="IWQ1631" s="1"/>
      <c r="IWR1631" s="1"/>
      <c r="IWS1631" s="1"/>
      <c r="IWT1631" s="1"/>
      <c r="IWU1631" s="1"/>
      <c r="IWV1631" s="1"/>
      <c r="IWW1631" s="1"/>
      <c r="IWX1631" s="1"/>
      <c r="IWY1631" s="1"/>
      <c r="IWZ1631" s="1"/>
      <c r="IXA1631" s="1"/>
      <c r="IXB1631" s="1"/>
      <c r="IXC1631" s="1"/>
      <c r="IXD1631" s="1"/>
      <c r="IXE1631" s="1"/>
      <c r="IXF1631" s="1"/>
      <c r="IXG1631" s="1"/>
      <c r="IXH1631" s="1"/>
      <c r="IXI1631" s="1"/>
      <c r="IXJ1631" s="1"/>
      <c r="IXK1631" s="1"/>
      <c r="IXL1631" s="1"/>
      <c r="IXM1631" s="1"/>
      <c r="IXN1631" s="1"/>
      <c r="IXO1631" s="1"/>
      <c r="IXP1631" s="1"/>
      <c r="IXQ1631" s="1"/>
      <c r="IXR1631" s="1"/>
      <c r="IXS1631" s="1"/>
      <c r="IXT1631" s="1"/>
      <c r="IXU1631" s="1"/>
      <c r="IXV1631" s="1"/>
      <c r="IXW1631" s="1"/>
      <c r="IXX1631" s="1"/>
      <c r="IXY1631" s="1"/>
      <c r="IXZ1631" s="1"/>
      <c r="IYA1631" s="1"/>
      <c r="IYB1631" s="1"/>
      <c r="IYC1631" s="1"/>
      <c r="IYD1631" s="1"/>
      <c r="IYE1631" s="1"/>
      <c r="IYF1631" s="1"/>
      <c r="IYG1631" s="1"/>
      <c r="IYH1631" s="1"/>
      <c r="IYI1631" s="1"/>
      <c r="IYJ1631" s="1"/>
      <c r="IYK1631" s="1"/>
      <c r="IYL1631" s="1"/>
      <c r="IYM1631" s="1"/>
      <c r="IYN1631" s="1"/>
      <c r="IYO1631" s="1"/>
      <c r="IYP1631" s="1"/>
      <c r="IYQ1631" s="1"/>
      <c r="IYR1631" s="1"/>
      <c r="IYS1631" s="1"/>
      <c r="IYT1631" s="1"/>
      <c r="IYU1631" s="1"/>
      <c r="IYV1631" s="1"/>
      <c r="IYW1631" s="1"/>
      <c r="IYX1631" s="1"/>
      <c r="IYY1631" s="1"/>
      <c r="IYZ1631" s="1"/>
      <c r="IZA1631" s="1"/>
      <c r="IZB1631" s="1"/>
      <c r="IZC1631" s="1"/>
      <c r="IZD1631" s="1"/>
      <c r="IZE1631" s="1"/>
      <c r="IZF1631" s="1"/>
      <c r="IZG1631" s="1"/>
      <c r="IZH1631" s="1"/>
      <c r="IZI1631" s="1"/>
      <c r="IZJ1631" s="1"/>
      <c r="IZK1631" s="1"/>
      <c r="IZL1631" s="1"/>
      <c r="IZM1631" s="1"/>
      <c r="IZN1631" s="1"/>
      <c r="IZO1631" s="1"/>
      <c r="IZP1631" s="1"/>
      <c r="IZQ1631" s="1"/>
      <c r="IZR1631" s="1"/>
      <c r="IZS1631" s="1"/>
      <c r="IZT1631" s="1"/>
      <c r="IZU1631" s="1"/>
      <c r="IZV1631" s="1"/>
      <c r="IZW1631" s="1"/>
      <c r="IZX1631" s="1"/>
      <c r="IZY1631" s="1"/>
      <c r="IZZ1631" s="1"/>
      <c r="JAA1631" s="1"/>
      <c r="JAB1631" s="1"/>
      <c r="JAC1631" s="1"/>
      <c r="JAD1631" s="1"/>
      <c r="JAE1631" s="1"/>
      <c r="JAF1631" s="1"/>
      <c r="JAG1631" s="1"/>
      <c r="JAH1631" s="1"/>
      <c r="JAI1631" s="1"/>
      <c r="JAJ1631" s="1"/>
      <c r="JAK1631" s="1"/>
      <c r="JAL1631" s="1"/>
      <c r="JAM1631" s="1"/>
      <c r="JAN1631" s="1"/>
      <c r="JAO1631" s="1"/>
      <c r="JAP1631" s="1"/>
      <c r="JAQ1631" s="1"/>
      <c r="JAR1631" s="1"/>
      <c r="JAS1631" s="1"/>
      <c r="JAT1631" s="1"/>
      <c r="JAU1631" s="1"/>
      <c r="JAV1631" s="1"/>
      <c r="JAW1631" s="1"/>
      <c r="JAX1631" s="1"/>
      <c r="JAY1631" s="1"/>
      <c r="JAZ1631" s="1"/>
      <c r="JBA1631" s="1"/>
      <c r="JBB1631" s="1"/>
      <c r="JBC1631" s="1"/>
      <c r="JBD1631" s="1"/>
      <c r="JBE1631" s="1"/>
      <c r="JBF1631" s="1"/>
      <c r="JBG1631" s="1"/>
      <c r="JBH1631" s="1"/>
      <c r="JBI1631" s="1"/>
      <c r="JBJ1631" s="1"/>
      <c r="JBK1631" s="1"/>
      <c r="JBL1631" s="1"/>
      <c r="JBM1631" s="1"/>
      <c r="JBN1631" s="1"/>
      <c r="JBO1631" s="1"/>
      <c r="JBP1631" s="1"/>
      <c r="JBQ1631" s="1"/>
      <c r="JBR1631" s="1"/>
      <c r="JBS1631" s="1"/>
      <c r="JBT1631" s="1"/>
      <c r="JBU1631" s="1"/>
      <c r="JBV1631" s="1"/>
      <c r="JBW1631" s="1"/>
      <c r="JBX1631" s="1"/>
      <c r="JBY1631" s="1"/>
      <c r="JBZ1631" s="1"/>
      <c r="JCA1631" s="1"/>
      <c r="JCB1631" s="1"/>
      <c r="JCC1631" s="1"/>
      <c r="JCD1631" s="1"/>
      <c r="JCE1631" s="1"/>
      <c r="JCF1631" s="1"/>
      <c r="JCG1631" s="1"/>
      <c r="JCH1631" s="1"/>
      <c r="JCI1631" s="1"/>
      <c r="JCJ1631" s="1"/>
      <c r="JCK1631" s="1"/>
      <c r="JCL1631" s="1"/>
      <c r="JCM1631" s="1"/>
      <c r="JCN1631" s="1"/>
      <c r="JCO1631" s="1"/>
      <c r="JCP1631" s="1"/>
      <c r="JCQ1631" s="1"/>
      <c r="JCR1631" s="1"/>
      <c r="JCS1631" s="1"/>
      <c r="JCT1631" s="1"/>
      <c r="JCU1631" s="1"/>
      <c r="JCV1631" s="1"/>
      <c r="JCW1631" s="1"/>
      <c r="JCX1631" s="1"/>
      <c r="JCY1631" s="1"/>
      <c r="JCZ1631" s="1"/>
      <c r="JDA1631" s="1"/>
      <c r="JDB1631" s="1"/>
      <c r="JDC1631" s="1"/>
      <c r="JDD1631" s="1"/>
      <c r="JDE1631" s="1"/>
      <c r="JDF1631" s="1"/>
      <c r="JDG1631" s="1"/>
      <c r="JDH1631" s="1"/>
      <c r="JDI1631" s="1"/>
      <c r="JDJ1631" s="1"/>
      <c r="JDK1631" s="1"/>
      <c r="JDL1631" s="1"/>
      <c r="JDM1631" s="1"/>
      <c r="JDN1631" s="1"/>
      <c r="JDO1631" s="1"/>
      <c r="JDP1631" s="1"/>
      <c r="JDQ1631" s="1"/>
      <c r="JDR1631" s="1"/>
      <c r="JDS1631" s="1"/>
      <c r="JDT1631" s="1"/>
      <c r="JDU1631" s="1"/>
      <c r="JDV1631" s="1"/>
      <c r="JDW1631" s="1"/>
      <c r="JDX1631" s="1"/>
      <c r="JDY1631" s="1"/>
      <c r="JDZ1631" s="1"/>
      <c r="JEA1631" s="1"/>
      <c r="JEB1631" s="1"/>
      <c r="JEC1631" s="1"/>
      <c r="JED1631" s="1"/>
      <c r="JEE1631" s="1"/>
      <c r="JEF1631" s="1"/>
      <c r="JEG1631" s="1"/>
      <c r="JEH1631" s="1"/>
      <c r="JEI1631" s="1"/>
      <c r="JEJ1631" s="1"/>
      <c r="JEK1631" s="1"/>
      <c r="JEL1631" s="1"/>
      <c r="JEM1631" s="1"/>
      <c r="JEN1631" s="1"/>
      <c r="JEO1631" s="1"/>
      <c r="JEP1631" s="1"/>
      <c r="JEQ1631" s="1"/>
      <c r="JER1631" s="1"/>
      <c r="JES1631" s="1"/>
      <c r="JET1631" s="1"/>
      <c r="JEU1631" s="1"/>
      <c r="JEV1631" s="1"/>
      <c r="JEW1631" s="1"/>
      <c r="JEX1631" s="1"/>
      <c r="JEY1631" s="1"/>
      <c r="JEZ1631" s="1"/>
      <c r="JFA1631" s="1"/>
      <c r="JFB1631" s="1"/>
      <c r="JFC1631" s="1"/>
      <c r="JFD1631" s="1"/>
      <c r="JFE1631" s="1"/>
      <c r="JFF1631" s="1"/>
      <c r="JFG1631" s="1"/>
      <c r="JFH1631" s="1"/>
      <c r="JFI1631" s="1"/>
      <c r="JFJ1631" s="1"/>
      <c r="JFK1631" s="1"/>
      <c r="JFL1631" s="1"/>
      <c r="JFM1631" s="1"/>
      <c r="JFN1631" s="1"/>
      <c r="JFO1631" s="1"/>
      <c r="JFP1631" s="1"/>
      <c r="JFQ1631" s="1"/>
      <c r="JFR1631" s="1"/>
      <c r="JFS1631" s="1"/>
      <c r="JFT1631" s="1"/>
      <c r="JFU1631" s="1"/>
      <c r="JFV1631" s="1"/>
      <c r="JFW1631" s="1"/>
      <c r="JFX1631" s="1"/>
      <c r="JFY1631" s="1"/>
      <c r="JFZ1631" s="1"/>
      <c r="JGA1631" s="1"/>
      <c r="JGB1631" s="1"/>
      <c r="JGC1631" s="1"/>
      <c r="JGD1631" s="1"/>
      <c r="JGE1631" s="1"/>
      <c r="JGF1631" s="1"/>
      <c r="JGG1631" s="1"/>
      <c r="JGH1631" s="1"/>
      <c r="JGI1631" s="1"/>
      <c r="JGJ1631" s="1"/>
      <c r="JGK1631" s="1"/>
      <c r="JGL1631" s="1"/>
      <c r="JGM1631" s="1"/>
      <c r="JGN1631" s="1"/>
      <c r="JGO1631" s="1"/>
      <c r="JGP1631" s="1"/>
      <c r="JGQ1631" s="1"/>
      <c r="JGR1631" s="1"/>
      <c r="JGS1631" s="1"/>
      <c r="JGT1631" s="1"/>
      <c r="JGU1631" s="1"/>
      <c r="JGV1631" s="1"/>
      <c r="JGW1631" s="1"/>
      <c r="JGX1631" s="1"/>
      <c r="JGY1631" s="1"/>
      <c r="JGZ1631" s="1"/>
      <c r="JHA1631" s="1"/>
      <c r="JHB1631" s="1"/>
      <c r="JHC1631" s="1"/>
      <c r="JHD1631" s="1"/>
      <c r="JHE1631" s="1"/>
      <c r="JHF1631" s="1"/>
      <c r="JHG1631" s="1"/>
      <c r="JHH1631" s="1"/>
      <c r="JHI1631" s="1"/>
      <c r="JHJ1631" s="1"/>
      <c r="JHK1631" s="1"/>
      <c r="JHL1631" s="1"/>
      <c r="JHM1631" s="1"/>
      <c r="JHN1631" s="1"/>
      <c r="JHO1631" s="1"/>
      <c r="JHP1631" s="1"/>
      <c r="JHQ1631" s="1"/>
      <c r="JHR1631" s="1"/>
      <c r="JHS1631" s="1"/>
      <c r="JHT1631" s="1"/>
      <c r="JHU1631" s="1"/>
      <c r="JHV1631" s="1"/>
      <c r="JHW1631" s="1"/>
      <c r="JHX1631" s="1"/>
      <c r="JHY1631" s="1"/>
      <c r="JHZ1631" s="1"/>
      <c r="JIA1631" s="1"/>
      <c r="JIB1631" s="1"/>
      <c r="JIC1631" s="1"/>
      <c r="JID1631" s="1"/>
      <c r="JIE1631" s="1"/>
      <c r="JIF1631" s="1"/>
      <c r="JIG1631" s="1"/>
      <c r="JIH1631" s="1"/>
      <c r="JII1631" s="1"/>
      <c r="JIJ1631" s="1"/>
      <c r="JIK1631" s="1"/>
      <c r="JIL1631" s="1"/>
      <c r="JIM1631" s="1"/>
      <c r="JIN1631" s="1"/>
      <c r="JIO1631" s="1"/>
      <c r="JIP1631" s="1"/>
      <c r="JIQ1631" s="1"/>
      <c r="JIR1631" s="1"/>
      <c r="JIS1631" s="1"/>
      <c r="JIT1631" s="1"/>
      <c r="JIU1631" s="1"/>
      <c r="JIV1631" s="1"/>
      <c r="JIW1631" s="1"/>
      <c r="JIX1631" s="1"/>
      <c r="JIY1631" s="1"/>
      <c r="JIZ1631" s="1"/>
      <c r="JJA1631" s="1"/>
      <c r="JJB1631" s="1"/>
      <c r="JJC1631" s="1"/>
      <c r="JJD1631" s="1"/>
      <c r="JJE1631" s="1"/>
      <c r="JJF1631" s="1"/>
      <c r="JJG1631" s="1"/>
      <c r="JJH1631" s="1"/>
      <c r="JJI1631" s="1"/>
      <c r="JJJ1631" s="1"/>
      <c r="JJK1631" s="1"/>
      <c r="JJL1631" s="1"/>
      <c r="JJM1631" s="1"/>
      <c r="JJN1631" s="1"/>
      <c r="JJO1631" s="1"/>
      <c r="JJP1631" s="1"/>
      <c r="JJQ1631" s="1"/>
      <c r="JJR1631" s="1"/>
      <c r="JJS1631" s="1"/>
      <c r="JJT1631" s="1"/>
      <c r="JJU1631" s="1"/>
      <c r="JJV1631" s="1"/>
      <c r="JJW1631" s="1"/>
      <c r="JJX1631" s="1"/>
      <c r="JJY1631" s="1"/>
      <c r="JJZ1631" s="1"/>
      <c r="JKA1631" s="1"/>
      <c r="JKB1631" s="1"/>
      <c r="JKC1631" s="1"/>
      <c r="JKD1631" s="1"/>
      <c r="JKE1631" s="1"/>
      <c r="JKF1631" s="1"/>
      <c r="JKG1631" s="1"/>
      <c r="JKH1631" s="1"/>
      <c r="JKI1631" s="1"/>
      <c r="JKJ1631" s="1"/>
      <c r="JKK1631" s="1"/>
      <c r="JKL1631" s="1"/>
      <c r="JKM1631" s="1"/>
      <c r="JKN1631" s="1"/>
      <c r="JKO1631" s="1"/>
      <c r="JKP1631" s="1"/>
      <c r="JKQ1631" s="1"/>
      <c r="JKR1631" s="1"/>
      <c r="JKS1631" s="1"/>
      <c r="JKT1631" s="1"/>
      <c r="JKU1631" s="1"/>
      <c r="JKV1631" s="1"/>
      <c r="JKW1631" s="1"/>
      <c r="JKX1631" s="1"/>
      <c r="JKY1631" s="1"/>
      <c r="JKZ1631" s="1"/>
      <c r="JLA1631" s="1"/>
      <c r="JLB1631" s="1"/>
      <c r="JLC1631" s="1"/>
      <c r="JLD1631" s="1"/>
      <c r="JLE1631" s="1"/>
      <c r="JLF1631" s="1"/>
      <c r="JLG1631" s="1"/>
      <c r="JLH1631" s="1"/>
      <c r="JLI1631" s="1"/>
      <c r="JLJ1631" s="1"/>
      <c r="JLK1631" s="1"/>
      <c r="JLL1631" s="1"/>
      <c r="JLM1631" s="1"/>
      <c r="JLN1631" s="1"/>
      <c r="JLO1631" s="1"/>
      <c r="JLP1631" s="1"/>
      <c r="JLQ1631" s="1"/>
      <c r="JLR1631" s="1"/>
      <c r="JLS1631" s="1"/>
      <c r="JLT1631" s="1"/>
      <c r="JLU1631" s="1"/>
      <c r="JLV1631" s="1"/>
      <c r="JLW1631" s="1"/>
      <c r="JLX1631" s="1"/>
      <c r="JLY1631" s="1"/>
      <c r="JLZ1631" s="1"/>
      <c r="JMA1631" s="1"/>
      <c r="JMB1631" s="1"/>
      <c r="JMC1631" s="1"/>
      <c r="JMD1631" s="1"/>
      <c r="JME1631" s="1"/>
      <c r="JMF1631" s="1"/>
      <c r="JMG1631" s="1"/>
      <c r="JMH1631" s="1"/>
      <c r="JMI1631" s="1"/>
      <c r="JMJ1631" s="1"/>
      <c r="JMK1631" s="1"/>
      <c r="JML1631" s="1"/>
      <c r="JMM1631" s="1"/>
      <c r="JMN1631" s="1"/>
      <c r="JMO1631" s="1"/>
      <c r="JMP1631" s="1"/>
      <c r="JMQ1631" s="1"/>
      <c r="JMR1631" s="1"/>
      <c r="JMS1631" s="1"/>
      <c r="JMT1631" s="1"/>
      <c r="JMU1631" s="1"/>
      <c r="JMV1631" s="1"/>
      <c r="JMW1631" s="1"/>
      <c r="JMX1631" s="1"/>
      <c r="JMY1631" s="1"/>
      <c r="JMZ1631" s="1"/>
      <c r="JNA1631" s="1"/>
      <c r="JNB1631" s="1"/>
      <c r="JNC1631" s="1"/>
      <c r="JND1631" s="1"/>
      <c r="JNE1631" s="1"/>
      <c r="JNF1631" s="1"/>
      <c r="JNG1631" s="1"/>
      <c r="JNH1631" s="1"/>
      <c r="JNI1631" s="1"/>
      <c r="JNJ1631" s="1"/>
      <c r="JNK1631" s="1"/>
      <c r="JNL1631" s="1"/>
      <c r="JNM1631" s="1"/>
      <c r="JNN1631" s="1"/>
      <c r="JNO1631" s="1"/>
      <c r="JNP1631" s="1"/>
      <c r="JNQ1631" s="1"/>
      <c r="JNR1631" s="1"/>
      <c r="JNS1631" s="1"/>
      <c r="JNT1631" s="1"/>
      <c r="JNU1631" s="1"/>
      <c r="JNV1631" s="1"/>
      <c r="JNW1631" s="1"/>
      <c r="JNX1631" s="1"/>
      <c r="JNY1631" s="1"/>
      <c r="JNZ1631" s="1"/>
      <c r="JOA1631" s="1"/>
      <c r="JOB1631" s="1"/>
      <c r="JOC1631" s="1"/>
      <c r="JOD1631" s="1"/>
      <c r="JOE1631" s="1"/>
      <c r="JOF1631" s="1"/>
      <c r="JOG1631" s="1"/>
      <c r="JOH1631" s="1"/>
      <c r="JOI1631" s="1"/>
      <c r="JOJ1631" s="1"/>
      <c r="JOK1631" s="1"/>
      <c r="JOL1631" s="1"/>
      <c r="JOM1631" s="1"/>
      <c r="JON1631" s="1"/>
      <c r="JOO1631" s="1"/>
      <c r="JOP1631" s="1"/>
      <c r="JOQ1631" s="1"/>
      <c r="JOR1631" s="1"/>
      <c r="JOS1631" s="1"/>
      <c r="JOT1631" s="1"/>
      <c r="JOU1631" s="1"/>
      <c r="JOV1631" s="1"/>
      <c r="JOW1631" s="1"/>
      <c r="JOX1631" s="1"/>
      <c r="JOY1631" s="1"/>
      <c r="JOZ1631" s="1"/>
      <c r="JPA1631" s="1"/>
      <c r="JPB1631" s="1"/>
      <c r="JPC1631" s="1"/>
      <c r="JPD1631" s="1"/>
      <c r="JPE1631" s="1"/>
      <c r="JPF1631" s="1"/>
      <c r="JPG1631" s="1"/>
      <c r="JPH1631" s="1"/>
      <c r="JPI1631" s="1"/>
      <c r="JPJ1631" s="1"/>
      <c r="JPK1631" s="1"/>
      <c r="JPL1631" s="1"/>
      <c r="JPM1631" s="1"/>
      <c r="JPN1631" s="1"/>
      <c r="JPO1631" s="1"/>
      <c r="JPP1631" s="1"/>
      <c r="JPQ1631" s="1"/>
      <c r="JPR1631" s="1"/>
      <c r="JPS1631" s="1"/>
      <c r="JPT1631" s="1"/>
      <c r="JPU1631" s="1"/>
      <c r="JPV1631" s="1"/>
      <c r="JPW1631" s="1"/>
      <c r="JPX1631" s="1"/>
      <c r="JPY1631" s="1"/>
      <c r="JPZ1631" s="1"/>
      <c r="JQA1631" s="1"/>
      <c r="JQB1631" s="1"/>
      <c r="JQC1631" s="1"/>
      <c r="JQD1631" s="1"/>
      <c r="JQE1631" s="1"/>
      <c r="JQF1631" s="1"/>
      <c r="JQG1631" s="1"/>
      <c r="JQH1631" s="1"/>
      <c r="JQI1631" s="1"/>
      <c r="JQJ1631" s="1"/>
      <c r="JQK1631" s="1"/>
      <c r="JQL1631" s="1"/>
      <c r="JQM1631" s="1"/>
      <c r="JQN1631" s="1"/>
      <c r="JQO1631" s="1"/>
      <c r="JQP1631" s="1"/>
      <c r="JQQ1631" s="1"/>
      <c r="JQR1631" s="1"/>
      <c r="JQS1631" s="1"/>
      <c r="JQT1631" s="1"/>
      <c r="JQU1631" s="1"/>
      <c r="JQV1631" s="1"/>
      <c r="JQW1631" s="1"/>
      <c r="JQX1631" s="1"/>
      <c r="JQY1631" s="1"/>
      <c r="JQZ1631" s="1"/>
      <c r="JRA1631" s="1"/>
      <c r="JRB1631" s="1"/>
      <c r="JRC1631" s="1"/>
      <c r="JRD1631" s="1"/>
      <c r="JRE1631" s="1"/>
      <c r="JRF1631" s="1"/>
      <c r="JRG1631" s="1"/>
      <c r="JRH1631" s="1"/>
      <c r="JRI1631" s="1"/>
      <c r="JRJ1631" s="1"/>
      <c r="JRK1631" s="1"/>
      <c r="JRL1631" s="1"/>
      <c r="JRM1631" s="1"/>
      <c r="JRN1631" s="1"/>
      <c r="JRO1631" s="1"/>
      <c r="JRP1631" s="1"/>
      <c r="JRQ1631" s="1"/>
      <c r="JRR1631" s="1"/>
      <c r="JRS1631" s="1"/>
      <c r="JRT1631" s="1"/>
      <c r="JRU1631" s="1"/>
      <c r="JRV1631" s="1"/>
      <c r="JRW1631" s="1"/>
      <c r="JRX1631" s="1"/>
      <c r="JRY1631" s="1"/>
      <c r="JRZ1631" s="1"/>
      <c r="JSA1631" s="1"/>
      <c r="JSB1631" s="1"/>
      <c r="JSC1631" s="1"/>
      <c r="JSD1631" s="1"/>
      <c r="JSE1631" s="1"/>
      <c r="JSF1631" s="1"/>
      <c r="JSG1631" s="1"/>
      <c r="JSH1631" s="1"/>
      <c r="JSI1631" s="1"/>
      <c r="JSJ1631" s="1"/>
      <c r="JSK1631" s="1"/>
      <c r="JSL1631" s="1"/>
      <c r="JSM1631" s="1"/>
      <c r="JSN1631" s="1"/>
      <c r="JSO1631" s="1"/>
      <c r="JSP1631" s="1"/>
      <c r="JSQ1631" s="1"/>
      <c r="JSR1631" s="1"/>
      <c r="JSS1631" s="1"/>
      <c r="JST1631" s="1"/>
      <c r="JSU1631" s="1"/>
      <c r="JSV1631" s="1"/>
      <c r="JSW1631" s="1"/>
      <c r="JSX1631" s="1"/>
      <c r="JSY1631" s="1"/>
      <c r="JSZ1631" s="1"/>
      <c r="JTA1631" s="1"/>
      <c r="JTB1631" s="1"/>
      <c r="JTC1631" s="1"/>
      <c r="JTD1631" s="1"/>
      <c r="JTE1631" s="1"/>
      <c r="JTF1631" s="1"/>
      <c r="JTG1631" s="1"/>
      <c r="JTH1631" s="1"/>
      <c r="JTI1631" s="1"/>
      <c r="JTJ1631" s="1"/>
      <c r="JTK1631" s="1"/>
      <c r="JTL1631" s="1"/>
      <c r="JTM1631" s="1"/>
      <c r="JTN1631" s="1"/>
      <c r="JTO1631" s="1"/>
      <c r="JTP1631" s="1"/>
      <c r="JTQ1631" s="1"/>
      <c r="JTR1631" s="1"/>
      <c r="JTS1631" s="1"/>
      <c r="JTT1631" s="1"/>
      <c r="JTU1631" s="1"/>
      <c r="JTV1631" s="1"/>
      <c r="JTW1631" s="1"/>
      <c r="JTX1631" s="1"/>
      <c r="JTY1631" s="1"/>
      <c r="JTZ1631" s="1"/>
      <c r="JUA1631" s="1"/>
      <c r="JUB1631" s="1"/>
      <c r="JUC1631" s="1"/>
      <c r="JUD1631" s="1"/>
      <c r="JUE1631" s="1"/>
      <c r="JUF1631" s="1"/>
      <c r="JUG1631" s="1"/>
      <c r="JUH1631" s="1"/>
      <c r="JUI1631" s="1"/>
      <c r="JUJ1631" s="1"/>
      <c r="JUK1631" s="1"/>
      <c r="JUL1631" s="1"/>
      <c r="JUM1631" s="1"/>
      <c r="JUN1631" s="1"/>
      <c r="JUO1631" s="1"/>
      <c r="JUP1631" s="1"/>
      <c r="JUQ1631" s="1"/>
      <c r="JUR1631" s="1"/>
      <c r="JUS1631" s="1"/>
      <c r="JUT1631" s="1"/>
      <c r="JUU1631" s="1"/>
      <c r="JUV1631" s="1"/>
      <c r="JUW1631" s="1"/>
      <c r="JUX1631" s="1"/>
      <c r="JUY1631" s="1"/>
      <c r="JUZ1631" s="1"/>
      <c r="JVA1631" s="1"/>
      <c r="JVB1631" s="1"/>
      <c r="JVC1631" s="1"/>
      <c r="JVD1631" s="1"/>
      <c r="JVE1631" s="1"/>
      <c r="JVF1631" s="1"/>
      <c r="JVG1631" s="1"/>
      <c r="JVH1631" s="1"/>
      <c r="JVI1631" s="1"/>
      <c r="JVJ1631" s="1"/>
      <c r="JVK1631" s="1"/>
      <c r="JVL1631" s="1"/>
      <c r="JVM1631" s="1"/>
      <c r="JVN1631" s="1"/>
      <c r="JVO1631" s="1"/>
      <c r="JVP1631" s="1"/>
      <c r="JVQ1631" s="1"/>
      <c r="JVR1631" s="1"/>
      <c r="JVS1631" s="1"/>
      <c r="JVT1631" s="1"/>
      <c r="JVU1631" s="1"/>
      <c r="JVV1631" s="1"/>
      <c r="JVW1631" s="1"/>
      <c r="JVX1631" s="1"/>
      <c r="JVY1631" s="1"/>
      <c r="JVZ1631" s="1"/>
      <c r="JWA1631" s="1"/>
      <c r="JWB1631" s="1"/>
      <c r="JWC1631" s="1"/>
      <c r="JWD1631" s="1"/>
      <c r="JWE1631" s="1"/>
      <c r="JWF1631" s="1"/>
      <c r="JWG1631" s="1"/>
      <c r="JWH1631" s="1"/>
      <c r="JWI1631" s="1"/>
      <c r="JWJ1631" s="1"/>
      <c r="JWK1631" s="1"/>
      <c r="JWL1631" s="1"/>
      <c r="JWM1631" s="1"/>
      <c r="JWN1631" s="1"/>
      <c r="JWO1631" s="1"/>
      <c r="JWP1631" s="1"/>
      <c r="JWQ1631" s="1"/>
      <c r="JWR1631" s="1"/>
      <c r="JWS1631" s="1"/>
      <c r="JWT1631" s="1"/>
      <c r="JWU1631" s="1"/>
      <c r="JWV1631" s="1"/>
      <c r="JWW1631" s="1"/>
      <c r="JWX1631" s="1"/>
      <c r="JWY1631" s="1"/>
      <c r="JWZ1631" s="1"/>
      <c r="JXA1631" s="1"/>
      <c r="JXB1631" s="1"/>
      <c r="JXC1631" s="1"/>
      <c r="JXD1631" s="1"/>
      <c r="JXE1631" s="1"/>
      <c r="JXF1631" s="1"/>
      <c r="JXG1631" s="1"/>
      <c r="JXH1631" s="1"/>
      <c r="JXI1631" s="1"/>
      <c r="JXJ1631" s="1"/>
      <c r="JXK1631" s="1"/>
      <c r="JXL1631" s="1"/>
      <c r="JXM1631" s="1"/>
      <c r="JXN1631" s="1"/>
      <c r="JXO1631" s="1"/>
      <c r="JXP1631" s="1"/>
      <c r="JXQ1631" s="1"/>
      <c r="JXR1631" s="1"/>
      <c r="JXS1631" s="1"/>
      <c r="JXT1631" s="1"/>
      <c r="JXU1631" s="1"/>
      <c r="JXV1631" s="1"/>
      <c r="JXW1631" s="1"/>
      <c r="JXX1631" s="1"/>
      <c r="JXY1631" s="1"/>
      <c r="JXZ1631" s="1"/>
      <c r="JYA1631" s="1"/>
      <c r="JYB1631" s="1"/>
      <c r="JYC1631" s="1"/>
      <c r="JYD1631" s="1"/>
      <c r="JYE1631" s="1"/>
      <c r="JYF1631" s="1"/>
      <c r="JYG1631" s="1"/>
      <c r="JYH1631" s="1"/>
      <c r="JYI1631" s="1"/>
      <c r="JYJ1631" s="1"/>
      <c r="JYK1631" s="1"/>
      <c r="JYL1631" s="1"/>
      <c r="JYM1631" s="1"/>
      <c r="JYN1631" s="1"/>
      <c r="JYO1631" s="1"/>
      <c r="JYP1631" s="1"/>
      <c r="JYQ1631" s="1"/>
      <c r="JYR1631" s="1"/>
      <c r="JYS1631" s="1"/>
      <c r="JYT1631" s="1"/>
      <c r="JYU1631" s="1"/>
      <c r="JYV1631" s="1"/>
      <c r="JYW1631" s="1"/>
      <c r="JYX1631" s="1"/>
      <c r="JYY1631" s="1"/>
      <c r="JYZ1631" s="1"/>
      <c r="JZA1631" s="1"/>
      <c r="JZB1631" s="1"/>
      <c r="JZC1631" s="1"/>
      <c r="JZD1631" s="1"/>
      <c r="JZE1631" s="1"/>
      <c r="JZF1631" s="1"/>
      <c r="JZG1631" s="1"/>
      <c r="JZH1631" s="1"/>
      <c r="JZI1631" s="1"/>
      <c r="JZJ1631" s="1"/>
      <c r="JZK1631" s="1"/>
      <c r="JZL1631" s="1"/>
      <c r="JZM1631" s="1"/>
      <c r="JZN1631" s="1"/>
      <c r="JZO1631" s="1"/>
      <c r="JZP1631" s="1"/>
      <c r="JZQ1631" s="1"/>
      <c r="JZR1631" s="1"/>
      <c r="JZS1631" s="1"/>
      <c r="JZT1631" s="1"/>
      <c r="JZU1631" s="1"/>
      <c r="JZV1631" s="1"/>
      <c r="JZW1631" s="1"/>
      <c r="JZX1631" s="1"/>
      <c r="JZY1631" s="1"/>
      <c r="JZZ1631" s="1"/>
      <c r="KAA1631" s="1"/>
      <c r="KAB1631" s="1"/>
      <c r="KAC1631" s="1"/>
      <c r="KAD1631" s="1"/>
      <c r="KAE1631" s="1"/>
      <c r="KAF1631" s="1"/>
      <c r="KAG1631" s="1"/>
      <c r="KAH1631" s="1"/>
      <c r="KAI1631" s="1"/>
      <c r="KAJ1631" s="1"/>
      <c r="KAK1631" s="1"/>
      <c r="KAL1631" s="1"/>
      <c r="KAM1631" s="1"/>
      <c r="KAN1631" s="1"/>
      <c r="KAO1631" s="1"/>
      <c r="KAP1631" s="1"/>
      <c r="KAQ1631" s="1"/>
      <c r="KAR1631" s="1"/>
      <c r="KAS1631" s="1"/>
      <c r="KAT1631" s="1"/>
      <c r="KAU1631" s="1"/>
      <c r="KAV1631" s="1"/>
      <c r="KAW1631" s="1"/>
      <c r="KAX1631" s="1"/>
      <c r="KAY1631" s="1"/>
      <c r="KAZ1631" s="1"/>
      <c r="KBA1631" s="1"/>
      <c r="KBB1631" s="1"/>
      <c r="KBC1631" s="1"/>
      <c r="KBD1631" s="1"/>
      <c r="KBE1631" s="1"/>
      <c r="KBF1631" s="1"/>
      <c r="KBG1631" s="1"/>
      <c r="KBH1631" s="1"/>
      <c r="KBI1631" s="1"/>
      <c r="KBJ1631" s="1"/>
      <c r="KBK1631" s="1"/>
      <c r="KBL1631" s="1"/>
      <c r="KBM1631" s="1"/>
      <c r="KBN1631" s="1"/>
      <c r="KBO1631" s="1"/>
      <c r="KBP1631" s="1"/>
      <c r="KBQ1631" s="1"/>
      <c r="KBR1631" s="1"/>
      <c r="KBS1631" s="1"/>
      <c r="KBT1631" s="1"/>
      <c r="KBU1631" s="1"/>
      <c r="KBV1631" s="1"/>
      <c r="KBW1631" s="1"/>
      <c r="KBX1631" s="1"/>
      <c r="KBY1631" s="1"/>
      <c r="KBZ1631" s="1"/>
      <c r="KCA1631" s="1"/>
      <c r="KCB1631" s="1"/>
      <c r="KCC1631" s="1"/>
      <c r="KCD1631" s="1"/>
      <c r="KCE1631" s="1"/>
      <c r="KCF1631" s="1"/>
      <c r="KCG1631" s="1"/>
      <c r="KCH1631" s="1"/>
      <c r="KCI1631" s="1"/>
      <c r="KCJ1631" s="1"/>
      <c r="KCK1631" s="1"/>
      <c r="KCL1631" s="1"/>
      <c r="KCM1631" s="1"/>
      <c r="KCN1631" s="1"/>
      <c r="KCO1631" s="1"/>
      <c r="KCP1631" s="1"/>
      <c r="KCQ1631" s="1"/>
      <c r="KCR1631" s="1"/>
      <c r="KCS1631" s="1"/>
      <c r="KCT1631" s="1"/>
      <c r="KCU1631" s="1"/>
      <c r="KCV1631" s="1"/>
      <c r="KCW1631" s="1"/>
      <c r="KCX1631" s="1"/>
      <c r="KCY1631" s="1"/>
      <c r="KCZ1631" s="1"/>
      <c r="KDA1631" s="1"/>
      <c r="KDB1631" s="1"/>
      <c r="KDC1631" s="1"/>
      <c r="KDD1631" s="1"/>
      <c r="KDE1631" s="1"/>
      <c r="KDF1631" s="1"/>
      <c r="KDG1631" s="1"/>
      <c r="KDH1631" s="1"/>
      <c r="KDI1631" s="1"/>
      <c r="KDJ1631" s="1"/>
      <c r="KDK1631" s="1"/>
      <c r="KDL1631" s="1"/>
      <c r="KDM1631" s="1"/>
      <c r="KDN1631" s="1"/>
      <c r="KDO1631" s="1"/>
      <c r="KDP1631" s="1"/>
      <c r="KDQ1631" s="1"/>
      <c r="KDR1631" s="1"/>
      <c r="KDS1631" s="1"/>
      <c r="KDT1631" s="1"/>
      <c r="KDU1631" s="1"/>
      <c r="KDV1631" s="1"/>
      <c r="KDW1631" s="1"/>
      <c r="KDX1631" s="1"/>
      <c r="KDY1631" s="1"/>
      <c r="KDZ1631" s="1"/>
      <c r="KEA1631" s="1"/>
      <c r="KEB1631" s="1"/>
      <c r="KEC1631" s="1"/>
      <c r="KED1631" s="1"/>
      <c r="KEE1631" s="1"/>
      <c r="KEF1631" s="1"/>
      <c r="KEG1631" s="1"/>
      <c r="KEH1631" s="1"/>
      <c r="KEI1631" s="1"/>
      <c r="KEJ1631" s="1"/>
      <c r="KEK1631" s="1"/>
      <c r="KEL1631" s="1"/>
      <c r="KEM1631" s="1"/>
      <c r="KEN1631" s="1"/>
      <c r="KEO1631" s="1"/>
      <c r="KEP1631" s="1"/>
      <c r="KEQ1631" s="1"/>
      <c r="KER1631" s="1"/>
      <c r="KES1631" s="1"/>
      <c r="KET1631" s="1"/>
      <c r="KEU1631" s="1"/>
      <c r="KEV1631" s="1"/>
      <c r="KEW1631" s="1"/>
      <c r="KEX1631" s="1"/>
      <c r="KEY1631" s="1"/>
      <c r="KEZ1631" s="1"/>
      <c r="KFA1631" s="1"/>
      <c r="KFB1631" s="1"/>
      <c r="KFC1631" s="1"/>
      <c r="KFD1631" s="1"/>
      <c r="KFE1631" s="1"/>
      <c r="KFF1631" s="1"/>
      <c r="KFG1631" s="1"/>
      <c r="KFH1631" s="1"/>
      <c r="KFI1631" s="1"/>
      <c r="KFJ1631" s="1"/>
      <c r="KFK1631" s="1"/>
      <c r="KFL1631" s="1"/>
      <c r="KFM1631" s="1"/>
      <c r="KFN1631" s="1"/>
      <c r="KFO1631" s="1"/>
      <c r="KFP1631" s="1"/>
      <c r="KFQ1631" s="1"/>
      <c r="KFR1631" s="1"/>
      <c r="KFS1631" s="1"/>
      <c r="KFT1631" s="1"/>
      <c r="KFU1631" s="1"/>
      <c r="KFV1631" s="1"/>
      <c r="KFW1631" s="1"/>
      <c r="KFX1631" s="1"/>
      <c r="KFY1631" s="1"/>
      <c r="KFZ1631" s="1"/>
      <c r="KGA1631" s="1"/>
      <c r="KGB1631" s="1"/>
      <c r="KGC1631" s="1"/>
      <c r="KGD1631" s="1"/>
      <c r="KGE1631" s="1"/>
      <c r="KGF1631" s="1"/>
      <c r="KGG1631" s="1"/>
      <c r="KGH1631" s="1"/>
      <c r="KGI1631" s="1"/>
      <c r="KGJ1631" s="1"/>
      <c r="KGK1631" s="1"/>
      <c r="KGL1631" s="1"/>
      <c r="KGM1631" s="1"/>
      <c r="KGN1631" s="1"/>
      <c r="KGO1631" s="1"/>
      <c r="KGP1631" s="1"/>
      <c r="KGQ1631" s="1"/>
      <c r="KGR1631" s="1"/>
      <c r="KGS1631" s="1"/>
      <c r="KGT1631" s="1"/>
      <c r="KGU1631" s="1"/>
      <c r="KGV1631" s="1"/>
      <c r="KGW1631" s="1"/>
      <c r="KGX1631" s="1"/>
      <c r="KGY1631" s="1"/>
      <c r="KGZ1631" s="1"/>
      <c r="KHA1631" s="1"/>
      <c r="KHB1631" s="1"/>
      <c r="KHC1631" s="1"/>
      <c r="KHD1631" s="1"/>
      <c r="KHE1631" s="1"/>
      <c r="KHF1631" s="1"/>
      <c r="KHG1631" s="1"/>
      <c r="KHH1631" s="1"/>
      <c r="KHI1631" s="1"/>
      <c r="KHJ1631" s="1"/>
      <c r="KHK1631" s="1"/>
      <c r="KHL1631" s="1"/>
      <c r="KHM1631" s="1"/>
      <c r="KHN1631" s="1"/>
      <c r="KHO1631" s="1"/>
      <c r="KHP1631" s="1"/>
      <c r="KHQ1631" s="1"/>
      <c r="KHR1631" s="1"/>
      <c r="KHS1631" s="1"/>
      <c r="KHT1631" s="1"/>
      <c r="KHU1631" s="1"/>
      <c r="KHV1631" s="1"/>
      <c r="KHW1631" s="1"/>
      <c r="KHX1631" s="1"/>
      <c r="KHY1631" s="1"/>
      <c r="KHZ1631" s="1"/>
      <c r="KIA1631" s="1"/>
      <c r="KIB1631" s="1"/>
      <c r="KIC1631" s="1"/>
      <c r="KID1631" s="1"/>
      <c r="KIE1631" s="1"/>
      <c r="KIF1631" s="1"/>
      <c r="KIG1631" s="1"/>
      <c r="KIH1631" s="1"/>
      <c r="KII1631" s="1"/>
      <c r="KIJ1631" s="1"/>
      <c r="KIK1631" s="1"/>
      <c r="KIL1631" s="1"/>
      <c r="KIM1631" s="1"/>
      <c r="KIN1631" s="1"/>
      <c r="KIO1631" s="1"/>
      <c r="KIP1631" s="1"/>
      <c r="KIQ1631" s="1"/>
      <c r="KIR1631" s="1"/>
      <c r="KIS1631" s="1"/>
      <c r="KIT1631" s="1"/>
      <c r="KIU1631" s="1"/>
      <c r="KIV1631" s="1"/>
      <c r="KIW1631" s="1"/>
      <c r="KIX1631" s="1"/>
      <c r="KIY1631" s="1"/>
      <c r="KIZ1631" s="1"/>
      <c r="KJA1631" s="1"/>
      <c r="KJB1631" s="1"/>
      <c r="KJC1631" s="1"/>
      <c r="KJD1631" s="1"/>
      <c r="KJE1631" s="1"/>
      <c r="KJF1631" s="1"/>
      <c r="KJG1631" s="1"/>
      <c r="KJH1631" s="1"/>
      <c r="KJI1631" s="1"/>
      <c r="KJJ1631" s="1"/>
      <c r="KJK1631" s="1"/>
      <c r="KJL1631" s="1"/>
      <c r="KJM1631" s="1"/>
      <c r="KJN1631" s="1"/>
      <c r="KJO1631" s="1"/>
      <c r="KJP1631" s="1"/>
      <c r="KJQ1631" s="1"/>
      <c r="KJR1631" s="1"/>
      <c r="KJS1631" s="1"/>
      <c r="KJT1631" s="1"/>
      <c r="KJU1631" s="1"/>
      <c r="KJV1631" s="1"/>
      <c r="KJW1631" s="1"/>
      <c r="KJX1631" s="1"/>
      <c r="KJY1631" s="1"/>
      <c r="KJZ1631" s="1"/>
      <c r="KKA1631" s="1"/>
      <c r="KKB1631" s="1"/>
      <c r="KKC1631" s="1"/>
      <c r="KKD1631" s="1"/>
      <c r="KKE1631" s="1"/>
      <c r="KKF1631" s="1"/>
      <c r="KKG1631" s="1"/>
      <c r="KKH1631" s="1"/>
      <c r="KKI1631" s="1"/>
      <c r="KKJ1631" s="1"/>
      <c r="KKK1631" s="1"/>
      <c r="KKL1631" s="1"/>
      <c r="KKM1631" s="1"/>
      <c r="KKN1631" s="1"/>
      <c r="KKO1631" s="1"/>
      <c r="KKP1631" s="1"/>
      <c r="KKQ1631" s="1"/>
      <c r="KKR1631" s="1"/>
      <c r="KKS1631" s="1"/>
      <c r="KKT1631" s="1"/>
      <c r="KKU1631" s="1"/>
      <c r="KKV1631" s="1"/>
      <c r="KKW1631" s="1"/>
      <c r="KKX1631" s="1"/>
      <c r="KKY1631" s="1"/>
      <c r="KKZ1631" s="1"/>
      <c r="KLA1631" s="1"/>
      <c r="KLB1631" s="1"/>
      <c r="KLC1631" s="1"/>
      <c r="KLD1631" s="1"/>
      <c r="KLE1631" s="1"/>
      <c r="KLF1631" s="1"/>
      <c r="KLG1631" s="1"/>
      <c r="KLH1631" s="1"/>
      <c r="KLI1631" s="1"/>
      <c r="KLJ1631" s="1"/>
      <c r="KLK1631" s="1"/>
      <c r="KLL1631" s="1"/>
      <c r="KLM1631" s="1"/>
      <c r="KLN1631" s="1"/>
      <c r="KLO1631" s="1"/>
      <c r="KLP1631" s="1"/>
      <c r="KLQ1631" s="1"/>
      <c r="KLR1631" s="1"/>
      <c r="KLS1631" s="1"/>
      <c r="KLT1631" s="1"/>
      <c r="KLU1631" s="1"/>
      <c r="KLV1631" s="1"/>
      <c r="KLW1631" s="1"/>
      <c r="KLX1631" s="1"/>
      <c r="KLY1631" s="1"/>
      <c r="KLZ1631" s="1"/>
      <c r="KMA1631" s="1"/>
      <c r="KMB1631" s="1"/>
      <c r="KMC1631" s="1"/>
      <c r="KMD1631" s="1"/>
      <c r="KME1631" s="1"/>
      <c r="KMF1631" s="1"/>
      <c r="KMG1631" s="1"/>
      <c r="KMH1631" s="1"/>
      <c r="KMI1631" s="1"/>
      <c r="KMJ1631" s="1"/>
      <c r="KMK1631" s="1"/>
      <c r="KML1631" s="1"/>
      <c r="KMM1631" s="1"/>
      <c r="KMN1631" s="1"/>
      <c r="KMO1631" s="1"/>
      <c r="KMP1631" s="1"/>
      <c r="KMQ1631" s="1"/>
      <c r="KMR1631" s="1"/>
      <c r="KMS1631" s="1"/>
      <c r="KMT1631" s="1"/>
      <c r="KMU1631" s="1"/>
      <c r="KMV1631" s="1"/>
      <c r="KMW1631" s="1"/>
      <c r="KMX1631" s="1"/>
      <c r="KMY1631" s="1"/>
      <c r="KMZ1631" s="1"/>
      <c r="KNA1631" s="1"/>
      <c r="KNB1631" s="1"/>
      <c r="KNC1631" s="1"/>
      <c r="KND1631" s="1"/>
      <c r="KNE1631" s="1"/>
      <c r="KNF1631" s="1"/>
      <c r="KNG1631" s="1"/>
      <c r="KNH1631" s="1"/>
      <c r="KNI1631" s="1"/>
      <c r="KNJ1631" s="1"/>
      <c r="KNK1631" s="1"/>
      <c r="KNL1631" s="1"/>
      <c r="KNM1631" s="1"/>
      <c r="KNN1631" s="1"/>
      <c r="KNO1631" s="1"/>
      <c r="KNP1631" s="1"/>
      <c r="KNQ1631" s="1"/>
      <c r="KNR1631" s="1"/>
      <c r="KNS1631" s="1"/>
      <c r="KNT1631" s="1"/>
      <c r="KNU1631" s="1"/>
      <c r="KNV1631" s="1"/>
      <c r="KNW1631" s="1"/>
      <c r="KNX1631" s="1"/>
      <c r="KNY1631" s="1"/>
      <c r="KNZ1631" s="1"/>
      <c r="KOA1631" s="1"/>
      <c r="KOB1631" s="1"/>
      <c r="KOC1631" s="1"/>
      <c r="KOD1631" s="1"/>
      <c r="KOE1631" s="1"/>
      <c r="KOF1631" s="1"/>
      <c r="KOG1631" s="1"/>
      <c r="KOH1631" s="1"/>
      <c r="KOI1631" s="1"/>
      <c r="KOJ1631" s="1"/>
      <c r="KOK1631" s="1"/>
      <c r="KOL1631" s="1"/>
      <c r="KOM1631" s="1"/>
      <c r="KON1631" s="1"/>
      <c r="KOO1631" s="1"/>
      <c r="KOP1631" s="1"/>
      <c r="KOQ1631" s="1"/>
      <c r="KOR1631" s="1"/>
      <c r="KOS1631" s="1"/>
      <c r="KOT1631" s="1"/>
      <c r="KOU1631" s="1"/>
      <c r="KOV1631" s="1"/>
      <c r="KOW1631" s="1"/>
      <c r="KOX1631" s="1"/>
      <c r="KOY1631" s="1"/>
      <c r="KOZ1631" s="1"/>
      <c r="KPA1631" s="1"/>
      <c r="KPB1631" s="1"/>
      <c r="KPC1631" s="1"/>
      <c r="KPD1631" s="1"/>
      <c r="KPE1631" s="1"/>
      <c r="KPF1631" s="1"/>
      <c r="KPG1631" s="1"/>
      <c r="KPH1631" s="1"/>
      <c r="KPI1631" s="1"/>
      <c r="KPJ1631" s="1"/>
      <c r="KPK1631" s="1"/>
      <c r="KPL1631" s="1"/>
      <c r="KPM1631" s="1"/>
      <c r="KPN1631" s="1"/>
      <c r="KPO1631" s="1"/>
      <c r="KPP1631" s="1"/>
      <c r="KPQ1631" s="1"/>
      <c r="KPR1631" s="1"/>
      <c r="KPS1631" s="1"/>
      <c r="KPT1631" s="1"/>
      <c r="KPU1631" s="1"/>
      <c r="KPV1631" s="1"/>
      <c r="KPW1631" s="1"/>
      <c r="KPX1631" s="1"/>
      <c r="KPY1631" s="1"/>
      <c r="KPZ1631" s="1"/>
      <c r="KQA1631" s="1"/>
      <c r="KQB1631" s="1"/>
      <c r="KQC1631" s="1"/>
      <c r="KQD1631" s="1"/>
      <c r="KQE1631" s="1"/>
      <c r="KQF1631" s="1"/>
      <c r="KQG1631" s="1"/>
      <c r="KQH1631" s="1"/>
      <c r="KQI1631" s="1"/>
      <c r="KQJ1631" s="1"/>
      <c r="KQK1631" s="1"/>
      <c r="KQL1631" s="1"/>
      <c r="KQM1631" s="1"/>
      <c r="KQN1631" s="1"/>
      <c r="KQO1631" s="1"/>
      <c r="KQP1631" s="1"/>
      <c r="KQQ1631" s="1"/>
      <c r="KQR1631" s="1"/>
      <c r="KQS1631" s="1"/>
      <c r="KQT1631" s="1"/>
      <c r="KQU1631" s="1"/>
      <c r="KQV1631" s="1"/>
      <c r="KQW1631" s="1"/>
      <c r="KQX1631" s="1"/>
      <c r="KQY1631" s="1"/>
      <c r="KQZ1631" s="1"/>
      <c r="KRA1631" s="1"/>
      <c r="KRB1631" s="1"/>
      <c r="KRC1631" s="1"/>
      <c r="KRD1631" s="1"/>
      <c r="KRE1631" s="1"/>
      <c r="KRF1631" s="1"/>
      <c r="KRG1631" s="1"/>
      <c r="KRH1631" s="1"/>
      <c r="KRI1631" s="1"/>
      <c r="KRJ1631" s="1"/>
      <c r="KRK1631" s="1"/>
      <c r="KRL1631" s="1"/>
      <c r="KRM1631" s="1"/>
      <c r="KRN1631" s="1"/>
      <c r="KRO1631" s="1"/>
      <c r="KRP1631" s="1"/>
      <c r="KRQ1631" s="1"/>
      <c r="KRR1631" s="1"/>
      <c r="KRS1631" s="1"/>
      <c r="KRT1631" s="1"/>
      <c r="KRU1631" s="1"/>
      <c r="KRV1631" s="1"/>
      <c r="KRW1631" s="1"/>
      <c r="KRX1631" s="1"/>
      <c r="KRY1631" s="1"/>
      <c r="KRZ1631" s="1"/>
      <c r="KSA1631" s="1"/>
      <c r="KSB1631" s="1"/>
      <c r="KSC1631" s="1"/>
      <c r="KSD1631" s="1"/>
      <c r="KSE1631" s="1"/>
      <c r="KSF1631" s="1"/>
      <c r="KSG1631" s="1"/>
      <c r="KSH1631" s="1"/>
      <c r="KSI1631" s="1"/>
      <c r="KSJ1631" s="1"/>
      <c r="KSK1631" s="1"/>
      <c r="KSL1631" s="1"/>
      <c r="KSM1631" s="1"/>
      <c r="KSN1631" s="1"/>
      <c r="KSO1631" s="1"/>
      <c r="KSP1631" s="1"/>
      <c r="KSQ1631" s="1"/>
      <c r="KSR1631" s="1"/>
      <c r="KSS1631" s="1"/>
      <c r="KST1631" s="1"/>
      <c r="KSU1631" s="1"/>
      <c r="KSV1631" s="1"/>
      <c r="KSW1631" s="1"/>
      <c r="KSX1631" s="1"/>
      <c r="KSY1631" s="1"/>
      <c r="KSZ1631" s="1"/>
      <c r="KTA1631" s="1"/>
      <c r="KTB1631" s="1"/>
      <c r="KTC1631" s="1"/>
      <c r="KTD1631" s="1"/>
      <c r="KTE1631" s="1"/>
      <c r="KTF1631" s="1"/>
      <c r="KTG1631" s="1"/>
      <c r="KTH1631" s="1"/>
      <c r="KTI1631" s="1"/>
      <c r="KTJ1631" s="1"/>
      <c r="KTK1631" s="1"/>
      <c r="KTL1631" s="1"/>
      <c r="KTM1631" s="1"/>
      <c r="KTN1631" s="1"/>
      <c r="KTO1631" s="1"/>
      <c r="KTP1631" s="1"/>
      <c r="KTQ1631" s="1"/>
      <c r="KTR1631" s="1"/>
      <c r="KTS1631" s="1"/>
      <c r="KTT1631" s="1"/>
      <c r="KTU1631" s="1"/>
      <c r="KTV1631" s="1"/>
      <c r="KTW1631" s="1"/>
      <c r="KTX1631" s="1"/>
      <c r="KTY1631" s="1"/>
      <c r="KTZ1631" s="1"/>
      <c r="KUA1631" s="1"/>
      <c r="KUB1631" s="1"/>
      <c r="KUC1631" s="1"/>
      <c r="KUD1631" s="1"/>
      <c r="KUE1631" s="1"/>
      <c r="KUF1631" s="1"/>
      <c r="KUG1631" s="1"/>
      <c r="KUH1631" s="1"/>
      <c r="KUI1631" s="1"/>
      <c r="KUJ1631" s="1"/>
      <c r="KUK1631" s="1"/>
      <c r="KUL1631" s="1"/>
      <c r="KUM1631" s="1"/>
      <c r="KUN1631" s="1"/>
      <c r="KUO1631" s="1"/>
      <c r="KUP1631" s="1"/>
      <c r="KUQ1631" s="1"/>
      <c r="KUR1631" s="1"/>
      <c r="KUS1631" s="1"/>
      <c r="KUT1631" s="1"/>
      <c r="KUU1631" s="1"/>
      <c r="KUV1631" s="1"/>
      <c r="KUW1631" s="1"/>
      <c r="KUX1631" s="1"/>
      <c r="KUY1631" s="1"/>
      <c r="KUZ1631" s="1"/>
      <c r="KVA1631" s="1"/>
      <c r="KVB1631" s="1"/>
      <c r="KVC1631" s="1"/>
      <c r="KVD1631" s="1"/>
      <c r="KVE1631" s="1"/>
      <c r="KVF1631" s="1"/>
      <c r="KVG1631" s="1"/>
      <c r="KVH1631" s="1"/>
      <c r="KVI1631" s="1"/>
      <c r="KVJ1631" s="1"/>
      <c r="KVK1631" s="1"/>
      <c r="KVL1631" s="1"/>
      <c r="KVM1631" s="1"/>
      <c r="KVN1631" s="1"/>
      <c r="KVO1631" s="1"/>
      <c r="KVP1631" s="1"/>
      <c r="KVQ1631" s="1"/>
      <c r="KVR1631" s="1"/>
      <c r="KVS1631" s="1"/>
      <c r="KVT1631" s="1"/>
      <c r="KVU1631" s="1"/>
      <c r="KVV1631" s="1"/>
      <c r="KVW1631" s="1"/>
      <c r="KVX1631" s="1"/>
      <c r="KVY1631" s="1"/>
      <c r="KVZ1631" s="1"/>
      <c r="KWA1631" s="1"/>
      <c r="KWB1631" s="1"/>
      <c r="KWC1631" s="1"/>
      <c r="KWD1631" s="1"/>
      <c r="KWE1631" s="1"/>
      <c r="KWF1631" s="1"/>
      <c r="KWG1631" s="1"/>
      <c r="KWH1631" s="1"/>
      <c r="KWI1631" s="1"/>
      <c r="KWJ1631" s="1"/>
      <c r="KWK1631" s="1"/>
      <c r="KWL1631" s="1"/>
      <c r="KWM1631" s="1"/>
      <c r="KWN1631" s="1"/>
      <c r="KWO1631" s="1"/>
      <c r="KWP1631" s="1"/>
      <c r="KWQ1631" s="1"/>
      <c r="KWR1631" s="1"/>
      <c r="KWS1631" s="1"/>
      <c r="KWT1631" s="1"/>
      <c r="KWU1631" s="1"/>
      <c r="KWV1631" s="1"/>
      <c r="KWW1631" s="1"/>
      <c r="KWX1631" s="1"/>
      <c r="KWY1631" s="1"/>
      <c r="KWZ1631" s="1"/>
      <c r="KXA1631" s="1"/>
      <c r="KXB1631" s="1"/>
      <c r="KXC1631" s="1"/>
      <c r="KXD1631" s="1"/>
      <c r="KXE1631" s="1"/>
      <c r="KXF1631" s="1"/>
      <c r="KXG1631" s="1"/>
      <c r="KXH1631" s="1"/>
      <c r="KXI1631" s="1"/>
      <c r="KXJ1631" s="1"/>
      <c r="KXK1631" s="1"/>
      <c r="KXL1631" s="1"/>
      <c r="KXM1631" s="1"/>
      <c r="KXN1631" s="1"/>
      <c r="KXO1631" s="1"/>
      <c r="KXP1631" s="1"/>
      <c r="KXQ1631" s="1"/>
      <c r="KXR1631" s="1"/>
      <c r="KXS1631" s="1"/>
      <c r="KXT1631" s="1"/>
      <c r="KXU1631" s="1"/>
      <c r="KXV1631" s="1"/>
      <c r="KXW1631" s="1"/>
      <c r="KXX1631" s="1"/>
      <c r="KXY1631" s="1"/>
      <c r="KXZ1631" s="1"/>
      <c r="KYA1631" s="1"/>
      <c r="KYB1631" s="1"/>
      <c r="KYC1631" s="1"/>
      <c r="KYD1631" s="1"/>
      <c r="KYE1631" s="1"/>
      <c r="KYF1631" s="1"/>
      <c r="KYG1631" s="1"/>
      <c r="KYH1631" s="1"/>
      <c r="KYI1631" s="1"/>
      <c r="KYJ1631" s="1"/>
      <c r="KYK1631" s="1"/>
      <c r="KYL1631" s="1"/>
      <c r="KYM1631" s="1"/>
      <c r="KYN1631" s="1"/>
      <c r="KYO1631" s="1"/>
      <c r="KYP1631" s="1"/>
      <c r="KYQ1631" s="1"/>
      <c r="KYR1631" s="1"/>
      <c r="KYS1631" s="1"/>
      <c r="KYT1631" s="1"/>
      <c r="KYU1631" s="1"/>
      <c r="KYV1631" s="1"/>
      <c r="KYW1631" s="1"/>
      <c r="KYX1631" s="1"/>
      <c r="KYY1631" s="1"/>
      <c r="KYZ1631" s="1"/>
      <c r="KZA1631" s="1"/>
      <c r="KZB1631" s="1"/>
      <c r="KZC1631" s="1"/>
      <c r="KZD1631" s="1"/>
      <c r="KZE1631" s="1"/>
      <c r="KZF1631" s="1"/>
      <c r="KZG1631" s="1"/>
      <c r="KZH1631" s="1"/>
      <c r="KZI1631" s="1"/>
      <c r="KZJ1631" s="1"/>
      <c r="KZK1631" s="1"/>
      <c r="KZL1631" s="1"/>
      <c r="KZM1631" s="1"/>
      <c r="KZN1631" s="1"/>
      <c r="KZO1631" s="1"/>
      <c r="KZP1631" s="1"/>
      <c r="KZQ1631" s="1"/>
      <c r="KZR1631" s="1"/>
      <c r="KZS1631" s="1"/>
      <c r="KZT1631" s="1"/>
      <c r="KZU1631" s="1"/>
      <c r="KZV1631" s="1"/>
      <c r="KZW1631" s="1"/>
      <c r="KZX1631" s="1"/>
      <c r="KZY1631" s="1"/>
      <c r="KZZ1631" s="1"/>
      <c r="LAA1631" s="1"/>
      <c r="LAB1631" s="1"/>
      <c r="LAC1631" s="1"/>
      <c r="LAD1631" s="1"/>
      <c r="LAE1631" s="1"/>
      <c r="LAF1631" s="1"/>
      <c r="LAG1631" s="1"/>
      <c r="LAH1631" s="1"/>
      <c r="LAI1631" s="1"/>
      <c r="LAJ1631" s="1"/>
      <c r="LAK1631" s="1"/>
      <c r="LAL1631" s="1"/>
      <c r="LAM1631" s="1"/>
      <c r="LAN1631" s="1"/>
      <c r="LAO1631" s="1"/>
      <c r="LAP1631" s="1"/>
      <c r="LAQ1631" s="1"/>
      <c r="LAR1631" s="1"/>
      <c r="LAS1631" s="1"/>
      <c r="LAT1631" s="1"/>
      <c r="LAU1631" s="1"/>
      <c r="LAV1631" s="1"/>
      <c r="LAW1631" s="1"/>
      <c r="LAX1631" s="1"/>
      <c r="LAY1631" s="1"/>
      <c r="LAZ1631" s="1"/>
      <c r="LBA1631" s="1"/>
      <c r="LBB1631" s="1"/>
      <c r="LBC1631" s="1"/>
      <c r="LBD1631" s="1"/>
      <c r="LBE1631" s="1"/>
      <c r="LBF1631" s="1"/>
      <c r="LBG1631" s="1"/>
      <c r="LBH1631" s="1"/>
      <c r="LBI1631" s="1"/>
      <c r="LBJ1631" s="1"/>
      <c r="LBK1631" s="1"/>
      <c r="LBL1631" s="1"/>
      <c r="LBM1631" s="1"/>
      <c r="LBN1631" s="1"/>
      <c r="LBO1631" s="1"/>
      <c r="LBP1631" s="1"/>
      <c r="LBQ1631" s="1"/>
      <c r="LBR1631" s="1"/>
      <c r="LBS1631" s="1"/>
      <c r="LBT1631" s="1"/>
      <c r="LBU1631" s="1"/>
      <c r="LBV1631" s="1"/>
      <c r="LBW1631" s="1"/>
      <c r="LBX1631" s="1"/>
      <c r="LBY1631" s="1"/>
      <c r="LBZ1631" s="1"/>
      <c r="LCA1631" s="1"/>
      <c r="LCB1631" s="1"/>
      <c r="LCC1631" s="1"/>
      <c r="LCD1631" s="1"/>
      <c r="LCE1631" s="1"/>
      <c r="LCF1631" s="1"/>
      <c r="LCG1631" s="1"/>
      <c r="LCH1631" s="1"/>
      <c r="LCI1631" s="1"/>
      <c r="LCJ1631" s="1"/>
      <c r="LCK1631" s="1"/>
      <c r="LCL1631" s="1"/>
      <c r="LCM1631" s="1"/>
      <c r="LCN1631" s="1"/>
      <c r="LCO1631" s="1"/>
      <c r="LCP1631" s="1"/>
      <c r="LCQ1631" s="1"/>
      <c r="LCR1631" s="1"/>
      <c r="LCS1631" s="1"/>
      <c r="LCT1631" s="1"/>
      <c r="LCU1631" s="1"/>
      <c r="LCV1631" s="1"/>
      <c r="LCW1631" s="1"/>
      <c r="LCX1631" s="1"/>
      <c r="LCY1631" s="1"/>
      <c r="LCZ1631" s="1"/>
      <c r="LDA1631" s="1"/>
      <c r="LDB1631" s="1"/>
      <c r="LDC1631" s="1"/>
      <c r="LDD1631" s="1"/>
      <c r="LDE1631" s="1"/>
      <c r="LDF1631" s="1"/>
      <c r="LDG1631" s="1"/>
      <c r="LDH1631" s="1"/>
      <c r="LDI1631" s="1"/>
      <c r="LDJ1631" s="1"/>
      <c r="LDK1631" s="1"/>
      <c r="LDL1631" s="1"/>
      <c r="LDM1631" s="1"/>
      <c r="LDN1631" s="1"/>
      <c r="LDO1631" s="1"/>
      <c r="LDP1631" s="1"/>
      <c r="LDQ1631" s="1"/>
      <c r="LDR1631" s="1"/>
      <c r="LDS1631" s="1"/>
      <c r="LDT1631" s="1"/>
      <c r="LDU1631" s="1"/>
      <c r="LDV1631" s="1"/>
      <c r="LDW1631" s="1"/>
      <c r="LDX1631" s="1"/>
      <c r="LDY1631" s="1"/>
      <c r="LDZ1631" s="1"/>
      <c r="LEA1631" s="1"/>
      <c r="LEB1631" s="1"/>
      <c r="LEC1631" s="1"/>
      <c r="LED1631" s="1"/>
      <c r="LEE1631" s="1"/>
      <c r="LEF1631" s="1"/>
      <c r="LEG1631" s="1"/>
      <c r="LEH1631" s="1"/>
      <c r="LEI1631" s="1"/>
      <c r="LEJ1631" s="1"/>
      <c r="LEK1631" s="1"/>
      <c r="LEL1631" s="1"/>
      <c r="LEM1631" s="1"/>
      <c r="LEN1631" s="1"/>
      <c r="LEO1631" s="1"/>
      <c r="LEP1631" s="1"/>
      <c r="LEQ1631" s="1"/>
      <c r="LER1631" s="1"/>
      <c r="LES1631" s="1"/>
      <c r="LET1631" s="1"/>
      <c r="LEU1631" s="1"/>
      <c r="LEV1631" s="1"/>
      <c r="LEW1631" s="1"/>
      <c r="LEX1631" s="1"/>
      <c r="LEY1631" s="1"/>
      <c r="LEZ1631" s="1"/>
      <c r="LFA1631" s="1"/>
      <c r="LFB1631" s="1"/>
      <c r="LFC1631" s="1"/>
      <c r="LFD1631" s="1"/>
      <c r="LFE1631" s="1"/>
      <c r="LFF1631" s="1"/>
      <c r="LFG1631" s="1"/>
      <c r="LFH1631" s="1"/>
      <c r="LFI1631" s="1"/>
      <c r="LFJ1631" s="1"/>
      <c r="LFK1631" s="1"/>
      <c r="LFL1631" s="1"/>
      <c r="LFM1631" s="1"/>
      <c r="LFN1631" s="1"/>
      <c r="LFO1631" s="1"/>
      <c r="LFP1631" s="1"/>
      <c r="LFQ1631" s="1"/>
      <c r="LFR1631" s="1"/>
      <c r="LFS1631" s="1"/>
      <c r="LFT1631" s="1"/>
      <c r="LFU1631" s="1"/>
      <c r="LFV1631" s="1"/>
      <c r="LFW1631" s="1"/>
      <c r="LFX1631" s="1"/>
      <c r="LFY1631" s="1"/>
      <c r="LFZ1631" s="1"/>
      <c r="LGA1631" s="1"/>
      <c r="LGB1631" s="1"/>
      <c r="LGC1631" s="1"/>
      <c r="LGD1631" s="1"/>
      <c r="LGE1631" s="1"/>
      <c r="LGF1631" s="1"/>
      <c r="LGG1631" s="1"/>
      <c r="LGH1631" s="1"/>
      <c r="LGI1631" s="1"/>
      <c r="LGJ1631" s="1"/>
      <c r="LGK1631" s="1"/>
      <c r="LGL1631" s="1"/>
      <c r="LGM1631" s="1"/>
      <c r="LGN1631" s="1"/>
      <c r="LGO1631" s="1"/>
      <c r="LGP1631" s="1"/>
      <c r="LGQ1631" s="1"/>
      <c r="LGR1631" s="1"/>
      <c r="LGS1631" s="1"/>
      <c r="LGT1631" s="1"/>
      <c r="LGU1631" s="1"/>
      <c r="LGV1631" s="1"/>
      <c r="LGW1631" s="1"/>
      <c r="LGX1631" s="1"/>
      <c r="LGY1631" s="1"/>
      <c r="LGZ1631" s="1"/>
      <c r="LHA1631" s="1"/>
      <c r="LHB1631" s="1"/>
      <c r="LHC1631" s="1"/>
      <c r="LHD1631" s="1"/>
      <c r="LHE1631" s="1"/>
      <c r="LHF1631" s="1"/>
      <c r="LHG1631" s="1"/>
      <c r="LHH1631" s="1"/>
      <c r="LHI1631" s="1"/>
      <c r="LHJ1631" s="1"/>
      <c r="LHK1631" s="1"/>
      <c r="LHL1631" s="1"/>
      <c r="LHM1631" s="1"/>
      <c r="LHN1631" s="1"/>
      <c r="LHO1631" s="1"/>
      <c r="LHP1631" s="1"/>
      <c r="LHQ1631" s="1"/>
      <c r="LHR1631" s="1"/>
      <c r="LHS1631" s="1"/>
      <c r="LHT1631" s="1"/>
      <c r="LHU1631" s="1"/>
      <c r="LHV1631" s="1"/>
      <c r="LHW1631" s="1"/>
      <c r="LHX1631" s="1"/>
      <c r="LHY1631" s="1"/>
      <c r="LHZ1631" s="1"/>
      <c r="LIA1631" s="1"/>
      <c r="LIB1631" s="1"/>
      <c r="LIC1631" s="1"/>
      <c r="LID1631" s="1"/>
      <c r="LIE1631" s="1"/>
      <c r="LIF1631" s="1"/>
      <c r="LIG1631" s="1"/>
      <c r="LIH1631" s="1"/>
      <c r="LII1631" s="1"/>
      <c r="LIJ1631" s="1"/>
      <c r="LIK1631" s="1"/>
      <c r="LIL1631" s="1"/>
      <c r="LIM1631" s="1"/>
      <c r="LIN1631" s="1"/>
      <c r="LIO1631" s="1"/>
      <c r="LIP1631" s="1"/>
      <c r="LIQ1631" s="1"/>
      <c r="LIR1631" s="1"/>
      <c r="LIS1631" s="1"/>
      <c r="LIT1631" s="1"/>
      <c r="LIU1631" s="1"/>
      <c r="LIV1631" s="1"/>
      <c r="LIW1631" s="1"/>
      <c r="LIX1631" s="1"/>
      <c r="LIY1631" s="1"/>
      <c r="LIZ1631" s="1"/>
      <c r="LJA1631" s="1"/>
      <c r="LJB1631" s="1"/>
      <c r="LJC1631" s="1"/>
      <c r="LJD1631" s="1"/>
      <c r="LJE1631" s="1"/>
      <c r="LJF1631" s="1"/>
      <c r="LJG1631" s="1"/>
      <c r="LJH1631" s="1"/>
      <c r="LJI1631" s="1"/>
      <c r="LJJ1631" s="1"/>
      <c r="LJK1631" s="1"/>
      <c r="LJL1631" s="1"/>
      <c r="LJM1631" s="1"/>
      <c r="LJN1631" s="1"/>
      <c r="LJO1631" s="1"/>
      <c r="LJP1631" s="1"/>
      <c r="LJQ1631" s="1"/>
      <c r="LJR1631" s="1"/>
      <c r="LJS1631" s="1"/>
      <c r="LJT1631" s="1"/>
      <c r="LJU1631" s="1"/>
      <c r="LJV1631" s="1"/>
      <c r="LJW1631" s="1"/>
      <c r="LJX1631" s="1"/>
      <c r="LJY1631" s="1"/>
      <c r="LJZ1631" s="1"/>
      <c r="LKA1631" s="1"/>
      <c r="LKB1631" s="1"/>
      <c r="LKC1631" s="1"/>
      <c r="LKD1631" s="1"/>
      <c r="LKE1631" s="1"/>
      <c r="LKF1631" s="1"/>
      <c r="LKG1631" s="1"/>
      <c r="LKH1631" s="1"/>
      <c r="LKI1631" s="1"/>
      <c r="LKJ1631" s="1"/>
      <c r="LKK1631" s="1"/>
      <c r="LKL1631" s="1"/>
      <c r="LKM1631" s="1"/>
      <c r="LKN1631" s="1"/>
      <c r="LKO1631" s="1"/>
      <c r="LKP1631" s="1"/>
      <c r="LKQ1631" s="1"/>
      <c r="LKR1631" s="1"/>
      <c r="LKS1631" s="1"/>
      <c r="LKT1631" s="1"/>
      <c r="LKU1631" s="1"/>
      <c r="LKV1631" s="1"/>
      <c r="LKW1631" s="1"/>
      <c r="LKX1631" s="1"/>
      <c r="LKY1631" s="1"/>
      <c r="LKZ1631" s="1"/>
      <c r="LLA1631" s="1"/>
      <c r="LLB1631" s="1"/>
      <c r="LLC1631" s="1"/>
      <c r="LLD1631" s="1"/>
      <c r="LLE1631" s="1"/>
      <c r="LLF1631" s="1"/>
      <c r="LLG1631" s="1"/>
      <c r="LLH1631" s="1"/>
      <c r="LLI1631" s="1"/>
      <c r="LLJ1631" s="1"/>
      <c r="LLK1631" s="1"/>
      <c r="LLL1631" s="1"/>
      <c r="LLM1631" s="1"/>
      <c r="LLN1631" s="1"/>
      <c r="LLO1631" s="1"/>
      <c r="LLP1631" s="1"/>
      <c r="LLQ1631" s="1"/>
      <c r="LLR1631" s="1"/>
      <c r="LLS1631" s="1"/>
      <c r="LLT1631" s="1"/>
      <c r="LLU1631" s="1"/>
      <c r="LLV1631" s="1"/>
      <c r="LLW1631" s="1"/>
      <c r="LLX1631" s="1"/>
      <c r="LLY1631" s="1"/>
      <c r="LLZ1631" s="1"/>
      <c r="LMA1631" s="1"/>
      <c r="LMB1631" s="1"/>
      <c r="LMC1631" s="1"/>
      <c r="LMD1631" s="1"/>
      <c r="LME1631" s="1"/>
      <c r="LMF1631" s="1"/>
      <c r="LMG1631" s="1"/>
      <c r="LMH1631" s="1"/>
      <c r="LMI1631" s="1"/>
      <c r="LMJ1631" s="1"/>
      <c r="LMK1631" s="1"/>
      <c r="LML1631" s="1"/>
      <c r="LMM1631" s="1"/>
      <c r="LMN1631" s="1"/>
      <c r="LMO1631" s="1"/>
      <c r="LMP1631" s="1"/>
      <c r="LMQ1631" s="1"/>
      <c r="LMR1631" s="1"/>
      <c r="LMS1631" s="1"/>
      <c r="LMT1631" s="1"/>
      <c r="LMU1631" s="1"/>
      <c r="LMV1631" s="1"/>
      <c r="LMW1631" s="1"/>
      <c r="LMX1631" s="1"/>
      <c r="LMY1631" s="1"/>
      <c r="LMZ1631" s="1"/>
      <c r="LNA1631" s="1"/>
      <c r="LNB1631" s="1"/>
      <c r="LNC1631" s="1"/>
      <c r="LND1631" s="1"/>
      <c r="LNE1631" s="1"/>
      <c r="LNF1631" s="1"/>
      <c r="LNG1631" s="1"/>
      <c r="LNH1631" s="1"/>
      <c r="LNI1631" s="1"/>
      <c r="LNJ1631" s="1"/>
      <c r="LNK1631" s="1"/>
      <c r="LNL1631" s="1"/>
      <c r="LNM1631" s="1"/>
      <c r="LNN1631" s="1"/>
      <c r="LNO1631" s="1"/>
      <c r="LNP1631" s="1"/>
      <c r="LNQ1631" s="1"/>
      <c r="LNR1631" s="1"/>
      <c r="LNS1631" s="1"/>
      <c r="LNT1631" s="1"/>
      <c r="LNU1631" s="1"/>
      <c r="LNV1631" s="1"/>
      <c r="LNW1631" s="1"/>
      <c r="LNX1631" s="1"/>
      <c r="LNY1631" s="1"/>
      <c r="LNZ1631" s="1"/>
      <c r="LOA1631" s="1"/>
      <c r="LOB1631" s="1"/>
      <c r="LOC1631" s="1"/>
      <c r="LOD1631" s="1"/>
      <c r="LOE1631" s="1"/>
      <c r="LOF1631" s="1"/>
      <c r="LOG1631" s="1"/>
      <c r="LOH1631" s="1"/>
      <c r="LOI1631" s="1"/>
      <c r="LOJ1631" s="1"/>
      <c r="LOK1631" s="1"/>
      <c r="LOL1631" s="1"/>
      <c r="LOM1631" s="1"/>
      <c r="LON1631" s="1"/>
      <c r="LOO1631" s="1"/>
      <c r="LOP1631" s="1"/>
      <c r="LOQ1631" s="1"/>
      <c r="LOR1631" s="1"/>
      <c r="LOS1631" s="1"/>
      <c r="LOT1631" s="1"/>
      <c r="LOU1631" s="1"/>
      <c r="LOV1631" s="1"/>
      <c r="LOW1631" s="1"/>
      <c r="LOX1631" s="1"/>
      <c r="LOY1631" s="1"/>
      <c r="LOZ1631" s="1"/>
      <c r="LPA1631" s="1"/>
      <c r="LPB1631" s="1"/>
      <c r="LPC1631" s="1"/>
      <c r="LPD1631" s="1"/>
      <c r="LPE1631" s="1"/>
      <c r="LPF1631" s="1"/>
      <c r="LPG1631" s="1"/>
      <c r="LPH1631" s="1"/>
      <c r="LPI1631" s="1"/>
      <c r="LPJ1631" s="1"/>
      <c r="LPK1631" s="1"/>
      <c r="LPL1631" s="1"/>
      <c r="LPM1631" s="1"/>
      <c r="LPN1631" s="1"/>
      <c r="LPO1631" s="1"/>
      <c r="LPP1631" s="1"/>
      <c r="LPQ1631" s="1"/>
      <c r="LPR1631" s="1"/>
      <c r="LPS1631" s="1"/>
      <c r="LPT1631" s="1"/>
      <c r="LPU1631" s="1"/>
      <c r="LPV1631" s="1"/>
      <c r="LPW1631" s="1"/>
      <c r="LPX1631" s="1"/>
      <c r="LPY1631" s="1"/>
      <c r="LPZ1631" s="1"/>
      <c r="LQA1631" s="1"/>
      <c r="LQB1631" s="1"/>
      <c r="LQC1631" s="1"/>
      <c r="LQD1631" s="1"/>
      <c r="LQE1631" s="1"/>
      <c r="LQF1631" s="1"/>
      <c r="LQG1631" s="1"/>
      <c r="LQH1631" s="1"/>
      <c r="LQI1631" s="1"/>
      <c r="LQJ1631" s="1"/>
      <c r="LQK1631" s="1"/>
      <c r="LQL1631" s="1"/>
      <c r="LQM1631" s="1"/>
      <c r="LQN1631" s="1"/>
      <c r="LQO1631" s="1"/>
      <c r="LQP1631" s="1"/>
      <c r="LQQ1631" s="1"/>
      <c r="LQR1631" s="1"/>
      <c r="LQS1631" s="1"/>
      <c r="LQT1631" s="1"/>
      <c r="LQU1631" s="1"/>
      <c r="LQV1631" s="1"/>
      <c r="LQW1631" s="1"/>
      <c r="LQX1631" s="1"/>
      <c r="LQY1631" s="1"/>
      <c r="LQZ1631" s="1"/>
      <c r="LRA1631" s="1"/>
      <c r="LRB1631" s="1"/>
      <c r="LRC1631" s="1"/>
      <c r="LRD1631" s="1"/>
      <c r="LRE1631" s="1"/>
      <c r="LRF1631" s="1"/>
      <c r="LRG1631" s="1"/>
      <c r="LRH1631" s="1"/>
      <c r="LRI1631" s="1"/>
      <c r="LRJ1631" s="1"/>
      <c r="LRK1631" s="1"/>
      <c r="LRL1631" s="1"/>
      <c r="LRM1631" s="1"/>
      <c r="LRN1631" s="1"/>
      <c r="LRO1631" s="1"/>
      <c r="LRP1631" s="1"/>
      <c r="LRQ1631" s="1"/>
      <c r="LRR1631" s="1"/>
      <c r="LRS1631" s="1"/>
      <c r="LRT1631" s="1"/>
      <c r="LRU1631" s="1"/>
      <c r="LRV1631" s="1"/>
      <c r="LRW1631" s="1"/>
      <c r="LRX1631" s="1"/>
      <c r="LRY1631" s="1"/>
      <c r="LRZ1631" s="1"/>
      <c r="LSA1631" s="1"/>
      <c r="LSB1631" s="1"/>
      <c r="LSC1631" s="1"/>
      <c r="LSD1631" s="1"/>
      <c r="LSE1631" s="1"/>
      <c r="LSF1631" s="1"/>
      <c r="LSG1631" s="1"/>
      <c r="LSH1631" s="1"/>
      <c r="LSI1631" s="1"/>
      <c r="LSJ1631" s="1"/>
      <c r="LSK1631" s="1"/>
      <c r="LSL1631" s="1"/>
      <c r="LSM1631" s="1"/>
      <c r="LSN1631" s="1"/>
      <c r="LSO1631" s="1"/>
      <c r="LSP1631" s="1"/>
      <c r="LSQ1631" s="1"/>
      <c r="LSR1631" s="1"/>
      <c r="LSS1631" s="1"/>
      <c r="LST1631" s="1"/>
      <c r="LSU1631" s="1"/>
      <c r="LSV1631" s="1"/>
      <c r="LSW1631" s="1"/>
      <c r="LSX1631" s="1"/>
      <c r="LSY1631" s="1"/>
      <c r="LSZ1631" s="1"/>
      <c r="LTA1631" s="1"/>
      <c r="LTB1631" s="1"/>
      <c r="LTC1631" s="1"/>
      <c r="LTD1631" s="1"/>
      <c r="LTE1631" s="1"/>
      <c r="LTF1631" s="1"/>
      <c r="LTG1631" s="1"/>
      <c r="LTH1631" s="1"/>
      <c r="LTI1631" s="1"/>
      <c r="LTJ1631" s="1"/>
      <c r="LTK1631" s="1"/>
      <c r="LTL1631" s="1"/>
      <c r="LTM1631" s="1"/>
      <c r="LTN1631" s="1"/>
      <c r="LTO1631" s="1"/>
      <c r="LTP1631" s="1"/>
      <c r="LTQ1631" s="1"/>
      <c r="LTR1631" s="1"/>
      <c r="LTS1631" s="1"/>
      <c r="LTT1631" s="1"/>
      <c r="LTU1631" s="1"/>
      <c r="LTV1631" s="1"/>
      <c r="LTW1631" s="1"/>
      <c r="LTX1631" s="1"/>
      <c r="LTY1631" s="1"/>
      <c r="LTZ1631" s="1"/>
      <c r="LUA1631" s="1"/>
      <c r="LUB1631" s="1"/>
      <c r="LUC1631" s="1"/>
      <c r="LUD1631" s="1"/>
      <c r="LUE1631" s="1"/>
      <c r="LUF1631" s="1"/>
      <c r="LUG1631" s="1"/>
      <c r="LUH1631" s="1"/>
      <c r="LUI1631" s="1"/>
      <c r="LUJ1631" s="1"/>
      <c r="LUK1631" s="1"/>
      <c r="LUL1631" s="1"/>
      <c r="LUM1631" s="1"/>
      <c r="LUN1631" s="1"/>
      <c r="LUO1631" s="1"/>
      <c r="LUP1631" s="1"/>
      <c r="LUQ1631" s="1"/>
      <c r="LUR1631" s="1"/>
      <c r="LUS1631" s="1"/>
      <c r="LUT1631" s="1"/>
      <c r="LUU1631" s="1"/>
      <c r="LUV1631" s="1"/>
      <c r="LUW1631" s="1"/>
      <c r="LUX1631" s="1"/>
      <c r="LUY1631" s="1"/>
      <c r="LUZ1631" s="1"/>
      <c r="LVA1631" s="1"/>
      <c r="LVB1631" s="1"/>
      <c r="LVC1631" s="1"/>
      <c r="LVD1631" s="1"/>
      <c r="LVE1631" s="1"/>
      <c r="LVF1631" s="1"/>
      <c r="LVG1631" s="1"/>
      <c r="LVH1631" s="1"/>
      <c r="LVI1631" s="1"/>
      <c r="LVJ1631" s="1"/>
      <c r="LVK1631" s="1"/>
      <c r="LVL1631" s="1"/>
      <c r="LVM1631" s="1"/>
      <c r="LVN1631" s="1"/>
      <c r="LVO1631" s="1"/>
      <c r="LVP1631" s="1"/>
      <c r="LVQ1631" s="1"/>
      <c r="LVR1631" s="1"/>
      <c r="LVS1631" s="1"/>
      <c r="LVT1631" s="1"/>
      <c r="LVU1631" s="1"/>
      <c r="LVV1631" s="1"/>
      <c r="LVW1631" s="1"/>
      <c r="LVX1631" s="1"/>
      <c r="LVY1631" s="1"/>
      <c r="LVZ1631" s="1"/>
      <c r="LWA1631" s="1"/>
      <c r="LWB1631" s="1"/>
      <c r="LWC1631" s="1"/>
      <c r="LWD1631" s="1"/>
      <c r="LWE1631" s="1"/>
      <c r="LWF1631" s="1"/>
      <c r="LWG1631" s="1"/>
      <c r="LWH1631" s="1"/>
      <c r="LWI1631" s="1"/>
      <c r="LWJ1631" s="1"/>
      <c r="LWK1631" s="1"/>
      <c r="LWL1631" s="1"/>
      <c r="LWM1631" s="1"/>
      <c r="LWN1631" s="1"/>
      <c r="LWO1631" s="1"/>
      <c r="LWP1631" s="1"/>
      <c r="LWQ1631" s="1"/>
      <c r="LWR1631" s="1"/>
      <c r="LWS1631" s="1"/>
      <c r="LWT1631" s="1"/>
      <c r="LWU1631" s="1"/>
      <c r="LWV1631" s="1"/>
      <c r="LWW1631" s="1"/>
      <c r="LWX1631" s="1"/>
      <c r="LWY1631" s="1"/>
      <c r="LWZ1631" s="1"/>
      <c r="LXA1631" s="1"/>
      <c r="LXB1631" s="1"/>
      <c r="LXC1631" s="1"/>
      <c r="LXD1631" s="1"/>
      <c r="LXE1631" s="1"/>
      <c r="LXF1631" s="1"/>
      <c r="LXG1631" s="1"/>
      <c r="LXH1631" s="1"/>
      <c r="LXI1631" s="1"/>
      <c r="LXJ1631" s="1"/>
      <c r="LXK1631" s="1"/>
      <c r="LXL1631" s="1"/>
      <c r="LXM1631" s="1"/>
      <c r="LXN1631" s="1"/>
      <c r="LXO1631" s="1"/>
      <c r="LXP1631" s="1"/>
      <c r="LXQ1631" s="1"/>
      <c r="LXR1631" s="1"/>
      <c r="LXS1631" s="1"/>
      <c r="LXT1631" s="1"/>
      <c r="LXU1631" s="1"/>
      <c r="LXV1631" s="1"/>
      <c r="LXW1631" s="1"/>
      <c r="LXX1631" s="1"/>
      <c r="LXY1631" s="1"/>
      <c r="LXZ1631" s="1"/>
      <c r="LYA1631" s="1"/>
      <c r="LYB1631" s="1"/>
      <c r="LYC1631" s="1"/>
      <c r="LYD1631" s="1"/>
      <c r="LYE1631" s="1"/>
      <c r="LYF1631" s="1"/>
      <c r="LYG1631" s="1"/>
      <c r="LYH1631" s="1"/>
      <c r="LYI1631" s="1"/>
      <c r="LYJ1631" s="1"/>
      <c r="LYK1631" s="1"/>
      <c r="LYL1631" s="1"/>
      <c r="LYM1631" s="1"/>
      <c r="LYN1631" s="1"/>
      <c r="LYO1631" s="1"/>
      <c r="LYP1631" s="1"/>
      <c r="LYQ1631" s="1"/>
      <c r="LYR1631" s="1"/>
      <c r="LYS1631" s="1"/>
      <c r="LYT1631" s="1"/>
      <c r="LYU1631" s="1"/>
      <c r="LYV1631" s="1"/>
      <c r="LYW1631" s="1"/>
      <c r="LYX1631" s="1"/>
      <c r="LYY1631" s="1"/>
      <c r="LYZ1631" s="1"/>
      <c r="LZA1631" s="1"/>
      <c r="LZB1631" s="1"/>
      <c r="LZC1631" s="1"/>
      <c r="LZD1631" s="1"/>
      <c r="LZE1631" s="1"/>
      <c r="LZF1631" s="1"/>
      <c r="LZG1631" s="1"/>
      <c r="LZH1631" s="1"/>
      <c r="LZI1631" s="1"/>
      <c r="LZJ1631" s="1"/>
      <c r="LZK1631" s="1"/>
      <c r="LZL1631" s="1"/>
      <c r="LZM1631" s="1"/>
      <c r="LZN1631" s="1"/>
      <c r="LZO1631" s="1"/>
      <c r="LZP1631" s="1"/>
      <c r="LZQ1631" s="1"/>
      <c r="LZR1631" s="1"/>
      <c r="LZS1631" s="1"/>
      <c r="LZT1631" s="1"/>
      <c r="LZU1631" s="1"/>
      <c r="LZV1631" s="1"/>
      <c r="LZW1631" s="1"/>
      <c r="LZX1631" s="1"/>
      <c r="LZY1631" s="1"/>
      <c r="LZZ1631" s="1"/>
      <c r="MAA1631" s="1"/>
      <c r="MAB1631" s="1"/>
      <c r="MAC1631" s="1"/>
      <c r="MAD1631" s="1"/>
      <c r="MAE1631" s="1"/>
      <c r="MAF1631" s="1"/>
      <c r="MAG1631" s="1"/>
      <c r="MAH1631" s="1"/>
      <c r="MAI1631" s="1"/>
      <c r="MAJ1631" s="1"/>
      <c r="MAK1631" s="1"/>
      <c r="MAL1631" s="1"/>
      <c r="MAM1631" s="1"/>
      <c r="MAN1631" s="1"/>
      <c r="MAO1631" s="1"/>
      <c r="MAP1631" s="1"/>
      <c r="MAQ1631" s="1"/>
      <c r="MAR1631" s="1"/>
      <c r="MAS1631" s="1"/>
      <c r="MAT1631" s="1"/>
      <c r="MAU1631" s="1"/>
      <c r="MAV1631" s="1"/>
      <c r="MAW1631" s="1"/>
      <c r="MAX1631" s="1"/>
      <c r="MAY1631" s="1"/>
      <c r="MAZ1631" s="1"/>
      <c r="MBA1631" s="1"/>
      <c r="MBB1631" s="1"/>
      <c r="MBC1631" s="1"/>
      <c r="MBD1631" s="1"/>
      <c r="MBE1631" s="1"/>
      <c r="MBF1631" s="1"/>
      <c r="MBG1631" s="1"/>
      <c r="MBH1631" s="1"/>
      <c r="MBI1631" s="1"/>
      <c r="MBJ1631" s="1"/>
      <c r="MBK1631" s="1"/>
      <c r="MBL1631" s="1"/>
      <c r="MBM1631" s="1"/>
      <c r="MBN1631" s="1"/>
      <c r="MBO1631" s="1"/>
      <c r="MBP1631" s="1"/>
      <c r="MBQ1631" s="1"/>
      <c r="MBR1631" s="1"/>
      <c r="MBS1631" s="1"/>
      <c r="MBT1631" s="1"/>
      <c r="MBU1631" s="1"/>
      <c r="MBV1631" s="1"/>
      <c r="MBW1631" s="1"/>
      <c r="MBX1631" s="1"/>
      <c r="MBY1631" s="1"/>
      <c r="MBZ1631" s="1"/>
      <c r="MCA1631" s="1"/>
      <c r="MCB1631" s="1"/>
      <c r="MCC1631" s="1"/>
      <c r="MCD1631" s="1"/>
      <c r="MCE1631" s="1"/>
      <c r="MCF1631" s="1"/>
      <c r="MCG1631" s="1"/>
      <c r="MCH1631" s="1"/>
      <c r="MCI1631" s="1"/>
      <c r="MCJ1631" s="1"/>
      <c r="MCK1631" s="1"/>
      <c r="MCL1631" s="1"/>
      <c r="MCM1631" s="1"/>
      <c r="MCN1631" s="1"/>
      <c r="MCO1631" s="1"/>
      <c r="MCP1631" s="1"/>
      <c r="MCQ1631" s="1"/>
      <c r="MCR1631" s="1"/>
      <c r="MCS1631" s="1"/>
      <c r="MCT1631" s="1"/>
      <c r="MCU1631" s="1"/>
      <c r="MCV1631" s="1"/>
      <c r="MCW1631" s="1"/>
      <c r="MCX1631" s="1"/>
      <c r="MCY1631" s="1"/>
      <c r="MCZ1631" s="1"/>
      <c r="MDA1631" s="1"/>
      <c r="MDB1631" s="1"/>
      <c r="MDC1631" s="1"/>
      <c r="MDD1631" s="1"/>
      <c r="MDE1631" s="1"/>
      <c r="MDF1631" s="1"/>
      <c r="MDG1631" s="1"/>
      <c r="MDH1631" s="1"/>
      <c r="MDI1631" s="1"/>
      <c r="MDJ1631" s="1"/>
      <c r="MDK1631" s="1"/>
      <c r="MDL1631" s="1"/>
      <c r="MDM1631" s="1"/>
      <c r="MDN1631" s="1"/>
      <c r="MDO1631" s="1"/>
      <c r="MDP1631" s="1"/>
      <c r="MDQ1631" s="1"/>
      <c r="MDR1631" s="1"/>
      <c r="MDS1631" s="1"/>
      <c r="MDT1631" s="1"/>
      <c r="MDU1631" s="1"/>
      <c r="MDV1631" s="1"/>
      <c r="MDW1631" s="1"/>
      <c r="MDX1631" s="1"/>
      <c r="MDY1631" s="1"/>
      <c r="MDZ1631" s="1"/>
      <c r="MEA1631" s="1"/>
      <c r="MEB1631" s="1"/>
      <c r="MEC1631" s="1"/>
      <c r="MED1631" s="1"/>
      <c r="MEE1631" s="1"/>
      <c r="MEF1631" s="1"/>
      <c r="MEG1631" s="1"/>
      <c r="MEH1631" s="1"/>
      <c r="MEI1631" s="1"/>
      <c r="MEJ1631" s="1"/>
      <c r="MEK1631" s="1"/>
      <c r="MEL1631" s="1"/>
      <c r="MEM1631" s="1"/>
      <c r="MEN1631" s="1"/>
      <c r="MEO1631" s="1"/>
      <c r="MEP1631" s="1"/>
      <c r="MEQ1631" s="1"/>
      <c r="MER1631" s="1"/>
      <c r="MES1631" s="1"/>
      <c r="MET1631" s="1"/>
      <c r="MEU1631" s="1"/>
      <c r="MEV1631" s="1"/>
      <c r="MEW1631" s="1"/>
      <c r="MEX1631" s="1"/>
      <c r="MEY1631" s="1"/>
      <c r="MEZ1631" s="1"/>
      <c r="MFA1631" s="1"/>
      <c r="MFB1631" s="1"/>
      <c r="MFC1631" s="1"/>
      <c r="MFD1631" s="1"/>
      <c r="MFE1631" s="1"/>
      <c r="MFF1631" s="1"/>
      <c r="MFG1631" s="1"/>
      <c r="MFH1631" s="1"/>
      <c r="MFI1631" s="1"/>
      <c r="MFJ1631" s="1"/>
      <c r="MFK1631" s="1"/>
      <c r="MFL1631" s="1"/>
      <c r="MFM1631" s="1"/>
      <c r="MFN1631" s="1"/>
      <c r="MFO1631" s="1"/>
      <c r="MFP1631" s="1"/>
      <c r="MFQ1631" s="1"/>
      <c r="MFR1631" s="1"/>
      <c r="MFS1631" s="1"/>
      <c r="MFT1631" s="1"/>
      <c r="MFU1631" s="1"/>
      <c r="MFV1631" s="1"/>
      <c r="MFW1631" s="1"/>
      <c r="MFX1631" s="1"/>
      <c r="MFY1631" s="1"/>
      <c r="MFZ1631" s="1"/>
      <c r="MGA1631" s="1"/>
      <c r="MGB1631" s="1"/>
      <c r="MGC1631" s="1"/>
      <c r="MGD1631" s="1"/>
      <c r="MGE1631" s="1"/>
      <c r="MGF1631" s="1"/>
      <c r="MGG1631" s="1"/>
      <c r="MGH1631" s="1"/>
      <c r="MGI1631" s="1"/>
      <c r="MGJ1631" s="1"/>
      <c r="MGK1631" s="1"/>
      <c r="MGL1631" s="1"/>
      <c r="MGM1631" s="1"/>
      <c r="MGN1631" s="1"/>
      <c r="MGO1631" s="1"/>
      <c r="MGP1631" s="1"/>
      <c r="MGQ1631" s="1"/>
      <c r="MGR1631" s="1"/>
      <c r="MGS1631" s="1"/>
      <c r="MGT1631" s="1"/>
      <c r="MGU1631" s="1"/>
      <c r="MGV1631" s="1"/>
      <c r="MGW1631" s="1"/>
      <c r="MGX1631" s="1"/>
      <c r="MGY1631" s="1"/>
      <c r="MGZ1631" s="1"/>
      <c r="MHA1631" s="1"/>
      <c r="MHB1631" s="1"/>
      <c r="MHC1631" s="1"/>
      <c r="MHD1631" s="1"/>
      <c r="MHE1631" s="1"/>
      <c r="MHF1631" s="1"/>
      <c r="MHG1631" s="1"/>
      <c r="MHH1631" s="1"/>
      <c r="MHI1631" s="1"/>
      <c r="MHJ1631" s="1"/>
      <c r="MHK1631" s="1"/>
      <c r="MHL1631" s="1"/>
      <c r="MHM1631" s="1"/>
      <c r="MHN1631" s="1"/>
      <c r="MHO1631" s="1"/>
      <c r="MHP1631" s="1"/>
      <c r="MHQ1631" s="1"/>
      <c r="MHR1631" s="1"/>
      <c r="MHS1631" s="1"/>
      <c r="MHT1631" s="1"/>
      <c r="MHU1631" s="1"/>
      <c r="MHV1631" s="1"/>
      <c r="MHW1631" s="1"/>
      <c r="MHX1631" s="1"/>
      <c r="MHY1631" s="1"/>
      <c r="MHZ1631" s="1"/>
      <c r="MIA1631" s="1"/>
      <c r="MIB1631" s="1"/>
      <c r="MIC1631" s="1"/>
      <c r="MID1631" s="1"/>
      <c r="MIE1631" s="1"/>
      <c r="MIF1631" s="1"/>
      <c r="MIG1631" s="1"/>
      <c r="MIH1631" s="1"/>
      <c r="MII1631" s="1"/>
      <c r="MIJ1631" s="1"/>
      <c r="MIK1631" s="1"/>
      <c r="MIL1631" s="1"/>
      <c r="MIM1631" s="1"/>
      <c r="MIN1631" s="1"/>
      <c r="MIO1631" s="1"/>
      <c r="MIP1631" s="1"/>
      <c r="MIQ1631" s="1"/>
      <c r="MIR1631" s="1"/>
      <c r="MIS1631" s="1"/>
      <c r="MIT1631" s="1"/>
      <c r="MIU1631" s="1"/>
      <c r="MIV1631" s="1"/>
      <c r="MIW1631" s="1"/>
      <c r="MIX1631" s="1"/>
      <c r="MIY1631" s="1"/>
      <c r="MIZ1631" s="1"/>
      <c r="MJA1631" s="1"/>
      <c r="MJB1631" s="1"/>
      <c r="MJC1631" s="1"/>
      <c r="MJD1631" s="1"/>
      <c r="MJE1631" s="1"/>
      <c r="MJF1631" s="1"/>
      <c r="MJG1631" s="1"/>
      <c r="MJH1631" s="1"/>
      <c r="MJI1631" s="1"/>
      <c r="MJJ1631" s="1"/>
      <c r="MJK1631" s="1"/>
      <c r="MJL1631" s="1"/>
      <c r="MJM1631" s="1"/>
      <c r="MJN1631" s="1"/>
      <c r="MJO1631" s="1"/>
      <c r="MJP1631" s="1"/>
      <c r="MJQ1631" s="1"/>
      <c r="MJR1631" s="1"/>
      <c r="MJS1631" s="1"/>
      <c r="MJT1631" s="1"/>
      <c r="MJU1631" s="1"/>
      <c r="MJV1631" s="1"/>
      <c r="MJW1631" s="1"/>
      <c r="MJX1631" s="1"/>
      <c r="MJY1631" s="1"/>
      <c r="MJZ1631" s="1"/>
      <c r="MKA1631" s="1"/>
      <c r="MKB1631" s="1"/>
      <c r="MKC1631" s="1"/>
      <c r="MKD1631" s="1"/>
      <c r="MKE1631" s="1"/>
      <c r="MKF1631" s="1"/>
      <c r="MKG1631" s="1"/>
      <c r="MKH1631" s="1"/>
      <c r="MKI1631" s="1"/>
      <c r="MKJ1631" s="1"/>
      <c r="MKK1631" s="1"/>
      <c r="MKL1631" s="1"/>
      <c r="MKM1631" s="1"/>
      <c r="MKN1631" s="1"/>
      <c r="MKO1631" s="1"/>
      <c r="MKP1631" s="1"/>
      <c r="MKQ1631" s="1"/>
      <c r="MKR1631" s="1"/>
      <c r="MKS1631" s="1"/>
      <c r="MKT1631" s="1"/>
      <c r="MKU1631" s="1"/>
      <c r="MKV1631" s="1"/>
      <c r="MKW1631" s="1"/>
      <c r="MKX1631" s="1"/>
      <c r="MKY1631" s="1"/>
      <c r="MKZ1631" s="1"/>
      <c r="MLA1631" s="1"/>
      <c r="MLB1631" s="1"/>
      <c r="MLC1631" s="1"/>
      <c r="MLD1631" s="1"/>
      <c r="MLE1631" s="1"/>
      <c r="MLF1631" s="1"/>
      <c r="MLG1631" s="1"/>
      <c r="MLH1631" s="1"/>
      <c r="MLI1631" s="1"/>
      <c r="MLJ1631" s="1"/>
      <c r="MLK1631" s="1"/>
      <c r="MLL1631" s="1"/>
      <c r="MLM1631" s="1"/>
      <c r="MLN1631" s="1"/>
      <c r="MLO1631" s="1"/>
      <c r="MLP1631" s="1"/>
      <c r="MLQ1631" s="1"/>
      <c r="MLR1631" s="1"/>
      <c r="MLS1631" s="1"/>
      <c r="MLT1631" s="1"/>
      <c r="MLU1631" s="1"/>
      <c r="MLV1631" s="1"/>
      <c r="MLW1631" s="1"/>
      <c r="MLX1631" s="1"/>
      <c r="MLY1631" s="1"/>
      <c r="MLZ1631" s="1"/>
      <c r="MMA1631" s="1"/>
      <c r="MMB1631" s="1"/>
      <c r="MMC1631" s="1"/>
      <c r="MMD1631" s="1"/>
      <c r="MME1631" s="1"/>
      <c r="MMF1631" s="1"/>
      <c r="MMG1631" s="1"/>
      <c r="MMH1631" s="1"/>
      <c r="MMI1631" s="1"/>
      <c r="MMJ1631" s="1"/>
      <c r="MMK1631" s="1"/>
      <c r="MML1631" s="1"/>
      <c r="MMM1631" s="1"/>
      <c r="MMN1631" s="1"/>
      <c r="MMO1631" s="1"/>
      <c r="MMP1631" s="1"/>
      <c r="MMQ1631" s="1"/>
      <c r="MMR1631" s="1"/>
      <c r="MMS1631" s="1"/>
      <c r="MMT1631" s="1"/>
      <c r="MMU1631" s="1"/>
      <c r="MMV1631" s="1"/>
      <c r="MMW1631" s="1"/>
      <c r="MMX1631" s="1"/>
      <c r="MMY1631" s="1"/>
      <c r="MMZ1631" s="1"/>
      <c r="MNA1631" s="1"/>
      <c r="MNB1631" s="1"/>
      <c r="MNC1631" s="1"/>
      <c r="MND1631" s="1"/>
      <c r="MNE1631" s="1"/>
      <c r="MNF1631" s="1"/>
      <c r="MNG1631" s="1"/>
      <c r="MNH1631" s="1"/>
      <c r="MNI1631" s="1"/>
      <c r="MNJ1631" s="1"/>
      <c r="MNK1631" s="1"/>
      <c r="MNL1631" s="1"/>
      <c r="MNM1631" s="1"/>
      <c r="MNN1631" s="1"/>
      <c r="MNO1631" s="1"/>
      <c r="MNP1631" s="1"/>
      <c r="MNQ1631" s="1"/>
      <c r="MNR1631" s="1"/>
      <c r="MNS1631" s="1"/>
      <c r="MNT1631" s="1"/>
      <c r="MNU1631" s="1"/>
      <c r="MNV1631" s="1"/>
      <c r="MNW1631" s="1"/>
      <c r="MNX1631" s="1"/>
      <c r="MNY1631" s="1"/>
      <c r="MNZ1631" s="1"/>
      <c r="MOA1631" s="1"/>
      <c r="MOB1631" s="1"/>
      <c r="MOC1631" s="1"/>
      <c r="MOD1631" s="1"/>
      <c r="MOE1631" s="1"/>
      <c r="MOF1631" s="1"/>
      <c r="MOG1631" s="1"/>
      <c r="MOH1631" s="1"/>
      <c r="MOI1631" s="1"/>
      <c r="MOJ1631" s="1"/>
      <c r="MOK1631" s="1"/>
      <c r="MOL1631" s="1"/>
      <c r="MOM1631" s="1"/>
      <c r="MON1631" s="1"/>
      <c r="MOO1631" s="1"/>
      <c r="MOP1631" s="1"/>
      <c r="MOQ1631" s="1"/>
      <c r="MOR1631" s="1"/>
      <c r="MOS1631" s="1"/>
      <c r="MOT1631" s="1"/>
      <c r="MOU1631" s="1"/>
      <c r="MOV1631" s="1"/>
      <c r="MOW1631" s="1"/>
      <c r="MOX1631" s="1"/>
      <c r="MOY1631" s="1"/>
      <c r="MOZ1631" s="1"/>
      <c r="MPA1631" s="1"/>
      <c r="MPB1631" s="1"/>
      <c r="MPC1631" s="1"/>
      <c r="MPD1631" s="1"/>
      <c r="MPE1631" s="1"/>
      <c r="MPF1631" s="1"/>
      <c r="MPG1631" s="1"/>
      <c r="MPH1631" s="1"/>
      <c r="MPI1631" s="1"/>
      <c r="MPJ1631" s="1"/>
      <c r="MPK1631" s="1"/>
      <c r="MPL1631" s="1"/>
      <c r="MPM1631" s="1"/>
      <c r="MPN1631" s="1"/>
      <c r="MPO1631" s="1"/>
      <c r="MPP1631" s="1"/>
      <c r="MPQ1631" s="1"/>
      <c r="MPR1631" s="1"/>
      <c r="MPS1631" s="1"/>
      <c r="MPT1631" s="1"/>
      <c r="MPU1631" s="1"/>
      <c r="MPV1631" s="1"/>
      <c r="MPW1631" s="1"/>
      <c r="MPX1631" s="1"/>
      <c r="MPY1631" s="1"/>
      <c r="MPZ1631" s="1"/>
      <c r="MQA1631" s="1"/>
      <c r="MQB1631" s="1"/>
      <c r="MQC1631" s="1"/>
      <c r="MQD1631" s="1"/>
      <c r="MQE1631" s="1"/>
      <c r="MQF1631" s="1"/>
      <c r="MQG1631" s="1"/>
      <c r="MQH1631" s="1"/>
      <c r="MQI1631" s="1"/>
      <c r="MQJ1631" s="1"/>
      <c r="MQK1631" s="1"/>
      <c r="MQL1631" s="1"/>
      <c r="MQM1631" s="1"/>
      <c r="MQN1631" s="1"/>
      <c r="MQO1631" s="1"/>
      <c r="MQP1631" s="1"/>
      <c r="MQQ1631" s="1"/>
      <c r="MQR1631" s="1"/>
      <c r="MQS1631" s="1"/>
      <c r="MQT1631" s="1"/>
      <c r="MQU1631" s="1"/>
      <c r="MQV1631" s="1"/>
      <c r="MQW1631" s="1"/>
      <c r="MQX1631" s="1"/>
      <c r="MQY1631" s="1"/>
      <c r="MQZ1631" s="1"/>
      <c r="MRA1631" s="1"/>
      <c r="MRB1631" s="1"/>
      <c r="MRC1631" s="1"/>
      <c r="MRD1631" s="1"/>
      <c r="MRE1631" s="1"/>
      <c r="MRF1631" s="1"/>
      <c r="MRG1631" s="1"/>
      <c r="MRH1631" s="1"/>
      <c r="MRI1631" s="1"/>
      <c r="MRJ1631" s="1"/>
      <c r="MRK1631" s="1"/>
      <c r="MRL1631" s="1"/>
      <c r="MRM1631" s="1"/>
      <c r="MRN1631" s="1"/>
      <c r="MRO1631" s="1"/>
      <c r="MRP1631" s="1"/>
      <c r="MRQ1631" s="1"/>
      <c r="MRR1631" s="1"/>
      <c r="MRS1631" s="1"/>
      <c r="MRT1631" s="1"/>
      <c r="MRU1631" s="1"/>
      <c r="MRV1631" s="1"/>
      <c r="MRW1631" s="1"/>
      <c r="MRX1631" s="1"/>
      <c r="MRY1631" s="1"/>
      <c r="MRZ1631" s="1"/>
      <c r="MSA1631" s="1"/>
      <c r="MSB1631" s="1"/>
      <c r="MSC1631" s="1"/>
      <c r="MSD1631" s="1"/>
      <c r="MSE1631" s="1"/>
      <c r="MSF1631" s="1"/>
      <c r="MSG1631" s="1"/>
      <c r="MSH1631" s="1"/>
      <c r="MSI1631" s="1"/>
      <c r="MSJ1631" s="1"/>
      <c r="MSK1631" s="1"/>
      <c r="MSL1631" s="1"/>
      <c r="MSM1631" s="1"/>
      <c r="MSN1631" s="1"/>
      <c r="MSO1631" s="1"/>
      <c r="MSP1631" s="1"/>
      <c r="MSQ1631" s="1"/>
      <c r="MSR1631" s="1"/>
      <c r="MSS1631" s="1"/>
      <c r="MST1631" s="1"/>
      <c r="MSU1631" s="1"/>
      <c r="MSV1631" s="1"/>
      <c r="MSW1631" s="1"/>
      <c r="MSX1631" s="1"/>
      <c r="MSY1631" s="1"/>
      <c r="MSZ1631" s="1"/>
      <c r="MTA1631" s="1"/>
      <c r="MTB1631" s="1"/>
      <c r="MTC1631" s="1"/>
      <c r="MTD1631" s="1"/>
      <c r="MTE1631" s="1"/>
      <c r="MTF1631" s="1"/>
      <c r="MTG1631" s="1"/>
      <c r="MTH1631" s="1"/>
      <c r="MTI1631" s="1"/>
      <c r="MTJ1631" s="1"/>
      <c r="MTK1631" s="1"/>
      <c r="MTL1631" s="1"/>
      <c r="MTM1631" s="1"/>
      <c r="MTN1631" s="1"/>
      <c r="MTO1631" s="1"/>
      <c r="MTP1631" s="1"/>
      <c r="MTQ1631" s="1"/>
      <c r="MTR1631" s="1"/>
      <c r="MTS1631" s="1"/>
      <c r="MTT1631" s="1"/>
      <c r="MTU1631" s="1"/>
      <c r="MTV1631" s="1"/>
      <c r="MTW1631" s="1"/>
      <c r="MTX1631" s="1"/>
      <c r="MTY1631" s="1"/>
      <c r="MTZ1631" s="1"/>
      <c r="MUA1631" s="1"/>
      <c r="MUB1631" s="1"/>
      <c r="MUC1631" s="1"/>
      <c r="MUD1631" s="1"/>
      <c r="MUE1631" s="1"/>
      <c r="MUF1631" s="1"/>
      <c r="MUG1631" s="1"/>
      <c r="MUH1631" s="1"/>
      <c r="MUI1631" s="1"/>
      <c r="MUJ1631" s="1"/>
      <c r="MUK1631" s="1"/>
      <c r="MUL1631" s="1"/>
      <c r="MUM1631" s="1"/>
      <c r="MUN1631" s="1"/>
      <c r="MUO1631" s="1"/>
      <c r="MUP1631" s="1"/>
      <c r="MUQ1631" s="1"/>
      <c r="MUR1631" s="1"/>
      <c r="MUS1631" s="1"/>
      <c r="MUT1631" s="1"/>
      <c r="MUU1631" s="1"/>
      <c r="MUV1631" s="1"/>
      <c r="MUW1631" s="1"/>
      <c r="MUX1631" s="1"/>
      <c r="MUY1631" s="1"/>
      <c r="MUZ1631" s="1"/>
      <c r="MVA1631" s="1"/>
      <c r="MVB1631" s="1"/>
      <c r="MVC1631" s="1"/>
      <c r="MVD1631" s="1"/>
      <c r="MVE1631" s="1"/>
      <c r="MVF1631" s="1"/>
      <c r="MVG1631" s="1"/>
      <c r="MVH1631" s="1"/>
      <c r="MVI1631" s="1"/>
      <c r="MVJ1631" s="1"/>
      <c r="MVK1631" s="1"/>
      <c r="MVL1631" s="1"/>
      <c r="MVM1631" s="1"/>
      <c r="MVN1631" s="1"/>
      <c r="MVO1631" s="1"/>
      <c r="MVP1631" s="1"/>
      <c r="MVQ1631" s="1"/>
      <c r="MVR1631" s="1"/>
      <c r="MVS1631" s="1"/>
      <c r="MVT1631" s="1"/>
      <c r="MVU1631" s="1"/>
      <c r="MVV1631" s="1"/>
      <c r="MVW1631" s="1"/>
      <c r="MVX1631" s="1"/>
      <c r="MVY1631" s="1"/>
      <c r="MVZ1631" s="1"/>
      <c r="MWA1631" s="1"/>
      <c r="MWB1631" s="1"/>
      <c r="MWC1631" s="1"/>
      <c r="MWD1631" s="1"/>
      <c r="MWE1631" s="1"/>
      <c r="MWF1631" s="1"/>
      <c r="MWG1631" s="1"/>
      <c r="MWH1631" s="1"/>
      <c r="MWI1631" s="1"/>
      <c r="MWJ1631" s="1"/>
      <c r="MWK1631" s="1"/>
      <c r="MWL1631" s="1"/>
      <c r="MWM1631" s="1"/>
      <c r="MWN1631" s="1"/>
      <c r="MWO1631" s="1"/>
      <c r="MWP1631" s="1"/>
      <c r="MWQ1631" s="1"/>
      <c r="MWR1631" s="1"/>
      <c r="MWS1631" s="1"/>
      <c r="MWT1631" s="1"/>
      <c r="MWU1631" s="1"/>
      <c r="MWV1631" s="1"/>
      <c r="MWW1631" s="1"/>
      <c r="MWX1631" s="1"/>
      <c r="MWY1631" s="1"/>
      <c r="MWZ1631" s="1"/>
      <c r="MXA1631" s="1"/>
      <c r="MXB1631" s="1"/>
      <c r="MXC1631" s="1"/>
      <c r="MXD1631" s="1"/>
      <c r="MXE1631" s="1"/>
      <c r="MXF1631" s="1"/>
      <c r="MXG1631" s="1"/>
      <c r="MXH1631" s="1"/>
      <c r="MXI1631" s="1"/>
      <c r="MXJ1631" s="1"/>
      <c r="MXK1631" s="1"/>
      <c r="MXL1631" s="1"/>
      <c r="MXM1631" s="1"/>
      <c r="MXN1631" s="1"/>
      <c r="MXO1631" s="1"/>
      <c r="MXP1631" s="1"/>
      <c r="MXQ1631" s="1"/>
      <c r="MXR1631" s="1"/>
      <c r="MXS1631" s="1"/>
      <c r="MXT1631" s="1"/>
      <c r="MXU1631" s="1"/>
      <c r="MXV1631" s="1"/>
      <c r="MXW1631" s="1"/>
      <c r="MXX1631" s="1"/>
      <c r="MXY1631" s="1"/>
      <c r="MXZ1631" s="1"/>
      <c r="MYA1631" s="1"/>
      <c r="MYB1631" s="1"/>
      <c r="MYC1631" s="1"/>
      <c r="MYD1631" s="1"/>
      <c r="MYE1631" s="1"/>
      <c r="MYF1631" s="1"/>
      <c r="MYG1631" s="1"/>
      <c r="MYH1631" s="1"/>
      <c r="MYI1631" s="1"/>
      <c r="MYJ1631" s="1"/>
      <c r="MYK1631" s="1"/>
      <c r="MYL1631" s="1"/>
      <c r="MYM1631" s="1"/>
      <c r="MYN1631" s="1"/>
      <c r="MYO1631" s="1"/>
      <c r="MYP1631" s="1"/>
      <c r="MYQ1631" s="1"/>
      <c r="MYR1631" s="1"/>
      <c r="MYS1631" s="1"/>
      <c r="MYT1631" s="1"/>
      <c r="MYU1631" s="1"/>
      <c r="MYV1631" s="1"/>
      <c r="MYW1631" s="1"/>
      <c r="MYX1631" s="1"/>
      <c r="MYY1631" s="1"/>
      <c r="MYZ1631" s="1"/>
      <c r="MZA1631" s="1"/>
      <c r="MZB1631" s="1"/>
      <c r="MZC1631" s="1"/>
      <c r="MZD1631" s="1"/>
      <c r="MZE1631" s="1"/>
      <c r="MZF1631" s="1"/>
      <c r="MZG1631" s="1"/>
      <c r="MZH1631" s="1"/>
      <c r="MZI1631" s="1"/>
      <c r="MZJ1631" s="1"/>
      <c r="MZK1631" s="1"/>
      <c r="MZL1631" s="1"/>
      <c r="MZM1631" s="1"/>
      <c r="MZN1631" s="1"/>
      <c r="MZO1631" s="1"/>
      <c r="MZP1631" s="1"/>
      <c r="MZQ1631" s="1"/>
      <c r="MZR1631" s="1"/>
      <c r="MZS1631" s="1"/>
      <c r="MZT1631" s="1"/>
      <c r="MZU1631" s="1"/>
      <c r="MZV1631" s="1"/>
      <c r="MZW1631" s="1"/>
      <c r="MZX1631" s="1"/>
      <c r="MZY1631" s="1"/>
      <c r="MZZ1631" s="1"/>
      <c r="NAA1631" s="1"/>
      <c r="NAB1631" s="1"/>
      <c r="NAC1631" s="1"/>
      <c r="NAD1631" s="1"/>
      <c r="NAE1631" s="1"/>
      <c r="NAF1631" s="1"/>
      <c r="NAG1631" s="1"/>
      <c r="NAH1631" s="1"/>
      <c r="NAI1631" s="1"/>
      <c r="NAJ1631" s="1"/>
      <c r="NAK1631" s="1"/>
      <c r="NAL1631" s="1"/>
      <c r="NAM1631" s="1"/>
      <c r="NAN1631" s="1"/>
      <c r="NAO1631" s="1"/>
      <c r="NAP1631" s="1"/>
      <c r="NAQ1631" s="1"/>
      <c r="NAR1631" s="1"/>
      <c r="NAS1631" s="1"/>
      <c r="NAT1631" s="1"/>
      <c r="NAU1631" s="1"/>
      <c r="NAV1631" s="1"/>
      <c r="NAW1631" s="1"/>
      <c r="NAX1631" s="1"/>
      <c r="NAY1631" s="1"/>
      <c r="NAZ1631" s="1"/>
      <c r="NBA1631" s="1"/>
      <c r="NBB1631" s="1"/>
      <c r="NBC1631" s="1"/>
      <c r="NBD1631" s="1"/>
      <c r="NBE1631" s="1"/>
      <c r="NBF1631" s="1"/>
      <c r="NBG1631" s="1"/>
      <c r="NBH1631" s="1"/>
      <c r="NBI1631" s="1"/>
      <c r="NBJ1631" s="1"/>
      <c r="NBK1631" s="1"/>
      <c r="NBL1631" s="1"/>
      <c r="NBM1631" s="1"/>
      <c r="NBN1631" s="1"/>
      <c r="NBO1631" s="1"/>
      <c r="NBP1631" s="1"/>
      <c r="NBQ1631" s="1"/>
      <c r="NBR1631" s="1"/>
      <c r="NBS1631" s="1"/>
      <c r="NBT1631" s="1"/>
      <c r="NBU1631" s="1"/>
      <c r="NBV1631" s="1"/>
      <c r="NBW1631" s="1"/>
      <c r="NBX1631" s="1"/>
      <c r="NBY1631" s="1"/>
      <c r="NBZ1631" s="1"/>
      <c r="NCA1631" s="1"/>
      <c r="NCB1631" s="1"/>
      <c r="NCC1631" s="1"/>
      <c r="NCD1631" s="1"/>
      <c r="NCE1631" s="1"/>
      <c r="NCF1631" s="1"/>
      <c r="NCG1631" s="1"/>
      <c r="NCH1631" s="1"/>
      <c r="NCI1631" s="1"/>
      <c r="NCJ1631" s="1"/>
      <c r="NCK1631" s="1"/>
      <c r="NCL1631" s="1"/>
      <c r="NCM1631" s="1"/>
      <c r="NCN1631" s="1"/>
      <c r="NCO1631" s="1"/>
      <c r="NCP1631" s="1"/>
      <c r="NCQ1631" s="1"/>
      <c r="NCR1631" s="1"/>
      <c r="NCS1631" s="1"/>
      <c r="NCT1631" s="1"/>
      <c r="NCU1631" s="1"/>
      <c r="NCV1631" s="1"/>
      <c r="NCW1631" s="1"/>
      <c r="NCX1631" s="1"/>
      <c r="NCY1631" s="1"/>
      <c r="NCZ1631" s="1"/>
      <c r="NDA1631" s="1"/>
      <c r="NDB1631" s="1"/>
      <c r="NDC1631" s="1"/>
      <c r="NDD1631" s="1"/>
      <c r="NDE1631" s="1"/>
      <c r="NDF1631" s="1"/>
      <c r="NDG1631" s="1"/>
      <c r="NDH1631" s="1"/>
      <c r="NDI1631" s="1"/>
      <c r="NDJ1631" s="1"/>
      <c r="NDK1631" s="1"/>
      <c r="NDL1631" s="1"/>
      <c r="NDM1631" s="1"/>
      <c r="NDN1631" s="1"/>
      <c r="NDO1631" s="1"/>
      <c r="NDP1631" s="1"/>
      <c r="NDQ1631" s="1"/>
      <c r="NDR1631" s="1"/>
      <c r="NDS1631" s="1"/>
      <c r="NDT1631" s="1"/>
      <c r="NDU1631" s="1"/>
      <c r="NDV1631" s="1"/>
      <c r="NDW1631" s="1"/>
      <c r="NDX1631" s="1"/>
      <c r="NDY1631" s="1"/>
      <c r="NDZ1631" s="1"/>
      <c r="NEA1631" s="1"/>
      <c r="NEB1631" s="1"/>
      <c r="NEC1631" s="1"/>
      <c r="NED1631" s="1"/>
      <c r="NEE1631" s="1"/>
      <c r="NEF1631" s="1"/>
      <c r="NEG1631" s="1"/>
      <c r="NEH1631" s="1"/>
      <c r="NEI1631" s="1"/>
      <c r="NEJ1631" s="1"/>
      <c r="NEK1631" s="1"/>
      <c r="NEL1631" s="1"/>
      <c r="NEM1631" s="1"/>
      <c r="NEN1631" s="1"/>
      <c r="NEO1631" s="1"/>
      <c r="NEP1631" s="1"/>
      <c r="NEQ1631" s="1"/>
      <c r="NER1631" s="1"/>
      <c r="NES1631" s="1"/>
      <c r="NET1631" s="1"/>
      <c r="NEU1631" s="1"/>
      <c r="NEV1631" s="1"/>
      <c r="NEW1631" s="1"/>
      <c r="NEX1631" s="1"/>
      <c r="NEY1631" s="1"/>
      <c r="NEZ1631" s="1"/>
      <c r="NFA1631" s="1"/>
      <c r="NFB1631" s="1"/>
      <c r="NFC1631" s="1"/>
      <c r="NFD1631" s="1"/>
      <c r="NFE1631" s="1"/>
      <c r="NFF1631" s="1"/>
      <c r="NFG1631" s="1"/>
      <c r="NFH1631" s="1"/>
      <c r="NFI1631" s="1"/>
      <c r="NFJ1631" s="1"/>
      <c r="NFK1631" s="1"/>
      <c r="NFL1631" s="1"/>
      <c r="NFM1631" s="1"/>
      <c r="NFN1631" s="1"/>
      <c r="NFO1631" s="1"/>
      <c r="NFP1631" s="1"/>
      <c r="NFQ1631" s="1"/>
      <c r="NFR1631" s="1"/>
      <c r="NFS1631" s="1"/>
      <c r="NFT1631" s="1"/>
      <c r="NFU1631" s="1"/>
      <c r="NFV1631" s="1"/>
      <c r="NFW1631" s="1"/>
      <c r="NFX1631" s="1"/>
      <c r="NFY1631" s="1"/>
      <c r="NFZ1631" s="1"/>
      <c r="NGA1631" s="1"/>
      <c r="NGB1631" s="1"/>
      <c r="NGC1631" s="1"/>
      <c r="NGD1631" s="1"/>
      <c r="NGE1631" s="1"/>
      <c r="NGF1631" s="1"/>
      <c r="NGG1631" s="1"/>
      <c r="NGH1631" s="1"/>
      <c r="NGI1631" s="1"/>
      <c r="NGJ1631" s="1"/>
      <c r="NGK1631" s="1"/>
      <c r="NGL1631" s="1"/>
      <c r="NGM1631" s="1"/>
      <c r="NGN1631" s="1"/>
      <c r="NGO1631" s="1"/>
      <c r="NGP1631" s="1"/>
      <c r="NGQ1631" s="1"/>
      <c r="NGR1631" s="1"/>
      <c r="NGS1631" s="1"/>
      <c r="NGT1631" s="1"/>
      <c r="NGU1631" s="1"/>
      <c r="NGV1631" s="1"/>
      <c r="NGW1631" s="1"/>
      <c r="NGX1631" s="1"/>
      <c r="NGY1631" s="1"/>
      <c r="NGZ1631" s="1"/>
      <c r="NHA1631" s="1"/>
      <c r="NHB1631" s="1"/>
      <c r="NHC1631" s="1"/>
      <c r="NHD1631" s="1"/>
      <c r="NHE1631" s="1"/>
      <c r="NHF1631" s="1"/>
      <c r="NHG1631" s="1"/>
      <c r="NHH1631" s="1"/>
      <c r="NHI1631" s="1"/>
      <c r="NHJ1631" s="1"/>
      <c r="NHK1631" s="1"/>
      <c r="NHL1631" s="1"/>
      <c r="NHM1631" s="1"/>
      <c r="NHN1631" s="1"/>
      <c r="NHO1631" s="1"/>
      <c r="NHP1631" s="1"/>
      <c r="NHQ1631" s="1"/>
      <c r="NHR1631" s="1"/>
      <c r="NHS1631" s="1"/>
      <c r="NHT1631" s="1"/>
      <c r="NHU1631" s="1"/>
      <c r="NHV1631" s="1"/>
      <c r="NHW1631" s="1"/>
      <c r="NHX1631" s="1"/>
      <c r="NHY1631" s="1"/>
      <c r="NHZ1631" s="1"/>
      <c r="NIA1631" s="1"/>
      <c r="NIB1631" s="1"/>
      <c r="NIC1631" s="1"/>
      <c r="NID1631" s="1"/>
      <c r="NIE1631" s="1"/>
      <c r="NIF1631" s="1"/>
      <c r="NIG1631" s="1"/>
      <c r="NIH1631" s="1"/>
      <c r="NII1631" s="1"/>
      <c r="NIJ1631" s="1"/>
      <c r="NIK1631" s="1"/>
      <c r="NIL1631" s="1"/>
      <c r="NIM1631" s="1"/>
      <c r="NIN1631" s="1"/>
      <c r="NIO1631" s="1"/>
      <c r="NIP1631" s="1"/>
      <c r="NIQ1631" s="1"/>
      <c r="NIR1631" s="1"/>
      <c r="NIS1631" s="1"/>
      <c r="NIT1631" s="1"/>
      <c r="NIU1631" s="1"/>
      <c r="NIV1631" s="1"/>
      <c r="NIW1631" s="1"/>
      <c r="NIX1631" s="1"/>
      <c r="NIY1631" s="1"/>
      <c r="NIZ1631" s="1"/>
      <c r="NJA1631" s="1"/>
      <c r="NJB1631" s="1"/>
      <c r="NJC1631" s="1"/>
      <c r="NJD1631" s="1"/>
      <c r="NJE1631" s="1"/>
      <c r="NJF1631" s="1"/>
      <c r="NJG1631" s="1"/>
      <c r="NJH1631" s="1"/>
      <c r="NJI1631" s="1"/>
      <c r="NJJ1631" s="1"/>
      <c r="NJK1631" s="1"/>
      <c r="NJL1631" s="1"/>
      <c r="NJM1631" s="1"/>
      <c r="NJN1631" s="1"/>
      <c r="NJO1631" s="1"/>
      <c r="NJP1631" s="1"/>
      <c r="NJQ1631" s="1"/>
      <c r="NJR1631" s="1"/>
      <c r="NJS1631" s="1"/>
      <c r="NJT1631" s="1"/>
      <c r="NJU1631" s="1"/>
      <c r="NJV1631" s="1"/>
      <c r="NJW1631" s="1"/>
      <c r="NJX1631" s="1"/>
      <c r="NJY1631" s="1"/>
      <c r="NJZ1631" s="1"/>
      <c r="NKA1631" s="1"/>
      <c r="NKB1631" s="1"/>
      <c r="NKC1631" s="1"/>
      <c r="NKD1631" s="1"/>
      <c r="NKE1631" s="1"/>
      <c r="NKF1631" s="1"/>
      <c r="NKG1631" s="1"/>
      <c r="NKH1631" s="1"/>
      <c r="NKI1631" s="1"/>
      <c r="NKJ1631" s="1"/>
      <c r="NKK1631" s="1"/>
      <c r="NKL1631" s="1"/>
      <c r="NKM1631" s="1"/>
      <c r="NKN1631" s="1"/>
      <c r="NKO1631" s="1"/>
      <c r="NKP1631" s="1"/>
      <c r="NKQ1631" s="1"/>
      <c r="NKR1631" s="1"/>
      <c r="NKS1631" s="1"/>
      <c r="NKT1631" s="1"/>
      <c r="NKU1631" s="1"/>
      <c r="NKV1631" s="1"/>
      <c r="NKW1631" s="1"/>
      <c r="NKX1631" s="1"/>
      <c r="NKY1631" s="1"/>
      <c r="NKZ1631" s="1"/>
      <c r="NLA1631" s="1"/>
      <c r="NLB1631" s="1"/>
      <c r="NLC1631" s="1"/>
      <c r="NLD1631" s="1"/>
      <c r="NLE1631" s="1"/>
      <c r="NLF1631" s="1"/>
      <c r="NLG1631" s="1"/>
      <c r="NLH1631" s="1"/>
      <c r="NLI1631" s="1"/>
      <c r="NLJ1631" s="1"/>
      <c r="NLK1631" s="1"/>
      <c r="NLL1631" s="1"/>
      <c r="NLM1631" s="1"/>
      <c r="NLN1631" s="1"/>
      <c r="NLO1631" s="1"/>
      <c r="NLP1631" s="1"/>
      <c r="NLQ1631" s="1"/>
      <c r="NLR1631" s="1"/>
      <c r="NLS1631" s="1"/>
      <c r="NLT1631" s="1"/>
      <c r="NLU1631" s="1"/>
      <c r="NLV1631" s="1"/>
      <c r="NLW1631" s="1"/>
      <c r="NLX1631" s="1"/>
      <c r="NLY1631" s="1"/>
      <c r="NLZ1631" s="1"/>
      <c r="NMA1631" s="1"/>
      <c r="NMB1631" s="1"/>
      <c r="NMC1631" s="1"/>
      <c r="NMD1631" s="1"/>
      <c r="NME1631" s="1"/>
      <c r="NMF1631" s="1"/>
      <c r="NMG1631" s="1"/>
      <c r="NMH1631" s="1"/>
      <c r="NMI1631" s="1"/>
      <c r="NMJ1631" s="1"/>
      <c r="NMK1631" s="1"/>
      <c r="NML1631" s="1"/>
      <c r="NMM1631" s="1"/>
      <c r="NMN1631" s="1"/>
      <c r="NMO1631" s="1"/>
      <c r="NMP1631" s="1"/>
      <c r="NMQ1631" s="1"/>
      <c r="NMR1631" s="1"/>
      <c r="NMS1631" s="1"/>
      <c r="NMT1631" s="1"/>
      <c r="NMU1631" s="1"/>
      <c r="NMV1631" s="1"/>
      <c r="NMW1631" s="1"/>
      <c r="NMX1631" s="1"/>
      <c r="NMY1631" s="1"/>
      <c r="NMZ1631" s="1"/>
      <c r="NNA1631" s="1"/>
      <c r="NNB1631" s="1"/>
      <c r="NNC1631" s="1"/>
      <c r="NND1631" s="1"/>
      <c r="NNE1631" s="1"/>
      <c r="NNF1631" s="1"/>
      <c r="NNG1631" s="1"/>
      <c r="NNH1631" s="1"/>
      <c r="NNI1631" s="1"/>
      <c r="NNJ1631" s="1"/>
      <c r="NNK1631" s="1"/>
      <c r="NNL1631" s="1"/>
      <c r="NNM1631" s="1"/>
      <c r="NNN1631" s="1"/>
      <c r="NNO1631" s="1"/>
      <c r="NNP1631" s="1"/>
      <c r="NNQ1631" s="1"/>
      <c r="NNR1631" s="1"/>
      <c r="NNS1631" s="1"/>
      <c r="NNT1631" s="1"/>
      <c r="NNU1631" s="1"/>
      <c r="NNV1631" s="1"/>
      <c r="NNW1631" s="1"/>
      <c r="NNX1631" s="1"/>
      <c r="NNY1631" s="1"/>
      <c r="NNZ1631" s="1"/>
      <c r="NOA1631" s="1"/>
      <c r="NOB1631" s="1"/>
      <c r="NOC1631" s="1"/>
      <c r="NOD1631" s="1"/>
      <c r="NOE1631" s="1"/>
      <c r="NOF1631" s="1"/>
      <c r="NOG1631" s="1"/>
      <c r="NOH1631" s="1"/>
      <c r="NOI1631" s="1"/>
      <c r="NOJ1631" s="1"/>
      <c r="NOK1631" s="1"/>
      <c r="NOL1631" s="1"/>
      <c r="NOM1631" s="1"/>
      <c r="NON1631" s="1"/>
      <c r="NOO1631" s="1"/>
      <c r="NOP1631" s="1"/>
      <c r="NOQ1631" s="1"/>
      <c r="NOR1631" s="1"/>
      <c r="NOS1631" s="1"/>
      <c r="NOT1631" s="1"/>
      <c r="NOU1631" s="1"/>
      <c r="NOV1631" s="1"/>
      <c r="NOW1631" s="1"/>
      <c r="NOX1631" s="1"/>
      <c r="NOY1631" s="1"/>
      <c r="NOZ1631" s="1"/>
      <c r="NPA1631" s="1"/>
      <c r="NPB1631" s="1"/>
      <c r="NPC1631" s="1"/>
      <c r="NPD1631" s="1"/>
      <c r="NPE1631" s="1"/>
      <c r="NPF1631" s="1"/>
      <c r="NPG1631" s="1"/>
      <c r="NPH1631" s="1"/>
      <c r="NPI1631" s="1"/>
      <c r="NPJ1631" s="1"/>
      <c r="NPK1631" s="1"/>
      <c r="NPL1631" s="1"/>
      <c r="NPM1631" s="1"/>
      <c r="NPN1631" s="1"/>
      <c r="NPO1631" s="1"/>
      <c r="NPP1631" s="1"/>
      <c r="NPQ1631" s="1"/>
      <c r="NPR1631" s="1"/>
      <c r="NPS1631" s="1"/>
      <c r="NPT1631" s="1"/>
      <c r="NPU1631" s="1"/>
      <c r="NPV1631" s="1"/>
      <c r="NPW1631" s="1"/>
      <c r="NPX1631" s="1"/>
      <c r="NPY1631" s="1"/>
      <c r="NPZ1631" s="1"/>
      <c r="NQA1631" s="1"/>
      <c r="NQB1631" s="1"/>
      <c r="NQC1631" s="1"/>
      <c r="NQD1631" s="1"/>
      <c r="NQE1631" s="1"/>
      <c r="NQF1631" s="1"/>
      <c r="NQG1631" s="1"/>
      <c r="NQH1631" s="1"/>
      <c r="NQI1631" s="1"/>
      <c r="NQJ1631" s="1"/>
      <c r="NQK1631" s="1"/>
      <c r="NQL1631" s="1"/>
      <c r="NQM1631" s="1"/>
      <c r="NQN1631" s="1"/>
      <c r="NQO1631" s="1"/>
      <c r="NQP1631" s="1"/>
      <c r="NQQ1631" s="1"/>
      <c r="NQR1631" s="1"/>
      <c r="NQS1631" s="1"/>
      <c r="NQT1631" s="1"/>
      <c r="NQU1631" s="1"/>
      <c r="NQV1631" s="1"/>
      <c r="NQW1631" s="1"/>
      <c r="NQX1631" s="1"/>
      <c r="NQY1631" s="1"/>
      <c r="NQZ1631" s="1"/>
      <c r="NRA1631" s="1"/>
      <c r="NRB1631" s="1"/>
      <c r="NRC1631" s="1"/>
      <c r="NRD1631" s="1"/>
      <c r="NRE1631" s="1"/>
      <c r="NRF1631" s="1"/>
      <c r="NRG1631" s="1"/>
      <c r="NRH1631" s="1"/>
      <c r="NRI1631" s="1"/>
      <c r="NRJ1631" s="1"/>
      <c r="NRK1631" s="1"/>
      <c r="NRL1631" s="1"/>
      <c r="NRM1631" s="1"/>
      <c r="NRN1631" s="1"/>
      <c r="NRO1631" s="1"/>
      <c r="NRP1631" s="1"/>
      <c r="NRQ1631" s="1"/>
      <c r="NRR1631" s="1"/>
      <c r="NRS1631" s="1"/>
      <c r="NRT1631" s="1"/>
      <c r="NRU1631" s="1"/>
      <c r="NRV1631" s="1"/>
      <c r="NRW1631" s="1"/>
      <c r="NRX1631" s="1"/>
      <c r="NRY1631" s="1"/>
      <c r="NRZ1631" s="1"/>
      <c r="NSA1631" s="1"/>
      <c r="NSB1631" s="1"/>
      <c r="NSC1631" s="1"/>
      <c r="NSD1631" s="1"/>
      <c r="NSE1631" s="1"/>
      <c r="NSF1631" s="1"/>
      <c r="NSG1631" s="1"/>
      <c r="NSH1631" s="1"/>
      <c r="NSI1631" s="1"/>
      <c r="NSJ1631" s="1"/>
      <c r="NSK1631" s="1"/>
      <c r="NSL1631" s="1"/>
      <c r="NSM1631" s="1"/>
      <c r="NSN1631" s="1"/>
      <c r="NSO1631" s="1"/>
      <c r="NSP1631" s="1"/>
      <c r="NSQ1631" s="1"/>
      <c r="NSR1631" s="1"/>
      <c r="NSS1631" s="1"/>
      <c r="NST1631" s="1"/>
      <c r="NSU1631" s="1"/>
      <c r="NSV1631" s="1"/>
      <c r="NSW1631" s="1"/>
      <c r="NSX1631" s="1"/>
      <c r="NSY1631" s="1"/>
      <c r="NSZ1631" s="1"/>
      <c r="NTA1631" s="1"/>
      <c r="NTB1631" s="1"/>
      <c r="NTC1631" s="1"/>
      <c r="NTD1631" s="1"/>
      <c r="NTE1631" s="1"/>
      <c r="NTF1631" s="1"/>
      <c r="NTG1631" s="1"/>
      <c r="NTH1631" s="1"/>
      <c r="NTI1631" s="1"/>
      <c r="NTJ1631" s="1"/>
      <c r="NTK1631" s="1"/>
      <c r="NTL1631" s="1"/>
      <c r="NTM1631" s="1"/>
      <c r="NTN1631" s="1"/>
      <c r="NTO1631" s="1"/>
      <c r="NTP1631" s="1"/>
      <c r="NTQ1631" s="1"/>
      <c r="NTR1631" s="1"/>
      <c r="NTS1631" s="1"/>
      <c r="NTT1631" s="1"/>
      <c r="NTU1631" s="1"/>
      <c r="NTV1631" s="1"/>
      <c r="NTW1631" s="1"/>
      <c r="NTX1631" s="1"/>
      <c r="NTY1631" s="1"/>
      <c r="NTZ1631" s="1"/>
      <c r="NUA1631" s="1"/>
      <c r="NUB1631" s="1"/>
      <c r="NUC1631" s="1"/>
      <c r="NUD1631" s="1"/>
      <c r="NUE1631" s="1"/>
      <c r="NUF1631" s="1"/>
      <c r="NUG1631" s="1"/>
      <c r="NUH1631" s="1"/>
      <c r="NUI1631" s="1"/>
      <c r="NUJ1631" s="1"/>
      <c r="NUK1631" s="1"/>
      <c r="NUL1631" s="1"/>
      <c r="NUM1631" s="1"/>
      <c r="NUN1631" s="1"/>
      <c r="NUO1631" s="1"/>
      <c r="NUP1631" s="1"/>
      <c r="NUQ1631" s="1"/>
      <c r="NUR1631" s="1"/>
      <c r="NUS1631" s="1"/>
      <c r="NUT1631" s="1"/>
      <c r="NUU1631" s="1"/>
      <c r="NUV1631" s="1"/>
      <c r="NUW1631" s="1"/>
      <c r="NUX1631" s="1"/>
      <c r="NUY1631" s="1"/>
      <c r="NUZ1631" s="1"/>
      <c r="NVA1631" s="1"/>
      <c r="NVB1631" s="1"/>
      <c r="NVC1631" s="1"/>
      <c r="NVD1631" s="1"/>
      <c r="NVE1631" s="1"/>
      <c r="NVF1631" s="1"/>
      <c r="NVG1631" s="1"/>
      <c r="NVH1631" s="1"/>
      <c r="NVI1631" s="1"/>
      <c r="NVJ1631" s="1"/>
      <c r="NVK1631" s="1"/>
      <c r="NVL1631" s="1"/>
      <c r="NVM1631" s="1"/>
      <c r="NVN1631" s="1"/>
      <c r="NVO1631" s="1"/>
      <c r="NVP1631" s="1"/>
      <c r="NVQ1631" s="1"/>
      <c r="NVR1631" s="1"/>
      <c r="NVS1631" s="1"/>
      <c r="NVT1631" s="1"/>
      <c r="NVU1631" s="1"/>
      <c r="NVV1631" s="1"/>
      <c r="NVW1631" s="1"/>
      <c r="NVX1631" s="1"/>
      <c r="NVY1631" s="1"/>
      <c r="NVZ1631" s="1"/>
      <c r="NWA1631" s="1"/>
      <c r="NWB1631" s="1"/>
      <c r="NWC1631" s="1"/>
      <c r="NWD1631" s="1"/>
      <c r="NWE1631" s="1"/>
      <c r="NWF1631" s="1"/>
      <c r="NWG1631" s="1"/>
      <c r="NWH1631" s="1"/>
      <c r="NWI1631" s="1"/>
      <c r="NWJ1631" s="1"/>
      <c r="NWK1631" s="1"/>
      <c r="NWL1631" s="1"/>
      <c r="NWM1631" s="1"/>
      <c r="NWN1631" s="1"/>
      <c r="NWO1631" s="1"/>
      <c r="NWP1631" s="1"/>
      <c r="NWQ1631" s="1"/>
      <c r="NWR1631" s="1"/>
      <c r="NWS1631" s="1"/>
      <c r="NWT1631" s="1"/>
      <c r="NWU1631" s="1"/>
      <c r="NWV1631" s="1"/>
      <c r="NWW1631" s="1"/>
      <c r="NWX1631" s="1"/>
      <c r="NWY1631" s="1"/>
      <c r="NWZ1631" s="1"/>
      <c r="NXA1631" s="1"/>
      <c r="NXB1631" s="1"/>
      <c r="NXC1631" s="1"/>
      <c r="NXD1631" s="1"/>
      <c r="NXE1631" s="1"/>
      <c r="NXF1631" s="1"/>
      <c r="NXG1631" s="1"/>
      <c r="NXH1631" s="1"/>
      <c r="NXI1631" s="1"/>
      <c r="NXJ1631" s="1"/>
      <c r="NXK1631" s="1"/>
      <c r="NXL1631" s="1"/>
      <c r="NXM1631" s="1"/>
      <c r="NXN1631" s="1"/>
      <c r="NXO1631" s="1"/>
      <c r="NXP1631" s="1"/>
      <c r="NXQ1631" s="1"/>
      <c r="NXR1631" s="1"/>
      <c r="NXS1631" s="1"/>
      <c r="NXT1631" s="1"/>
      <c r="NXU1631" s="1"/>
      <c r="NXV1631" s="1"/>
      <c r="NXW1631" s="1"/>
      <c r="NXX1631" s="1"/>
      <c r="NXY1631" s="1"/>
      <c r="NXZ1631" s="1"/>
      <c r="NYA1631" s="1"/>
      <c r="NYB1631" s="1"/>
      <c r="NYC1631" s="1"/>
      <c r="NYD1631" s="1"/>
      <c r="NYE1631" s="1"/>
      <c r="NYF1631" s="1"/>
      <c r="NYG1631" s="1"/>
      <c r="NYH1631" s="1"/>
      <c r="NYI1631" s="1"/>
      <c r="NYJ1631" s="1"/>
      <c r="NYK1631" s="1"/>
      <c r="NYL1631" s="1"/>
      <c r="NYM1631" s="1"/>
      <c r="NYN1631" s="1"/>
      <c r="NYO1631" s="1"/>
      <c r="NYP1631" s="1"/>
      <c r="NYQ1631" s="1"/>
      <c r="NYR1631" s="1"/>
      <c r="NYS1631" s="1"/>
      <c r="NYT1631" s="1"/>
      <c r="NYU1631" s="1"/>
      <c r="NYV1631" s="1"/>
      <c r="NYW1631" s="1"/>
      <c r="NYX1631" s="1"/>
      <c r="NYY1631" s="1"/>
      <c r="NYZ1631" s="1"/>
      <c r="NZA1631" s="1"/>
      <c r="NZB1631" s="1"/>
      <c r="NZC1631" s="1"/>
      <c r="NZD1631" s="1"/>
      <c r="NZE1631" s="1"/>
      <c r="NZF1631" s="1"/>
      <c r="NZG1631" s="1"/>
      <c r="NZH1631" s="1"/>
      <c r="NZI1631" s="1"/>
      <c r="NZJ1631" s="1"/>
      <c r="NZK1631" s="1"/>
      <c r="NZL1631" s="1"/>
      <c r="NZM1631" s="1"/>
      <c r="NZN1631" s="1"/>
      <c r="NZO1631" s="1"/>
      <c r="NZP1631" s="1"/>
      <c r="NZQ1631" s="1"/>
      <c r="NZR1631" s="1"/>
      <c r="NZS1631" s="1"/>
      <c r="NZT1631" s="1"/>
      <c r="NZU1631" s="1"/>
      <c r="NZV1631" s="1"/>
      <c r="NZW1631" s="1"/>
      <c r="NZX1631" s="1"/>
      <c r="NZY1631" s="1"/>
      <c r="NZZ1631" s="1"/>
      <c r="OAA1631" s="1"/>
      <c r="OAB1631" s="1"/>
      <c r="OAC1631" s="1"/>
      <c r="OAD1631" s="1"/>
      <c r="OAE1631" s="1"/>
      <c r="OAF1631" s="1"/>
      <c r="OAG1631" s="1"/>
      <c r="OAH1631" s="1"/>
      <c r="OAI1631" s="1"/>
      <c r="OAJ1631" s="1"/>
      <c r="OAK1631" s="1"/>
      <c r="OAL1631" s="1"/>
      <c r="OAM1631" s="1"/>
      <c r="OAN1631" s="1"/>
      <c r="OAO1631" s="1"/>
      <c r="OAP1631" s="1"/>
      <c r="OAQ1631" s="1"/>
      <c r="OAR1631" s="1"/>
      <c r="OAS1631" s="1"/>
      <c r="OAT1631" s="1"/>
      <c r="OAU1631" s="1"/>
      <c r="OAV1631" s="1"/>
      <c r="OAW1631" s="1"/>
      <c r="OAX1631" s="1"/>
      <c r="OAY1631" s="1"/>
      <c r="OAZ1631" s="1"/>
      <c r="OBA1631" s="1"/>
      <c r="OBB1631" s="1"/>
      <c r="OBC1631" s="1"/>
      <c r="OBD1631" s="1"/>
      <c r="OBE1631" s="1"/>
      <c r="OBF1631" s="1"/>
      <c r="OBG1631" s="1"/>
      <c r="OBH1631" s="1"/>
      <c r="OBI1631" s="1"/>
      <c r="OBJ1631" s="1"/>
      <c r="OBK1631" s="1"/>
      <c r="OBL1631" s="1"/>
      <c r="OBM1631" s="1"/>
      <c r="OBN1631" s="1"/>
      <c r="OBO1631" s="1"/>
      <c r="OBP1631" s="1"/>
      <c r="OBQ1631" s="1"/>
      <c r="OBR1631" s="1"/>
      <c r="OBS1631" s="1"/>
      <c r="OBT1631" s="1"/>
      <c r="OBU1631" s="1"/>
      <c r="OBV1631" s="1"/>
      <c r="OBW1631" s="1"/>
      <c r="OBX1631" s="1"/>
      <c r="OBY1631" s="1"/>
      <c r="OBZ1631" s="1"/>
      <c r="OCA1631" s="1"/>
      <c r="OCB1631" s="1"/>
      <c r="OCC1631" s="1"/>
      <c r="OCD1631" s="1"/>
      <c r="OCE1631" s="1"/>
      <c r="OCF1631" s="1"/>
      <c r="OCG1631" s="1"/>
      <c r="OCH1631" s="1"/>
      <c r="OCI1631" s="1"/>
      <c r="OCJ1631" s="1"/>
      <c r="OCK1631" s="1"/>
      <c r="OCL1631" s="1"/>
      <c r="OCM1631" s="1"/>
      <c r="OCN1631" s="1"/>
      <c r="OCO1631" s="1"/>
      <c r="OCP1631" s="1"/>
      <c r="OCQ1631" s="1"/>
      <c r="OCR1631" s="1"/>
      <c r="OCS1631" s="1"/>
      <c r="OCT1631" s="1"/>
      <c r="OCU1631" s="1"/>
      <c r="OCV1631" s="1"/>
      <c r="OCW1631" s="1"/>
      <c r="OCX1631" s="1"/>
      <c r="OCY1631" s="1"/>
      <c r="OCZ1631" s="1"/>
      <c r="ODA1631" s="1"/>
      <c r="ODB1631" s="1"/>
      <c r="ODC1631" s="1"/>
      <c r="ODD1631" s="1"/>
      <c r="ODE1631" s="1"/>
      <c r="ODF1631" s="1"/>
      <c r="ODG1631" s="1"/>
      <c r="ODH1631" s="1"/>
      <c r="ODI1631" s="1"/>
      <c r="ODJ1631" s="1"/>
      <c r="ODK1631" s="1"/>
      <c r="ODL1631" s="1"/>
      <c r="ODM1631" s="1"/>
      <c r="ODN1631" s="1"/>
      <c r="ODO1631" s="1"/>
      <c r="ODP1631" s="1"/>
      <c r="ODQ1631" s="1"/>
      <c r="ODR1631" s="1"/>
      <c r="ODS1631" s="1"/>
      <c r="ODT1631" s="1"/>
      <c r="ODU1631" s="1"/>
      <c r="ODV1631" s="1"/>
      <c r="ODW1631" s="1"/>
      <c r="ODX1631" s="1"/>
      <c r="ODY1631" s="1"/>
      <c r="ODZ1631" s="1"/>
      <c r="OEA1631" s="1"/>
      <c r="OEB1631" s="1"/>
      <c r="OEC1631" s="1"/>
      <c r="OED1631" s="1"/>
      <c r="OEE1631" s="1"/>
      <c r="OEF1631" s="1"/>
      <c r="OEG1631" s="1"/>
      <c r="OEH1631" s="1"/>
      <c r="OEI1631" s="1"/>
      <c r="OEJ1631" s="1"/>
      <c r="OEK1631" s="1"/>
      <c r="OEL1631" s="1"/>
      <c r="OEM1631" s="1"/>
      <c r="OEN1631" s="1"/>
      <c r="OEO1631" s="1"/>
      <c r="OEP1631" s="1"/>
      <c r="OEQ1631" s="1"/>
      <c r="OER1631" s="1"/>
      <c r="OES1631" s="1"/>
      <c r="OET1631" s="1"/>
      <c r="OEU1631" s="1"/>
      <c r="OEV1631" s="1"/>
      <c r="OEW1631" s="1"/>
      <c r="OEX1631" s="1"/>
      <c r="OEY1631" s="1"/>
      <c r="OEZ1631" s="1"/>
      <c r="OFA1631" s="1"/>
      <c r="OFB1631" s="1"/>
      <c r="OFC1631" s="1"/>
      <c r="OFD1631" s="1"/>
      <c r="OFE1631" s="1"/>
      <c r="OFF1631" s="1"/>
      <c r="OFG1631" s="1"/>
      <c r="OFH1631" s="1"/>
      <c r="OFI1631" s="1"/>
      <c r="OFJ1631" s="1"/>
      <c r="OFK1631" s="1"/>
      <c r="OFL1631" s="1"/>
      <c r="OFM1631" s="1"/>
      <c r="OFN1631" s="1"/>
      <c r="OFO1631" s="1"/>
      <c r="OFP1631" s="1"/>
      <c r="OFQ1631" s="1"/>
      <c r="OFR1631" s="1"/>
      <c r="OFS1631" s="1"/>
      <c r="OFT1631" s="1"/>
      <c r="OFU1631" s="1"/>
      <c r="OFV1631" s="1"/>
      <c r="OFW1631" s="1"/>
      <c r="OFX1631" s="1"/>
      <c r="OFY1631" s="1"/>
      <c r="OFZ1631" s="1"/>
      <c r="OGA1631" s="1"/>
      <c r="OGB1631" s="1"/>
      <c r="OGC1631" s="1"/>
      <c r="OGD1631" s="1"/>
      <c r="OGE1631" s="1"/>
      <c r="OGF1631" s="1"/>
      <c r="OGG1631" s="1"/>
      <c r="OGH1631" s="1"/>
      <c r="OGI1631" s="1"/>
      <c r="OGJ1631" s="1"/>
      <c r="OGK1631" s="1"/>
      <c r="OGL1631" s="1"/>
      <c r="OGM1631" s="1"/>
      <c r="OGN1631" s="1"/>
      <c r="OGO1631" s="1"/>
      <c r="OGP1631" s="1"/>
      <c r="OGQ1631" s="1"/>
      <c r="OGR1631" s="1"/>
      <c r="OGS1631" s="1"/>
      <c r="OGT1631" s="1"/>
      <c r="OGU1631" s="1"/>
      <c r="OGV1631" s="1"/>
      <c r="OGW1631" s="1"/>
      <c r="OGX1631" s="1"/>
      <c r="OGY1631" s="1"/>
      <c r="OGZ1631" s="1"/>
      <c r="OHA1631" s="1"/>
      <c r="OHB1631" s="1"/>
      <c r="OHC1631" s="1"/>
      <c r="OHD1631" s="1"/>
      <c r="OHE1631" s="1"/>
      <c r="OHF1631" s="1"/>
      <c r="OHG1631" s="1"/>
      <c r="OHH1631" s="1"/>
      <c r="OHI1631" s="1"/>
      <c r="OHJ1631" s="1"/>
      <c r="OHK1631" s="1"/>
      <c r="OHL1631" s="1"/>
      <c r="OHM1631" s="1"/>
      <c r="OHN1631" s="1"/>
      <c r="OHO1631" s="1"/>
      <c r="OHP1631" s="1"/>
      <c r="OHQ1631" s="1"/>
      <c r="OHR1631" s="1"/>
      <c r="OHS1631" s="1"/>
      <c r="OHT1631" s="1"/>
      <c r="OHU1631" s="1"/>
      <c r="OHV1631" s="1"/>
      <c r="OHW1631" s="1"/>
      <c r="OHX1631" s="1"/>
      <c r="OHY1631" s="1"/>
      <c r="OHZ1631" s="1"/>
      <c r="OIA1631" s="1"/>
      <c r="OIB1631" s="1"/>
      <c r="OIC1631" s="1"/>
      <c r="OID1631" s="1"/>
      <c r="OIE1631" s="1"/>
      <c r="OIF1631" s="1"/>
      <c r="OIG1631" s="1"/>
      <c r="OIH1631" s="1"/>
      <c r="OII1631" s="1"/>
      <c r="OIJ1631" s="1"/>
      <c r="OIK1631" s="1"/>
      <c r="OIL1631" s="1"/>
      <c r="OIM1631" s="1"/>
      <c r="OIN1631" s="1"/>
      <c r="OIO1631" s="1"/>
      <c r="OIP1631" s="1"/>
      <c r="OIQ1631" s="1"/>
      <c r="OIR1631" s="1"/>
      <c r="OIS1631" s="1"/>
      <c r="OIT1631" s="1"/>
      <c r="OIU1631" s="1"/>
      <c r="OIV1631" s="1"/>
      <c r="OIW1631" s="1"/>
      <c r="OIX1631" s="1"/>
      <c r="OIY1631" s="1"/>
      <c r="OIZ1631" s="1"/>
      <c r="OJA1631" s="1"/>
      <c r="OJB1631" s="1"/>
      <c r="OJC1631" s="1"/>
      <c r="OJD1631" s="1"/>
      <c r="OJE1631" s="1"/>
      <c r="OJF1631" s="1"/>
      <c r="OJG1631" s="1"/>
      <c r="OJH1631" s="1"/>
      <c r="OJI1631" s="1"/>
      <c r="OJJ1631" s="1"/>
      <c r="OJK1631" s="1"/>
      <c r="OJL1631" s="1"/>
      <c r="OJM1631" s="1"/>
      <c r="OJN1631" s="1"/>
      <c r="OJO1631" s="1"/>
      <c r="OJP1631" s="1"/>
      <c r="OJQ1631" s="1"/>
      <c r="OJR1631" s="1"/>
      <c r="OJS1631" s="1"/>
      <c r="OJT1631" s="1"/>
      <c r="OJU1631" s="1"/>
      <c r="OJV1631" s="1"/>
      <c r="OJW1631" s="1"/>
      <c r="OJX1631" s="1"/>
      <c r="OJY1631" s="1"/>
      <c r="OJZ1631" s="1"/>
      <c r="OKA1631" s="1"/>
      <c r="OKB1631" s="1"/>
      <c r="OKC1631" s="1"/>
      <c r="OKD1631" s="1"/>
      <c r="OKE1631" s="1"/>
      <c r="OKF1631" s="1"/>
      <c r="OKG1631" s="1"/>
      <c r="OKH1631" s="1"/>
      <c r="OKI1631" s="1"/>
      <c r="OKJ1631" s="1"/>
      <c r="OKK1631" s="1"/>
      <c r="OKL1631" s="1"/>
      <c r="OKM1631" s="1"/>
      <c r="OKN1631" s="1"/>
      <c r="OKO1631" s="1"/>
      <c r="OKP1631" s="1"/>
      <c r="OKQ1631" s="1"/>
      <c r="OKR1631" s="1"/>
      <c r="OKS1631" s="1"/>
      <c r="OKT1631" s="1"/>
      <c r="OKU1631" s="1"/>
      <c r="OKV1631" s="1"/>
      <c r="OKW1631" s="1"/>
      <c r="OKX1631" s="1"/>
      <c r="OKY1631" s="1"/>
      <c r="OKZ1631" s="1"/>
      <c r="OLA1631" s="1"/>
      <c r="OLB1631" s="1"/>
      <c r="OLC1631" s="1"/>
      <c r="OLD1631" s="1"/>
      <c r="OLE1631" s="1"/>
      <c r="OLF1631" s="1"/>
      <c r="OLG1631" s="1"/>
      <c r="OLH1631" s="1"/>
      <c r="OLI1631" s="1"/>
      <c r="OLJ1631" s="1"/>
      <c r="OLK1631" s="1"/>
      <c r="OLL1631" s="1"/>
      <c r="OLM1631" s="1"/>
      <c r="OLN1631" s="1"/>
      <c r="OLO1631" s="1"/>
      <c r="OLP1631" s="1"/>
      <c r="OLQ1631" s="1"/>
      <c r="OLR1631" s="1"/>
      <c r="OLS1631" s="1"/>
      <c r="OLT1631" s="1"/>
      <c r="OLU1631" s="1"/>
      <c r="OLV1631" s="1"/>
      <c r="OLW1631" s="1"/>
      <c r="OLX1631" s="1"/>
      <c r="OLY1631" s="1"/>
      <c r="OLZ1631" s="1"/>
      <c r="OMA1631" s="1"/>
      <c r="OMB1631" s="1"/>
      <c r="OMC1631" s="1"/>
      <c r="OMD1631" s="1"/>
      <c r="OME1631" s="1"/>
      <c r="OMF1631" s="1"/>
      <c r="OMG1631" s="1"/>
      <c r="OMH1631" s="1"/>
      <c r="OMI1631" s="1"/>
      <c r="OMJ1631" s="1"/>
      <c r="OMK1631" s="1"/>
      <c r="OML1631" s="1"/>
      <c r="OMM1631" s="1"/>
      <c r="OMN1631" s="1"/>
      <c r="OMO1631" s="1"/>
      <c r="OMP1631" s="1"/>
      <c r="OMQ1631" s="1"/>
      <c r="OMR1631" s="1"/>
      <c r="OMS1631" s="1"/>
      <c r="OMT1631" s="1"/>
      <c r="OMU1631" s="1"/>
      <c r="OMV1631" s="1"/>
      <c r="OMW1631" s="1"/>
      <c r="OMX1631" s="1"/>
      <c r="OMY1631" s="1"/>
      <c r="OMZ1631" s="1"/>
      <c r="ONA1631" s="1"/>
      <c r="ONB1631" s="1"/>
      <c r="ONC1631" s="1"/>
      <c r="OND1631" s="1"/>
      <c r="ONE1631" s="1"/>
      <c r="ONF1631" s="1"/>
      <c r="ONG1631" s="1"/>
      <c r="ONH1631" s="1"/>
      <c r="ONI1631" s="1"/>
      <c r="ONJ1631" s="1"/>
      <c r="ONK1631" s="1"/>
      <c r="ONL1631" s="1"/>
      <c r="ONM1631" s="1"/>
      <c r="ONN1631" s="1"/>
      <c r="ONO1631" s="1"/>
      <c r="ONP1631" s="1"/>
      <c r="ONQ1631" s="1"/>
      <c r="ONR1631" s="1"/>
      <c r="ONS1631" s="1"/>
      <c r="ONT1631" s="1"/>
      <c r="ONU1631" s="1"/>
      <c r="ONV1631" s="1"/>
      <c r="ONW1631" s="1"/>
      <c r="ONX1631" s="1"/>
      <c r="ONY1631" s="1"/>
      <c r="ONZ1631" s="1"/>
      <c r="OOA1631" s="1"/>
      <c r="OOB1631" s="1"/>
      <c r="OOC1631" s="1"/>
      <c r="OOD1631" s="1"/>
      <c r="OOE1631" s="1"/>
      <c r="OOF1631" s="1"/>
      <c r="OOG1631" s="1"/>
      <c r="OOH1631" s="1"/>
      <c r="OOI1631" s="1"/>
      <c r="OOJ1631" s="1"/>
      <c r="OOK1631" s="1"/>
      <c r="OOL1631" s="1"/>
      <c r="OOM1631" s="1"/>
      <c r="OON1631" s="1"/>
      <c r="OOO1631" s="1"/>
      <c r="OOP1631" s="1"/>
      <c r="OOQ1631" s="1"/>
      <c r="OOR1631" s="1"/>
      <c r="OOS1631" s="1"/>
      <c r="OOT1631" s="1"/>
      <c r="OOU1631" s="1"/>
      <c r="OOV1631" s="1"/>
      <c r="OOW1631" s="1"/>
      <c r="OOX1631" s="1"/>
      <c r="OOY1631" s="1"/>
      <c r="OOZ1631" s="1"/>
      <c r="OPA1631" s="1"/>
      <c r="OPB1631" s="1"/>
      <c r="OPC1631" s="1"/>
      <c r="OPD1631" s="1"/>
      <c r="OPE1631" s="1"/>
      <c r="OPF1631" s="1"/>
      <c r="OPG1631" s="1"/>
      <c r="OPH1631" s="1"/>
      <c r="OPI1631" s="1"/>
      <c r="OPJ1631" s="1"/>
      <c r="OPK1631" s="1"/>
      <c r="OPL1631" s="1"/>
      <c r="OPM1631" s="1"/>
      <c r="OPN1631" s="1"/>
      <c r="OPO1631" s="1"/>
      <c r="OPP1631" s="1"/>
      <c r="OPQ1631" s="1"/>
      <c r="OPR1631" s="1"/>
      <c r="OPS1631" s="1"/>
      <c r="OPT1631" s="1"/>
      <c r="OPU1631" s="1"/>
      <c r="OPV1631" s="1"/>
      <c r="OPW1631" s="1"/>
      <c r="OPX1631" s="1"/>
      <c r="OPY1631" s="1"/>
      <c r="OPZ1631" s="1"/>
      <c r="OQA1631" s="1"/>
      <c r="OQB1631" s="1"/>
      <c r="OQC1631" s="1"/>
      <c r="OQD1631" s="1"/>
      <c r="OQE1631" s="1"/>
      <c r="OQF1631" s="1"/>
      <c r="OQG1631" s="1"/>
      <c r="OQH1631" s="1"/>
      <c r="OQI1631" s="1"/>
      <c r="OQJ1631" s="1"/>
      <c r="OQK1631" s="1"/>
      <c r="OQL1631" s="1"/>
      <c r="OQM1631" s="1"/>
      <c r="OQN1631" s="1"/>
      <c r="OQO1631" s="1"/>
      <c r="OQP1631" s="1"/>
      <c r="OQQ1631" s="1"/>
      <c r="OQR1631" s="1"/>
      <c r="OQS1631" s="1"/>
      <c r="OQT1631" s="1"/>
      <c r="OQU1631" s="1"/>
      <c r="OQV1631" s="1"/>
      <c r="OQW1631" s="1"/>
      <c r="OQX1631" s="1"/>
      <c r="OQY1631" s="1"/>
      <c r="OQZ1631" s="1"/>
      <c r="ORA1631" s="1"/>
      <c r="ORB1631" s="1"/>
      <c r="ORC1631" s="1"/>
      <c r="ORD1631" s="1"/>
      <c r="ORE1631" s="1"/>
      <c r="ORF1631" s="1"/>
      <c r="ORG1631" s="1"/>
      <c r="ORH1631" s="1"/>
      <c r="ORI1631" s="1"/>
      <c r="ORJ1631" s="1"/>
      <c r="ORK1631" s="1"/>
      <c r="ORL1631" s="1"/>
      <c r="ORM1631" s="1"/>
      <c r="ORN1631" s="1"/>
      <c r="ORO1631" s="1"/>
      <c r="ORP1631" s="1"/>
      <c r="ORQ1631" s="1"/>
      <c r="ORR1631" s="1"/>
      <c r="ORS1631" s="1"/>
      <c r="ORT1631" s="1"/>
      <c r="ORU1631" s="1"/>
      <c r="ORV1631" s="1"/>
      <c r="ORW1631" s="1"/>
      <c r="ORX1631" s="1"/>
      <c r="ORY1631" s="1"/>
      <c r="ORZ1631" s="1"/>
      <c r="OSA1631" s="1"/>
      <c r="OSB1631" s="1"/>
      <c r="OSC1631" s="1"/>
      <c r="OSD1631" s="1"/>
      <c r="OSE1631" s="1"/>
      <c r="OSF1631" s="1"/>
      <c r="OSG1631" s="1"/>
      <c r="OSH1631" s="1"/>
      <c r="OSI1631" s="1"/>
      <c r="OSJ1631" s="1"/>
      <c r="OSK1631" s="1"/>
      <c r="OSL1631" s="1"/>
      <c r="OSM1631" s="1"/>
      <c r="OSN1631" s="1"/>
      <c r="OSO1631" s="1"/>
      <c r="OSP1631" s="1"/>
      <c r="OSQ1631" s="1"/>
      <c r="OSR1631" s="1"/>
      <c r="OSS1631" s="1"/>
      <c r="OST1631" s="1"/>
      <c r="OSU1631" s="1"/>
      <c r="OSV1631" s="1"/>
      <c r="OSW1631" s="1"/>
      <c r="OSX1631" s="1"/>
      <c r="OSY1631" s="1"/>
      <c r="OSZ1631" s="1"/>
      <c r="OTA1631" s="1"/>
      <c r="OTB1631" s="1"/>
      <c r="OTC1631" s="1"/>
      <c r="OTD1631" s="1"/>
      <c r="OTE1631" s="1"/>
      <c r="OTF1631" s="1"/>
      <c r="OTG1631" s="1"/>
      <c r="OTH1631" s="1"/>
      <c r="OTI1631" s="1"/>
      <c r="OTJ1631" s="1"/>
      <c r="OTK1631" s="1"/>
      <c r="OTL1631" s="1"/>
      <c r="OTM1631" s="1"/>
      <c r="OTN1631" s="1"/>
      <c r="OTO1631" s="1"/>
      <c r="OTP1631" s="1"/>
      <c r="OTQ1631" s="1"/>
      <c r="OTR1631" s="1"/>
      <c r="OTS1631" s="1"/>
      <c r="OTT1631" s="1"/>
      <c r="OTU1631" s="1"/>
      <c r="OTV1631" s="1"/>
      <c r="OTW1631" s="1"/>
      <c r="OTX1631" s="1"/>
      <c r="OTY1631" s="1"/>
      <c r="OTZ1631" s="1"/>
      <c r="OUA1631" s="1"/>
      <c r="OUB1631" s="1"/>
      <c r="OUC1631" s="1"/>
      <c r="OUD1631" s="1"/>
      <c r="OUE1631" s="1"/>
      <c r="OUF1631" s="1"/>
      <c r="OUG1631" s="1"/>
      <c r="OUH1631" s="1"/>
      <c r="OUI1631" s="1"/>
      <c r="OUJ1631" s="1"/>
      <c r="OUK1631" s="1"/>
      <c r="OUL1631" s="1"/>
      <c r="OUM1631" s="1"/>
      <c r="OUN1631" s="1"/>
      <c r="OUO1631" s="1"/>
      <c r="OUP1631" s="1"/>
      <c r="OUQ1631" s="1"/>
      <c r="OUR1631" s="1"/>
      <c r="OUS1631" s="1"/>
      <c r="OUT1631" s="1"/>
      <c r="OUU1631" s="1"/>
      <c r="OUV1631" s="1"/>
      <c r="OUW1631" s="1"/>
      <c r="OUX1631" s="1"/>
      <c r="OUY1631" s="1"/>
      <c r="OUZ1631" s="1"/>
      <c r="OVA1631" s="1"/>
      <c r="OVB1631" s="1"/>
      <c r="OVC1631" s="1"/>
      <c r="OVD1631" s="1"/>
      <c r="OVE1631" s="1"/>
      <c r="OVF1631" s="1"/>
      <c r="OVG1631" s="1"/>
      <c r="OVH1631" s="1"/>
      <c r="OVI1631" s="1"/>
      <c r="OVJ1631" s="1"/>
      <c r="OVK1631" s="1"/>
      <c r="OVL1631" s="1"/>
      <c r="OVM1631" s="1"/>
      <c r="OVN1631" s="1"/>
      <c r="OVO1631" s="1"/>
      <c r="OVP1631" s="1"/>
      <c r="OVQ1631" s="1"/>
      <c r="OVR1631" s="1"/>
      <c r="OVS1631" s="1"/>
      <c r="OVT1631" s="1"/>
      <c r="OVU1631" s="1"/>
      <c r="OVV1631" s="1"/>
      <c r="OVW1631" s="1"/>
      <c r="OVX1631" s="1"/>
      <c r="OVY1631" s="1"/>
      <c r="OVZ1631" s="1"/>
      <c r="OWA1631" s="1"/>
      <c r="OWB1631" s="1"/>
      <c r="OWC1631" s="1"/>
      <c r="OWD1631" s="1"/>
      <c r="OWE1631" s="1"/>
      <c r="OWF1631" s="1"/>
      <c r="OWG1631" s="1"/>
      <c r="OWH1631" s="1"/>
      <c r="OWI1631" s="1"/>
      <c r="OWJ1631" s="1"/>
      <c r="OWK1631" s="1"/>
      <c r="OWL1631" s="1"/>
      <c r="OWM1631" s="1"/>
      <c r="OWN1631" s="1"/>
      <c r="OWO1631" s="1"/>
      <c r="OWP1631" s="1"/>
      <c r="OWQ1631" s="1"/>
      <c r="OWR1631" s="1"/>
      <c r="OWS1631" s="1"/>
      <c r="OWT1631" s="1"/>
      <c r="OWU1631" s="1"/>
      <c r="OWV1631" s="1"/>
      <c r="OWW1631" s="1"/>
      <c r="OWX1631" s="1"/>
      <c r="OWY1631" s="1"/>
      <c r="OWZ1631" s="1"/>
      <c r="OXA1631" s="1"/>
      <c r="OXB1631" s="1"/>
      <c r="OXC1631" s="1"/>
      <c r="OXD1631" s="1"/>
      <c r="OXE1631" s="1"/>
      <c r="OXF1631" s="1"/>
      <c r="OXG1631" s="1"/>
      <c r="OXH1631" s="1"/>
      <c r="OXI1631" s="1"/>
      <c r="OXJ1631" s="1"/>
      <c r="OXK1631" s="1"/>
      <c r="OXL1631" s="1"/>
      <c r="OXM1631" s="1"/>
      <c r="OXN1631" s="1"/>
      <c r="OXO1631" s="1"/>
      <c r="OXP1631" s="1"/>
      <c r="OXQ1631" s="1"/>
      <c r="OXR1631" s="1"/>
      <c r="OXS1631" s="1"/>
      <c r="OXT1631" s="1"/>
      <c r="OXU1631" s="1"/>
      <c r="OXV1631" s="1"/>
      <c r="OXW1631" s="1"/>
      <c r="OXX1631" s="1"/>
      <c r="OXY1631" s="1"/>
      <c r="OXZ1631" s="1"/>
      <c r="OYA1631" s="1"/>
      <c r="OYB1631" s="1"/>
      <c r="OYC1631" s="1"/>
      <c r="OYD1631" s="1"/>
      <c r="OYE1631" s="1"/>
      <c r="OYF1631" s="1"/>
      <c r="OYG1631" s="1"/>
      <c r="OYH1631" s="1"/>
      <c r="OYI1631" s="1"/>
      <c r="OYJ1631" s="1"/>
      <c r="OYK1631" s="1"/>
      <c r="OYL1631" s="1"/>
      <c r="OYM1631" s="1"/>
      <c r="OYN1631" s="1"/>
      <c r="OYO1631" s="1"/>
      <c r="OYP1631" s="1"/>
      <c r="OYQ1631" s="1"/>
      <c r="OYR1631" s="1"/>
      <c r="OYS1631" s="1"/>
      <c r="OYT1631" s="1"/>
      <c r="OYU1631" s="1"/>
      <c r="OYV1631" s="1"/>
      <c r="OYW1631" s="1"/>
      <c r="OYX1631" s="1"/>
      <c r="OYY1631" s="1"/>
      <c r="OYZ1631" s="1"/>
      <c r="OZA1631" s="1"/>
      <c r="OZB1631" s="1"/>
      <c r="OZC1631" s="1"/>
      <c r="OZD1631" s="1"/>
      <c r="OZE1631" s="1"/>
      <c r="OZF1631" s="1"/>
      <c r="OZG1631" s="1"/>
      <c r="OZH1631" s="1"/>
      <c r="OZI1631" s="1"/>
      <c r="OZJ1631" s="1"/>
      <c r="OZK1631" s="1"/>
      <c r="OZL1631" s="1"/>
      <c r="OZM1631" s="1"/>
      <c r="OZN1631" s="1"/>
      <c r="OZO1631" s="1"/>
      <c r="OZP1631" s="1"/>
      <c r="OZQ1631" s="1"/>
      <c r="OZR1631" s="1"/>
      <c r="OZS1631" s="1"/>
      <c r="OZT1631" s="1"/>
      <c r="OZU1631" s="1"/>
      <c r="OZV1631" s="1"/>
      <c r="OZW1631" s="1"/>
      <c r="OZX1631" s="1"/>
      <c r="OZY1631" s="1"/>
      <c r="OZZ1631" s="1"/>
      <c r="PAA1631" s="1"/>
      <c r="PAB1631" s="1"/>
      <c r="PAC1631" s="1"/>
      <c r="PAD1631" s="1"/>
      <c r="PAE1631" s="1"/>
      <c r="PAF1631" s="1"/>
      <c r="PAG1631" s="1"/>
      <c r="PAH1631" s="1"/>
      <c r="PAI1631" s="1"/>
      <c r="PAJ1631" s="1"/>
      <c r="PAK1631" s="1"/>
      <c r="PAL1631" s="1"/>
      <c r="PAM1631" s="1"/>
      <c r="PAN1631" s="1"/>
      <c r="PAO1631" s="1"/>
      <c r="PAP1631" s="1"/>
      <c r="PAQ1631" s="1"/>
      <c r="PAR1631" s="1"/>
      <c r="PAS1631" s="1"/>
      <c r="PAT1631" s="1"/>
      <c r="PAU1631" s="1"/>
      <c r="PAV1631" s="1"/>
      <c r="PAW1631" s="1"/>
      <c r="PAX1631" s="1"/>
      <c r="PAY1631" s="1"/>
      <c r="PAZ1631" s="1"/>
      <c r="PBA1631" s="1"/>
      <c r="PBB1631" s="1"/>
      <c r="PBC1631" s="1"/>
      <c r="PBD1631" s="1"/>
      <c r="PBE1631" s="1"/>
      <c r="PBF1631" s="1"/>
      <c r="PBG1631" s="1"/>
      <c r="PBH1631" s="1"/>
      <c r="PBI1631" s="1"/>
      <c r="PBJ1631" s="1"/>
      <c r="PBK1631" s="1"/>
      <c r="PBL1631" s="1"/>
      <c r="PBM1631" s="1"/>
      <c r="PBN1631" s="1"/>
      <c r="PBO1631" s="1"/>
      <c r="PBP1631" s="1"/>
      <c r="PBQ1631" s="1"/>
      <c r="PBR1631" s="1"/>
      <c r="PBS1631" s="1"/>
      <c r="PBT1631" s="1"/>
      <c r="PBU1631" s="1"/>
      <c r="PBV1631" s="1"/>
      <c r="PBW1631" s="1"/>
      <c r="PBX1631" s="1"/>
      <c r="PBY1631" s="1"/>
      <c r="PBZ1631" s="1"/>
      <c r="PCA1631" s="1"/>
      <c r="PCB1631" s="1"/>
      <c r="PCC1631" s="1"/>
      <c r="PCD1631" s="1"/>
      <c r="PCE1631" s="1"/>
      <c r="PCF1631" s="1"/>
      <c r="PCG1631" s="1"/>
      <c r="PCH1631" s="1"/>
      <c r="PCI1631" s="1"/>
      <c r="PCJ1631" s="1"/>
      <c r="PCK1631" s="1"/>
      <c r="PCL1631" s="1"/>
      <c r="PCM1631" s="1"/>
      <c r="PCN1631" s="1"/>
      <c r="PCO1631" s="1"/>
      <c r="PCP1631" s="1"/>
      <c r="PCQ1631" s="1"/>
      <c r="PCR1631" s="1"/>
      <c r="PCS1631" s="1"/>
      <c r="PCT1631" s="1"/>
      <c r="PCU1631" s="1"/>
      <c r="PCV1631" s="1"/>
      <c r="PCW1631" s="1"/>
      <c r="PCX1631" s="1"/>
      <c r="PCY1631" s="1"/>
      <c r="PCZ1631" s="1"/>
      <c r="PDA1631" s="1"/>
      <c r="PDB1631" s="1"/>
      <c r="PDC1631" s="1"/>
      <c r="PDD1631" s="1"/>
      <c r="PDE1631" s="1"/>
      <c r="PDF1631" s="1"/>
      <c r="PDG1631" s="1"/>
      <c r="PDH1631" s="1"/>
      <c r="PDI1631" s="1"/>
      <c r="PDJ1631" s="1"/>
      <c r="PDK1631" s="1"/>
      <c r="PDL1631" s="1"/>
      <c r="PDM1631" s="1"/>
      <c r="PDN1631" s="1"/>
      <c r="PDO1631" s="1"/>
      <c r="PDP1631" s="1"/>
      <c r="PDQ1631" s="1"/>
      <c r="PDR1631" s="1"/>
      <c r="PDS1631" s="1"/>
      <c r="PDT1631" s="1"/>
      <c r="PDU1631" s="1"/>
      <c r="PDV1631" s="1"/>
      <c r="PDW1631" s="1"/>
      <c r="PDX1631" s="1"/>
      <c r="PDY1631" s="1"/>
      <c r="PDZ1631" s="1"/>
      <c r="PEA1631" s="1"/>
      <c r="PEB1631" s="1"/>
      <c r="PEC1631" s="1"/>
      <c r="PED1631" s="1"/>
      <c r="PEE1631" s="1"/>
      <c r="PEF1631" s="1"/>
      <c r="PEG1631" s="1"/>
      <c r="PEH1631" s="1"/>
      <c r="PEI1631" s="1"/>
      <c r="PEJ1631" s="1"/>
      <c r="PEK1631" s="1"/>
      <c r="PEL1631" s="1"/>
      <c r="PEM1631" s="1"/>
      <c r="PEN1631" s="1"/>
      <c r="PEO1631" s="1"/>
      <c r="PEP1631" s="1"/>
      <c r="PEQ1631" s="1"/>
      <c r="PER1631" s="1"/>
      <c r="PES1631" s="1"/>
      <c r="PET1631" s="1"/>
      <c r="PEU1631" s="1"/>
      <c r="PEV1631" s="1"/>
      <c r="PEW1631" s="1"/>
      <c r="PEX1631" s="1"/>
      <c r="PEY1631" s="1"/>
      <c r="PEZ1631" s="1"/>
      <c r="PFA1631" s="1"/>
      <c r="PFB1631" s="1"/>
      <c r="PFC1631" s="1"/>
      <c r="PFD1631" s="1"/>
      <c r="PFE1631" s="1"/>
      <c r="PFF1631" s="1"/>
      <c r="PFG1631" s="1"/>
      <c r="PFH1631" s="1"/>
      <c r="PFI1631" s="1"/>
      <c r="PFJ1631" s="1"/>
      <c r="PFK1631" s="1"/>
      <c r="PFL1631" s="1"/>
      <c r="PFM1631" s="1"/>
      <c r="PFN1631" s="1"/>
      <c r="PFO1631" s="1"/>
      <c r="PFP1631" s="1"/>
      <c r="PFQ1631" s="1"/>
      <c r="PFR1631" s="1"/>
      <c r="PFS1631" s="1"/>
      <c r="PFT1631" s="1"/>
      <c r="PFU1631" s="1"/>
      <c r="PFV1631" s="1"/>
      <c r="PFW1631" s="1"/>
      <c r="PFX1631" s="1"/>
      <c r="PFY1631" s="1"/>
      <c r="PFZ1631" s="1"/>
      <c r="PGA1631" s="1"/>
      <c r="PGB1631" s="1"/>
      <c r="PGC1631" s="1"/>
      <c r="PGD1631" s="1"/>
      <c r="PGE1631" s="1"/>
      <c r="PGF1631" s="1"/>
      <c r="PGG1631" s="1"/>
      <c r="PGH1631" s="1"/>
      <c r="PGI1631" s="1"/>
      <c r="PGJ1631" s="1"/>
      <c r="PGK1631" s="1"/>
      <c r="PGL1631" s="1"/>
      <c r="PGM1631" s="1"/>
      <c r="PGN1631" s="1"/>
      <c r="PGO1631" s="1"/>
      <c r="PGP1631" s="1"/>
      <c r="PGQ1631" s="1"/>
      <c r="PGR1631" s="1"/>
      <c r="PGS1631" s="1"/>
      <c r="PGT1631" s="1"/>
      <c r="PGU1631" s="1"/>
      <c r="PGV1631" s="1"/>
      <c r="PGW1631" s="1"/>
      <c r="PGX1631" s="1"/>
      <c r="PGY1631" s="1"/>
      <c r="PGZ1631" s="1"/>
      <c r="PHA1631" s="1"/>
      <c r="PHB1631" s="1"/>
      <c r="PHC1631" s="1"/>
      <c r="PHD1631" s="1"/>
      <c r="PHE1631" s="1"/>
      <c r="PHF1631" s="1"/>
      <c r="PHG1631" s="1"/>
      <c r="PHH1631" s="1"/>
      <c r="PHI1631" s="1"/>
      <c r="PHJ1631" s="1"/>
      <c r="PHK1631" s="1"/>
      <c r="PHL1631" s="1"/>
      <c r="PHM1631" s="1"/>
      <c r="PHN1631" s="1"/>
      <c r="PHO1631" s="1"/>
      <c r="PHP1631" s="1"/>
      <c r="PHQ1631" s="1"/>
      <c r="PHR1631" s="1"/>
      <c r="PHS1631" s="1"/>
      <c r="PHT1631" s="1"/>
      <c r="PHU1631" s="1"/>
      <c r="PHV1631" s="1"/>
      <c r="PHW1631" s="1"/>
      <c r="PHX1631" s="1"/>
      <c r="PHY1631" s="1"/>
      <c r="PHZ1631" s="1"/>
      <c r="PIA1631" s="1"/>
      <c r="PIB1631" s="1"/>
      <c r="PIC1631" s="1"/>
      <c r="PID1631" s="1"/>
      <c r="PIE1631" s="1"/>
      <c r="PIF1631" s="1"/>
      <c r="PIG1631" s="1"/>
      <c r="PIH1631" s="1"/>
      <c r="PII1631" s="1"/>
      <c r="PIJ1631" s="1"/>
      <c r="PIK1631" s="1"/>
      <c r="PIL1631" s="1"/>
      <c r="PIM1631" s="1"/>
      <c r="PIN1631" s="1"/>
      <c r="PIO1631" s="1"/>
      <c r="PIP1631" s="1"/>
      <c r="PIQ1631" s="1"/>
      <c r="PIR1631" s="1"/>
      <c r="PIS1631" s="1"/>
      <c r="PIT1631" s="1"/>
      <c r="PIU1631" s="1"/>
      <c r="PIV1631" s="1"/>
      <c r="PIW1631" s="1"/>
      <c r="PIX1631" s="1"/>
      <c r="PIY1631" s="1"/>
      <c r="PIZ1631" s="1"/>
      <c r="PJA1631" s="1"/>
      <c r="PJB1631" s="1"/>
      <c r="PJC1631" s="1"/>
      <c r="PJD1631" s="1"/>
      <c r="PJE1631" s="1"/>
      <c r="PJF1631" s="1"/>
      <c r="PJG1631" s="1"/>
      <c r="PJH1631" s="1"/>
      <c r="PJI1631" s="1"/>
      <c r="PJJ1631" s="1"/>
      <c r="PJK1631" s="1"/>
      <c r="PJL1631" s="1"/>
      <c r="PJM1631" s="1"/>
      <c r="PJN1631" s="1"/>
      <c r="PJO1631" s="1"/>
      <c r="PJP1631" s="1"/>
      <c r="PJQ1631" s="1"/>
      <c r="PJR1631" s="1"/>
      <c r="PJS1631" s="1"/>
      <c r="PJT1631" s="1"/>
      <c r="PJU1631" s="1"/>
      <c r="PJV1631" s="1"/>
      <c r="PJW1631" s="1"/>
      <c r="PJX1631" s="1"/>
      <c r="PJY1631" s="1"/>
      <c r="PJZ1631" s="1"/>
      <c r="PKA1631" s="1"/>
      <c r="PKB1631" s="1"/>
      <c r="PKC1631" s="1"/>
      <c r="PKD1631" s="1"/>
      <c r="PKE1631" s="1"/>
      <c r="PKF1631" s="1"/>
      <c r="PKG1631" s="1"/>
      <c r="PKH1631" s="1"/>
      <c r="PKI1631" s="1"/>
      <c r="PKJ1631" s="1"/>
      <c r="PKK1631" s="1"/>
      <c r="PKL1631" s="1"/>
      <c r="PKM1631" s="1"/>
      <c r="PKN1631" s="1"/>
      <c r="PKO1631" s="1"/>
      <c r="PKP1631" s="1"/>
      <c r="PKQ1631" s="1"/>
      <c r="PKR1631" s="1"/>
      <c r="PKS1631" s="1"/>
      <c r="PKT1631" s="1"/>
      <c r="PKU1631" s="1"/>
      <c r="PKV1631" s="1"/>
      <c r="PKW1631" s="1"/>
      <c r="PKX1631" s="1"/>
      <c r="PKY1631" s="1"/>
      <c r="PKZ1631" s="1"/>
      <c r="PLA1631" s="1"/>
      <c r="PLB1631" s="1"/>
      <c r="PLC1631" s="1"/>
      <c r="PLD1631" s="1"/>
      <c r="PLE1631" s="1"/>
      <c r="PLF1631" s="1"/>
      <c r="PLG1631" s="1"/>
      <c r="PLH1631" s="1"/>
      <c r="PLI1631" s="1"/>
      <c r="PLJ1631" s="1"/>
      <c r="PLK1631" s="1"/>
      <c r="PLL1631" s="1"/>
      <c r="PLM1631" s="1"/>
      <c r="PLN1631" s="1"/>
      <c r="PLO1631" s="1"/>
      <c r="PLP1631" s="1"/>
      <c r="PLQ1631" s="1"/>
      <c r="PLR1631" s="1"/>
      <c r="PLS1631" s="1"/>
      <c r="PLT1631" s="1"/>
      <c r="PLU1631" s="1"/>
      <c r="PLV1631" s="1"/>
      <c r="PLW1631" s="1"/>
      <c r="PLX1631" s="1"/>
      <c r="PLY1631" s="1"/>
      <c r="PLZ1631" s="1"/>
      <c r="PMA1631" s="1"/>
      <c r="PMB1631" s="1"/>
      <c r="PMC1631" s="1"/>
      <c r="PMD1631" s="1"/>
      <c r="PME1631" s="1"/>
      <c r="PMF1631" s="1"/>
      <c r="PMG1631" s="1"/>
      <c r="PMH1631" s="1"/>
      <c r="PMI1631" s="1"/>
      <c r="PMJ1631" s="1"/>
      <c r="PMK1631" s="1"/>
      <c r="PML1631" s="1"/>
      <c r="PMM1631" s="1"/>
      <c r="PMN1631" s="1"/>
      <c r="PMO1631" s="1"/>
      <c r="PMP1631" s="1"/>
      <c r="PMQ1631" s="1"/>
      <c r="PMR1631" s="1"/>
      <c r="PMS1631" s="1"/>
      <c r="PMT1631" s="1"/>
      <c r="PMU1631" s="1"/>
      <c r="PMV1631" s="1"/>
      <c r="PMW1631" s="1"/>
      <c r="PMX1631" s="1"/>
      <c r="PMY1631" s="1"/>
      <c r="PMZ1631" s="1"/>
      <c r="PNA1631" s="1"/>
      <c r="PNB1631" s="1"/>
      <c r="PNC1631" s="1"/>
      <c r="PND1631" s="1"/>
      <c r="PNE1631" s="1"/>
      <c r="PNF1631" s="1"/>
      <c r="PNG1631" s="1"/>
      <c r="PNH1631" s="1"/>
      <c r="PNI1631" s="1"/>
      <c r="PNJ1631" s="1"/>
      <c r="PNK1631" s="1"/>
      <c r="PNL1631" s="1"/>
      <c r="PNM1631" s="1"/>
      <c r="PNN1631" s="1"/>
      <c r="PNO1631" s="1"/>
      <c r="PNP1631" s="1"/>
      <c r="PNQ1631" s="1"/>
      <c r="PNR1631" s="1"/>
      <c r="PNS1631" s="1"/>
      <c r="PNT1631" s="1"/>
      <c r="PNU1631" s="1"/>
      <c r="PNV1631" s="1"/>
      <c r="PNW1631" s="1"/>
      <c r="PNX1631" s="1"/>
      <c r="PNY1631" s="1"/>
      <c r="PNZ1631" s="1"/>
      <c r="POA1631" s="1"/>
      <c r="POB1631" s="1"/>
      <c r="POC1631" s="1"/>
      <c r="POD1631" s="1"/>
      <c r="POE1631" s="1"/>
      <c r="POF1631" s="1"/>
      <c r="POG1631" s="1"/>
      <c r="POH1631" s="1"/>
      <c r="POI1631" s="1"/>
      <c r="POJ1631" s="1"/>
      <c r="POK1631" s="1"/>
      <c r="POL1631" s="1"/>
      <c r="POM1631" s="1"/>
      <c r="PON1631" s="1"/>
      <c r="POO1631" s="1"/>
      <c r="POP1631" s="1"/>
      <c r="POQ1631" s="1"/>
      <c r="POR1631" s="1"/>
      <c r="POS1631" s="1"/>
      <c r="POT1631" s="1"/>
      <c r="POU1631" s="1"/>
      <c r="POV1631" s="1"/>
      <c r="POW1631" s="1"/>
      <c r="POX1631" s="1"/>
      <c r="POY1631" s="1"/>
      <c r="POZ1631" s="1"/>
      <c r="PPA1631" s="1"/>
      <c r="PPB1631" s="1"/>
      <c r="PPC1631" s="1"/>
      <c r="PPD1631" s="1"/>
      <c r="PPE1631" s="1"/>
      <c r="PPF1631" s="1"/>
      <c r="PPG1631" s="1"/>
      <c r="PPH1631" s="1"/>
      <c r="PPI1631" s="1"/>
      <c r="PPJ1631" s="1"/>
      <c r="PPK1631" s="1"/>
      <c r="PPL1631" s="1"/>
      <c r="PPM1631" s="1"/>
      <c r="PPN1631" s="1"/>
      <c r="PPO1631" s="1"/>
      <c r="PPP1631" s="1"/>
      <c r="PPQ1631" s="1"/>
      <c r="PPR1631" s="1"/>
      <c r="PPS1631" s="1"/>
      <c r="PPT1631" s="1"/>
      <c r="PPU1631" s="1"/>
      <c r="PPV1631" s="1"/>
      <c r="PPW1631" s="1"/>
      <c r="PPX1631" s="1"/>
      <c r="PPY1631" s="1"/>
      <c r="PPZ1631" s="1"/>
      <c r="PQA1631" s="1"/>
      <c r="PQB1631" s="1"/>
      <c r="PQC1631" s="1"/>
      <c r="PQD1631" s="1"/>
      <c r="PQE1631" s="1"/>
      <c r="PQF1631" s="1"/>
      <c r="PQG1631" s="1"/>
      <c r="PQH1631" s="1"/>
      <c r="PQI1631" s="1"/>
      <c r="PQJ1631" s="1"/>
      <c r="PQK1631" s="1"/>
      <c r="PQL1631" s="1"/>
      <c r="PQM1631" s="1"/>
      <c r="PQN1631" s="1"/>
      <c r="PQO1631" s="1"/>
      <c r="PQP1631" s="1"/>
      <c r="PQQ1631" s="1"/>
      <c r="PQR1631" s="1"/>
      <c r="PQS1631" s="1"/>
      <c r="PQT1631" s="1"/>
      <c r="PQU1631" s="1"/>
      <c r="PQV1631" s="1"/>
      <c r="PQW1631" s="1"/>
      <c r="PQX1631" s="1"/>
      <c r="PQY1631" s="1"/>
      <c r="PQZ1631" s="1"/>
      <c r="PRA1631" s="1"/>
      <c r="PRB1631" s="1"/>
      <c r="PRC1631" s="1"/>
      <c r="PRD1631" s="1"/>
      <c r="PRE1631" s="1"/>
      <c r="PRF1631" s="1"/>
      <c r="PRG1631" s="1"/>
      <c r="PRH1631" s="1"/>
      <c r="PRI1631" s="1"/>
      <c r="PRJ1631" s="1"/>
      <c r="PRK1631" s="1"/>
      <c r="PRL1631" s="1"/>
      <c r="PRM1631" s="1"/>
      <c r="PRN1631" s="1"/>
      <c r="PRO1631" s="1"/>
      <c r="PRP1631" s="1"/>
      <c r="PRQ1631" s="1"/>
      <c r="PRR1631" s="1"/>
      <c r="PRS1631" s="1"/>
      <c r="PRT1631" s="1"/>
      <c r="PRU1631" s="1"/>
      <c r="PRV1631" s="1"/>
      <c r="PRW1631" s="1"/>
      <c r="PRX1631" s="1"/>
      <c r="PRY1631" s="1"/>
      <c r="PRZ1631" s="1"/>
      <c r="PSA1631" s="1"/>
      <c r="PSB1631" s="1"/>
      <c r="PSC1631" s="1"/>
      <c r="PSD1631" s="1"/>
      <c r="PSE1631" s="1"/>
      <c r="PSF1631" s="1"/>
      <c r="PSG1631" s="1"/>
      <c r="PSH1631" s="1"/>
      <c r="PSI1631" s="1"/>
      <c r="PSJ1631" s="1"/>
      <c r="PSK1631" s="1"/>
      <c r="PSL1631" s="1"/>
      <c r="PSM1631" s="1"/>
      <c r="PSN1631" s="1"/>
      <c r="PSO1631" s="1"/>
      <c r="PSP1631" s="1"/>
      <c r="PSQ1631" s="1"/>
      <c r="PSR1631" s="1"/>
      <c r="PSS1631" s="1"/>
      <c r="PST1631" s="1"/>
      <c r="PSU1631" s="1"/>
      <c r="PSV1631" s="1"/>
      <c r="PSW1631" s="1"/>
      <c r="PSX1631" s="1"/>
      <c r="PSY1631" s="1"/>
      <c r="PSZ1631" s="1"/>
      <c r="PTA1631" s="1"/>
      <c r="PTB1631" s="1"/>
      <c r="PTC1631" s="1"/>
      <c r="PTD1631" s="1"/>
      <c r="PTE1631" s="1"/>
      <c r="PTF1631" s="1"/>
      <c r="PTG1631" s="1"/>
      <c r="PTH1631" s="1"/>
      <c r="PTI1631" s="1"/>
      <c r="PTJ1631" s="1"/>
      <c r="PTK1631" s="1"/>
      <c r="PTL1631" s="1"/>
      <c r="PTM1631" s="1"/>
      <c r="PTN1631" s="1"/>
      <c r="PTO1631" s="1"/>
      <c r="PTP1631" s="1"/>
      <c r="PTQ1631" s="1"/>
      <c r="PTR1631" s="1"/>
      <c r="PTS1631" s="1"/>
      <c r="PTT1631" s="1"/>
      <c r="PTU1631" s="1"/>
      <c r="PTV1631" s="1"/>
      <c r="PTW1631" s="1"/>
      <c r="PTX1631" s="1"/>
      <c r="PTY1631" s="1"/>
      <c r="PTZ1631" s="1"/>
      <c r="PUA1631" s="1"/>
      <c r="PUB1631" s="1"/>
      <c r="PUC1631" s="1"/>
      <c r="PUD1631" s="1"/>
      <c r="PUE1631" s="1"/>
      <c r="PUF1631" s="1"/>
      <c r="PUG1631" s="1"/>
      <c r="PUH1631" s="1"/>
      <c r="PUI1631" s="1"/>
      <c r="PUJ1631" s="1"/>
      <c r="PUK1631" s="1"/>
      <c r="PUL1631" s="1"/>
      <c r="PUM1631" s="1"/>
      <c r="PUN1631" s="1"/>
      <c r="PUO1631" s="1"/>
      <c r="PUP1631" s="1"/>
      <c r="PUQ1631" s="1"/>
      <c r="PUR1631" s="1"/>
      <c r="PUS1631" s="1"/>
      <c r="PUT1631" s="1"/>
      <c r="PUU1631" s="1"/>
      <c r="PUV1631" s="1"/>
      <c r="PUW1631" s="1"/>
      <c r="PUX1631" s="1"/>
      <c r="PUY1631" s="1"/>
      <c r="PUZ1631" s="1"/>
      <c r="PVA1631" s="1"/>
      <c r="PVB1631" s="1"/>
      <c r="PVC1631" s="1"/>
      <c r="PVD1631" s="1"/>
      <c r="PVE1631" s="1"/>
      <c r="PVF1631" s="1"/>
      <c r="PVG1631" s="1"/>
      <c r="PVH1631" s="1"/>
      <c r="PVI1631" s="1"/>
      <c r="PVJ1631" s="1"/>
      <c r="PVK1631" s="1"/>
      <c r="PVL1631" s="1"/>
      <c r="PVM1631" s="1"/>
      <c r="PVN1631" s="1"/>
      <c r="PVO1631" s="1"/>
      <c r="PVP1631" s="1"/>
      <c r="PVQ1631" s="1"/>
      <c r="PVR1631" s="1"/>
      <c r="PVS1631" s="1"/>
      <c r="PVT1631" s="1"/>
      <c r="PVU1631" s="1"/>
      <c r="PVV1631" s="1"/>
      <c r="PVW1631" s="1"/>
      <c r="PVX1631" s="1"/>
      <c r="PVY1631" s="1"/>
      <c r="PVZ1631" s="1"/>
      <c r="PWA1631" s="1"/>
      <c r="PWB1631" s="1"/>
      <c r="PWC1631" s="1"/>
      <c r="PWD1631" s="1"/>
      <c r="PWE1631" s="1"/>
      <c r="PWF1631" s="1"/>
      <c r="PWG1631" s="1"/>
      <c r="PWH1631" s="1"/>
      <c r="PWI1631" s="1"/>
      <c r="PWJ1631" s="1"/>
      <c r="PWK1631" s="1"/>
      <c r="PWL1631" s="1"/>
      <c r="PWM1631" s="1"/>
      <c r="PWN1631" s="1"/>
      <c r="PWO1631" s="1"/>
      <c r="PWP1631" s="1"/>
      <c r="PWQ1631" s="1"/>
      <c r="PWR1631" s="1"/>
      <c r="PWS1631" s="1"/>
      <c r="PWT1631" s="1"/>
      <c r="PWU1631" s="1"/>
      <c r="PWV1631" s="1"/>
      <c r="PWW1631" s="1"/>
      <c r="PWX1631" s="1"/>
      <c r="PWY1631" s="1"/>
      <c r="PWZ1631" s="1"/>
      <c r="PXA1631" s="1"/>
      <c r="PXB1631" s="1"/>
      <c r="PXC1631" s="1"/>
      <c r="PXD1631" s="1"/>
      <c r="PXE1631" s="1"/>
      <c r="PXF1631" s="1"/>
      <c r="PXG1631" s="1"/>
      <c r="PXH1631" s="1"/>
      <c r="PXI1631" s="1"/>
      <c r="PXJ1631" s="1"/>
      <c r="PXK1631" s="1"/>
      <c r="PXL1631" s="1"/>
      <c r="PXM1631" s="1"/>
      <c r="PXN1631" s="1"/>
      <c r="PXO1631" s="1"/>
      <c r="PXP1631" s="1"/>
      <c r="PXQ1631" s="1"/>
      <c r="PXR1631" s="1"/>
      <c r="PXS1631" s="1"/>
      <c r="PXT1631" s="1"/>
      <c r="PXU1631" s="1"/>
      <c r="PXV1631" s="1"/>
      <c r="PXW1631" s="1"/>
      <c r="PXX1631" s="1"/>
      <c r="PXY1631" s="1"/>
      <c r="PXZ1631" s="1"/>
      <c r="PYA1631" s="1"/>
      <c r="PYB1631" s="1"/>
      <c r="PYC1631" s="1"/>
      <c r="PYD1631" s="1"/>
      <c r="PYE1631" s="1"/>
      <c r="PYF1631" s="1"/>
      <c r="PYG1631" s="1"/>
      <c r="PYH1631" s="1"/>
      <c r="PYI1631" s="1"/>
      <c r="PYJ1631" s="1"/>
      <c r="PYK1631" s="1"/>
      <c r="PYL1631" s="1"/>
      <c r="PYM1631" s="1"/>
      <c r="PYN1631" s="1"/>
      <c r="PYO1631" s="1"/>
      <c r="PYP1631" s="1"/>
      <c r="PYQ1631" s="1"/>
      <c r="PYR1631" s="1"/>
      <c r="PYS1631" s="1"/>
      <c r="PYT1631" s="1"/>
      <c r="PYU1631" s="1"/>
      <c r="PYV1631" s="1"/>
      <c r="PYW1631" s="1"/>
      <c r="PYX1631" s="1"/>
      <c r="PYY1631" s="1"/>
      <c r="PYZ1631" s="1"/>
      <c r="PZA1631" s="1"/>
      <c r="PZB1631" s="1"/>
      <c r="PZC1631" s="1"/>
      <c r="PZD1631" s="1"/>
      <c r="PZE1631" s="1"/>
      <c r="PZF1631" s="1"/>
      <c r="PZG1631" s="1"/>
      <c r="PZH1631" s="1"/>
      <c r="PZI1631" s="1"/>
      <c r="PZJ1631" s="1"/>
      <c r="PZK1631" s="1"/>
      <c r="PZL1631" s="1"/>
      <c r="PZM1631" s="1"/>
      <c r="PZN1631" s="1"/>
      <c r="PZO1631" s="1"/>
      <c r="PZP1631" s="1"/>
      <c r="PZQ1631" s="1"/>
      <c r="PZR1631" s="1"/>
      <c r="PZS1631" s="1"/>
      <c r="PZT1631" s="1"/>
      <c r="PZU1631" s="1"/>
      <c r="PZV1631" s="1"/>
      <c r="PZW1631" s="1"/>
      <c r="PZX1631" s="1"/>
      <c r="PZY1631" s="1"/>
      <c r="PZZ1631" s="1"/>
      <c r="QAA1631" s="1"/>
      <c r="QAB1631" s="1"/>
      <c r="QAC1631" s="1"/>
      <c r="QAD1631" s="1"/>
      <c r="QAE1631" s="1"/>
      <c r="QAF1631" s="1"/>
      <c r="QAG1631" s="1"/>
      <c r="QAH1631" s="1"/>
      <c r="QAI1631" s="1"/>
      <c r="QAJ1631" s="1"/>
      <c r="QAK1631" s="1"/>
      <c r="QAL1631" s="1"/>
      <c r="QAM1631" s="1"/>
      <c r="QAN1631" s="1"/>
      <c r="QAO1631" s="1"/>
      <c r="QAP1631" s="1"/>
      <c r="QAQ1631" s="1"/>
      <c r="QAR1631" s="1"/>
      <c r="QAS1631" s="1"/>
      <c r="QAT1631" s="1"/>
      <c r="QAU1631" s="1"/>
      <c r="QAV1631" s="1"/>
      <c r="QAW1631" s="1"/>
      <c r="QAX1631" s="1"/>
      <c r="QAY1631" s="1"/>
      <c r="QAZ1631" s="1"/>
      <c r="QBA1631" s="1"/>
      <c r="QBB1631" s="1"/>
      <c r="QBC1631" s="1"/>
      <c r="QBD1631" s="1"/>
      <c r="QBE1631" s="1"/>
      <c r="QBF1631" s="1"/>
      <c r="QBG1631" s="1"/>
      <c r="QBH1631" s="1"/>
      <c r="QBI1631" s="1"/>
      <c r="QBJ1631" s="1"/>
      <c r="QBK1631" s="1"/>
      <c r="QBL1631" s="1"/>
      <c r="QBM1631" s="1"/>
      <c r="QBN1631" s="1"/>
      <c r="QBO1631" s="1"/>
      <c r="QBP1631" s="1"/>
      <c r="QBQ1631" s="1"/>
      <c r="QBR1631" s="1"/>
      <c r="QBS1631" s="1"/>
      <c r="QBT1631" s="1"/>
      <c r="QBU1631" s="1"/>
      <c r="QBV1631" s="1"/>
      <c r="QBW1631" s="1"/>
      <c r="QBX1631" s="1"/>
      <c r="QBY1631" s="1"/>
      <c r="QBZ1631" s="1"/>
      <c r="QCA1631" s="1"/>
      <c r="QCB1631" s="1"/>
      <c r="QCC1631" s="1"/>
      <c r="QCD1631" s="1"/>
      <c r="QCE1631" s="1"/>
      <c r="QCF1631" s="1"/>
      <c r="QCG1631" s="1"/>
      <c r="QCH1631" s="1"/>
      <c r="QCI1631" s="1"/>
      <c r="QCJ1631" s="1"/>
      <c r="QCK1631" s="1"/>
      <c r="QCL1631" s="1"/>
      <c r="QCM1631" s="1"/>
      <c r="QCN1631" s="1"/>
      <c r="QCO1631" s="1"/>
      <c r="QCP1631" s="1"/>
      <c r="QCQ1631" s="1"/>
      <c r="QCR1631" s="1"/>
      <c r="QCS1631" s="1"/>
      <c r="QCT1631" s="1"/>
      <c r="QCU1631" s="1"/>
      <c r="QCV1631" s="1"/>
      <c r="QCW1631" s="1"/>
      <c r="QCX1631" s="1"/>
      <c r="QCY1631" s="1"/>
      <c r="QCZ1631" s="1"/>
      <c r="QDA1631" s="1"/>
      <c r="QDB1631" s="1"/>
      <c r="QDC1631" s="1"/>
      <c r="QDD1631" s="1"/>
      <c r="QDE1631" s="1"/>
      <c r="QDF1631" s="1"/>
      <c r="QDG1631" s="1"/>
      <c r="QDH1631" s="1"/>
      <c r="QDI1631" s="1"/>
      <c r="QDJ1631" s="1"/>
      <c r="QDK1631" s="1"/>
      <c r="QDL1631" s="1"/>
      <c r="QDM1631" s="1"/>
      <c r="QDN1631" s="1"/>
      <c r="QDO1631" s="1"/>
      <c r="QDP1631" s="1"/>
      <c r="QDQ1631" s="1"/>
      <c r="QDR1631" s="1"/>
      <c r="QDS1631" s="1"/>
      <c r="QDT1631" s="1"/>
      <c r="QDU1631" s="1"/>
      <c r="QDV1631" s="1"/>
      <c r="QDW1631" s="1"/>
      <c r="QDX1631" s="1"/>
      <c r="QDY1631" s="1"/>
      <c r="QDZ1631" s="1"/>
      <c r="QEA1631" s="1"/>
      <c r="QEB1631" s="1"/>
      <c r="QEC1631" s="1"/>
      <c r="QED1631" s="1"/>
      <c r="QEE1631" s="1"/>
      <c r="QEF1631" s="1"/>
      <c r="QEG1631" s="1"/>
      <c r="QEH1631" s="1"/>
      <c r="QEI1631" s="1"/>
      <c r="QEJ1631" s="1"/>
      <c r="QEK1631" s="1"/>
      <c r="QEL1631" s="1"/>
      <c r="QEM1631" s="1"/>
      <c r="QEN1631" s="1"/>
      <c r="QEO1631" s="1"/>
      <c r="QEP1631" s="1"/>
      <c r="QEQ1631" s="1"/>
      <c r="QER1631" s="1"/>
      <c r="QES1631" s="1"/>
      <c r="QET1631" s="1"/>
      <c r="QEU1631" s="1"/>
      <c r="QEV1631" s="1"/>
      <c r="QEW1631" s="1"/>
      <c r="QEX1631" s="1"/>
      <c r="QEY1631" s="1"/>
      <c r="QEZ1631" s="1"/>
      <c r="QFA1631" s="1"/>
      <c r="QFB1631" s="1"/>
      <c r="QFC1631" s="1"/>
      <c r="QFD1631" s="1"/>
      <c r="QFE1631" s="1"/>
      <c r="QFF1631" s="1"/>
      <c r="QFG1631" s="1"/>
      <c r="QFH1631" s="1"/>
      <c r="QFI1631" s="1"/>
      <c r="QFJ1631" s="1"/>
      <c r="QFK1631" s="1"/>
      <c r="QFL1631" s="1"/>
      <c r="QFM1631" s="1"/>
      <c r="QFN1631" s="1"/>
      <c r="QFO1631" s="1"/>
      <c r="QFP1631" s="1"/>
      <c r="QFQ1631" s="1"/>
      <c r="QFR1631" s="1"/>
      <c r="QFS1631" s="1"/>
      <c r="QFT1631" s="1"/>
      <c r="QFU1631" s="1"/>
      <c r="QFV1631" s="1"/>
      <c r="QFW1631" s="1"/>
      <c r="QFX1631" s="1"/>
      <c r="QFY1631" s="1"/>
      <c r="QFZ1631" s="1"/>
      <c r="QGA1631" s="1"/>
      <c r="QGB1631" s="1"/>
      <c r="QGC1631" s="1"/>
      <c r="QGD1631" s="1"/>
      <c r="QGE1631" s="1"/>
      <c r="QGF1631" s="1"/>
      <c r="QGG1631" s="1"/>
      <c r="QGH1631" s="1"/>
      <c r="QGI1631" s="1"/>
      <c r="QGJ1631" s="1"/>
      <c r="QGK1631" s="1"/>
      <c r="QGL1631" s="1"/>
      <c r="QGM1631" s="1"/>
      <c r="QGN1631" s="1"/>
      <c r="QGO1631" s="1"/>
      <c r="QGP1631" s="1"/>
      <c r="QGQ1631" s="1"/>
      <c r="QGR1631" s="1"/>
      <c r="QGS1631" s="1"/>
      <c r="QGT1631" s="1"/>
      <c r="QGU1631" s="1"/>
      <c r="QGV1631" s="1"/>
      <c r="QGW1631" s="1"/>
      <c r="QGX1631" s="1"/>
      <c r="QGY1631" s="1"/>
      <c r="QGZ1631" s="1"/>
      <c r="QHA1631" s="1"/>
      <c r="QHB1631" s="1"/>
      <c r="QHC1631" s="1"/>
      <c r="QHD1631" s="1"/>
      <c r="QHE1631" s="1"/>
      <c r="QHF1631" s="1"/>
      <c r="QHG1631" s="1"/>
      <c r="QHH1631" s="1"/>
      <c r="QHI1631" s="1"/>
      <c r="QHJ1631" s="1"/>
      <c r="QHK1631" s="1"/>
      <c r="QHL1631" s="1"/>
      <c r="QHM1631" s="1"/>
      <c r="QHN1631" s="1"/>
      <c r="QHO1631" s="1"/>
      <c r="QHP1631" s="1"/>
      <c r="QHQ1631" s="1"/>
      <c r="QHR1631" s="1"/>
      <c r="QHS1631" s="1"/>
      <c r="QHT1631" s="1"/>
      <c r="QHU1631" s="1"/>
      <c r="QHV1631" s="1"/>
      <c r="QHW1631" s="1"/>
      <c r="QHX1631" s="1"/>
      <c r="QHY1631" s="1"/>
      <c r="QHZ1631" s="1"/>
      <c r="QIA1631" s="1"/>
      <c r="QIB1631" s="1"/>
      <c r="QIC1631" s="1"/>
      <c r="QID1631" s="1"/>
      <c r="QIE1631" s="1"/>
      <c r="QIF1631" s="1"/>
      <c r="QIG1631" s="1"/>
      <c r="QIH1631" s="1"/>
      <c r="QII1631" s="1"/>
      <c r="QIJ1631" s="1"/>
      <c r="QIK1631" s="1"/>
      <c r="QIL1631" s="1"/>
      <c r="QIM1631" s="1"/>
      <c r="QIN1631" s="1"/>
      <c r="QIO1631" s="1"/>
      <c r="QIP1631" s="1"/>
      <c r="QIQ1631" s="1"/>
      <c r="QIR1631" s="1"/>
      <c r="QIS1631" s="1"/>
      <c r="QIT1631" s="1"/>
      <c r="QIU1631" s="1"/>
      <c r="QIV1631" s="1"/>
      <c r="QIW1631" s="1"/>
      <c r="QIX1631" s="1"/>
      <c r="QIY1631" s="1"/>
      <c r="QIZ1631" s="1"/>
      <c r="QJA1631" s="1"/>
      <c r="QJB1631" s="1"/>
      <c r="QJC1631" s="1"/>
      <c r="QJD1631" s="1"/>
      <c r="QJE1631" s="1"/>
      <c r="QJF1631" s="1"/>
      <c r="QJG1631" s="1"/>
      <c r="QJH1631" s="1"/>
      <c r="QJI1631" s="1"/>
      <c r="QJJ1631" s="1"/>
      <c r="QJK1631" s="1"/>
      <c r="QJL1631" s="1"/>
      <c r="QJM1631" s="1"/>
      <c r="QJN1631" s="1"/>
      <c r="QJO1631" s="1"/>
      <c r="QJP1631" s="1"/>
      <c r="QJQ1631" s="1"/>
      <c r="QJR1631" s="1"/>
      <c r="QJS1631" s="1"/>
      <c r="QJT1631" s="1"/>
      <c r="QJU1631" s="1"/>
      <c r="QJV1631" s="1"/>
      <c r="QJW1631" s="1"/>
      <c r="QJX1631" s="1"/>
      <c r="QJY1631" s="1"/>
      <c r="QJZ1631" s="1"/>
      <c r="QKA1631" s="1"/>
      <c r="QKB1631" s="1"/>
      <c r="QKC1631" s="1"/>
      <c r="QKD1631" s="1"/>
      <c r="QKE1631" s="1"/>
      <c r="QKF1631" s="1"/>
      <c r="QKG1631" s="1"/>
      <c r="QKH1631" s="1"/>
      <c r="QKI1631" s="1"/>
      <c r="QKJ1631" s="1"/>
      <c r="QKK1631" s="1"/>
      <c r="QKL1631" s="1"/>
      <c r="QKM1631" s="1"/>
      <c r="QKN1631" s="1"/>
      <c r="QKO1631" s="1"/>
      <c r="QKP1631" s="1"/>
      <c r="QKQ1631" s="1"/>
      <c r="QKR1631" s="1"/>
      <c r="QKS1631" s="1"/>
      <c r="QKT1631" s="1"/>
      <c r="QKU1631" s="1"/>
      <c r="QKV1631" s="1"/>
      <c r="QKW1631" s="1"/>
      <c r="QKX1631" s="1"/>
      <c r="QKY1631" s="1"/>
      <c r="QKZ1631" s="1"/>
      <c r="QLA1631" s="1"/>
      <c r="QLB1631" s="1"/>
      <c r="QLC1631" s="1"/>
      <c r="QLD1631" s="1"/>
      <c r="QLE1631" s="1"/>
      <c r="QLF1631" s="1"/>
      <c r="QLG1631" s="1"/>
      <c r="QLH1631" s="1"/>
      <c r="QLI1631" s="1"/>
      <c r="QLJ1631" s="1"/>
      <c r="QLK1631" s="1"/>
      <c r="QLL1631" s="1"/>
      <c r="QLM1631" s="1"/>
      <c r="QLN1631" s="1"/>
      <c r="QLO1631" s="1"/>
      <c r="QLP1631" s="1"/>
      <c r="QLQ1631" s="1"/>
      <c r="QLR1631" s="1"/>
      <c r="QLS1631" s="1"/>
      <c r="QLT1631" s="1"/>
      <c r="QLU1631" s="1"/>
      <c r="QLV1631" s="1"/>
      <c r="QLW1631" s="1"/>
      <c r="QLX1631" s="1"/>
      <c r="QLY1631" s="1"/>
      <c r="QLZ1631" s="1"/>
      <c r="QMA1631" s="1"/>
      <c r="QMB1631" s="1"/>
      <c r="QMC1631" s="1"/>
      <c r="QMD1631" s="1"/>
      <c r="QME1631" s="1"/>
      <c r="QMF1631" s="1"/>
      <c r="QMG1631" s="1"/>
      <c r="QMH1631" s="1"/>
      <c r="QMI1631" s="1"/>
      <c r="QMJ1631" s="1"/>
      <c r="QMK1631" s="1"/>
      <c r="QML1631" s="1"/>
      <c r="QMM1631" s="1"/>
      <c r="QMN1631" s="1"/>
      <c r="QMO1631" s="1"/>
      <c r="QMP1631" s="1"/>
      <c r="QMQ1631" s="1"/>
      <c r="QMR1631" s="1"/>
      <c r="QMS1631" s="1"/>
      <c r="QMT1631" s="1"/>
      <c r="QMU1631" s="1"/>
      <c r="QMV1631" s="1"/>
      <c r="QMW1631" s="1"/>
      <c r="QMX1631" s="1"/>
      <c r="QMY1631" s="1"/>
      <c r="QMZ1631" s="1"/>
      <c r="QNA1631" s="1"/>
      <c r="QNB1631" s="1"/>
      <c r="QNC1631" s="1"/>
      <c r="QND1631" s="1"/>
      <c r="QNE1631" s="1"/>
      <c r="QNF1631" s="1"/>
      <c r="QNG1631" s="1"/>
      <c r="QNH1631" s="1"/>
      <c r="QNI1631" s="1"/>
      <c r="QNJ1631" s="1"/>
      <c r="QNK1631" s="1"/>
      <c r="QNL1631" s="1"/>
      <c r="QNM1631" s="1"/>
      <c r="QNN1631" s="1"/>
      <c r="QNO1631" s="1"/>
      <c r="QNP1631" s="1"/>
      <c r="QNQ1631" s="1"/>
      <c r="QNR1631" s="1"/>
      <c r="QNS1631" s="1"/>
      <c r="QNT1631" s="1"/>
      <c r="QNU1631" s="1"/>
      <c r="QNV1631" s="1"/>
      <c r="QNW1631" s="1"/>
      <c r="QNX1631" s="1"/>
      <c r="QNY1631" s="1"/>
      <c r="QNZ1631" s="1"/>
      <c r="QOA1631" s="1"/>
      <c r="QOB1631" s="1"/>
      <c r="QOC1631" s="1"/>
      <c r="QOD1631" s="1"/>
      <c r="QOE1631" s="1"/>
      <c r="QOF1631" s="1"/>
      <c r="QOG1631" s="1"/>
      <c r="QOH1631" s="1"/>
      <c r="QOI1631" s="1"/>
      <c r="QOJ1631" s="1"/>
      <c r="QOK1631" s="1"/>
      <c r="QOL1631" s="1"/>
      <c r="QOM1631" s="1"/>
      <c r="QON1631" s="1"/>
      <c r="QOO1631" s="1"/>
      <c r="QOP1631" s="1"/>
      <c r="QOQ1631" s="1"/>
      <c r="QOR1631" s="1"/>
      <c r="QOS1631" s="1"/>
      <c r="QOT1631" s="1"/>
      <c r="QOU1631" s="1"/>
      <c r="QOV1631" s="1"/>
      <c r="QOW1631" s="1"/>
      <c r="QOX1631" s="1"/>
      <c r="QOY1631" s="1"/>
      <c r="QOZ1631" s="1"/>
      <c r="QPA1631" s="1"/>
      <c r="QPB1631" s="1"/>
      <c r="QPC1631" s="1"/>
      <c r="QPD1631" s="1"/>
      <c r="QPE1631" s="1"/>
      <c r="QPF1631" s="1"/>
      <c r="QPG1631" s="1"/>
      <c r="QPH1631" s="1"/>
      <c r="QPI1631" s="1"/>
      <c r="QPJ1631" s="1"/>
      <c r="QPK1631" s="1"/>
      <c r="QPL1631" s="1"/>
      <c r="QPM1631" s="1"/>
      <c r="QPN1631" s="1"/>
      <c r="QPO1631" s="1"/>
      <c r="QPP1631" s="1"/>
      <c r="QPQ1631" s="1"/>
      <c r="QPR1631" s="1"/>
      <c r="QPS1631" s="1"/>
      <c r="QPT1631" s="1"/>
      <c r="QPU1631" s="1"/>
      <c r="QPV1631" s="1"/>
      <c r="QPW1631" s="1"/>
      <c r="QPX1631" s="1"/>
      <c r="QPY1631" s="1"/>
      <c r="QPZ1631" s="1"/>
      <c r="QQA1631" s="1"/>
      <c r="QQB1631" s="1"/>
      <c r="QQC1631" s="1"/>
      <c r="QQD1631" s="1"/>
      <c r="QQE1631" s="1"/>
      <c r="QQF1631" s="1"/>
      <c r="QQG1631" s="1"/>
      <c r="QQH1631" s="1"/>
      <c r="QQI1631" s="1"/>
      <c r="QQJ1631" s="1"/>
      <c r="QQK1631" s="1"/>
      <c r="QQL1631" s="1"/>
      <c r="QQM1631" s="1"/>
      <c r="QQN1631" s="1"/>
      <c r="QQO1631" s="1"/>
      <c r="QQP1631" s="1"/>
      <c r="QQQ1631" s="1"/>
      <c r="QQR1631" s="1"/>
      <c r="QQS1631" s="1"/>
      <c r="QQT1631" s="1"/>
      <c r="QQU1631" s="1"/>
      <c r="QQV1631" s="1"/>
      <c r="QQW1631" s="1"/>
      <c r="QQX1631" s="1"/>
      <c r="QQY1631" s="1"/>
      <c r="QQZ1631" s="1"/>
      <c r="QRA1631" s="1"/>
      <c r="QRB1631" s="1"/>
      <c r="QRC1631" s="1"/>
      <c r="QRD1631" s="1"/>
      <c r="QRE1631" s="1"/>
      <c r="QRF1631" s="1"/>
      <c r="QRG1631" s="1"/>
      <c r="QRH1631" s="1"/>
      <c r="QRI1631" s="1"/>
      <c r="QRJ1631" s="1"/>
      <c r="QRK1631" s="1"/>
      <c r="QRL1631" s="1"/>
      <c r="QRM1631" s="1"/>
      <c r="QRN1631" s="1"/>
      <c r="QRO1631" s="1"/>
      <c r="QRP1631" s="1"/>
      <c r="QRQ1631" s="1"/>
      <c r="QRR1631" s="1"/>
      <c r="QRS1631" s="1"/>
      <c r="QRT1631" s="1"/>
      <c r="QRU1631" s="1"/>
      <c r="QRV1631" s="1"/>
      <c r="QRW1631" s="1"/>
      <c r="QRX1631" s="1"/>
      <c r="QRY1631" s="1"/>
      <c r="QRZ1631" s="1"/>
      <c r="QSA1631" s="1"/>
      <c r="QSB1631" s="1"/>
      <c r="QSC1631" s="1"/>
      <c r="QSD1631" s="1"/>
      <c r="QSE1631" s="1"/>
      <c r="QSF1631" s="1"/>
      <c r="QSG1631" s="1"/>
      <c r="QSH1631" s="1"/>
      <c r="QSI1631" s="1"/>
      <c r="QSJ1631" s="1"/>
      <c r="QSK1631" s="1"/>
      <c r="QSL1631" s="1"/>
      <c r="QSM1631" s="1"/>
      <c r="QSN1631" s="1"/>
      <c r="QSO1631" s="1"/>
      <c r="QSP1631" s="1"/>
      <c r="QSQ1631" s="1"/>
      <c r="QSR1631" s="1"/>
      <c r="QSS1631" s="1"/>
      <c r="QST1631" s="1"/>
      <c r="QSU1631" s="1"/>
      <c r="QSV1631" s="1"/>
      <c r="QSW1631" s="1"/>
      <c r="QSX1631" s="1"/>
      <c r="QSY1631" s="1"/>
      <c r="QSZ1631" s="1"/>
      <c r="QTA1631" s="1"/>
      <c r="QTB1631" s="1"/>
      <c r="QTC1631" s="1"/>
      <c r="QTD1631" s="1"/>
      <c r="QTE1631" s="1"/>
      <c r="QTF1631" s="1"/>
      <c r="QTG1631" s="1"/>
      <c r="QTH1631" s="1"/>
      <c r="QTI1631" s="1"/>
      <c r="QTJ1631" s="1"/>
      <c r="QTK1631" s="1"/>
      <c r="QTL1631" s="1"/>
      <c r="QTM1631" s="1"/>
      <c r="QTN1631" s="1"/>
      <c r="QTO1631" s="1"/>
      <c r="QTP1631" s="1"/>
      <c r="QTQ1631" s="1"/>
      <c r="QTR1631" s="1"/>
      <c r="QTS1631" s="1"/>
      <c r="QTT1631" s="1"/>
      <c r="QTU1631" s="1"/>
      <c r="QTV1631" s="1"/>
      <c r="QTW1631" s="1"/>
      <c r="QTX1631" s="1"/>
      <c r="QTY1631" s="1"/>
      <c r="QTZ1631" s="1"/>
      <c r="QUA1631" s="1"/>
      <c r="QUB1631" s="1"/>
      <c r="QUC1631" s="1"/>
      <c r="QUD1631" s="1"/>
      <c r="QUE1631" s="1"/>
      <c r="QUF1631" s="1"/>
      <c r="QUG1631" s="1"/>
      <c r="QUH1631" s="1"/>
      <c r="QUI1631" s="1"/>
      <c r="QUJ1631" s="1"/>
      <c r="QUK1631" s="1"/>
      <c r="QUL1631" s="1"/>
      <c r="QUM1631" s="1"/>
      <c r="QUN1631" s="1"/>
      <c r="QUO1631" s="1"/>
      <c r="QUP1631" s="1"/>
      <c r="QUQ1631" s="1"/>
      <c r="QUR1631" s="1"/>
      <c r="QUS1631" s="1"/>
      <c r="QUT1631" s="1"/>
      <c r="QUU1631" s="1"/>
      <c r="QUV1631" s="1"/>
      <c r="QUW1631" s="1"/>
      <c r="QUX1631" s="1"/>
      <c r="QUY1631" s="1"/>
      <c r="QUZ1631" s="1"/>
      <c r="QVA1631" s="1"/>
      <c r="QVB1631" s="1"/>
      <c r="QVC1631" s="1"/>
      <c r="QVD1631" s="1"/>
      <c r="QVE1631" s="1"/>
      <c r="QVF1631" s="1"/>
      <c r="QVG1631" s="1"/>
      <c r="QVH1631" s="1"/>
      <c r="QVI1631" s="1"/>
      <c r="QVJ1631" s="1"/>
      <c r="QVK1631" s="1"/>
      <c r="QVL1631" s="1"/>
      <c r="QVM1631" s="1"/>
      <c r="QVN1631" s="1"/>
      <c r="QVO1631" s="1"/>
      <c r="QVP1631" s="1"/>
      <c r="QVQ1631" s="1"/>
      <c r="QVR1631" s="1"/>
      <c r="QVS1631" s="1"/>
      <c r="QVT1631" s="1"/>
      <c r="QVU1631" s="1"/>
      <c r="QVV1631" s="1"/>
      <c r="QVW1631" s="1"/>
      <c r="QVX1631" s="1"/>
      <c r="QVY1631" s="1"/>
      <c r="QVZ1631" s="1"/>
      <c r="QWA1631" s="1"/>
      <c r="QWB1631" s="1"/>
      <c r="QWC1631" s="1"/>
      <c r="QWD1631" s="1"/>
      <c r="QWE1631" s="1"/>
      <c r="QWF1631" s="1"/>
      <c r="QWG1631" s="1"/>
      <c r="QWH1631" s="1"/>
      <c r="QWI1631" s="1"/>
      <c r="QWJ1631" s="1"/>
      <c r="QWK1631" s="1"/>
      <c r="QWL1631" s="1"/>
      <c r="QWM1631" s="1"/>
      <c r="QWN1631" s="1"/>
      <c r="QWO1631" s="1"/>
      <c r="QWP1631" s="1"/>
      <c r="QWQ1631" s="1"/>
      <c r="QWR1631" s="1"/>
      <c r="QWS1631" s="1"/>
      <c r="QWT1631" s="1"/>
      <c r="QWU1631" s="1"/>
      <c r="QWV1631" s="1"/>
      <c r="QWW1631" s="1"/>
      <c r="QWX1631" s="1"/>
      <c r="QWY1631" s="1"/>
      <c r="QWZ1631" s="1"/>
      <c r="QXA1631" s="1"/>
      <c r="QXB1631" s="1"/>
      <c r="QXC1631" s="1"/>
      <c r="QXD1631" s="1"/>
      <c r="QXE1631" s="1"/>
      <c r="QXF1631" s="1"/>
      <c r="QXG1631" s="1"/>
      <c r="QXH1631" s="1"/>
      <c r="QXI1631" s="1"/>
      <c r="QXJ1631" s="1"/>
      <c r="QXK1631" s="1"/>
      <c r="QXL1631" s="1"/>
      <c r="QXM1631" s="1"/>
      <c r="QXN1631" s="1"/>
      <c r="QXO1631" s="1"/>
      <c r="QXP1631" s="1"/>
      <c r="QXQ1631" s="1"/>
      <c r="QXR1631" s="1"/>
      <c r="QXS1631" s="1"/>
      <c r="QXT1631" s="1"/>
      <c r="QXU1631" s="1"/>
      <c r="QXV1631" s="1"/>
      <c r="QXW1631" s="1"/>
      <c r="QXX1631" s="1"/>
      <c r="QXY1631" s="1"/>
      <c r="QXZ1631" s="1"/>
      <c r="QYA1631" s="1"/>
      <c r="QYB1631" s="1"/>
      <c r="QYC1631" s="1"/>
      <c r="QYD1631" s="1"/>
      <c r="QYE1631" s="1"/>
      <c r="QYF1631" s="1"/>
      <c r="QYG1631" s="1"/>
      <c r="QYH1631" s="1"/>
      <c r="QYI1631" s="1"/>
      <c r="QYJ1631" s="1"/>
      <c r="QYK1631" s="1"/>
      <c r="QYL1631" s="1"/>
      <c r="QYM1631" s="1"/>
      <c r="QYN1631" s="1"/>
      <c r="QYO1631" s="1"/>
      <c r="QYP1631" s="1"/>
      <c r="QYQ1631" s="1"/>
      <c r="QYR1631" s="1"/>
      <c r="QYS1631" s="1"/>
      <c r="QYT1631" s="1"/>
      <c r="QYU1631" s="1"/>
      <c r="QYV1631" s="1"/>
      <c r="QYW1631" s="1"/>
      <c r="QYX1631" s="1"/>
      <c r="QYY1631" s="1"/>
      <c r="QYZ1631" s="1"/>
      <c r="QZA1631" s="1"/>
      <c r="QZB1631" s="1"/>
      <c r="QZC1631" s="1"/>
      <c r="QZD1631" s="1"/>
      <c r="QZE1631" s="1"/>
      <c r="QZF1631" s="1"/>
      <c r="QZG1631" s="1"/>
      <c r="QZH1631" s="1"/>
      <c r="QZI1631" s="1"/>
      <c r="QZJ1631" s="1"/>
      <c r="QZK1631" s="1"/>
      <c r="QZL1631" s="1"/>
      <c r="QZM1631" s="1"/>
      <c r="QZN1631" s="1"/>
      <c r="QZO1631" s="1"/>
      <c r="QZP1631" s="1"/>
      <c r="QZQ1631" s="1"/>
      <c r="QZR1631" s="1"/>
      <c r="QZS1631" s="1"/>
      <c r="QZT1631" s="1"/>
      <c r="QZU1631" s="1"/>
      <c r="QZV1631" s="1"/>
      <c r="QZW1631" s="1"/>
      <c r="QZX1631" s="1"/>
      <c r="QZY1631" s="1"/>
      <c r="QZZ1631" s="1"/>
      <c r="RAA1631" s="1"/>
      <c r="RAB1631" s="1"/>
      <c r="RAC1631" s="1"/>
      <c r="RAD1631" s="1"/>
      <c r="RAE1631" s="1"/>
      <c r="RAF1631" s="1"/>
      <c r="RAG1631" s="1"/>
      <c r="RAH1631" s="1"/>
      <c r="RAI1631" s="1"/>
      <c r="RAJ1631" s="1"/>
      <c r="RAK1631" s="1"/>
      <c r="RAL1631" s="1"/>
      <c r="RAM1631" s="1"/>
      <c r="RAN1631" s="1"/>
      <c r="RAO1631" s="1"/>
      <c r="RAP1631" s="1"/>
      <c r="RAQ1631" s="1"/>
      <c r="RAR1631" s="1"/>
      <c r="RAS1631" s="1"/>
      <c r="RAT1631" s="1"/>
      <c r="RAU1631" s="1"/>
      <c r="RAV1631" s="1"/>
      <c r="RAW1631" s="1"/>
      <c r="RAX1631" s="1"/>
      <c r="RAY1631" s="1"/>
      <c r="RAZ1631" s="1"/>
      <c r="RBA1631" s="1"/>
      <c r="RBB1631" s="1"/>
      <c r="RBC1631" s="1"/>
      <c r="RBD1631" s="1"/>
      <c r="RBE1631" s="1"/>
      <c r="RBF1631" s="1"/>
      <c r="RBG1631" s="1"/>
      <c r="RBH1631" s="1"/>
      <c r="RBI1631" s="1"/>
      <c r="RBJ1631" s="1"/>
      <c r="RBK1631" s="1"/>
      <c r="RBL1631" s="1"/>
      <c r="RBM1631" s="1"/>
      <c r="RBN1631" s="1"/>
      <c r="RBO1631" s="1"/>
      <c r="RBP1631" s="1"/>
      <c r="RBQ1631" s="1"/>
      <c r="RBR1631" s="1"/>
      <c r="RBS1631" s="1"/>
      <c r="RBT1631" s="1"/>
      <c r="RBU1631" s="1"/>
      <c r="RBV1631" s="1"/>
      <c r="RBW1631" s="1"/>
      <c r="RBX1631" s="1"/>
      <c r="RBY1631" s="1"/>
      <c r="RBZ1631" s="1"/>
      <c r="RCA1631" s="1"/>
      <c r="RCB1631" s="1"/>
      <c r="RCC1631" s="1"/>
      <c r="RCD1631" s="1"/>
      <c r="RCE1631" s="1"/>
      <c r="RCF1631" s="1"/>
      <c r="RCG1631" s="1"/>
      <c r="RCH1631" s="1"/>
      <c r="RCI1631" s="1"/>
      <c r="RCJ1631" s="1"/>
      <c r="RCK1631" s="1"/>
      <c r="RCL1631" s="1"/>
      <c r="RCM1631" s="1"/>
      <c r="RCN1631" s="1"/>
      <c r="RCO1631" s="1"/>
      <c r="RCP1631" s="1"/>
      <c r="RCQ1631" s="1"/>
      <c r="RCR1631" s="1"/>
      <c r="RCS1631" s="1"/>
      <c r="RCT1631" s="1"/>
      <c r="RCU1631" s="1"/>
      <c r="RCV1631" s="1"/>
      <c r="RCW1631" s="1"/>
      <c r="RCX1631" s="1"/>
      <c r="RCY1631" s="1"/>
      <c r="RCZ1631" s="1"/>
      <c r="RDA1631" s="1"/>
      <c r="RDB1631" s="1"/>
      <c r="RDC1631" s="1"/>
      <c r="RDD1631" s="1"/>
      <c r="RDE1631" s="1"/>
      <c r="RDF1631" s="1"/>
      <c r="RDG1631" s="1"/>
      <c r="RDH1631" s="1"/>
      <c r="RDI1631" s="1"/>
      <c r="RDJ1631" s="1"/>
      <c r="RDK1631" s="1"/>
      <c r="RDL1631" s="1"/>
      <c r="RDM1631" s="1"/>
      <c r="RDN1631" s="1"/>
      <c r="RDO1631" s="1"/>
      <c r="RDP1631" s="1"/>
      <c r="RDQ1631" s="1"/>
      <c r="RDR1631" s="1"/>
      <c r="RDS1631" s="1"/>
      <c r="RDT1631" s="1"/>
      <c r="RDU1631" s="1"/>
      <c r="RDV1631" s="1"/>
      <c r="RDW1631" s="1"/>
      <c r="RDX1631" s="1"/>
      <c r="RDY1631" s="1"/>
      <c r="RDZ1631" s="1"/>
      <c r="REA1631" s="1"/>
      <c r="REB1631" s="1"/>
      <c r="REC1631" s="1"/>
      <c r="RED1631" s="1"/>
      <c r="REE1631" s="1"/>
      <c r="REF1631" s="1"/>
      <c r="REG1631" s="1"/>
      <c r="REH1631" s="1"/>
      <c r="REI1631" s="1"/>
      <c r="REJ1631" s="1"/>
      <c r="REK1631" s="1"/>
      <c r="REL1631" s="1"/>
      <c r="REM1631" s="1"/>
      <c r="REN1631" s="1"/>
      <c r="REO1631" s="1"/>
      <c r="REP1631" s="1"/>
      <c r="REQ1631" s="1"/>
      <c r="RER1631" s="1"/>
      <c r="RES1631" s="1"/>
      <c r="RET1631" s="1"/>
      <c r="REU1631" s="1"/>
      <c r="REV1631" s="1"/>
      <c r="REW1631" s="1"/>
      <c r="REX1631" s="1"/>
      <c r="REY1631" s="1"/>
      <c r="REZ1631" s="1"/>
      <c r="RFA1631" s="1"/>
      <c r="RFB1631" s="1"/>
      <c r="RFC1631" s="1"/>
      <c r="RFD1631" s="1"/>
      <c r="RFE1631" s="1"/>
      <c r="RFF1631" s="1"/>
      <c r="RFG1631" s="1"/>
      <c r="RFH1631" s="1"/>
      <c r="RFI1631" s="1"/>
      <c r="RFJ1631" s="1"/>
      <c r="RFK1631" s="1"/>
      <c r="RFL1631" s="1"/>
      <c r="RFM1631" s="1"/>
      <c r="RFN1631" s="1"/>
      <c r="RFO1631" s="1"/>
      <c r="RFP1631" s="1"/>
      <c r="RFQ1631" s="1"/>
      <c r="RFR1631" s="1"/>
      <c r="RFS1631" s="1"/>
      <c r="RFT1631" s="1"/>
      <c r="RFU1631" s="1"/>
      <c r="RFV1631" s="1"/>
      <c r="RFW1631" s="1"/>
      <c r="RFX1631" s="1"/>
      <c r="RFY1631" s="1"/>
      <c r="RFZ1631" s="1"/>
      <c r="RGA1631" s="1"/>
      <c r="RGB1631" s="1"/>
      <c r="RGC1631" s="1"/>
      <c r="RGD1631" s="1"/>
      <c r="RGE1631" s="1"/>
      <c r="RGF1631" s="1"/>
      <c r="RGG1631" s="1"/>
      <c r="RGH1631" s="1"/>
      <c r="RGI1631" s="1"/>
      <c r="RGJ1631" s="1"/>
      <c r="RGK1631" s="1"/>
      <c r="RGL1631" s="1"/>
      <c r="RGM1631" s="1"/>
      <c r="RGN1631" s="1"/>
      <c r="RGO1631" s="1"/>
      <c r="RGP1631" s="1"/>
      <c r="RGQ1631" s="1"/>
      <c r="RGR1631" s="1"/>
      <c r="RGS1631" s="1"/>
      <c r="RGT1631" s="1"/>
      <c r="RGU1631" s="1"/>
      <c r="RGV1631" s="1"/>
      <c r="RGW1631" s="1"/>
      <c r="RGX1631" s="1"/>
      <c r="RGY1631" s="1"/>
      <c r="RGZ1631" s="1"/>
      <c r="RHA1631" s="1"/>
      <c r="RHB1631" s="1"/>
      <c r="RHC1631" s="1"/>
      <c r="RHD1631" s="1"/>
      <c r="RHE1631" s="1"/>
      <c r="RHF1631" s="1"/>
      <c r="RHG1631" s="1"/>
      <c r="RHH1631" s="1"/>
      <c r="RHI1631" s="1"/>
      <c r="RHJ1631" s="1"/>
      <c r="RHK1631" s="1"/>
      <c r="RHL1631" s="1"/>
      <c r="RHM1631" s="1"/>
      <c r="RHN1631" s="1"/>
      <c r="RHO1631" s="1"/>
      <c r="RHP1631" s="1"/>
      <c r="RHQ1631" s="1"/>
      <c r="RHR1631" s="1"/>
      <c r="RHS1631" s="1"/>
      <c r="RHT1631" s="1"/>
      <c r="RHU1631" s="1"/>
      <c r="RHV1631" s="1"/>
      <c r="RHW1631" s="1"/>
      <c r="RHX1631" s="1"/>
      <c r="RHY1631" s="1"/>
      <c r="RHZ1631" s="1"/>
      <c r="RIA1631" s="1"/>
      <c r="RIB1631" s="1"/>
      <c r="RIC1631" s="1"/>
      <c r="RID1631" s="1"/>
      <c r="RIE1631" s="1"/>
      <c r="RIF1631" s="1"/>
      <c r="RIG1631" s="1"/>
      <c r="RIH1631" s="1"/>
      <c r="RII1631" s="1"/>
      <c r="RIJ1631" s="1"/>
      <c r="RIK1631" s="1"/>
      <c r="RIL1631" s="1"/>
      <c r="RIM1631" s="1"/>
      <c r="RIN1631" s="1"/>
      <c r="RIO1631" s="1"/>
      <c r="RIP1631" s="1"/>
      <c r="RIQ1631" s="1"/>
      <c r="RIR1631" s="1"/>
      <c r="RIS1631" s="1"/>
      <c r="RIT1631" s="1"/>
      <c r="RIU1631" s="1"/>
      <c r="RIV1631" s="1"/>
      <c r="RIW1631" s="1"/>
      <c r="RIX1631" s="1"/>
      <c r="RIY1631" s="1"/>
      <c r="RIZ1631" s="1"/>
      <c r="RJA1631" s="1"/>
      <c r="RJB1631" s="1"/>
      <c r="RJC1631" s="1"/>
      <c r="RJD1631" s="1"/>
      <c r="RJE1631" s="1"/>
      <c r="RJF1631" s="1"/>
      <c r="RJG1631" s="1"/>
      <c r="RJH1631" s="1"/>
      <c r="RJI1631" s="1"/>
      <c r="RJJ1631" s="1"/>
      <c r="RJK1631" s="1"/>
      <c r="RJL1631" s="1"/>
      <c r="RJM1631" s="1"/>
      <c r="RJN1631" s="1"/>
      <c r="RJO1631" s="1"/>
      <c r="RJP1631" s="1"/>
      <c r="RJQ1631" s="1"/>
      <c r="RJR1631" s="1"/>
      <c r="RJS1631" s="1"/>
      <c r="RJT1631" s="1"/>
      <c r="RJU1631" s="1"/>
      <c r="RJV1631" s="1"/>
      <c r="RJW1631" s="1"/>
      <c r="RJX1631" s="1"/>
      <c r="RJY1631" s="1"/>
      <c r="RJZ1631" s="1"/>
      <c r="RKA1631" s="1"/>
      <c r="RKB1631" s="1"/>
      <c r="RKC1631" s="1"/>
      <c r="RKD1631" s="1"/>
      <c r="RKE1631" s="1"/>
      <c r="RKF1631" s="1"/>
      <c r="RKG1631" s="1"/>
      <c r="RKH1631" s="1"/>
      <c r="RKI1631" s="1"/>
      <c r="RKJ1631" s="1"/>
      <c r="RKK1631" s="1"/>
      <c r="RKL1631" s="1"/>
      <c r="RKM1631" s="1"/>
      <c r="RKN1631" s="1"/>
      <c r="RKO1631" s="1"/>
      <c r="RKP1631" s="1"/>
      <c r="RKQ1631" s="1"/>
      <c r="RKR1631" s="1"/>
      <c r="RKS1631" s="1"/>
      <c r="RKT1631" s="1"/>
      <c r="RKU1631" s="1"/>
      <c r="RKV1631" s="1"/>
      <c r="RKW1631" s="1"/>
      <c r="RKX1631" s="1"/>
      <c r="RKY1631" s="1"/>
      <c r="RKZ1631" s="1"/>
      <c r="RLA1631" s="1"/>
      <c r="RLB1631" s="1"/>
      <c r="RLC1631" s="1"/>
      <c r="RLD1631" s="1"/>
      <c r="RLE1631" s="1"/>
      <c r="RLF1631" s="1"/>
      <c r="RLG1631" s="1"/>
      <c r="RLH1631" s="1"/>
      <c r="RLI1631" s="1"/>
      <c r="RLJ1631" s="1"/>
      <c r="RLK1631" s="1"/>
      <c r="RLL1631" s="1"/>
      <c r="RLM1631" s="1"/>
      <c r="RLN1631" s="1"/>
      <c r="RLO1631" s="1"/>
      <c r="RLP1631" s="1"/>
      <c r="RLQ1631" s="1"/>
      <c r="RLR1631" s="1"/>
      <c r="RLS1631" s="1"/>
      <c r="RLT1631" s="1"/>
      <c r="RLU1631" s="1"/>
      <c r="RLV1631" s="1"/>
      <c r="RLW1631" s="1"/>
      <c r="RLX1631" s="1"/>
      <c r="RLY1631" s="1"/>
      <c r="RLZ1631" s="1"/>
      <c r="RMA1631" s="1"/>
      <c r="RMB1631" s="1"/>
      <c r="RMC1631" s="1"/>
      <c r="RMD1631" s="1"/>
      <c r="RME1631" s="1"/>
      <c r="RMF1631" s="1"/>
      <c r="RMG1631" s="1"/>
      <c r="RMH1631" s="1"/>
      <c r="RMI1631" s="1"/>
      <c r="RMJ1631" s="1"/>
      <c r="RMK1631" s="1"/>
      <c r="RML1631" s="1"/>
      <c r="RMM1631" s="1"/>
      <c r="RMN1631" s="1"/>
      <c r="RMO1631" s="1"/>
      <c r="RMP1631" s="1"/>
      <c r="RMQ1631" s="1"/>
      <c r="RMR1631" s="1"/>
      <c r="RMS1631" s="1"/>
      <c r="RMT1631" s="1"/>
      <c r="RMU1631" s="1"/>
      <c r="RMV1631" s="1"/>
      <c r="RMW1631" s="1"/>
      <c r="RMX1631" s="1"/>
      <c r="RMY1631" s="1"/>
      <c r="RMZ1631" s="1"/>
      <c r="RNA1631" s="1"/>
      <c r="RNB1631" s="1"/>
      <c r="RNC1631" s="1"/>
      <c r="RND1631" s="1"/>
      <c r="RNE1631" s="1"/>
      <c r="RNF1631" s="1"/>
      <c r="RNG1631" s="1"/>
      <c r="RNH1631" s="1"/>
      <c r="RNI1631" s="1"/>
      <c r="RNJ1631" s="1"/>
      <c r="RNK1631" s="1"/>
      <c r="RNL1631" s="1"/>
      <c r="RNM1631" s="1"/>
      <c r="RNN1631" s="1"/>
      <c r="RNO1631" s="1"/>
      <c r="RNP1631" s="1"/>
      <c r="RNQ1631" s="1"/>
      <c r="RNR1631" s="1"/>
      <c r="RNS1631" s="1"/>
      <c r="RNT1631" s="1"/>
      <c r="RNU1631" s="1"/>
      <c r="RNV1631" s="1"/>
      <c r="RNW1631" s="1"/>
      <c r="RNX1631" s="1"/>
      <c r="RNY1631" s="1"/>
      <c r="RNZ1631" s="1"/>
      <c r="ROA1631" s="1"/>
      <c r="ROB1631" s="1"/>
      <c r="ROC1631" s="1"/>
      <c r="ROD1631" s="1"/>
      <c r="ROE1631" s="1"/>
      <c r="ROF1631" s="1"/>
      <c r="ROG1631" s="1"/>
      <c r="ROH1631" s="1"/>
      <c r="ROI1631" s="1"/>
      <c r="ROJ1631" s="1"/>
      <c r="ROK1631" s="1"/>
      <c r="ROL1631" s="1"/>
      <c r="ROM1631" s="1"/>
      <c r="RON1631" s="1"/>
      <c r="ROO1631" s="1"/>
      <c r="ROP1631" s="1"/>
      <c r="ROQ1631" s="1"/>
      <c r="ROR1631" s="1"/>
      <c r="ROS1631" s="1"/>
      <c r="ROT1631" s="1"/>
      <c r="ROU1631" s="1"/>
      <c r="ROV1631" s="1"/>
      <c r="ROW1631" s="1"/>
      <c r="ROX1631" s="1"/>
      <c r="ROY1631" s="1"/>
      <c r="ROZ1631" s="1"/>
      <c r="RPA1631" s="1"/>
      <c r="RPB1631" s="1"/>
      <c r="RPC1631" s="1"/>
      <c r="RPD1631" s="1"/>
      <c r="RPE1631" s="1"/>
      <c r="RPF1631" s="1"/>
      <c r="RPG1631" s="1"/>
      <c r="RPH1631" s="1"/>
      <c r="RPI1631" s="1"/>
      <c r="RPJ1631" s="1"/>
      <c r="RPK1631" s="1"/>
      <c r="RPL1631" s="1"/>
      <c r="RPM1631" s="1"/>
      <c r="RPN1631" s="1"/>
      <c r="RPO1631" s="1"/>
      <c r="RPP1631" s="1"/>
      <c r="RPQ1631" s="1"/>
      <c r="RPR1631" s="1"/>
      <c r="RPS1631" s="1"/>
      <c r="RPT1631" s="1"/>
      <c r="RPU1631" s="1"/>
      <c r="RPV1631" s="1"/>
      <c r="RPW1631" s="1"/>
      <c r="RPX1631" s="1"/>
      <c r="RPY1631" s="1"/>
      <c r="RPZ1631" s="1"/>
      <c r="RQA1631" s="1"/>
      <c r="RQB1631" s="1"/>
      <c r="RQC1631" s="1"/>
      <c r="RQD1631" s="1"/>
      <c r="RQE1631" s="1"/>
      <c r="RQF1631" s="1"/>
      <c r="RQG1631" s="1"/>
      <c r="RQH1631" s="1"/>
      <c r="RQI1631" s="1"/>
      <c r="RQJ1631" s="1"/>
      <c r="RQK1631" s="1"/>
      <c r="RQL1631" s="1"/>
      <c r="RQM1631" s="1"/>
      <c r="RQN1631" s="1"/>
      <c r="RQO1631" s="1"/>
      <c r="RQP1631" s="1"/>
      <c r="RQQ1631" s="1"/>
      <c r="RQR1631" s="1"/>
      <c r="RQS1631" s="1"/>
      <c r="RQT1631" s="1"/>
      <c r="RQU1631" s="1"/>
      <c r="RQV1631" s="1"/>
      <c r="RQW1631" s="1"/>
      <c r="RQX1631" s="1"/>
      <c r="RQY1631" s="1"/>
      <c r="RQZ1631" s="1"/>
      <c r="RRA1631" s="1"/>
      <c r="RRB1631" s="1"/>
      <c r="RRC1631" s="1"/>
      <c r="RRD1631" s="1"/>
      <c r="RRE1631" s="1"/>
      <c r="RRF1631" s="1"/>
      <c r="RRG1631" s="1"/>
      <c r="RRH1631" s="1"/>
      <c r="RRI1631" s="1"/>
      <c r="RRJ1631" s="1"/>
      <c r="RRK1631" s="1"/>
      <c r="RRL1631" s="1"/>
      <c r="RRM1631" s="1"/>
      <c r="RRN1631" s="1"/>
      <c r="RRO1631" s="1"/>
      <c r="RRP1631" s="1"/>
      <c r="RRQ1631" s="1"/>
      <c r="RRR1631" s="1"/>
      <c r="RRS1631" s="1"/>
      <c r="RRT1631" s="1"/>
      <c r="RRU1631" s="1"/>
      <c r="RRV1631" s="1"/>
      <c r="RRW1631" s="1"/>
      <c r="RRX1631" s="1"/>
      <c r="RRY1631" s="1"/>
      <c r="RRZ1631" s="1"/>
      <c r="RSA1631" s="1"/>
      <c r="RSB1631" s="1"/>
      <c r="RSC1631" s="1"/>
      <c r="RSD1631" s="1"/>
      <c r="RSE1631" s="1"/>
      <c r="RSF1631" s="1"/>
      <c r="RSG1631" s="1"/>
      <c r="RSH1631" s="1"/>
      <c r="RSI1631" s="1"/>
      <c r="RSJ1631" s="1"/>
      <c r="RSK1631" s="1"/>
      <c r="RSL1631" s="1"/>
      <c r="RSM1631" s="1"/>
      <c r="RSN1631" s="1"/>
      <c r="RSO1631" s="1"/>
      <c r="RSP1631" s="1"/>
      <c r="RSQ1631" s="1"/>
      <c r="RSR1631" s="1"/>
      <c r="RSS1631" s="1"/>
      <c r="RST1631" s="1"/>
      <c r="RSU1631" s="1"/>
      <c r="RSV1631" s="1"/>
      <c r="RSW1631" s="1"/>
      <c r="RSX1631" s="1"/>
      <c r="RSY1631" s="1"/>
      <c r="RSZ1631" s="1"/>
      <c r="RTA1631" s="1"/>
      <c r="RTB1631" s="1"/>
      <c r="RTC1631" s="1"/>
      <c r="RTD1631" s="1"/>
      <c r="RTE1631" s="1"/>
      <c r="RTF1631" s="1"/>
      <c r="RTG1631" s="1"/>
      <c r="RTH1631" s="1"/>
      <c r="RTI1631" s="1"/>
      <c r="RTJ1631" s="1"/>
      <c r="RTK1631" s="1"/>
      <c r="RTL1631" s="1"/>
      <c r="RTM1631" s="1"/>
      <c r="RTN1631" s="1"/>
      <c r="RTO1631" s="1"/>
      <c r="RTP1631" s="1"/>
      <c r="RTQ1631" s="1"/>
      <c r="RTR1631" s="1"/>
      <c r="RTS1631" s="1"/>
      <c r="RTT1631" s="1"/>
      <c r="RTU1631" s="1"/>
      <c r="RTV1631" s="1"/>
      <c r="RTW1631" s="1"/>
      <c r="RTX1631" s="1"/>
      <c r="RTY1631" s="1"/>
      <c r="RTZ1631" s="1"/>
      <c r="RUA1631" s="1"/>
      <c r="RUB1631" s="1"/>
      <c r="RUC1631" s="1"/>
      <c r="RUD1631" s="1"/>
      <c r="RUE1631" s="1"/>
      <c r="RUF1631" s="1"/>
      <c r="RUG1631" s="1"/>
      <c r="RUH1631" s="1"/>
      <c r="RUI1631" s="1"/>
      <c r="RUJ1631" s="1"/>
      <c r="RUK1631" s="1"/>
      <c r="RUL1631" s="1"/>
      <c r="RUM1631" s="1"/>
      <c r="RUN1631" s="1"/>
      <c r="RUO1631" s="1"/>
      <c r="RUP1631" s="1"/>
      <c r="RUQ1631" s="1"/>
      <c r="RUR1631" s="1"/>
      <c r="RUS1631" s="1"/>
      <c r="RUT1631" s="1"/>
      <c r="RUU1631" s="1"/>
      <c r="RUV1631" s="1"/>
      <c r="RUW1631" s="1"/>
      <c r="RUX1631" s="1"/>
      <c r="RUY1631" s="1"/>
      <c r="RUZ1631" s="1"/>
      <c r="RVA1631" s="1"/>
      <c r="RVB1631" s="1"/>
      <c r="RVC1631" s="1"/>
      <c r="RVD1631" s="1"/>
      <c r="RVE1631" s="1"/>
      <c r="RVF1631" s="1"/>
      <c r="RVG1631" s="1"/>
      <c r="RVH1631" s="1"/>
      <c r="RVI1631" s="1"/>
      <c r="RVJ1631" s="1"/>
      <c r="RVK1631" s="1"/>
      <c r="RVL1631" s="1"/>
      <c r="RVM1631" s="1"/>
      <c r="RVN1631" s="1"/>
      <c r="RVO1631" s="1"/>
      <c r="RVP1631" s="1"/>
      <c r="RVQ1631" s="1"/>
      <c r="RVR1631" s="1"/>
      <c r="RVS1631" s="1"/>
      <c r="RVT1631" s="1"/>
      <c r="RVU1631" s="1"/>
      <c r="RVV1631" s="1"/>
      <c r="RVW1631" s="1"/>
      <c r="RVX1631" s="1"/>
      <c r="RVY1631" s="1"/>
      <c r="RVZ1631" s="1"/>
      <c r="RWA1631" s="1"/>
      <c r="RWB1631" s="1"/>
      <c r="RWC1631" s="1"/>
      <c r="RWD1631" s="1"/>
      <c r="RWE1631" s="1"/>
      <c r="RWF1631" s="1"/>
      <c r="RWG1631" s="1"/>
      <c r="RWH1631" s="1"/>
      <c r="RWI1631" s="1"/>
      <c r="RWJ1631" s="1"/>
      <c r="RWK1631" s="1"/>
      <c r="RWL1631" s="1"/>
      <c r="RWM1631" s="1"/>
      <c r="RWN1631" s="1"/>
      <c r="RWO1631" s="1"/>
      <c r="RWP1631" s="1"/>
      <c r="RWQ1631" s="1"/>
      <c r="RWR1631" s="1"/>
      <c r="RWS1631" s="1"/>
      <c r="RWT1631" s="1"/>
      <c r="RWU1631" s="1"/>
      <c r="RWV1631" s="1"/>
      <c r="RWW1631" s="1"/>
      <c r="RWX1631" s="1"/>
      <c r="RWY1631" s="1"/>
      <c r="RWZ1631" s="1"/>
      <c r="RXA1631" s="1"/>
      <c r="RXB1631" s="1"/>
      <c r="RXC1631" s="1"/>
      <c r="RXD1631" s="1"/>
      <c r="RXE1631" s="1"/>
      <c r="RXF1631" s="1"/>
      <c r="RXG1631" s="1"/>
      <c r="RXH1631" s="1"/>
      <c r="RXI1631" s="1"/>
      <c r="RXJ1631" s="1"/>
      <c r="RXK1631" s="1"/>
      <c r="RXL1631" s="1"/>
      <c r="RXM1631" s="1"/>
      <c r="RXN1631" s="1"/>
      <c r="RXO1631" s="1"/>
      <c r="RXP1631" s="1"/>
      <c r="RXQ1631" s="1"/>
      <c r="RXR1631" s="1"/>
      <c r="RXS1631" s="1"/>
      <c r="RXT1631" s="1"/>
      <c r="RXU1631" s="1"/>
      <c r="RXV1631" s="1"/>
      <c r="RXW1631" s="1"/>
      <c r="RXX1631" s="1"/>
      <c r="RXY1631" s="1"/>
      <c r="RXZ1631" s="1"/>
      <c r="RYA1631" s="1"/>
      <c r="RYB1631" s="1"/>
      <c r="RYC1631" s="1"/>
      <c r="RYD1631" s="1"/>
      <c r="RYE1631" s="1"/>
      <c r="RYF1631" s="1"/>
      <c r="RYG1631" s="1"/>
      <c r="RYH1631" s="1"/>
      <c r="RYI1631" s="1"/>
      <c r="RYJ1631" s="1"/>
      <c r="RYK1631" s="1"/>
      <c r="RYL1631" s="1"/>
      <c r="RYM1631" s="1"/>
      <c r="RYN1631" s="1"/>
      <c r="RYO1631" s="1"/>
      <c r="RYP1631" s="1"/>
      <c r="RYQ1631" s="1"/>
      <c r="RYR1631" s="1"/>
      <c r="RYS1631" s="1"/>
      <c r="RYT1631" s="1"/>
      <c r="RYU1631" s="1"/>
      <c r="RYV1631" s="1"/>
      <c r="RYW1631" s="1"/>
      <c r="RYX1631" s="1"/>
      <c r="RYY1631" s="1"/>
      <c r="RYZ1631" s="1"/>
      <c r="RZA1631" s="1"/>
      <c r="RZB1631" s="1"/>
      <c r="RZC1631" s="1"/>
      <c r="RZD1631" s="1"/>
      <c r="RZE1631" s="1"/>
      <c r="RZF1631" s="1"/>
      <c r="RZG1631" s="1"/>
      <c r="RZH1631" s="1"/>
      <c r="RZI1631" s="1"/>
      <c r="RZJ1631" s="1"/>
      <c r="RZK1631" s="1"/>
      <c r="RZL1631" s="1"/>
      <c r="RZM1631" s="1"/>
      <c r="RZN1631" s="1"/>
      <c r="RZO1631" s="1"/>
      <c r="RZP1631" s="1"/>
      <c r="RZQ1631" s="1"/>
      <c r="RZR1631" s="1"/>
      <c r="RZS1631" s="1"/>
      <c r="RZT1631" s="1"/>
      <c r="RZU1631" s="1"/>
      <c r="RZV1631" s="1"/>
      <c r="RZW1631" s="1"/>
      <c r="RZX1631" s="1"/>
      <c r="RZY1631" s="1"/>
      <c r="RZZ1631" s="1"/>
      <c r="SAA1631" s="1"/>
      <c r="SAB1631" s="1"/>
      <c r="SAC1631" s="1"/>
      <c r="SAD1631" s="1"/>
      <c r="SAE1631" s="1"/>
      <c r="SAF1631" s="1"/>
      <c r="SAG1631" s="1"/>
      <c r="SAH1631" s="1"/>
      <c r="SAI1631" s="1"/>
      <c r="SAJ1631" s="1"/>
      <c r="SAK1631" s="1"/>
      <c r="SAL1631" s="1"/>
      <c r="SAM1631" s="1"/>
      <c r="SAN1631" s="1"/>
      <c r="SAO1631" s="1"/>
      <c r="SAP1631" s="1"/>
      <c r="SAQ1631" s="1"/>
      <c r="SAR1631" s="1"/>
      <c r="SAS1631" s="1"/>
      <c r="SAT1631" s="1"/>
      <c r="SAU1631" s="1"/>
      <c r="SAV1631" s="1"/>
      <c r="SAW1631" s="1"/>
      <c r="SAX1631" s="1"/>
      <c r="SAY1631" s="1"/>
      <c r="SAZ1631" s="1"/>
      <c r="SBA1631" s="1"/>
      <c r="SBB1631" s="1"/>
      <c r="SBC1631" s="1"/>
      <c r="SBD1631" s="1"/>
      <c r="SBE1631" s="1"/>
      <c r="SBF1631" s="1"/>
      <c r="SBG1631" s="1"/>
      <c r="SBH1631" s="1"/>
      <c r="SBI1631" s="1"/>
      <c r="SBJ1631" s="1"/>
      <c r="SBK1631" s="1"/>
      <c r="SBL1631" s="1"/>
      <c r="SBM1631" s="1"/>
      <c r="SBN1631" s="1"/>
      <c r="SBO1631" s="1"/>
      <c r="SBP1631" s="1"/>
      <c r="SBQ1631" s="1"/>
      <c r="SBR1631" s="1"/>
      <c r="SBS1631" s="1"/>
      <c r="SBT1631" s="1"/>
      <c r="SBU1631" s="1"/>
      <c r="SBV1631" s="1"/>
      <c r="SBW1631" s="1"/>
      <c r="SBX1631" s="1"/>
      <c r="SBY1631" s="1"/>
      <c r="SBZ1631" s="1"/>
      <c r="SCA1631" s="1"/>
      <c r="SCB1631" s="1"/>
      <c r="SCC1631" s="1"/>
      <c r="SCD1631" s="1"/>
      <c r="SCE1631" s="1"/>
      <c r="SCF1631" s="1"/>
      <c r="SCG1631" s="1"/>
      <c r="SCH1631" s="1"/>
      <c r="SCI1631" s="1"/>
      <c r="SCJ1631" s="1"/>
      <c r="SCK1631" s="1"/>
      <c r="SCL1631" s="1"/>
      <c r="SCM1631" s="1"/>
      <c r="SCN1631" s="1"/>
      <c r="SCO1631" s="1"/>
      <c r="SCP1631" s="1"/>
      <c r="SCQ1631" s="1"/>
      <c r="SCR1631" s="1"/>
      <c r="SCS1631" s="1"/>
      <c r="SCT1631" s="1"/>
      <c r="SCU1631" s="1"/>
      <c r="SCV1631" s="1"/>
      <c r="SCW1631" s="1"/>
      <c r="SCX1631" s="1"/>
      <c r="SCY1631" s="1"/>
      <c r="SCZ1631" s="1"/>
      <c r="SDA1631" s="1"/>
      <c r="SDB1631" s="1"/>
      <c r="SDC1631" s="1"/>
      <c r="SDD1631" s="1"/>
      <c r="SDE1631" s="1"/>
      <c r="SDF1631" s="1"/>
      <c r="SDG1631" s="1"/>
      <c r="SDH1631" s="1"/>
      <c r="SDI1631" s="1"/>
      <c r="SDJ1631" s="1"/>
      <c r="SDK1631" s="1"/>
      <c r="SDL1631" s="1"/>
      <c r="SDM1631" s="1"/>
      <c r="SDN1631" s="1"/>
      <c r="SDO1631" s="1"/>
      <c r="SDP1631" s="1"/>
      <c r="SDQ1631" s="1"/>
      <c r="SDR1631" s="1"/>
      <c r="SDS1631" s="1"/>
      <c r="SDT1631" s="1"/>
      <c r="SDU1631" s="1"/>
      <c r="SDV1631" s="1"/>
      <c r="SDW1631" s="1"/>
      <c r="SDX1631" s="1"/>
      <c r="SDY1631" s="1"/>
      <c r="SDZ1631" s="1"/>
      <c r="SEA1631" s="1"/>
      <c r="SEB1631" s="1"/>
      <c r="SEC1631" s="1"/>
      <c r="SED1631" s="1"/>
      <c r="SEE1631" s="1"/>
      <c r="SEF1631" s="1"/>
      <c r="SEG1631" s="1"/>
      <c r="SEH1631" s="1"/>
      <c r="SEI1631" s="1"/>
      <c r="SEJ1631" s="1"/>
      <c r="SEK1631" s="1"/>
      <c r="SEL1631" s="1"/>
      <c r="SEM1631" s="1"/>
      <c r="SEN1631" s="1"/>
      <c r="SEO1631" s="1"/>
      <c r="SEP1631" s="1"/>
      <c r="SEQ1631" s="1"/>
      <c r="SER1631" s="1"/>
      <c r="SES1631" s="1"/>
      <c r="SET1631" s="1"/>
      <c r="SEU1631" s="1"/>
      <c r="SEV1631" s="1"/>
      <c r="SEW1631" s="1"/>
      <c r="SEX1631" s="1"/>
      <c r="SEY1631" s="1"/>
      <c r="SEZ1631" s="1"/>
      <c r="SFA1631" s="1"/>
      <c r="SFB1631" s="1"/>
      <c r="SFC1631" s="1"/>
      <c r="SFD1631" s="1"/>
      <c r="SFE1631" s="1"/>
      <c r="SFF1631" s="1"/>
      <c r="SFG1631" s="1"/>
      <c r="SFH1631" s="1"/>
      <c r="SFI1631" s="1"/>
      <c r="SFJ1631" s="1"/>
      <c r="SFK1631" s="1"/>
      <c r="SFL1631" s="1"/>
      <c r="SFM1631" s="1"/>
      <c r="SFN1631" s="1"/>
      <c r="SFO1631" s="1"/>
      <c r="SFP1631" s="1"/>
      <c r="SFQ1631" s="1"/>
      <c r="SFR1631" s="1"/>
      <c r="SFS1631" s="1"/>
      <c r="SFT1631" s="1"/>
      <c r="SFU1631" s="1"/>
      <c r="SFV1631" s="1"/>
      <c r="SFW1631" s="1"/>
      <c r="SFX1631" s="1"/>
      <c r="SFY1631" s="1"/>
      <c r="SFZ1631" s="1"/>
      <c r="SGA1631" s="1"/>
      <c r="SGB1631" s="1"/>
      <c r="SGC1631" s="1"/>
      <c r="SGD1631" s="1"/>
      <c r="SGE1631" s="1"/>
      <c r="SGF1631" s="1"/>
      <c r="SGG1631" s="1"/>
      <c r="SGH1631" s="1"/>
      <c r="SGI1631" s="1"/>
      <c r="SGJ1631" s="1"/>
      <c r="SGK1631" s="1"/>
      <c r="SGL1631" s="1"/>
      <c r="SGM1631" s="1"/>
      <c r="SGN1631" s="1"/>
      <c r="SGO1631" s="1"/>
      <c r="SGP1631" s="1"/>
      <c r="SGQ1631" s="1"/>
      <c r="SGR1631" s="1"/>
      <c r="SGS1631" s="1"/>
      <c r="SGT1631" s="1"/>
      <c r="SGU1631" s="1"/>
      <c r="SGV1631" s="1"/>
      <c r="SGW1631" s="1"/>
      <c r="SGX1631" s="1"/>
      <c r="SGY1631" s="1"/>
      <c r="SGZ1631" s="1"/>
      <c r="SHA1631" s="1"/>
      <c r="SHB1631" s="1"/>
      <c r="SHC1631" s="1"/>
      <c r="SHD1631" s="1"/>
      <c r="SHE1631" s="1"/>
      <c r="SHF1631" s="1"/>
      <c r="SHG1631" s="1"/>
      <c r="SHH1631" s="1"/>
      <c r="SHI1631" s="1"/>
      <c r="SHJ1631" s="1"/>
      <c r="SHK1631" s="1"/>
      <c r="SHL1631" s="1"/>
      <c r="SHM1631" s="1"/>
      <c r="SHN1631" s="1"/>
      <c r="SHO1631" s="1"/>
      <c r="SHP1631" s="1"/>
      <c r="SHQ1631" s="1"/>
      <c r="SHR1631" s="1"/>
      <c r="SHS1631" s="1"/>
      <c r="SHT1631" s="1"/>
      <c r="SHU1631" s="1"/>
      <c r="SHV1631" s="1"/>
      <c r="SHW1631" s="1"/>
      <c r="SHX1631" s="1"/>
      <c r="SHY1631" s="1"/>
      <c r="SHZ1631" s="1"/>
      <c r="SIA1631" s="1"/>
      <c r="SIB1631" s="1"/>
      <c r="SIC1631" s="1"/>
      <c r="SID1631" s="1"/>
      <c r="SIE1631" s="1"/>
      <c r="SIF1631" s="1"/>
      <c r="SIG1631" s="1"/>
      <c r="SIH1631" s="1"/>
      <c r="SII1631" s="1"/>
      <c r="SIJ1631" s="1"/>
      <c r="SIK1631" s="1"/>
      <c r="SIL1631" s="1"/>
      <c r="SIM1631" s="1"/>
      <c r="SIN1631" s="1"/>
      <c r="SIO1631" s="1"/>
      <c r="SIP1631" s="1"/>
      <c r="SIQ1631" s="1"/>
      <c r="SIR1631" s="1"/>
      <c r="SIS1631" s="1"/>
      <c r="SIT1631" s="1"/>
      <c r="SIU1631" s="1"/>
      <c r="SIV1631" s="1"/>
      <c r="SIW1631" s="1"/>
      <c r="SIX1631" s="1"/>
      <c r="SIY1631" s="1"/>
      <c r="SIZ1631" s="1"/>
      <c r="SJA1631" s="1"/>
      <c r="SJB1631" s="1"/>
      <c r="SJC1631" s="1"/>
      <c r="SJD1631" s="1"/>
      <c r="SJE1631" s="1"/>
      <c r="SJF1631" s="1"/>
      <c r="SJG1631" s="1"/>
      <c r="SJH1631" s="1"/>
      <c r="SJI1631" s="1"/>
      <c r="SJJ1631" s="1"/>
      <c r="SJK1631" s="1"/>
      <c r="SJL1631" s="1"/>
      <c r="SJM1631" s="1"/>
      <c r="SJN1631" s="1"/>
      <c r="SJO1631" s="1"/>
      <c r="SJP1631" s="1"/>
      <c r="SJQ1631" s="1"/>
      <c r="SJR1631" s="1"/>
      <c r="SJS1631" s="1"/>
      <c r="SJT1631" s="1"/>
      <c r="SJU1631" s="1"/>
      <c r="SJV1631" s="1"/>
      <c r="SJW1631" s="1"/>
      <c r="SJX1631" s="1"/>
      <c r="SJY1631" s="1"/>
      <c r="SJZ1631" s="1"/>
      <c r="SKA1631" s="1"/>
      <c r="SKB1631" s="1"/>
      <c r="SKC1631" s="1"/>
      <c r="SKD1631" s="1"/>
      <c r="SKE1631" s="1"/>
      <c r="SKF1631" s="1"/>
      <c r="SKG1631" s="1"/>
      <c r="SKH1631" s="1"/>
      <c r="SKI1631" s="1"/>
      <c r="SKJ1631" s="1"/>
      <c r="SKK1631" s="1"/>
      <c r="SKL1631" s="1"/>
      <c r="SKM1631" s="1"/>
      <c r="SKN1631" s="1"/>
      <c r="SKO1631" s="1"/>
      <c r="SKP1631" s="1"/>
      <c r="SKQ1631" s="1"/>
      <c r="SKR1631" s="1"/>
      <c r="SKS1631" s="1"/>
      <c r="SKT1631" s="1"/>
      <c r="SKU1631" s="1"/>
      <c r="SKV1631" s="1"/>
      <c r="SKW1631" s="1"/>
      <c r="SKX1631" s="1"/>
      <c r="SKY1631" s="1"/>
      <c r="SKZ1631" s="1"/>
      <c r="SLA1631" s="1"/>
      <c r="SLB1631" s="1"/>
      <c r="SLC1631" s="1"/>
      <c r="SLD1631" s="1"/>
      <c r="SLE1631" s="1"/>
      <c r="SLF1631" s="1"/>
      <c r="SLG1631" s="1"/>
      <c r="SLH1631" s="1"/>
      <c r="SLI1631" s="1"/>
      <c r="SLJ1631" s="1"/>
      <c r="SLK1631" s="1"/>
      <c r="SLL1631" s="1"/>
      <c r="SLM1631" s="1"/>
      <c r="SLN1631" s="1"/>
      <c r="SLO1631" s="1"/>
      <c r="SLP1631" s="1"/>
      <c r="SLQ1631" s="1"/>
      <c r="SLR1631" s="1"/>
      <c r="SLS1631" s="1"/>
      <c r="SLT1631" s="1"/>
      <c r="SLU1631" s="1"/>
      <c r="SLV1631" s="1"/>
      <c r="SLW1631" s="1"/>
      <c r="SLX1631" s="1"/>
      <c r="SLY1631" s="1"/>
      <c r="SLZ1631" s="1"/>
      <c r="SMA1631" s="1"/>
      <c r="SMB1631" s="1"/>
      <c r="SMC1631" s="1"/>
      <c r="SMD1631" s="1"/>
      <c r="SME1631" s="1"/>
      <c r="SMF1631" s="1"/>
      <c r="SMG1631" s="1"/>
      <c r="SMH1631" s="1"/>
      <c r="SMI1631" s="1"/>
      <c r="SMJ1631" s="1"/>
      <c r="SMK1631" s="1"/>
      <c r="SML1631" s="1"/>
      <c r="SMM1631" s="1"/>
      <c r="SMN1631" s="1"/>
      <c r="SMO1631" s="1"/>
      <c r="SMP1631" s="1"/>
      <c r="SMQ1631" s="1"/>
      <c r="SMR1631" s="1"/>
      <c r="SMS1631" s="1"/>
      <c r="SMT1631" s="1"/>
      <c r="SMU1631" s="1"/>
      <c r="SMV1631" s="1"/>
      <c r="SMW1631" s="1"/>
      <c r="SMX1631" s="1"/>
      <c r="SMY1631" s="1"/>
      <c r="SMZ1631" s="1"/>
      <c r="SNA1631" s="1"/>
      <c r="SNB1631" s="1"/>
      <c r="SNC1631" s="1"/>
      <c r="SND1631" s="1"/>
      <c r="SNE1631" s="1"/>
      <c r="SNF1631" s="1"/>
      <c r="SNG1631" s="1"/>
      <c r="SNH1631" s="1"/>
      <c r="SNI1631" s="1"/>
      <c r="SNJ1631" s="1"/>
      <c r="SNK1631" s="1"/>
      <c r="SNL1631" s="1"/>
      <c r="SNM1631" s="1"/>
      <c r="SNN1631" s="1"/>
      <c r="SNO1631" s="1"/>
      <c r="SNP1631" s="1"/>
      <c r="SNQ1631" s="1"/>
      <c r="SNR1631" s="1"/>
      <c r="SNS1631" s="1"/>
      <c r="SNT1631" s="1"/>
      <c r="SNU1631" s="1"/>
      <c r="SNV1631" s="1"/>
      <c r="SNW1631" s="1"/>
      <c r="SNX1631" s="1"/>
      <c r="SNY1631" s="1"/>
      <c r="SNZ1631" s="1"/>
      <c r="SOA1631" s="1"/>
      <c r="SOB1631" s="1"/>
      <c r="SOC1631" s="1"/>
      <c r="SOD1631" s="1"/>
      <c r="SOE1631" s="1"/>
      <c r="SOF1631" s="1"/>
      <c r="SOG1631" s="1"/>
      <c r="SOH1631" s="1"/>
      <c r="SOI1631" s="1"/>
      <c r="SOJ1631" s="1"/>
      <c r="SOK1631" s="1"/>
      <c r="SOL1631" s="1"/>
      <c r="SOM1631" s="1"/>
      <c r="SON1631" s="1"/>
      <c r="SOO1631" s="1"/>
      <c r="SOP1631" s="1"/>
      <c r="SOQ1631" s="1"/>
      <c r="SOR1631" s="1"/>
      <c r="SOS1631" s="1"/>
      <c r="SOT1631" s="1"/>
      <c r="SOU1631" s="1"/>
      <c r="SOV1631" s="1"/>
      <c r="SOW1631" s="1"/>
      <c r="SOX1631" s="1"/>
      <c r="SOY1631" s="1"/>
      <c r="SOZ1631" s="1"/>
      <c r="SPA1631" s="1"/>
      <c r="SPB1631" s="1"/>
      <c r="SPC1631" s="1"/>
      <c r="SPD1631" s="1"/>
      <c r="SPE1631" s="1"/>
      <c r="SPF1631" s="1"/>
      <c r="SPG1631" s="1"/>
      <c r="SPH1631" s="1"/>
      <c r="SPI1631" s="1"/>
      <c r="SPJ1631" s="1"/>
      <c r="SPK1631" s="1"/>
      <c r="SPL1631" s="1"/>
      <c r="SPM1631" s="1"/>
      <c r="SPN1631" s="1"/>
      <c r="SPO1631" s="1"/>
      <c r="SPP1631" s="1"/>
      <c r="SPQ1631" s="1"/>
      <c r="SPR1631" s="1"/>
      <c r="SPS1631" s="1"/>
      <c r="SPT1631" s="1"/>
      <c r="SPU1631" s="1"/>
      <c r="SPV1631" s="1"/>
      <c r="SPW1631" s="1"/>
      <c r="SPX1631" s="1"/>
      <c r="SPY1631" s="1"/>
      <c r="SPZ1631" s="1"/>
      <c r="SQA1631" s="1"/>
      <c r="SQB1631" s="1"/>
      <c r="SQC1631" s="1"/>
      <c r="SQD1631" s="1"/>
      <c r="SQE1631" s="1"/>
      <c r="SQF1631" s="1"/>
      <c r="SQG1631" s="1"/>
      <c r="SQH1631" s="1"/>
      <c r="SQI1631" s="1"/>
      <c r="SQJ1631" s="1"/>
      <c r="SQK1631" s="1"/>
      <c r="SQL1631" s="1"/>
      <c r="SQM1631" s="1"/>
      <c r="SQN1631" s="1"/>
      <c r="SQO1631" s="1"/>
      <c r="SQP1631" s="1"/>
      <c r="SQQ1631" s="1"/>
      <c r="SQR1631" s="1"/>
      <c r="SQS1631" s="1"/>
      <c r="SQT1631" s="1"/>
      <c r="SQU1631" s="1"/>
      <c r="SQV1631" s="1"/>
      <c r="SQW1631" s="1"/>
      <c r="SQX1631" s="1"/>
      <c r="SQY1631" s="1"/>
      <c r="SQZ1631" s="1"/>
      <c r="SRA1631" s="1"/>
      <c r="SRB1631" s="1"/>
      <c r="SRC1631" s="1"/>
      <c r="SRD1631" s="1"/>
      <c r="SRE1631" s="1"/>
      <c r="SRF1631" s="1"/>
      <c r="SRG1631" s="1"/>
      <c r="SRH1631" s="1"/>
      <c r="SRI1631" s="1"/>
      <c r="SRJ1631" s="1"/>
      <c r="SRK1631" s="1"/>
      <c r="SRL1631" s="1"/>
      <c r="SRM1631" s="1"/>
      <c r="SRN1631" s="1"/>
      <c r="SRO1631" s="1"/>
      <c r="SRP1631" s="1"/>
      <c r="SRQ1631" s="1"/>
      <c r="SRR1631" s="1"/>
      <c r="SRS1631" s="1"/>
      <c r="SRT1631" s="1"/>
      <c r="SRU1631" s="1"/>
      <c r="SRV1631" s="1"/>
      <c r="SRW1631" s="1"/>
      <c r="SRX1631" s="1"/>
      <c r="SRY1631" s="1"/>
      <c r="SRZ1631" s="1"/>
      <c r="SSA1631" s="1"/>
      <c r="SSB1631" s="1"/>
      <c r="SSC1631" s="1"/>
      <c r="SSD1631" s="1"/>
      <c r="SSE1631" s="1"/>
      <c r="SSF1631" s="1"/>
      <c r="SSG1631" s="1"/>
      <c r="SSH1631" s="1"/>
      <c r="SSI1631" s="1"/>
      <c r="SSJ1631" s="1"/>
      <c r="SSK1631" s="1"/>
      <c r="SSL1631" s="1"/>
      <c r="SSM1631" s="1"/>
      <c r="SSN1631" s="1"/>
      <c r="SSO1631" s="1"/>
      <c r="SSP1631" s="1"/>
      <c r="SSQ1631" s="1"/>
      <c r="SSR1631" s="1"/>
      <c r="SSS1631" s="1"/>
      <c r="SST1631" s="1"/>
      <c r="SSU1631" s="1"/>
      <c r="SSV1631" s="1"/>
      <c r="SSW1631" s="1"/>
      <c r="SSX1631" s="1"/>
      <c r="SSY1631" s="1"/>
      <c r="SSZ1631" s="1"/>
      <c r="STA1631" s="1"/>
      <c r="STB1631" s="1"/>
      <c r="STC1631" s="1"/>
      <c r="STD1631" s="1"/>
      <c r="STE1631" s="1"/>
      <c r="STF1631" s="1"/>
      <c r="STG1631" s="1"/>
      <c r="STH1631" s="1"/>
      <c r="STI1631" s="1"/>
      <c r="STJ1631" s="1"/>
      <c r="STK1631" s="1"/>
      <c r="STL1631" s="1"/>
      <c r="STM1631" s="1"/>
      <c r="STN1631" s="1"/>
      <c r="STO1631" s="1"/>
      <c r="STP1631" s="1"/>
      <c r="STQ1631" s="1"/>
      <c r="STR1631" s="1"/>
      <c r="STS1631" s="1"/>
      <c r="STT1631" s="1"/>
      <c r="STU1631" s="1"/>
      <c r="STV1631" s="1"/>
      <c r="STW1631" s="1"/>
      <c r="STX1631" s="1"/>
      <c r="STY1631" s="1"/>
      <c r="STZ1631" s="1"/>
      <c r="SUA1631" s="1"/>
      <c r="SUB1631" s="1"/>
      <c r="SUC1631" s="1"/>
      <c r="SUD1631" s="1"/>
      <c r="SUE1631" s="1"/>
      <c r="SUF1631" s="1"/>
      <c r="SUG1631" s="1"/>
      <c r="SUH1631" s="1"/>
      <c r="SUI1631" s="1"/>
      <c r="SUJ1631" s="1"/>
      <c r="SUK1631" s="1"/>
      <c r="SUL1631" s="1"/>
      <c r="SUM1631" s="1"/>
      <c r="SUN1631" s="1"/>
      <c r="SUO1631" s="1"/>
      <c r="SUP1631" s="1"/>
      <c r="SUQ1631" s="1"/>
      <c r="SUR1631" s="1"/>
      <c r="SUS1631" s="1"/>
      <c r="SUT1631" s="1"/>
      <c r="SUU1631" s="1"/>
      <c r="SUV1631" s="1"/>
      <c r="SUW1631" s="1"/>
      <c r="SUX1631" s="1"/>
      <c r="SUY1631" s="1"/>
      <c r="SUZ1631" s="1"/>
      <c r="SVA1631" s="1"/>
      <c r="SVB1631" s="1"/>
      <c r="SVC1631" s="1"/>
      <c r="SVD1631" s="1"/>
      <c r="SVE1631" s="1"/>
      <c r="SVF1631" s="1"/>
      <c r="SVG1631" s="1"/>
      <c r="SVH1631" s="1"/>
      <c r="SVI1631" s="1"/>
      <c r="SVJ1631" s="1"/>
      <c r="SVK1631" s="1"/>
      <c r="SVL1631" s="1"/>
      <c r="SVM1631" s="1"/>
      <c r="SVN1631" s="1"/>
      <c r="SVO1631" s="1"/>
      <c r="SVP1631" s="1"/>
      <c r="SVQ1631" s="1"/>
      <c r="SVR1631" s="1"/>
      <c r="SVS1631" s="1"/>
      <c r="SVT1631" s="1"/>
      <c r="SVU1631" s="1"/>
      <c r="SVV1631" s="1"/>
      <c r="SVW1631" s="1"/>
      <c r="SVX1631" s="1"/>
      <c r="SVY1631" s="1"/>
      <c r="SVZ1631" s="1"/>
      <c r="SWA1631" s="1"/>
      <c r="SWB1631" s="1"/>
      <c r="SWC1631" s="1"/>
      <c r="SWD1631" s="1"/>
      <c r="SWE1631" s="1"/>
      <c r="SWF1631" s="1"/>
      <c r="SWG1631" s="1"/>
      <c r="SWH1631" s="1"/>
      <c r="SWI1631" s="1"/>
      <c r="SWJ1631" s="1"/>
      <c r="SWK1631" s="1"/>
      <c r="SWL1631" s="1"/>
      <c r="SWM1631" s="1"/>
      <c r="SWN1631" s="1"/>
      <c r="SWO1631" s="1"/>
      <c r="SWP1631" s="1"/>
      <c r="SWQ1631" s="1"/>
      <c r="SWR1631" s="1"/>
      <c r="SWS1631" s="1"/>
      <c r="SWT1631" s="1"/>
      <c r="SWU1631" s="1"/>
      <c r="SWV1631" s="1"/>
      <c r="SWW1631" s="1"/>
      <c r="SWX1631" s="1"/>
      <c r="SWY1631" s="1"/>
      <c r="SWZ1631" s="1"/>
      <c r="SXA1631" s="1"/>
      <c r="SXB1631" s="1"/>
      <c r="SXC1631" s="1"/>
      <c r="SXD1631" s="1"/>
      <c r="SXE1631" s="1"/>
      <c r="SXF1631" s="1"/>
      <c r="SXG1631" s="1"/>
      <c r="SXH1631" s="1"/>
      <c r="SXI1631" s="1"/>
      <c r="SXJ1631" s="1"/>
      <c r="SXK1631" s="1"/>
      <c r="SXL1631" s="1"/>
      <c r="SXM1631" s="1"/>
      <c r="SXN1631" s="1"/>
      <c r="SXO1631" s="1"/>
      <c r="SXP1631" s="1"/>
      <c r="SXQ1631" s="1"/>
      <c r="SXR1631" s="1"/>
      <c r="SXS1631" s="1"/>
      <c r="SXT1631" s="1"/>
      <c r="SXU1631" s="1"/>
      <c r="SXV1631" s="1"/>
      <c r="SXW1631" s="1"/>
      <c r="SXX1631" s="1"/>
      <c r="SXY1631" s="1"/>
      <c r="SXZ1631" s="1"/>
      <c r="SYA1631" s="1"/>
      <c r="SYB1631" s="1"/>
      <c r="SYC1631" s="1"/>
      <c r="SYD1631" s="1"/>
      <c r="SYE1631" s="1"/>
      <c r="SYF1631" s="1"/>
      <c r="SYG1631" s="1"/>
      <c r="SYH1631" s="1"/>
      <c r="SYI1631" s="1"/>
      <c r="SYJ1631" s="1"/>
      <c r="SYK1631" s="1"/>
      <c r="SYL1631" s="1"/>
      <c r="SYM1631" s="1"/>
      <c r="SYN1631" s="1"/>
      <c r="SYO1631" s="1"/>
      <c r="SYP1631" s="1"/>
      <c r="SYQ1631" s="1"/>
      <c r="SYR1631" s="1"/>
      <c r="SYS1631" s="1"/>
      <c r="SYT1631" s="1"/>
      <c r="SYU1631" s="1"/>
      <c r="SYV1631" s="1"/>
      <c r="SYW1631" s="1"/>
      <c r="SYX1631" s="1"/>
      <c r="SYY1631" s="1"/>
      <c r="SYZ1631" s="1"/>
      <c r="SZA1631" s="1"/>
      <c r="SZB1631" s="1"/>
      <c r="SZC1631" s="1"/>
      <c r="SZD1631" s="1"/>
      <c r="SZE1631" s="1"/>
      <c r="SZF1631" s="1"/>
      <c r="SZG1631" s="1"/>
      <c r="SZH1631" s="1"/>
      <c r="SZI1631" s="1"/>
      <c r="SZJ1631" s="1"/>
      <c r="SZK1631" s="1"/>
      <c r="SZL1631" s="1"/>
      <c r="SZM1631" s="1"/>
      <c r="SZN1631" s="1"/>
      <c r="SZO1631" s="1"/>
      <c r="SZP1631" s="1"/>
      <c r="SZQ1631" s="1"/>
      <c r="SZR1631" s="1"/>
      <c r="SZS1631" s="1"/>
      <c r="SZT1631" s="1"/>
      <c r="SZU1631" s="1"/>
      <c r="SZV1631" s="1"/>
      <c r="SZW1631" s="1"/>
      <c r="SZX1631" s="1"/>
      <c r="SZY1631" s="1"/>
      <c r="SZZ1631" s="1"/>
      <c r="TAA1631" s="1"/>
      <c r="TAB1631" s="1"/>
      <c r="TAC1631" s="1"/>
      <c r="TAD1631" s="1"/>
      <c r="TAE1631" s="1"/>
      <c r="TAF1631" s="1"/>
      <c r="TAG1631" s="1"/>
      <c r="TAH1631" s="1"/>
      <c r="TAI1631" s="1"/>
      <c r="TAJ1631" s="1"/>
      <c r="TAK1631" s="1"/>
      <c r="TAL1631" s="1"/>
      <c r="TAM1631" s="1"/>
      <c r="TAN1631" s="1"/>
      <c r="TAO1631" s="1"/>
      <c r="TAP1631" s="1"/>
      <c r="TAQ1631" s="1"/>
      <c r="TAR1631" s="1"/>
      <c r="TAS1631" s="1"/>
      <c r="TAT1631" s="1"/>
      <c r="TAU1631" s="1"/>
      <c r="TAV1631" s="1"/>
      <c r="TAW1631" s="1"/>
      <c r="TAX1631" s="1"/>
      <c r="TAY1631" s="1"/>
      <c r="TAZ1631" s="1"/>
      <c r="TBA1631" s="1"/>
      <c r="TBB1631" s="1"/>
      <c r="TBC1631" s="1"/>
      <c r="TBD1631" s="1"/>
      <c r="TBE1631" s="1"/>
      <c r="TBF1631" s="1"/>
      <c r="TBG1631" s="1"/>
      <c r="TBH1631" s="1"/>
      <c r="TBI1631" s="1"/>
      <c r="TBJ1631" s="1"/>
      <c r="TBK1631" s="1"/>
      <c r="TBL1631" s="1"/>
      <c r="TBM1631" s="1"/>
      <c r="TBN1631" s="1"/>
      <c r="TBO1631" s="1"/>
      <c r="TBP1631" s="1"/>
      <c r="TBQ1631" s="1"/>
      <c r="TBR1631" s="1"/>
      <c r="TBS1631" s="1"/>
      <c r="TBT1631" s="1"/>
      <c r="TBU1631" s="1"/>
      <c r="TBV1631" s="1"/>
      <c r="TBW1631" s="1"/>
      <c r="TBX1631" s="1"/>
      <c r="TBY1631" s="1"/>
      <c r="TBZ1631" s="1"/>
      <c r="TCA1631" s="1"/>
      <c r="TCB1631" s="1"/>
      <c r="TCC1631" s="1"/>
      <c r="TCD1631" s="1"/>
      <c r="TCE1631" s="1"/>
      <c r="TCF1631" s="1"/>
      <c r="TCG1631" s="1"/>
      <c r="TCH1631" s="1"/>
      <c r="TCI1631" s="1"/>
      <c r="TCJ1631" s="1"/>
      <c r="TCK1631" s="1"/>
      <c r="TCL1631" s="1"/>
      <c r="TCM1631" s="1"/>
      <c r="TCN1631" s="1"/>
      <c r="TCO1631" s="1"/>
      <c r="TCP1631" s="1"/>
      <c r="TCQ1631" s="1"/>
      <c r="TCR1631" s="1"/>
      <c r="TCS1631" s="1"/>
      <c r="TCT1631" s="1"/>
      <c r="TCU1631" s="1"/>
      <c r="TCV1631" s="1"/>
      <c r="TCW1631" s="1"/>
      <c r="TCX1631" s="1"/>
      <c r="TCY1631" s="1"/>
      <c r="TCZ1631" s="1"/>
      <c r="TDA1631" s="1"/>
      <c r="TDB1631" s="1"/>
      <c r="TDC1631" s="1"/>
      <c r="TDD1631" s="1"/>
      <c r="TDE1631" s="1"/>
      <c r="TDF1631" s="1"/>
      <c r="TDG1631" s="1"/>
      <c r="TDH1631" s="1"/>
      <c r="TDI1631" s="1"/>
      <c r="TDJ1631" s="1"/>
      <c r="TDK1631" s="1"/>
      <c r="TDL1631" s="1"/>
      <c r="TDM1631" s="1"/>
      <c r="TDN1631" s="1"/>
      <c r="TDO1631" s="1"/>
      <c r="TDP1631" s="1"/>
      <c r="TDQ1631" s="1"/>
      <c r="TDR1631" s="1"/>
      <c r="TDS1631" s="1"/>
      <c r="TDT1631" s="1"/>
      <c r="TDU1631" s="1"/>
      <c r="TDV1631" s="1"/>
      <c r="TDW1631" s="1"/>
      <c r="TDX1631" s="1"/>
      <c r="TDY1631" s="1"/>
      <c r="TDZ1631" s="1"/>
      <c r="TEA1631" s="1"/>
      <c r="TEB1631" s="1"/>
      <c r="TEC1631" s="1"/>
      <c r="TED1631" s="1"/>
      <c r="TEE1631" s="1"/>
      <c r="TEF1631" s="1"/>
      <c r="TEG1631" s="1"/>
      <c r="TEH1631" s="1"/>
      <c r="TEI1631" s="1"/>
      <c r="TEJ1631" s="1"/>
      <c r="TEK1631" s="1"/>
      <c r="TEL1631" s="1"/>
      <c r="TEM1631" s="1"/>
      <c r="TEN1631" s="1"/>
      <c r="TEO1631" s="1"/>
      <c r="TEP1631" s="1"/>
      <c r="TEQ1631" s="1"/>
      <c r="TER1631" s="1"/>
      <c r="TES1631" s="1"/>
      <c r="TET1631" s="1"/>
      <c r="TEU1631" s="1"/>
      <c r="TEV1631" s="1"/>
      <c r="TEW1631" s="1"/>
      <c r="TEX1631" s="1"/>
      <c r="TEY1631" s="1"/>
      <c r="TEZ1631" s="1"/>
      <c r="TFA1631" s="1"/>
      <c r="TFB1631" s="1"/>
      <c r="TFC1631" s="1"/>
      <c r="TFD1631" s="1"/>
      <c r="TFE1631" s="1"/>
      <c r="TFF1631" s="1"/>
      <c r="TFG1631" s="1"/>
      <c r="TFH1631" s="1"/>
      <c r="TFI1631" s="1"/>
      <c r="TFJ1631" s="1"/>
      <c r="TFK1631" s="1"/>
      <c r="TFL1631" s="1"/>
      <c r="TFM1631" s="1"/>
      <c r="TFN1631" s="1"/>
      <c r="TFO1631" s="1"/>
      <c r="TFP1631" s="1"/>
      <c r="TFQ1631" s="1"/>
      <c r="TFR1631" s="1"/>
      <c r="TFS1631" s="1"/>
      <c r="TFT1631" s="1"/>
      <c r="TFU1631" s="1"/>
      <c r="TFV1631" s="1"/>
      <c r="TFW1631" s="1"/>
      <c r="TFX1631" s="1"/>
      <c r="TFY1631" s="1"/>
      <c r="TFZ1631" s="1"/>
      <c r="TGA1631" s="1"/>
      <c r="TGB1631" s="1"/>
      <c r="TGC1631" s="1"/>
      <c r="TGD1631" s="1"/>
      <c r="TGE1631" s="1"/>
      <c r="TGF1631" s="1"/>
      <c r="TGG1631" s="1"/>
      <c r="TGH1631" s="1"/>
      <c r="TGI1631" s="1"/>
      <c r="TGJ1631" s="1"/>
      <c r="TGK1631" s="1"/>
      <c r="TGL1631" s="1"/>
      <c r="TGM1631" s="1"/>
      <c r="TGN1631" s="1"/>
      <c r="TGO1631" s="1"/>
      <c r="TGP1631" s="1"/>
      <c r="TGQ1631" s="1"/>
      <c r="TGR1631" s="1"/>
      <c r="TGS1631" s="1"/>
      <c r="TGT1631" s="1"/>
      <c r="TGU1631" s="1"/>
      <c r="TGV1631" s="1"/>
      <c r="TGW1631" s="1"/>
      <c r="TGX1631" s="1"/>
      <c r="TGY1631" s="1"/>
      <c r="TGZ1631" s="1"/>
      <c r="THA1631" s="1"/>
      <c r="THB1631" s="1"/>
      <c r="THC1631" s="1"/>
      <c r="THD1631" s="1"/>
      <c r="THE1631" s="1"/>
      <c r="THF1631" s="1"/>
      <c r="THG1631" s="1"/>
      <c r="THH1631" s="1"/>
      <c r="THI1631" s="1"/>
      <c r="THJ1631" s="1"/>
      <c r="THK1631" s="1"/>
      <c r="THL1631" s="1"/>
      <c r="THM1631" s="1"/>
      <c r="THN1631" s="1"/>
      <c r="THO1631" s="1"/>
      <c r="THP1631" s="1"/>
      <c r="THQ1631" s="1"/>
      <c r="THR1631" s="1"/>
      <c r="THS1631" s="1"/>
      <c r="THT1631" s="1"/>
      <c r="THU1631" s="1"/>
      <c r="THV1631" s="1"/>
      <c r="THW1631" s="1"/>
      <c r="THX1631" s="1"/>
      <c r="THY1631" s="1"/>
      <c r="THZ1631" s="1"/>
      <c r="TIA1631" s="1"/>
      <c r="TIB1631" s="1"/>
      <c r="TIC1631" s="1"/>
      <c r="TID1631" s="1"/>
      <c r="TIE1631" s="1"/>
      <c r="TIF1631" s="1"/>
      <c r="TIG1631" s="1"/>
      <c r="TIH1631" s="1"/>
      <c r="TII1631" s="1"/>
      <c r="TIJ1631" s="1"/>
      <c r="TIK1631" s="1"/>
      <c r="TIL1631" s="1"/>
      <c r="TIM1631" s="1"/>
      <c r="TIN1631" s="1"/>
      <c r="TIO1631" s="1"/>
      <c r="TIP1631" s="1"/>
      <c r="TIQ1631" s="1"/>
      <c r="TIR1631" s="1"/>
      <c r="TIS1631" s="1"/>
      <c r="TIT1631" s="1"/>
      <c r="TIU1631" s="1"/>
      <c r="TIV1631" s="1"/>
      <c r="TIW1631" s="1"/>
      <c r="TIX1631" s="1"/>
      <c r="TIY1631" s="1"/>
      <c r="TIZ1631" s="1"/>
      <c r="TJA1631" s="1"/>
      <c r="TJB1631" s="1"/>
      <c r="TJC1631" s="1"/>
      <c r="TJD1631" s="1"/>
      <c r="TJE1631" s="1"/>
      <c r="TJF1631" s="1"/>
      <c r="TJG1631" s="1"/>
      <c r="TJH1631" s="1"/>
      <c r="TJI1631" s="1"/>
      <c r="TJJ1631" s="1"/>
      <c r="TJK1631" s="1"/>
      <c r="TJL1631" s="1"/>
      <c r="TJM1631" s="1"/>
      <c r="TJN1631" s="1"/>
      <c r="TJO1631" s="1"/>
      <c r="TJP1631" s="1"/>
      <c r="TJQ1631" s="1"/>
      <c r="TJR1631" s="1"/>
      <c r="TJS1631" s="1"/>
      <c r="TJT1631" s="1"/>
      <c r="TJU1631" s="1"/>
      <c r="TJV1631" s="1"/>
      <c r="TJW1631" s="1"/>
      <c r="TJX1631" s="1"/>
      <c r="TJY1631" s="1"/>
      <c r="TJZ1631" s="1"/>
      <c r="TKA1631" s="1"/>
      <c r="TKB1631" s="1"/>
      <c r="TKC1631" s="1"/>
      <c r="TKD1631" s="1"/>
      <c r="TKE1631" s="1"/>
      <c r="TKF1631" s="1"/>
      <c r="TKG1631" s="1"/>
      <c r="TKH1631" s="1"/>
      <c r="TKI1631" s="1"/>
      <c r="TKJ1631" s="1"/>
      <c r="TKK1631" s="1"/>
      <c r="TKL1631" s="1"/>
      <c r="TKM1631" s="1"/>
      <c r="TKN1631" s="1"/>
      <c r="TKO1631" s="1"/>
      <c r="TKP1631" s="1"/>
      <c r="TKQ1631" s="1"/>
      <c r="TKR1631" s="1"/>
      <c r="TKS1631" s="1"/>
      <c r="TKT1631" s="1"/>
      <c r="TKU1631" s="1"/>
      <c r="TKV1631" s="1"/>
      <c r="TKW1631" s="1"/>
      <c r="TKX1631" s="1"/>
      <c r="TKY1631" s="1"/>
      <c r="TKZ1631" s="1"/>
      <c r="TLA1631" s="1"/>
      <c r="TLB1631" s="1"/>
      <c r="TLC1631" s="1"/>
      <c r="TLD1631" s="1"/>
      <c r="TLE1631" s="1"/>
      <c r="TLF1631" s="1"/>
      <c r="TLG1631" s="1"/>
      <c r="TLH1631" s="1"/>
      <c r="TLI1631" s="1"/>
      <c r="TLJ1631" s="1"/>
      <c r="TLK1631" s="1"/>
      <c r="TLL1631" s="1"/>
      <c r="TLM1631" s="1"/>
      <c r="TLN1631" s="1"/>
      <c r="TLO1631" s="1"/>
      <c r="TLP1631" s="1"/>
      <c r="TLQ1631" s="1"/>
      <c r="TLR1631" s="1"/>
      <c r="TLS1631" s="1"/>
      <c r="TLT1631" s="1"/>
      <c r="TLU1631" s="1"/>
      <c r="TLV1631" s="1"/>
      <c r="TLW1631" s="1"/>
      <c r="TLX1631" s="1"/>
      <c r="TLY1631" s="1"/>
      <c r="TLZ1631" s="1"/>
      <c r="TMA1631" s="1"/>
      <c r="TMB1631" s="1"/>
      <c r="TMC1631" s="1"/>
      <c r="TMD1631" s="1"/>
      <c r="TME1631" s="1"/>
      <c r="TMF1631" s="1"/>
      <c r="TMG1631" s="1"/>
      <c r="TMH1631" s="1"/>
      <c r="TMI1631" s="1"/>
      <c r="TMJ1631" s="1"/>
      <c r="TMK1631" s="1"/>
      <c r="TML1631" s="1"/>
      <c r="TMM1631" s="1"/>
      <c r="TMN1631" s="1"/>
      <c r="TMO1631" s="1"/>
      <c r="TMP1631" s="1"/>
      <c r="TMQ1631" s="1"/>
      <c r="TMR1631" s="1"/>
      <c r="TMS1631" s="1"/>
      <c r="TMT1631" s="1"/>
      <c r="TMU1631" s="1"/>
      <c r="TMV1631" s="1"/>
      <c r="TMW1631" s="1"/>
      <c r="TMX1631" s="1"/>
      <c r="TMY1631" s="1"/>
      <c r="TMZ1631" s="1"/>
      <c r="TNA1631" s="1"/>
      <c r="TNB1631" s="1"/>
      <c r="TNC1631" s="1"/>
      <c r="TND1631" s="1"/>
      <c r="TNE1631" s="1"/>
      <c r="TNF1631" s="1"/>
      <c r="TNG1631" s="1"/>
      <c r="TNH1631" s="1"/>
      <c r="TNI1631" s="1"/>
      <c r="TNJ1631" s="1"/>
      <c r="TNK1631" s="1"/>
      <c r="TNL1631" s="1"/>
      <c r="TNM1631" s="1"/>
      <c r="TNN1631" s="1"/>
      <c r="TNO1631" s="1"/>
      <c r="TNP1631" s="1"/>
      <c r="TNQ1631" s="1"/>
      <c r="TNR1631" s="1"/>
      <c r="TNS1631" s="1"/>
      <c r="TNT1631" s="1"/>
      <c r="TNU1631" s="1"/>
      <c r="TNV1631" s="1"/>
      <c r="TNW1631" s="1"/>
      <c r="TNX1631" s="1"/>
      <c r="TNY1631" s="1"/>
      <c r="TNZ1631" s="1"/>
      <c r="TOA1631" s="1"/>
      <c r="TOB1631" s="1"/>
      <c r="TOC1631" s="1"/>
      <c r="TOD1631" s="1"/>
      <c r="TOE1631" s="1"/>
      <c r="TOF1631" s="1"/>
      <c r="TOG1631" s="1"/>
      <c r="TOH1631" s="1"/>
      <c r="TOI1631" s="1"/>
      <c r="TOJ1631" s="1"/>
      <c r="TOK1631" s="1"/>
      <c r="TOL1631" s="1"/>
      <c r="TOM1631" s="1"/>
      <c r="TON1631" s="1"/>
      <c r="TOO1631" s="1"/>
      <c r="TOP1631" s="1"/>
      <c r="TOQ1631" s="1"/>
      <c r="TOR1631" s="1"/>
      <c r="TOS1631" s="1"/>
      <c r="TOT1631" s="1"/>
      <c r="TOU1631" s="1"/>
      <c r="TOV1631" s="1"/>
      <c r="TOW1631" s="1"/>
      <c r="TOX1631" s="1"/>
      <c r="TOY1631" s="1"/>
      <c r="TOZ1631" s="1"/>
      <c r="TPA1631" s="1"/>
      <c r="TPB1631" s="1"/>
      <c r="TPC1631" s="1"/>
      <c r="TPD1631" s="1"/>
      <c r="TPE1631" s="1"/>
      <c r="TPF1631" s="1"/>
      <c r="TPG1631" s="1"/>
      <c r="TPH1631" s="1"/>
      <c r="TPI1631" s="1"/>
      <c r="TPJ1631" s="1"/>
      <c r="TPK1631" s="1"/>
      <c r="TPL1631" s="1"/>
      <c r="TPM1631" s="1"/>
      <c r="TPN1631" s="1"/>
      <c r="TPO1631" s="1"/>
      <c r="TPP1631" s="1"/>
      <c r="TPQ1631" s="1"/>
      <c r="TPR1631" s="1"/>
      <c r="TPS1631" s="1"/>
      <c r="TPT1631" s="1"/>
      <c r="TPU1631" s="1"/>
      <c r="TPV1631" s="1"/>
      <c r="TPW1631" s="1"/>
      <c r="TPX1631" s="1"/>
      <c r="TPY1631" s="1"/>
      <c r="TPZ1631" s="1"/>
      <c r="TQA1631" s="1"/>
      <c r="TQB1631" s="1"/>
      <c r="TQC1631" s="1"/>
      <c r="TQD1631" s="1"/>
      <c r="TQE1631" s="1"/>
      <c r="TQF1631" s="1"/>
      <c r="TQG1631" s="1"/>
      <c r="TQH1631" s="1"/>
      <c r="TQI1631" s="1"/>
      <c r="TQJ1631" s="1"/>
      <c r="TQK1631" s="1"/>
      <c r="TQL1631" s="1"/>
      <c r="TQM1631" s="1"/>
      <c r="TQN1631" s="1"/>
      <c r="TQO1631" s="1"/>
      <c r="TQP1631" s="1"/>
      <c r="TQQ1631" s="1"/>
      <c r="TQR1631" s="1"/>
      <c r="TQS1631" s="1"/>
      <c r="TQT1631" s="1"/>
      <c r="TQU1631" s="1"/>
      <c r="TQV1631" s="1"/>
      <c r="TQW1631" s="1"/>
      <c r="TQX1631" s="1"/>
      <c r="TQY1631" s="1"/>
      <c r="TQZ1631" s="1"/>
      <c r="TRA1631" s="1"/>
      <c r="TRB1631" s="1"/>
      <c r="TRC1631" s="1"/>
      <c r="TRD1631" s="1"/>
      <c r="TRE1631" s="1"/>
      <c r="TRF1631" s="1"/>
      <c r="TRG1631" s="1"/>
      <c r="TRH1631" s="1"/>
      <c r="TRI1631" s="1"/>
      <c r="TRJ1631" s="1"/>
      <c r="TRK1631" s="1"/>
      <c r="TRL1631" s="1"/>
      <c r="TRM1631" s="1"/>
      <c r="TRN1631" s="1"/>
      <c r="TRO1631" s="1"/>
      <c r="TRP1631" s="1"/>
      <c r="TRQ1631" s="1"/>
      <c r="TRR1631" s="1"/>
      <c r="TRS1631" s="1"/>
      <c r="TRT1631" s="1"/>
      <c r="TRU1631" s="1"/>
      <c r="TRV1631" s="1"/>
      <c r="TRW1631" s="1"/>
      <c r="TRX1631" s="1"/>
      <c r="TRY1631" s="1"/>
      <c r="TRZ1631" s="1"/>
      <c r="TSA1631" s="1"/>
      <c r="TSB1631" s="1"/>
      <c r="TSC1631" s="1"/>
      <c r="TSD1631" s="1"/>
      <c r="TSE1631" s="1"/>
      <c r="TSF1631" s="1"/>
      <c r="TSG1631" s="1"/>
      <c r="TSH1631" s="1"/>
      <c r="TSI1631" s="1"/>
      <c r="TSJ1631" s="1"/>
      <c r="TSK1631" s="1"/>
      <c r="TSL1631" s="1"/>
      <c r="TSM1631" s="1"/>
      <c r="TSN1631" s="1"/>
      <c r="TSO1631" s="1"/>
      <c r="TSP1631" s="1"/>
      <c r="TSQ1631" s="1"/>
      <c r="TSR1631" s="1"/>
      <c r="TSS1631" s="1"/>
      <c r="TST1631" s="1"/>
      <c r="TSU1631" s="1"/>
      <c r="TSV1631" s="1"/>
      <c r="TSW1631" s="1"/>
      <c r="TSX1631" s="1"/>
      <c r="TSY1631" s="1"/>
      <c r="TSZ1631" s="1"/>
      <c r="TTA1631" s="1"/>
      <c r="TTB1631" s="1"/>
      <c r="TTC1631" s="1"/>
      <c r="TTD1631" s="1"/>
      <c r="TTE1631" s="1"/>
      <c r="TTF1631" s="1"/>
      <c r="TTG1631" s="1"/>
      <c r="TTH1631" s="1"/>
      <c r="TTI1631" s="1"/>
      <c r="TTJ1631" s="1"/>
      <c r="TTK1631" s="1"/>
      <c r="TTL1631" s="1"/>
      <c r="TTM1631" s="1"/>
      <c r="TTN1631" s="1"/>
      <c r="TTO1631" s="1"/>
      <c r="TTP1631" s="1"/>
      <c r="TTQ1631" s="1"/>
      <c r="TTR1631" s="1"/>
      <c r="TTS1631" s="1"/>
      <c r="TTT1631" s="1"/>
      <c r="TTU1631" s="1"/>
      <c r="TTV1631" s="1"/>
      <c r="TTW1631" s="1"/>
      <c r="TTX1631" s="1"/>
      <c r="TTY1631" s="1"/>
      <c r="TTZ1631" s="1"/>
      <c r="TUA1631" s="1"/>
      <c r="TUB1631" s="1"/>
      <c r="TUC1631" s="1"/>
      <c r="TUD1631" s="1"/>
      <c r="TUE1631" s="1"/>
      <c r="TUF1631" s="1"/>
      <c r="TUG1631" s="1"/>
      <c r="TUH1631" s="1"/>
      <c r="TUI1631" s="1"/>
      <c r="TUJ1631" s="1"/>
      <c r="TUK1631" s="1"/>
      <c r="TUL1631" s="1"/>
      <c r="TUM1631" s="1"/>
      <c r="TUN1631" s="1"/>
      <c r="TUO1631" s="1"/>
      <c r="TUP1631" s="1"/>
      <c r="TUQ1631" s="1"/>
      <c r="TUR1631" s="1"/>
      <c r="TUS1631" s="1"/>
      <c r="TUT1631" s="1"/>
      <c r="TUU1631" s="1"/>
      <c r="TUV1631" s="1"/>
      <c r="TUW1631" s="1"/>
      <c r="TUX1631" s="1"/>
      <c r="TUY1631" s="1"/>
      <c r="TUZ1631" s="1"/>
      <c r="TVA1631" s="1"/>
      <c r="TVB1631" s="1"/>
      <c r="TVC1631" s="1"/>
      <c r="TVD1631" s="1"/>
      <c r="TVE1631" s="1"/>
      <c r="TVF1631" s="1"/>
      <c r="TVG1631" s="1"/>
      <c r="TVH1631" s="1"/>
      <c r="TVI1631" s="1"/>
      <c r="TVJ1631" s="1"/>
      <c r="TVK1631" s="1"/>
      <c r="TVL1631" s="1"/>
      <c r="TVM1631" s="1"/>
      <c r="TVN1631" s="1"/>
      <c r="TVO1631" s="1"/>
      <c r="TVP1631" s="1"/>
      <c r="TVQ1631" s="1"/>
      <c r="TVR1631" s="1"/>
      <c r="TVS1631" s="1"/>
      <c r="TVT1631" s="1"/>
      <c r="TVU1631" s="1"/>
      <c r="TVV1631" s="1"/>
      <c r="TVW1631" s="1"/>
      <c r="TVX1631" s="1"/>
      <c r="TVY1631" s="1"/>
      <c r="TVZ1631" s="1"/>
      <c r="TWA1631" s="1"/>
      <c r="TWB1631" s="1"/>
      <c r="TWC1631" s="1"/>
      <c r="TWD1631" s="1"/>
      <c r="TWE1631" s="1"/>
      <c r="TWF1631" s="1"/>
      <c r="TWG1631" s="1"/>
      <c r="TWH1631" s="1"/>
      <c r="TWI1631" s="1"/>
      <c r="TWJ1631" s="1"/>
      <c r="TWK1631" s="1"/>
      <c r="TWL1631" s="1"/>
      <c r="TWM1631" s="1"/>
      <c r="TWN1631" s="1"/>
      <c r="TWO1631" s="1"/>
      <c r="TWP1631" s="1"/>
      <c r="TWQ1631" s="1"/>
      <c r="TWR1631" s="1"/>
      <c r="TWS1631" s="1"/>
      <c r="TWT1631" s="1"/>
      <c r="TWU1631" s="1"/>
      <c r="TWV1631" s="1"/>
      <c r="TWW1631" s="1"/>
      <c r="TWX1631" s="1"/>
      <c r="TWY1631" s="1"/>
      <c r="TWZ1631" s="1"/>
      <c r="TXA1631" s="1"/>
      <c r="TXB1631" s="1"/>
      <c r="TXC1631" s="1"/>
      <c r="TXD1631" s="1"/>
      <c r="TXE1631" s="1"/>
      <c r="TXF1631" s="1"/>
      <c r="TXG1631" s="1"/>
      <c r="TXH1631" s="1"/>
      <c r="TXI1631" s="1"/>
      <c r="TXJ1631" s="1"/>
      <c r="TXK1631" s="1"/>
      <c r="TXL1631" s="1"/>
      <c r="TXM1631" s="1"/>
      <c r="TXN1631" s="1"/>
      <c r="TXO1631" s="1"/>
      <c r="TXP1631" s="1"/>
      <c r="TXQ1631" s="1"/>
      <c r="TXR1631" s="1"/>
      <c r="TXS1631" s="1"/>
      <c r="TXT1631" s="1"/>
      <c r="TXU1631" s="1"/>
      <c r="TXV1631" s="1"/>
      <c r="TXW1631" s="1"/>
      <c r="TXX1631" s="1"/>
      <c r="TXY1631" s="1"/>
      <c r="TXZ1631" s="1"/>
      <c r="TYA1631" s="1"/>
      <c r="TYB1631" s="1"/>
      <c r="TYC1631" s="1"/>
      <c r="TYD1631" s="1"/>
      <c r="TYE1631" s="1"/>
      <c r="TYF1631" s="1"/>
      <c r="TYG1631" s="1"/>
      <c r="TYH1631" s="1"/>
      <c r="TYI1631" s="1"/>
      <c r="TYJ1631" s="1"/>
      <c r="TYK1631" s="1"/>
      <c r="TYL1631" s="1"/>
      <c r="TYM1631" s="1"/>
      <c r="TYN1631" s="1"/>
      <c r="TYO1631" s="1"/>
      <c r="TYP1631" s="1"/>
      <c r="TYQ1631" s="1"/>
      <c r="TYR1631" s="1"/>
      <c r="TYS1631" s="1"/>
      <c r="TYT1631" s="1"/>
      <c r="TYU1631" s="1"/>
      <c r="TYV1631" s="1"/>
      <c r="TYW1631" s="1"/>
      <c r="TYX1631" s="1"/>
      <c r="TYY1631" s="1"/>
      <c r="TYZ1631" s="1"/>
      <c r="TZA1631" s="1"/>
      <c r="TZB1631" s="1"/>
      <c r="TZC1631" s="1"/>
      <c r="TZD1631" s="1"/>
      <c r="TZE1631" s="1"/>
      <c r="TZF1631" s="1"/>
      <c r="TZG1631" s="1"/>
      <c r="TZH1631" s="1"/>
      <c r="TZI1631" s="1"/>
      <c r="TZJ1631" s="1"/>
      <c r="TZK1631" s="1"/>
      <c r="TZL1631" s="1"/>
      <c r="TZM1631" s="1"/>
      <c r="TZN1631" s="1"/>
      <c r="TZO1631" s="1"/>
      <c r="TZP1631" s="1"/>
      <c r="TZQ1631" s="1"/>
      <c r="TZR1631" s="1"/>
      <c r="TZS1631" s="1"/>
      <c r="TZT1631" s="1"/>
      <c r="TZU1631" s="1"/>
      <c r="TZV1631" s="1"/>
      <c r="TZW1631" s="1"/>
      <c r="TZX1631" s="1"/>
      <c r="TZY1631" s="1"/>
      <c r="TZZ1631" s="1"/>
      <c r="UAA1631" s="1"/>
      <c r="UAB1631" s="1"/>
      <c r="UAC1631" s="1"/>
      <c r="UAD1631" s="1"/>
      <c r="UAE1631" s="1"/>
      <c r="UAF1631" s="1"/>
      <c r="UAG1631" s="1"/>
      <c r="UAH1631" s="1"/>
      <c r="UAI1631" s="1"/>
      <c r="UAJ1631" s="1"/>
      <c r="UAK1631" s="1"/>
      <c r="UAL1631" s="1"/>
      <c r="UAM1631" s="1"/>
      <c r="UAN1631" s="1"/>
      <c r="UAO1631" s="1"/>
      <c r="UAP1631" s="1"/>
      <c r="UAQ1631" s="1"/>
      <c r="UAR1631" s="1"/>
      <c r="UAS1631" s="1"/>
      <c r="UAT1631" s="1"/>
      <c r="UAU1631" s="1"/>
      <c r="UAV1631" s="1"/>
      <c r="UAW1631" s="1"/>
      <c r="UAX1631" s="1"/>
      <c r="UAY1631" s="1"/>
      <c r="UAZ1631" s="1"/>
      <c r="UBA1631" s="1"/>
      <c r="UBB1631" s="1"/>
      <c r="UBC1631" s="1"/>
      <c r="UBD1631" s="1"/>
      <c r="UBE1631" s="1"/>
      <c r="UBF1631" s="1"/>
      <c r="UBG1631" s="1"/>
      <c r="UBH1631" s="1"/>
      <c r="UBI1631" s="1"/>
      <c r="UBJ1631" s="1"/>
      <c r="UBK1631" s="1"/>
      <c r="UBL1631" s="1"/>
      <c r="UBM1631" s="1"/>
      <c r="UBN1631" s="1"/>
      <c r="UBO1631" s="1"/>
      <c r="UBP1631" s="1"/>
      <c r="UBQ1631" s="1"/>
      <c r="UBR1631" s="1"/>
      <c r="UBS1631" s="1"/>
      <c r="UBT1631" s="1"/>
      <c r="UBU1631" s="1"/>
      <c r="UBV1631" s="1"/>
      <c r="UBW1631" s="1"/>
      <c r="UBX1631" s="1"/>
      <c r="UBY1631" s="1"/>
      <c r="UBZ1631" s="1"/>
      <c r="UCA1631" s="1"/>
      <c r="UCB1631" s="1"/>
      <c r="UCC1631" s="1"/>
      <c r="UCD1631" s="1"/>
      <c r="UCE1631" s="1"/>
      <c r="UCF1631" s="1"/>
      <c r="UCG1631" s="1"/>
      <c r="UCH1631" s="1"/>
      <c r="UCI1631" s="1"/>
      <c r="UCJ1631" s="1"/>
      <c r="UCK1631" s="1"/>
      <c r="UCL1631" s="1"/>
      <c r="UCM1631" s="1"/>
      <c r="UCN1631" s="1"/>
      <c r="UCO1631" s="1"/>
      <c r="UCP1631" s="1"/>
      <c r="UCQ1631" s="1"/>
      <c r="UCR1631" s="1"/>
      <c r="UCS1631" s="1"/>
      <c r="UCT1631" s="1"/>
      <c r="UCU1631" s="1"/>
      <c r="UCV1631" s="1"/>
      <c r="UCW1631" s="1"/>
      <c r="UCX1631" s="1"/>
      <c r="UCY1631" s="1"/>
      <c r="UCZ1631" s="1"/>
      <c r="UDA1631" s="1"/>
      <c r="UDB1631" s="1"/>
      <c r="UDC1631" s="1"/>
      <c r="UDD1631" s="1"/>
      <c r="UDE1631" s="1"/>
      <c r="UDF1631" s="1"/>
      <c r="UDG1631" s="1"/>
      <c r="UDH1631" s="1"/>
      <c r="UDI1631" s="1"/>
      <c r="UDJ1631" s="1"/>
      <c r="UDK1631" s="1"/>
      <c r="UDL1631" s="1"/>
      <c r="UDM1631" s="1"/>
      <c r="UDN1631" s="1"/>
      <c r="UDO1631" s="1"/>
      <c r="UDP1631" s="1"/>
      <c r="UDQ1631" s="1"/>
      <c r="UDR1631" s="1"/>
      <c r="UDS1631" s="1"/>
      <c r="UDT1631" s="1"/>
      <c r="UDU1631" s="1"/>
      <c r="UDV1631" s="1"/>
      <c r="UDW1631" s="1"/>
      <c r="UDX1631" s="1"/>
      <c r="UDY1631" s="1"/>
      <c r="UDZ1631" s="1"/>
      <c r="UEA1631" s="1"/>
      <c r="UEB1631" s="1"/>
      <c r="UEC1631" s="1"/>
      <c r="UED1631" s="1"/>
      <c r="UEE1631" s="1"/>
      <c r="UEF1631" s="1"/>
      <c r="UEG1631" s="1"/>
      <c r="UEH1631" s="1"/>
      <c r="UEI1631" s="1"/>
      <c r="UEJ1631" s="1"/>
      <c r="UEK1631" s="1"/>
      <c r="UEL1631" s="1"/>
      <c r="UEM1631" s="1"/>
      <c r="UEN1631" s="1"/>
      <c r="UEO1631" s="1"/>
      <c r="UEP1631" s="1"/>
      <c r="UEQ1631" s="1"/>
      <c r="UER1631" s="1"/>
      <c r="UES1631" s="1"/>
      <c r="UET1631" s="1"/>
      <c r="UEU1631" s="1"/>
      <c r="UEV1631" s="1"/>
      <c r="UEW1631" s="1"/>
      <c r="UEX1631" s="1"/>
      <c r="UEY1631" s="1"/>
      <c r="UEZ1631" s="1"/>
      <c r="UFA1631" s="1"/>
      <c r="UFB1631" s="1"/>
      <c r="UFC1631" s="1"/>
      <c r="UFD1631" s="1"/>
      <c r="UFE1631" s="1"/>
      <c r="UFF1631" s="1"/>
      <c r="UFG1631" s="1"/>
      <c r="UFH1631" s="1"/>
      <c r="UFI1631" s="1"/>
      <c r="UFJ1631" s="1"/>
      <c r="UFK1631" s="1"/>
      <c r="UFL1631" s="1"/>
      <c r="UFM1631" s="1"/>
      <c r="UFN1631" s="1"/>
      <c r="UFO1631" s="1"/>
      <c r="UFP1631" s="1"/>
      <c r="UFQ1631" s="1"/>
      <c r="UFR1631" s="1"/>
      <c r="UFS1631" s="1"/>
      <c r="UFT1631" s="1"/>
      <c r="UFU1631" s="1"/>
      <c r="UFV1631" s="1"/>
      <c r="UFW1631" s="1"/>
      <c r="UFX1631" s="1"/>
      <c r="UFY1631" s="1"/>
      <c r="UFZ1631" s="1"/>
      <c r="UGA1631" s="1"/>
      <c r="UGB1631" s="1"/>
      <c r="UGC1631" s="1"/>
      <c r="UGD1631" s="1"/>
      <c r="UGE1631" s="1"/>
      <c r="UGF1631" s="1"/>
      <c r="UGG1631" s="1"/>
      <c r="UGH1631" s="1"/>
      <c r="UGI1631" s="1"/>
      <c r="UGJ1631" s="1"/>
      <c r="UGK1631" s="1"/>
      <c r="UGL1631" s="1"/>
      <c r="UGM1631" s="1"/>
      <c r="UGN1631" s="1"/>
      <c r="UGO1631" s="1"/>
      <c r="UGP1631" s="1"/>
      <c r="UGQ1631" s="1"/>
      <c r="UGR1631" s="1"/>
      <c r="UGS1631" s="1"/>
      <c r="UGT1631" s="1"/>
      <c r="UGU1631" s="1"/>
      <c r="UGV1631" s="1"/>
      <c r="UGW1631" s="1"/>
      <c r="UGX1631" s="1"/>
      <c r="UGY1631" s="1"/>
      <c r="UGZ1631" s="1"/>
      <c r="UHA1631" s="1"/>
      <c r="UHB1631" s="1"/>
      <c r="UHC1631" s="1"/>
      <c r="UHD1631" s="1"/>
      <c r="UHE1631" s="1"/>
      <c r="UHF1631" s="1"/>
      <c r="UHG1631" s="1"/>
      <c r="UHH1631" s="1"/>
      <c r="UHI1631" s="1"/>
      <c r="UHJ1631" s="1"/>
      <c r="UHK1631" s="1"/>
      <c r="UHL1631" s="1"/>
      <c r="UHM1631" s="1"/>
      <c r="UHN1631" s="1"/>
      <c r="UHO1631" s="1"/>
      <c r="UHP1631" s="1"/>
      <c r="UHQ1631" s="1"/>
      <c r="UHR1631" s="1"/>
      <c r="UHS1631" s="1"/>
      <c r="UHT1631" s="1"/>
      <c r="UHU1631" s="1"/>
      <c r="UHV1631" s="1"/>
      <c r="UHW1631" s="1"/>
      <c r="UHX1631" s="1"/>
      <c r="UHY1631" s="1"/>
      <c r="UHZ1631" s="1"/>
      <c r="UIA1631" s="1"/>
      <c r="UIB1631" s="1"/>
      <c r="UIC1631" s="1"/>
      <c r="UID1631" s="1"/>
      <c r="UIE1631" s="1"/>
      <c r="UIF1631" s="1"/>
      <c r="UIG1631" s="1"/>
      <c r="UIH1631" s="1"/>
      <c r="UII1631" s="1"/>
      <c r="UIJ1631" s="1"/>
      <c r="UIK1631" s="1"/>
      <c r="UIL1631" s="1"/>
      <c r="UIM1631" s="1"/>
      <c r="UIN1631" s="1"/>
      <c r="UIO1631" s="1"/>
      <c r="UIP1631" s="1"/>
      <c r="UIQ1631" s="1"/>
      <c r="UIR1631" s="1"/>
      <c r="UIS1631" s="1"/>
      <c r="UIT1631" s="1"/>
      <c r="UIU1631" s="1"/>
      <c r="UIV1631" s="1"/>
      <c r="UIW1631" s="1"/>
      <c r="UIX1631" s="1"/>
      <c r="UIY1631" s="1"/>
      <c r="UIZ1631" s="1"/>
      <c r="UJA1631" s="1"/>
      <c r="UJB1631" s="1"/>
      <c r="UJC1631" s="1"/>
      <c r="UJD1631" s="1"/>
      <c r="UJE1631" s="1"/>
      <c r="UJF1631" s="1"/>
      <c r="UJG1631" s="1"/>
      <c r="UJH1631" s="1"/>
      <c r="UJI1631" s="1"/>
      <c r="UJJ1631" s="1"/>
      <c r="UJK1631" s="1"/>
      <c r="UJL1631" s="1"/>
      <c r="UJM1631" s="1"/>
      <c r="UJN1631" s="1"/>
      <c r="UJO1631" s="1"/>
      <c r="UJP1631" s="1"/>
      <c r="UJQ1631" s="1"/>
      <c r="UJR1631" s="1"/>
      <c r="UJS1631" s="1"/>
      <c r="UJT1631" s="1"/>
      <c r="UJU1631" s="1"/>
      <c r="UJV1631" s="1"/>
      <c r="UJW1631" s="1"/>
      <c r="UJX1631" s="1"/>
      <c r="UJY1631" s="1"/>
      <c r="UJZ1631" s="1"/>
      <c r="UKA1631" s="1"/>
      <c r="UKB1631" s="1"/>
      <c r="UKC1631" s="1"/>
      <c r="UKD1631" s="1"/>
      <c r="UKE1631" s="1"/>
      <c r="UKF1631" s="1"/>
      <c r="UKG1631" s="1"/>
      <c r="UKH1631" s="1"/>
      <c r="UKI1631" s="1"/>
      <c r="UKJ1631" s="1"/>
      <c r="UKK1631" s="1"/>
      <c r="UKL1631" s="1"/>
      <c r="UKM1631" s="1"/>
      <c r="UKN1631" s="1"/>
      <c r="UKO1631" s="1"/>
      <c r="UKP1631" s="1"/>
      <c r="UKQ1631" s="1"/>
      <c r="UKR1631" s="1"/>
      <c r="UKS1631" s="1"/>
      <c r="UKT1631" s="1"/>
      <c r="UKU1631" s="1"/>
      <c r="UKV1631" s="1"/>
      <c r="UKW1631" s="1"/>
      <c r="UKX1631" s="1"/>
      <c r="UKY1631" s="1"/>
      <c r="UKZ1631" s="1"/>
      <c r="ULA1631" s="1"/>
      <c r="ULB1631" s="1"/>
      <c r="ULC1631" s="1"/>
      <c r="ULD1631" s="1"/>
      <c r="ULE1631" s="1"/>
      <c r="ULF1631" s="1"/>
      <c r="ULG1631" s="1"/>
      <c r="ULH1631" s="1"/>
      <c r="ULI1631" s="1"/>
      <c r="ULJ1631" s="1"/>
      <c r="ULK1631" s="1"/>
      <c r="ULL1631" s="1"/>
      <c r="ULM1631" s="1"/>
      <c r="ULN1631" s="1"/>
      <c r="ULO1631" s="1"/>
      <c r="ULP1631" s="1"/>
      <c r="ULQ1631" s="1"/>
      <c r="ULR1631" s="1"/>
      <c r="ULS1631" s="1"/>
      <c r="ULT1631" s="1"/>
      <c r="ULU1631" s="1"/>
      <c r="ULV1631" s="1"/>
      <c r="ULW1631" s="1"/>
      <c r="ULX1631" s="1"/>
      <c r="ULY1631" s="1"/>
      <c r="ULZ1631" s="1"/>
      <c r="UMA1631" s="1"/>
      <c r="UMB1631" s="1"/>
      <c r="UMC1631" s="1"/>
      <c r="UMD1631" s="1"/>
      <c r="UME1631" s="1"/>
      <c r="UMF1631" s="1"/>
      <c r="UMG1631" s="1"/>
      <c r="UMH1631" s="1"/>
      <c r="UMI1631" s="1"/>
      <c r="UMJ1631" s="1"/>
      <c r="UMK1631" s="1"/>
      <c r="UML1631" s="1"/>
      <c r="UMM1631" s="1"/>
      <c r="UMN1631" s="1"/>
      <c r="UMO1631" s="1"/>
      <c r="UMP1631" s="1"/>
      <c r="UMQ1631" s="1"/>
      <c r="UMR1631" s="1"/>
      <c r="UMS1631" s="1"/>
      <c r="UMT1631" s="1"/>
      <c r="UMU1631" s="1"/>
      <c r="UMV1631" s="1"/>
      <c r="UMW1631" s="1"/>
      <c r="UMX1631" s="1"/>
      <c r="UMY1631" s="1"/>
      <c r="UMZ1631" s="1"/>
      <c r="UNA1631" s="1"/>
      <c r="UNB1631" s="1"/>
      <c r="UNC1631" s="1"/>
      <c r="UND1631" s="1"/>
      <c r="UNE1631" s="1"/>
      <c r="UNF1631" s="1"/>
      <c r="UNG1631" s="1"/>
      <c r="UNH1631" s="1"/>
      <c r="UNI1631" s="1"/>
      <c r="UNJ1631" s="1"/>
      <c r="UNK1631" s="1"/>
      <c r="UNL1631" s="1"/>
      <c r="UNM1631" s="1"/>
      <c r="UNN1631" s="1"/>
      <c r="UNO1631" s="1"/>
      <c r="UNP1631" s="1"/>
      <c r="UNQ1631" s="1"/>
      <c r="UNR1631" s="1"/>
      <c r="UNS1631" s="1"/>
      <c r="UNT1631" s="1"/>
      <c r="UNU1631" s="1"/>
      <c r="UNV1631" s="1"/>
      <c r="UNW1631" s="1"/>
      <c r="UNX1631" s="1"/>
      <c r="UNY1631" s="1"/>
      <c r="UNZ1631" s="1"/>
      <c r="UOA1631" s="1"/>
      <c r="UOB1631" s="1"/>
      <c r="UOC1631" s="1"/>
      <c r="UOD1631" s="1"/>
      <c r="UOE1631" s="1"/>
      <c r="UOF1631" s="1"/>
      <c r="UOG1631" s="1"/>
      <c r="UOH1631" s="1"/>
      <c r="UOI1631" s="1"/>
      <c r="UOJ1631" s="1"/>
      <c r="UOK1631" s="1"/>
      <c r="UOL1631" s="1"/>
      <c r="UOM1631" s="1"/>
      <c r="UON1631" s="1"/>
      <c r="UOO1631" s="1"/>
      <c r="UOP1631" s="1"/>
      <c r="UOQ1631" s="1"/>
      <c r="UOR1631" s="1"/>
      <c r="UOS1631" s="1"/>
      <c r="UOT1631" s="1"/>
      <c r="UOU1631" s="1"/>
      <c r="UOV1631" s="1"/>
      <c r="UOW1631" s="1"/>
      <c r="UOX1631" s="1"/>
      <c r="UOY1631" s="1"/>
      <c r="UOZ1631" s="1"/>
      <c r="UPA1631" s="1"/>
      <c r="UPB1631" s="1"/>
      <c r="UPC1631" s="1"/>
      <c r="UPD1631" s="1"/>
      <c r="UPE1631" s="1"/>
      <c r="UPF1631" s="1"/>
      <c r="UPG1631" s="1"/>
      <c r="UPH1631" s="1"/>
      <c r="UPI1631" s="1"/>
      <c r="UPJ1631" s="1"/>
      <c r="UPK1631" s="1"/>
      <c r="UPL1631" s="1"/>
      <c r="UPM1631" s="1"/>
      <c r="UPN1631" s="1"/>
      <c r="UPO1631" s="1"/>
      <c r="UPP1631" s="1"/>
      <c r="UPQ1631" s="1"/>
      <c r="UPR1631" s="1"/>
      <c r="UPS1631" s="1"/>
      <c r="UPT1631" s="1"/>
      <c r="UPU1631" s="1"/>
      <c r="UPV1631" s="1"/>
      <c r="UPW1631" s="1"/>
      <c r="UPX1631" s="1"/>
      <c r="UPY1631" s="1"/>
      <c r="UPZ1631" s="1"/>
      <c r="UQA1631" s="1"/>
      <c r="UQB1631" s="1"/>
      <c r="UQC1631" s="1"/>
      <c r="UQD1631" s="1"/>
      <c r="UQE1631" s="1"/>
      <c r="UQF1631" s="1"/>
      <c r="UQG1631" s="1"/>
      <c r="UQH1631" s="1"/>
      <c r="UQI1631" s="1"/>
      <c r="UQJ1631" s="1"/>
      <c r="UQK1631" s="1"/>
      <c r="UQL1631" s="1"/>
      <c r="UQM1631" s="1"/>
      <c r="UQN1631" s="1"/>
      <c r="UQO1631" s="1"/>
      <c r="UQP1631" s="1"/>
      <c r="UQQ1631" s="1"/>
      <c r="UQR1631" s="1"/>
      <c r="UQS1631" s="1"/>
      <c r="UQT1631" s="1"/>
      <c r="UQU1631" s="1"/>
      <c r="UQV1631" s="1"/>
      <c r="UQW1631" s="1"/>
      <c r="UQX1631" s="1"/>
      <c r="UQY1631" s="1"/>
      <c r="UQZ1631" s="1"/>
      <c r="URA1631" s="1"/>
      <c r="URB1631" s="1"/>
      <c r="URC1631" s="1"/>
      <c r="URD1631" s="1"/>
      <c r="URE1631" s="1"/>
      <c r="URF1631" s="1"/>
      <c r="URG1631" s="1"/>
      <c r="URH1631" s="1"/>
      <c r="URI1631" s="1"/>
      <c r="URJ1631" s="1"/>
      <c r="URK1631" s="1"/>
      <c r="URL1631" s="1"/>
      <c r="URM1631" s="1"/>
      <c r="URN1631" s="1"/>
      <c r="URO1631" s="1"/>
      <c r="URP1631" s="1"/>
      <c r="URQ1631" s="1"/>
      <c r="URR1631" s="1"/>
      <c r="URS1631" s="1"/>
      <c r="URT1631" s="1"/>
      <c r="URU1631" s="1"/>
      <c r="URV1631" s="1"/>
      <c r="URW1631" s="1"/>
      <c r="URX1631" s="1"/>
      <c r="URY1631" s="1"/>
      <c r="URZ1631" s="1"/>
      <c r="USA1631" s="1"/>
      <c r="USB1631" s="1"/>
      <c r="USC1631" s="1"/>
      <c r="USD1631" s="1"/>
      <c r="USE1631" s="1"/>
      <c r="USF1631" s="1"/>
      <c r="USG1631" s="1"/>
      <c r="USH1631" s="1"/>
      <c r="USI1631" s="1"/>
      <c r="USJ1631" s="1"/>
      <c r="USK1631" s="1"/>
      <c r="USL1631" s="1"/>
      <c r="USM1631" s="1"/>
      <c r="USN1631" s="1"/>
      <c r="USO1631" s="1"/>
      <c r="USP1631" s="1"/>
      <c r="USQ1631" s="1"/>
      <c r="USR1631" s="1"/>
      <c r="USS1631" s="1"/>
      <c r="UST1631" s="1"/>
      <c r="USU1631" s="1"/>
      <c r="USV1631" s="1"/>
      <c r="USW1631" s="1"/>
      <c r="USX1631" s="1"/>
      <c r="USY1631" s="1"/>
      <c r="USZ1631" s="1"/>
      <c r="UTA1631" s="1"/>
      <c r="UTB1631" s="1"/>
      <c r="UTC1631" s="1"/>
      <c r="UTD1631" s="1"/>
      <c r="UTE1631" s="1"/>
      <c r="UTF1631" s="1"/>
      <c r="UTG1631" s="1"/>
      <c r="UTH1631" s="1"/>
      <c r="UTI1631" s="1"/>
      <c r="UTJ1631" s="1"/>
      <c r="UTK1631" s="1"/>
      <c r="UTL1631" s="1"/>
      <c r="UTM1631" s="1"/>
      <c r="UTN1631" s="1"/>
      <c r="UTO1631" s="1"/>
      <c r="UTP1631" s="1"/>
      <c r="UTQ1631" s="1"/>
      <c r="UTR1631" s="1"/>
      <c r="UTS1631" s="1"/>
      <c r="UTT1631" s="1"/>
      <c r="UTU1631" s="1"/>
      <c r="UTV1631" s="1"/>
      <c r="UTW1631" s="1"/>
      <c r="UTX1631" s="1"/>
      <c r="UTY1631" s="1"/>
      <c r="UTZ1631" s="1"/>
      <c r="UUA1631" s="1"/>
      <c r="UUB1631" s="1"/>
      <c r="UUC1631" s="1"/>
      <c r="UUD1631" s="1"/>
      <c r="UUE1631" s="1"/>
      <c r="UUF1631" s="1"/>
      <c r="UUG1631" s="1"/>
      <c r="UUH1631" s="1"/>
      <c r="UUI1631" s="1"/>
      <c r="UUJ1631" s="1"/>
      <c r="UUK1631" s="1"/>
      <c r="UUL1631" s="1"/>
      <c r="UUM1631" s="1"/>
      <c r="UUN1631" s="1"/>
      <c r="UUO1631" s="1"/>
      <c r="UUP1631" s="1"/>
      <c r="UUQ1631" s="1"/>
      <c r="UUR1631" s="1"/>
      <c r="UUS1631" s="1"/>
      <c r="UUT1631" s="1"/>
      <c r="UUU1631" s="1"/>
      <c r="UUV1631" s="1"/>
      <c r="UUW1631" s="1"/>
      <c r="UUX1631" s="1"/>
      <c r="UUY1631" s="1"/>
      <c r="UUZ1631" s="1"/>
      <c r="UVA1631" s="1"/>
      <c r="UVB1631" s="1"/>
      <c r="UVC1631" s="1"/>
      <c r="UVD1631" s="1"/>
      <c r="UVE1631" s="1"/>
      <c r="UVF1631" s="1"/>
      <c r="UVG1631" s="1"/>
      <c r="UVH1631" s="1"/>
      <c r="UVI1631" s="1"/>
      <c r="UVJ1631" s="1"/>
      <c r="UVK1631" s="1"/>
      <c r="UVL1631" s="1"/>
      <c r="UVM1631" s="1"/>
      <c r="UVN1631" s="1"/>
      <c r="UVO1631" s="1"/>
      <c r="UVP1631" s="1"/>
      <c r="UVQ1631" s="1"/>
      <c r="UVR1631" s="1"/>
      <c r="UVS1631" s="1"/>
      <c r="UVT1631" s="1"/>
      <c r="UVU1631" s="1"/>
      <c r="UVV1631" s="1"/>
      <c r="UVW1631" s="1"/>
      <c r="UVX1631" s="1"/>
      <c r="UVY1631" s="1"/>
      <c r="UVZ1631" s="1"/>
      <c r="UWA1631" s="1"/>
      <c r="UWB1631" s="1"/>
      <c r="UWC1631" s="1"/>
      <c r="UWD1631" s="1"/>
      <c r="UWE1631" s="1"/>
      <c r="UWF1631" s="1"/>
      <c r="UWG1631" s="1"/>
      <c r="UWH1631" s="1"/>
      <c r="UWI1631" s="1"/>
      <c r="UWJ1631" s="1"/>
      <c r="UWK1631" s="1"/>
      <c r="UWL1631" s="1"/>
      <c r="UWM1631" s="1"/>
      <c r="UWN1631" s="1"/>
      <c r="UWO1631" s="1"/>
      <c r="UWP1631" s="1"/>
      <c r="UWQ1631" s="1"/>
      <c r="UWR1631" s="1"/>
      <c r="UWS1631" s="1"/>
      <c r="UWT1631" s="1"/>
      <c r="UWU1631" s="1"/>
      <c r="UWV1631" s="1"/>
      <c r="UWW1631" s="1"/>
      <c r="UWX1631" s="1"/>
      <c r="UWY1631" s="1"/>
      <c r="UWZ1631" s="1"/>
      <c r="UXA1631" s="1"/>
      <c r="UXB1631" s="1"/>
      <c r="UXC1631" s="1"/>
      <c r="UXD1631" s="1"/>
      <c r="UXE1631" s="1"/>
      <c r="UXF1631" s="1"/>
      <c r="UXG1631" s="1"/>
      <c r="UXH1631" s="1"/>
      <c r="UXI1631" s="1"/>
      <c r="UXJ1631" s="1"/>
      <c r="UXK1631" s="1"/>
      <c r="UXL1631" s="1"/>
      <c r="UXM1631" s="1"/>
      <c r="UXN1631" s="1"/>
      <c r="UXO1631" s="1"/>
      <c r="UXP1631" s="1"/>
      <c r="UXQ1631" s="1"/>
      <c r="UXR1631" s="1"/>
      <c r="UXS1631" s="1"/>
      <c r="UXT1631" s="1"/>
      <c r="UXU1631" s="1"/>
      <c r="UXV1631" s="1"/>
      <c r="UXW1631" s="1"/>
      <c r="UXX1631" s="1"/>
      <c r="UXY1631" s="1"/>
      <c r="UXZ1631" s="1"/>
      <c r="UYA1631" s="1"/>
      <c r="UYB1631" s="1"/>
      <c r="UYC1631" s="1"/>
      <c r="UYD1631" s="1"/>
      <c r="UYE1631" s="1"/>
      <c r="UYF1631" s="1"/>
      <c r="UYG1631" s="1"/>
      <c r="UYH1631" s="1"/>
      <c r="UYI1631" s="1"/>
      <c r="UYJ1631" s="1"/>
      <c r="UYK1631" s="1"/>
      <c r="UYL1631" s="1"/>
      <c r="UYM1631" s="1"/>
      <c r="UYN1631" s="1"/>
      <c r="UYO1631" s="1"/>
      <c r="UYP1631" s="1"/>
      <c r="UYQ1631" s="1"/>
      <c r="UYR1631" s="1"/>
      <c r="UYS1631" s="1"/>
      <c r="UYT1631" s="1"/>
      <c r="UYU1631" s="1"/>
      <c r="UYV1631" s="1"/>
      <c r="UYW1631" s="1"/>
      <c r="UYX1631" s="1"/>
      <c r="UYY1631" s="1"/>
      <c r="UYZ1631" s="1"/>
      <c r="UZA1631" s="1"/>
      <c r="UZB1631" s="1"/>
      <c r="UZC1631" s="1"/>
      <c r="UZD1631" s="1"/>
      <c r="UZE1631" s="1"/>
      <c r="UZF1631" s="1"/>
      <c r="UZG1631" s="1"/>
      <c r="UZH1631" s="1"/>
      <c r="UZI1631" s="1"/>
      <c r="UZJ1631" s="1"/>
      <c r="UZK1631" s="1"/>
      <c r="UZL1631" s="1"/>
      <c r="UZM1631" s="1"/>
      <c r="UZN1631" s="1"/>
      <c r="UZO1631" s="1"/>
      <c r="UZP1631" s="1"/>
      <c r="UZQ1631" s="1"/>
      <c r="UZR1631" s="1"/>
      <c r="UZS1631" s="1"/>
      <c r="UZT1631" s="1"/>
      <c r="UZU1631" s="1"/>
      <c r="UZV1631" s="1"/>
      <c r="UZW1631" s="1"/>
      <c r="UZX1631" s="1"/>
      <c r="UZY1631" s="1"/>
      <c r="UZZ1631" s="1"/>
      <c r="VAA1631" s="1"/>
      <c r="VAB1631" s="1"/>
      <c r="VAC1631" s="1"/>
      <c r="VAD1631" s="1"/>
      <c r="VAE1631" s="1"/>
      <c r="VAF1631" s="1"/>
      <c r="VAG1631" s="1"/>
      <c r="VAH1631" s="1"/>
      <c r="VAI1631" s="1"/>
      <c r="VAJ1631" s="1"/>
      <c r="VAK1631" s="1"/>
      <c r="VAL1631" s="1"/>
      <c r="VAM1631" s="1"/>
      <c r="VAN1631" s="1"/>
      <c r="VAO1631" s="1"/>
      <c r="VAP1631" s="1"/>
      <c r="VAQ1631" s="1"/>
      <c r="VAR1631" s="1"/>
      <c r="VAS1631" s="1"/>
      <c r="VAT1631" s="1"/>
      <c r="VAU1631" s="1"/>
      <c r="VAV1631" s="1"/>
      <c r="VAW1631" s="1"/>
      <c r="VAX1631" s="1"/>
      <c r="VAY1631" s="1"/>
      <c r="VAZ1631" s="1"/>
      <c r="VBA1631" s="1"/>
      <c r="VBB1631" s="1"/>
      <c r="VBC1631" s="1"/>
      <c r="VBD1631" s="1"/>
      <c r="VBE1631" s="1"/>
      <c r="VBF1631" s="1"/>
      <c r="VBG1631" s="1"/>
      <c r="VBH1631" s="1"/>
      <c r="VBI1631" s="1"/>
      <c r="VBJ1631" s="1"/>
      <c r="VBK1631" s="1"/>
      <c r="VBL1631" s="1"/>
      <c r="VBM1631" s="1"/>
      <c r="VBN1631" s="1"/>
      <c r="VBO1631" s="1"/>
      <c r="VBP1631" s="1"/>
      <c r="VBQ1631" s="1"/>
      <c r="VBR1631" s="1"/>
      <c r="VBS1631" s="1"/>
      <c r="VBT1631" s="1"/>
      <c r="VBU1631" s="1"/>
      <c r="VBV1631" s="1"/>
      <c r="VBW1631" s="1"/>
      <c r="VBX1631" s="1"/>
      <c r="VBY1631" s="1"/>
      <c r="VBZ1631" s="1"/>
      <c r="VCA1631" s="1"/>
      <c r="VCB1631" s="1"/>
      <c r="VCC1631" s="1"/>
      <c r="VCD1631" s="1"/>
      <c r="VCE1631" s="1"/>
      <c r="VCF1631" s="1"/>
      <c r="VCG1631" s="1"/>
      <c r="VCH1631" s="1"/>
      <c r="VCI1631" s="1"/>
      <c r="VCJ1631" s="1"/>
      <c r="VCK1631" s="1"/>
      <c r="VCL1631" s="1"/>
      <c r="VCM1631" s="1"/>
      <c r="VCN1631" s="1"/>
      <c r="VCO1631" s="1"/>
      <c r="VCP1631" s="1"/>
      <c r="VCQ1631" s="1"/>
      <c r="VCR1631" s="1"/>
      <c r="VCS1631" s="1"/>
      <c r="VCT1631" s="1"/>
      <c r="VCU1631" s="1"/>
      <c r="VCV1631" s="1"/>
      <c r="VCW1631" s="1"/>
      <c r="VCX1631" s="1"/>
      <c r="VCY1631" s="1"/>
      <c r="VCZ1631" s="1"/>
      <c r="VDA1631" s="1"/>
      <c r="VDB1631" s="1"/>
      <c r="VDC1631" s="1"/>
      <c r="VDD1631" s="1"/>
      <c r="VDE1631" s="1"/>
      <c r="VDF1631" s="1"/>
      <c r="VDG1631" s="1"/>
      <c r="VDH1631" s="1"/>
      <c r="VDI1631" s="1"/>
      <c r="VDJ1631" s="1"/>
      <c r="VDK1631" s="1"/>
      <c r="VDL1631" s="1"/>
      <c r="VDM1631" s="1"/>
      <c r="VDN1631" s="1"/>
      <c r="VDO1631" s="1"/>
      <c r="VDP1631" s="1"/>
      <c r="VDQ1631" s="1"/>
      <c r="VDR1631" s="1"/>
      <c r="VDS1631" s="1"/>
      <c r="VDT1631" s="1"/>
      <c r="VDU1631" s="1"/>
      <c r="VDV1631" s="1"/>
      <c r="VDW1631" s="1"/>
      <c r="VDX1631" s="1"/>
      <c r="VDY1631" s="1"/>
      <c r="VDZ1631" s="1"/>
      <c r="VEA1631" s="1"/>
      <c r="VEB1631" s="1"/>
      <c r="VEC1631" s="1"/>
      <c r="VED1631" s="1"/>
      <c r="VEE1631" s="1"/>
      <c r="VEF1631" s="1"/>
      <c r="VEG1631" s="1"/>
      <c r="VEH1631" s="1"/>
      <c r="VEI1631" s="1"/>
      <c r="VEJ1631" s="1"/>
      <c r="VEK1631" s="1"/>
      <c r="VEL1631" s="1"/>
      <c r="VEM1631" s="1"/>
      <c r="VEN1631" s="1"/>
      <c r="VEO1631" s="1"/>
      <c r="VEP1631" s="1"/>
      <c r="VEQ1631" s="1"/>
      <c r="VER1631" s="1"/>
      <c r="VES1631" s="1"/>
      <c r="VET1631" s="1"/>
      <c r="VEU1631" s="1"/>
      <c r="VEV1631" s="1"/>
      <c r="VEW1631" s="1"/>
      <c r="VEX1631" s="1"/>
      <c r="VEY1631" s="1"/>
      <c r="VEZ1631" s="1"/>
      <c r="VFA1631" s="1"/>
      <c r="VFB1631" s="1"/>
      <c r="VFC1631" s="1"/>
      <c r="VFD1631" s="1"/>
      <c r="VFE1631" s="1"/>
      <c r="VFF1631" s="1"/>
      <c r="VFG1631" s="1"/>
      <c r="VFH1631" s="1"/>
      <c r="VFI1631" s="1"/>
      <c r="VFJ1631" s="1"/>
      <c r="VFK1631" s="1"/>
      <c r="VFL1631" s="1"/>
      <c r="VFM1631" s="1"/>
      <c r="VFN1631" s="1"/>
      <c r="VFO1631" s="1"/>
      <c r="VFP1631" s="1"/>
      <c r="VFQ1631" s="1"/>
      <c r="VFR1631" s="1"/>
      <c r="VFS1631" s="1"/>
      <c r="VFT1631" s="1"/>
      <c r="VFU1631" s="1"/>
      <c r="VFV1631" s="1"/>
      <c r="VFW1631" s="1"/>
      <c r="VFX1631" s="1"/>
      <c r="VFY1631" s="1"/>
      <c r="VFZ1631" s="1"/>
      <c r="VGA1631" s="1"/>
      <c r="VGB1631" s="1"/>
      <c r="VGC1631" s="1"/>
      <c r="VGD1631" s="1"/>
      <c r="VGE1631" s="1"/>
      <c r="VGF1631" s="1"/>
      <c r="VGG1631" s="1"/>
      <c r="VGH1631" s="1"/>
      <c r="VGI1631" s="1"/>
      <c r="VGJ1631" s="1"/>
      <c r="VGK1631" s="1"/>
      <c r="VGL1631" s="1"/>
      <c r="VGM1631" s="1"/>
      <c r="VGN1631" s="1"/>
      <c r="VGO1631" s="1"/>
      <c r="VGP1631" s="1"/>
      <c r="VGQ1631" s="1"/>
      <c r="VGR1631" s="1"/>
      <c r="VGS1631" s="1"/>
      <c r="VGT1631" s="1"/>
      <c r="VGU1631" s="1"/>
      <c r="VGV1631" s="1"/>
      <c r="VGW1631" s="1"/>
      <c r="VGX1631" s="1"/>
      <c r="VGY1631" s="1"/>
      <c r="VGZ1631" s="1"/>
      <c r="VHA1631" s="1"/>
      <c r="VHB1631" s="1"/>
      <c r="VHC1631" s="1"/>
      <c r="VHD1631" s="1"/>
      <c r="VHE1631" s="1"/>
      <c r="VHF1631" s="1"/>
      <c r="VHG1631" s="1"/>
      <c r="VHH1631" s="1"/>
      <c r="VHI1631" s="1"/>
      <c r="VHJ1631" s="1"/>
      <c r="VHK1631" s="1"/>
      <c r="VHL1631" s="1"/>
      <c r="VHM1631" s="1"/>
      <c r="VHN1631" s="1"/>
      <c r="VHO1631" s="1"/>
      <c r="VHP1631" s="1"/>
      <c r="VHQ1631" s="1"/>
      <c r="VHR1631" s="1"/>
      <c r="VHS1631" s="1"/>
      <c r="VHT1631" s="1"/>
      <c r="VHU1631" s="1"/>
      <c r="VHV1631" s="1"/>
      <c r="VHW1631" s="1"/>
      <c r="VHX1631" s="1"/>
      <c r="VHY1631" s="1"/>
      <c r="VHZ1631" s="1"/>
      <c r="VIA1631" s="1"/>
      <c r="VIB1631" s="1"/>
      <c r="VIC1631" s="1"/>
      <c r="VID1631" s="1"/>
      <c r="VIE1631" s="1"/>
      <c r="VIF1631" s="1"/>
      <c r="VIG1631" s="1"/>
      <c r="VIH1631" s="1"/>
      <c r="VII1631" s="1"/>
      <c r="VIJ1631" s="1"/>
      <c r="VIK1631" s="1"/>
      <c r="VIL1631" s="1"/>
      <c r="VIM1631" s="1"/>
      <c r="VIN1631" s="1"/>
      <c r="VIO1631" s="1"/>
      <c r="VIP1631" s="1"/>
      <c r="VIQ1631" s="1"/>
      <c r="VIR1631" s="1"/>
      <c r="VIS1631" s="1"/>
      <c r="VIT1631" s="1"/>
      <c r="VIU1631" s="1"/>
      <c r="VIV1631" s="1"/>
      <c r="VIW1631" s="1"/>
      <c r="VIX1631" s="1"/>
      <c r="VIY1631" s="1"/>
      <c r="VIZ1631" s="1"/>
      <c r="VJA1631" s="1"/>
      <c r="VJB1631" s="1"/>
      <c r="VJC1631" s="1"/>
      <c r="VJD1631" s="1"/>
      <c r="VJE1631" s="1"/>
      <c r="VJF1631" s="1"/>
      <c r="VJG1631" s="1"/>
      <c r="VJH1631" s="1"/>
      <c r="VJI1631" s="1"/>
      <c r="VJJ1631" s="1"/>
      <c r="VJK1631" s="1"/>
      <c r="VJL1631" s="1"/>
      <c r="VJM1631" s="1"/>
      <c r="VJN1631" s="1"/>
      <c r="VJO1631" s="1"/>
      <c r="VJP1631" s="1"/>
      <c r="VJQ1631" s="1"/>
      <c r="VJR1631" s="1"/>
      <c r="VJS1631" s="1"/>
      <c r="VJT1631" s="1"/>
      <c r="VJU1631" s="1"/>
      <c r="VJV1631" s="1"/>
      <c r="VJW1631" s="1"/>
      <c r="VJX1631" s="1"/>
      <c r="VJY1631" s="1"/>
      <c r="VJZ1631" s="1"/>
      <c r="VKA1631" s="1"/>
      <c r="VKB1631" s="1"/>
      <c r="VKC1631" s="1"/>
      <c r="VKD1631" s="1"/>
      <c r="VKE1631" s="1"/>
      <c r="VKF1631" s="1"/>
      <c r="VKG1631" s="1"/>
      <c r="VKH1631" s="1"/>
      <c r="VKI1631" s="1"/>
      <c r="VKJ1631" s="1"/>
      <c r="VKK1631" s="1"/>
      <c r="VKL1631" s="1"/>
      <c r="VKM1631" s="1"/>
      <c r="VKN1631" s="1"/>
      <c r="VKO1631" s="1"/>
      <c r="VKP1631" s="1"/>
      <c r="VKQ1631" s="1"/>
      <c r="VKR1631" s="1"/>
      <c r="VKS1631" s="1"/>
      <c r="VKT1631" s="1"/>
      <c r="VKU1631" s="1"/>
      <c r="VKV1631" s="1"/>
      <c r="VKW1631" s="1"/>
      <c r="VKX1631" s="1"/>
      <c r="VKY1631" s="1"/>
      <c r="VKZ1631" s="1"/>
      <c r="VLA1631" s="1"/>
      <c r="VLB1631" s="1"/>
      <c r="VLC1631" s="1"/>
      <c r="VLD1631" s="1"/>
      <c r="VLE1631" s="1"/>
      <c r="VLF1631" s="1"/>
      <c r="VLG1631" s="1"/>
      <c r="VLH1631" s="1"/>
      <c r="VLI1631" s="1"/>
      <c r="VLJ1631" s="1"/>
      <c r="VLK1631" s="1"/>
      <c r="VLL1631" s="1"/>
      <c r="VLM1631" s="1"/>
      <c r="VLN1631" s="1"/>
      <c r="VLO1631" s="1"/>
      <c r="VLP1631" s="1"/>
      <c r="VLQ1631" s="1"/>
      <c r="VLR1631" s="1"/>
      <c r="VLS1631" s="1"/>
      <c r="VLT1631" s="1"/>
      <c r="VLU1631" s="1"/>
      <c r="VLV1631" s="1"/>
      <c r="VLW1631" s="1"/>
      <c r="VLX1631" s="1"/>
      <c r="VLY1631" s="1"/>
      <c r="VLZ1631" s="1"/>
      <c r="VMA1631" s="1"/>
      <c r="VMB1631" s="1"/>
      <c r="VMC1631" s="1"/>
      <c r="VMD1631" s="1"/>
      <c r="VME1631" s="1"/>
      <c r="VMF1631" s="1"/>
      <c r="VMG1631" s="1"/>
      <c r="VMH1631" s="1"/>
      <c r="VMI1631" s="1"/>
      <c r="VMJ1631" s="1"/>
      <c r="VMK1631" s="1"/>
      <c r="VML1631" s="1"/>
      <c r="VMM1631" s="1"/>
      <c r="VMN1631" s="1"/>
      <c r="VMO1631" s="1"/>
      <c r="VMP1631" s="1"/>
      <c r="VMQ1631" s="1"/>
      <c r="VMR1631" s="1"/>
      <c r="VMS1631" s="1"/>
      <c r="VMT1631" s="1"/>
      <c r="VMU1631" s="1"/>
      <c r="VMV1631" s="1"/>
      <c r="VMW1631" s="1"/>
      <c r="VMX1631" s="1"/>
      <c r="VMY1631" s="1"/>
      <c r="VMZ1631" s="1"/>
      <c r="VNA1631" s="1"/>
      <c r="VNB1631" s="1"/>
      <c r="VNC1631" s="1"/>
      <c r="VND1631" s="1"/>
      <c r="VNE1631" s="1"/>
      <c r="VNF1631" s="1"/>
      <c r="VNG1631" s="1"/>
      <c r="VNH1631" s="1"/>
      <c r="VNI1631" s="1"/>
      <c r="VNJ1631" s="1"/>
      <c r="VNK1631" s="1"/>
      <c r="VNL1631" s="1"/>
      <c r="VNM1631" s="1"/>
      <c r="VNN1631" s="1"/>
      <c r="VNO1631" s="1"/>
      <c r="VNP1631" s="1"/>
      <c r="VNQ1631" s="1"/>
      <c r="VNR1631" s="1"/>
      <c r="VNS1631" s="1"/>
      <c r="VNT1631" s="1"/>
      <c r="VNU1631" s="1"/>
      <c r="VNV1631" s="1"/>
      <c r="VNW1631" s="1"/>
      <c r="VNX1631" s="1"/>
      <c r="VNY1631" s="1"/>
      <c r="VNZ1631" s="1"/>
      <c r="VOA1631" s="1"/>
      <c r="VOB1631" s="1"/>
      <c r="VOC1631" s="1"/>
      <c r="VOD1631" s="1"/>
      <c r="VOE1631" s="1"/>
      <c r="VOF1631" s="1"/>
      <c r="VOG1631" s="1"/>
      <c r="VOH1631" s="1"/>
      <c r="VOI1631" s="1"/>
      <c r="VOJ1631" s="1"/>
      <c r="VOK1631" s="1"/>
      <c r="VOL1631" s="1"/>
      <c r="VOM1631" s="1"/>
      <c r="VON1631" s="1"/>
      <c r="VOO1631" s="1"/>
      <c r="VOP1631" s="1"/>
      <c r="VOQ1631" s="1"/>
      <c r="VOR1631" s="1"/>
      <c r="VOS1631" s="1"/>
      <c r="VOT1631" s="1"/>
      <c r="VOU1631" s="1"/>
      <c r="VOV1631" s="1"/>
      <c r="VOW1631" s="1"/>
      <c r="VOX1631" s="1"/>
      <c r="VOY1631" s="1"/>
      <c r="VOZ1631" s="1"/>
      <c r="VPA1631" s="1"/>
      <c r="VPB1631" s="1"/>
      <c r="VPC1631" s="1"/>
      <c r="VPD1631" s="1"/>
      <c r="VPE1631" s="1"/>
      <c r="VPF1631" s="1"/>
      <c r="VPG1631" s="1"/>
      <c r="VPH1631" s="1"/>
      <c r="VPI1631" s="1"/>
      <c r="VPJ1631" s="1"/>
      <c r="VPK1631" s="1"/>
      <c r="VPL1631" s="1"/>
      <c r="VPM1631" s="1"/>
      <c r="VPN1631" s="1"/>
      <c r="VPO1631" s="1"/>
      <c r="VPP1631" s="1"/>
      <c r="VPQ1631" s="1"/>
      <c r="VPR1631" s="1"/>
      <c r="VPS1631" s="1"/>
      <c r="VPT1631" s="1"/>
      <c r="VPU1631" s="1"/>
      <c r="VPV1631" s="1"/>
      <c r="VPW1631" s="1"/>
      <c r="VPX1631" s="1"/>
      <c r="VPY1631" s="1"/>
      <c r="VPZ1631" s="1"/>
      <c r="VQA1631" s="1"/>
      <c r="VQB1631" s="1"/>
      <c r="VQC1631" s="1"/>
      <c r="VQD1631" s="1"/>
      <c r="VQE1631" s="1"/>
      <c r="VQF1631" s="1"/>
      <c r="VQG1631" s="1"/>
      <c r="VQH1631" s="1"/>
      <c r="VQI1631" s="1"/>
      <c r="VQJ1631" s="1"/>
      <c r="VQK1631" s="1"/>
      <c r="VQL1631" s="1"/>
      <c r="VQM1631" s="1"/>
      <c r="VQN1631" s="1"/>
      <c r="VQO1631" s="1"/>
      <c r="VQP1631" s="1"/>
      <c r="VQQ1631" s="1"/>
      <c r="VQR1631" s="1"/>
      <c r="VQS1631" s="1"/>
      <c r="VQT1631" s="1"/>
      <c r="VQU1631" s="1"/>
      <c r="VQV1631" s="1"/>
      <c r="VQW1631" s="1"/>
      <c r="VQX1631" s="1"/>
      <c r="VQY1631" s="1"/>
      <c r="VQZ1631" s="1"/>
      <c r="VRA1631" s="1"/>
      <c r="VRB1631" s="1"/>
      <c r="VRC1631" s="1"/>
      <c r="VRD1631" s="1"/>
      <c r="VRE1631" s="1"/>
      <c r="VRF1631" s="1"/>
      <c r="VRG1631" s="1"/>
      <c r="VRH1631" s="1"/>
      <c r="VRI1631" s="1"/>
      <c r="VRJ1631" s="1"/>
      <c r="VRK1631" s="1"/>
      <c r="VRL1631" s="1"/>
      <c r="VRM1631" s="1"/>
      <c r="VRN1631" s="1"/>
      <c r="VRO1631" s="1"/>
      <c r="VRP1631" s="1"/>
      <c r="VRQ1631" s="1"/>
      <c r="VRR1631" s="1"/>
      <c r="VRS1631" s="1"/>
      <c r="VRT1631" s="1"/>
      <c r="VRU1631" s="1"/>
      <c r="VRV1631" s="1"/>
      <c r="VRW1631" s="1"/>
      <c r="VRX1631" s="1"/>
      <c r="VRY1631" s="1"/>
      <c r="VRZ1631" s="1"/>
      <c r="VSA1631" s="1"/>
      <c r="VSB1631" s="1"/>
      <c r="VSC1631" s="1"/>
      <c r="VSD1631" s="1"/>
      <c r="VSE1631" s="1"/>
      <c r="VSF1631" s="1"/>
      <c r="VSG1631" s="1"/>
      <c r="VSH1631" s="1"/>
      <c r="VSI1631" s="1"/>
      <c r="VSJ1631" s="1"/>
      <c r="VSK1631" s="1"/>
      <c r="VSL1631" s="1"/>
      <c r="VSM1631" s="1"/>
      <c r="VSN1631" s="1"/>
      <c r="VSO1631" s="1"/>
      <c r="VSP1631" s="1"/>
      <c r="VSQ1631" s="1"/>
      <c r="VSR1631" s="1"/>
      <c r="VSS1631" s="1"/>
      <c r="VST1631" s="1"/>
      <c r="VSU1631" s="1"/>
      <c r="VSV1631" s="1"/>
      <c r="VSW1631" s="1"/>
      <c r="VSX1631" s="1"/>
      <c r="VSY1631" s="1"/>
      <c r="VSZ1631" s="1"/>
      <c r="VTA1631" s="1"/>
      <c r="VTB1631" s="1"/>
      <c r="VTC1631" s="1"/>
      <c r="VTD1631" s="1"/>
      <c r="VTE1631" s="1"/>
      <c r="VTF1631" s="1"/>
      <c r="VTG1631" s="1"/>
      <c r="VTH1631" s="1"/>
      <c r="VTI1631" s="1"/>
      <c r="VTJ1631" s="1"/>
      <c r="VTK1631" s="1"/>
      <c r="VTL1631" s="1"/>
      <c r="VTM1631" s="1"/>
      <c r="VTN1631" s="1"/>
      <c r="VTO1631" s="1"/>
      <c r="VTP1631" s="1"/>
      <c r="VTQ1631" s="1"/>
      <c r="VTR1631" s="1"/>
      <c r="VTS1631" s="1"/>
      <c r="VTT1631" s="1"/>
      <c r="VTU1631" s="1"/>
      <c r="VTV1631" s="1"/>
      <c r="VTW1631" s="1"/>
      <c r="VTX1631" s="1"/>
      <c r="VTY1631" s="1"/>
      <c r="VTZ1631" s="1"/>
      <c r="VUA1631" s="1"/>
      <c r="VUB1631" s="1"/>
      <c r="VUC1631" s="1"/>
      <c r="VUD1631" s="1"/>
      <c r="VUE1631" s="1"/>
      <c r="VUF1631" s="1"/>
      <c r="VUG1631" s="1"/>
      <c r="VUH1631" s="1"/>
      <c r="VUI1631" s="1"/>
      <c r="VUJ1631" s="1"/>
      <c r="VUK1631" s="1"/>
      <c r="VUL1631" s="1"/>
      <c r="VUM1631" s="1"/>
      <c r="VUN1631" s="1"/>
      <c r="VUO1631" s="1"/>
      <c r="VUP1631" s="1"/>
      <c r="VUQ1631" s="1"/>
      <c r="VUR1631" s="1"/>
      <c r="VUS1631" s="1"/>
      <c r="VUT1631" s="1"/>
      <c r="VUU1631" s="1"/>
      <c r="VUV1631" s="1"/>
      <c r="VUW1631" s="1"/>
      <c r="VUX1631" s="1"/>
      <c r="VUY1631" s="1"/>
      <c r="VUZ1631" s="1"/>
      <c r="VVA1631" s="1"/>
      <c r="VVB1631" s="1"/>
      <c r="VVC1631" s="1"/>
      <c r="VVD1631" s="1"/>
      <c r="VVE1631" s="1"/>
      <c r="VVF1631" s="1"/>
      <c r="VVG1631" s="1"/>
      <c r="VVH1631" s="1"/>
      <c r="VVI1631" s="1"/>
      <c r="VVJ1631" s="1"/>
      <c r="VVK1631" s="1"/>
      <c r="VVL1631" s="1"/>
      <c r="VVM1631" s="1"/>
      <c r="VVN1631" s="1"/>
      <c r="VVO1631" s="1"/>
      <c r="VVP1631" s="1"/>
      <c r="VVQ1631" s="1"/>
      <c r="VVR1631" s="1"/>
      <c r="VVS1631" s="1"/>
      <c r="VVT1631" s="1"/>
      <c r="VVU1631" s="1"/>
      <c r="VVV1631" s="1"/>
      <c r="VVW1631" s="1"/>
      <c r="VVX1631" s="1"/>
      <c r="VVY1631" s="1"/>
      <c r="VVZ1631" s="1"/>
      <c r="VWA1631" s="1"/>
      <c r="VWB1631" s="1"/>
      <c r="VWC1631" s="1"/>
      <c r="VWD1631" s="1"/>
      <c r="VWE1631" s="1"/>
      <c r="VWF1631" s="1"/>
      <c r="VWG1631" s="1"/>
      <c r="VWH1631" s="1"/>
      <c r="VWI1631" s="1"/>
      <c r="VWJ1631" s="1"/>
      <c r="VWK1631" s="1"/>
      <c r="VWL1631" s="1"/>
      <c r="VWM1631" s="1"/>
      <c r="VWN1631" s="1"/>
      <c r="VWO1631" s="1"/>
      <c r="VWP1631" s="1"/>
      <c r="VWQ1631" s="1"/>
      <c r="VWR1631" s="1"/>
      <c r="VWS1631" s="1"/>
      <c r="VWT1631" s="1"/>
      <c r="VWU1631" s="1"/>
      <c r="VWV1631" s="1"/>
      <c r="VWW1631" s="1"/>
      <c r="VWX1631" s="1"/>
      <c r="VWY1631" s="1"/>
      <c r="VWZ1631" s="1"/>
      <c r="VXA1631" s="1"/>
      <c r="VXB1631" s="1"/>
      <c r="VXC1631" s="1"/>
      <c r="VXD1631" s="1"/>
      <c r="VXE1631" s="1"/>
      <c r="VXF1631" s="1"/>
      <c r="VXG1631" s="1"/>
      <c r="VXH1631" s="1"/>
      <c r="VXI1631" s="1"/>
      <c r="VXJ1631" s="1"/>
      <c r="VXK1631" s="1"/>
      <c r="VXL1631" s="1"/>
      <c r="VXM1631" s="1"/>
      <c r="VXN1631" s="1"/>
      <c r="VXO1631" s="1"/>
      <c r="VXP1631" s="1"/>
      <c r="VXQ1631" s="1"/>
      <c r="VXR1631" s="1"/>
      <c r="VXS1631" s="1"/>
      <c r="VXT1631" s="1"/>
      <c r="VXU1631" s="1"/>
      <c r="VXV1631" s="1"/>
      <c r="VXW1631" s="1"/>
      <c r="VXX1631" s="1"/>
      <c r="VXY1631" s="1"/>
      <c r="VXZ1631" s="1"/>
      <c r="VYA1631" s="1"/>
      <c r="VYB1631" s="1"/>
      <c r="VYC1631" s="1"/>
      <c r="VYD1631" s="1"/>
      <c r="VYE1631" s="1"/>
      <c r="VYF1631" s="1"/>
      <c r="VYG1631" s="1"/>
      <c r="VYH1631" s="1"/>
      <c r="VYI1631" s="1"/>
      <c r="VYJ1631" s="1"/>
      <c r="VYK1631" s="1"/>
      <c r="VYL1631" s="1"/>
      <c r="VYM1631" s="1"/>
      <c r="VYN1631" s="1"/>
      <c r="VYO1631" s="1"/>
      <c r="VYP1631" s="1"/>
      <c r="VYQ1631" s="1"/>
      <c r="VYR1631" s="1"/>
      <c r="VYS1631" s="1"/>
      <c r="VYT1631" s="1"/>
      <c r="VYU1631" s="1"/>
      <c r="VYV1631" s="1"/>
      <c r="VYW1631" s="1"/>
      <c r="VYX1631" s="1"/>
      <c r="VYY1631" s="1"/>
      <c r="VYZ1631" s="1"/>
      <c r="VZA1631" s="1"/>
      <c r="VZB1631" s="1"/>
      <c r="VZC1631" s="1"/>
      <c r="VZD1631" s="1"/>
      <c r="VZE1631" s="1"/>
      <c r="VZF1631" s="1"/>
      <c r="VZG1631" s="1"/>
      <c r="VZH1631" s="1"/>
      <c r="VZI1631" s="1"/>
      <c r="VZJ1631" s="1"/>
      <c r="VZK1631" s="1"/>
      <c r="VZL1631" s="1"/>
      <c r="VZM1631" s="1"/>
      <c r="VZN1631" s="1"/>
      <c r="VZO1631" s="1"/>
      <c r="VZP1631" s="1"/>
      <c r="VZQ1631" s="1"/>
      <c r="VZR1631" s="1"/>
      <c r="VZS1631" s="1"/>
      <c r="VZT1631" s="1"/>
      <c r="VZU1631" s="1"/>
      <c r="VZV1631" s="1"/>
      <c r="VZW1631" s="1"/>
      <c r="VZX1631" s="1"/>
      <c r="VZY1631" s="1"/>
      <c r="VZZ1631" s="1"/>
      <c r="WAA1631" s="1"/>
      <c r="WAB1631" s="1"/>
      <c r="WAC1631" s="1"/>
      <c r="WAD1631" s="1"/>
      <c r="WAE1631" s="1"/>
      <c r="WAF1631" s="1"/>
      <c r="WAG1631" s="1"/>
      <c r="WAH1631" s="1"/>
      <c r="WAI1631" s="1"/>
      <c r="WAJ1631" s="1"/>
      <c r="WAK1631" s="1"/>
      <c r="WAL1631" s="1"/>
      <c r="WAM1631" s="1"/>
      <c r="WAN1631" s="1"/>
      <c r="WAO1631" s="1"/>
      <c r="WAP1631" s="1"/>
      <c r="WAQ1631" s="1"/>
      <c r="WAR1631" s="1"/>
      <c r="WAS1631" s="1"/>
      <c r="WAT1631" s="1"/>
      <c r="WAU1631" s="1"/>
      <c r="WAV1631" s="1"/>
      <c r="WAW1631" s="1"/>
      <c r="WAX1631" s="1"/>
      <c r="WAY1631" s="1"/>
      <c r="WAZ1631" s="1"/>
      <c r="WBA1631" s="1"/>
      <c r="WBB1631" s="1"/>
      <c r="WBC1631" s="1"/>
      <c r="WBD1631" s="1"/>
      <c r="WBE1631" s="1"/>
      <c r="WBF1631" s="1"/>
      <c r="WBG1631" s="1"/>
      <c r="WBH1631" s="1"/>
      <c r="WBI1631" s="1"/>
      <c r="WBJ1631" s="1"/>
      <c r="WBK1631" s="1"/>
      <c r="WBL1631" s="1"/>
      <c r="WBM1631" s="1"/>
      <c r="WBN1631" s="1"/>
      <c r="WBO1631" s="1"/>
      <c r="WBP1631" s="1"/>
      <c r="WBQ1631" s="1"/>
      <c r="WBR1631" s="1"/>
      <c r="WBS1631" s="1"/>
      <c r="WBT1631" s="1"/>
      <c r="WBU1631" s="1"/>
      <c r="WBV1631" s="1"/>
      <c r="WBW1631" s="1"/>
      <c r="WBX1631" s="1"/>
      <c r="WBY1631" s="1"/>
      <c r="WBZ1631" s="1"/>
      <c r="WCA1631" s="1"/>
      <c r="WCB1631" s="1"/>
      <c r="WCC1631" s="1"/>
      <c r="WCD1631" s="1"/>
      <c r="WCE1631" s="1"/>
      <c r="WCF1631" s="1"/>
      <c r="WCG1631" s="1"/>
      <c r="WCH1631" s="1"/>
      <c r="WCI1631" s="1"/>
      <c r="WCJ1631" s="1"/>
      <c r="WCK1631" s="1"/>
      <c r="WCL1631" s="1"/>
      <c r="WCM1631" s="1"/>
      <c r="WCN1631" s="1"/>
      <c r="WCO1631" s="1"/>
      <c r="WCP1631" s="1"/>
      <c r="WCQ1631" s="1"/>
      <c r="WCR1631" s="1"/>
      <c r="WCS1631" s="1"/>
      <c r="WCT1631" s="1"/>
      <c r="WCU1631" s="1"/>
      <c r="WCV1631" s="1"/>
      <c r="WCW1631" s="1"/>
      <c r="WCX1631" s="1"/>
      <c r="WCY1631" s="1"/>
      <c r="WCZ1631" s="1"/>
      <c r="WDA1631" s="1"/>
      <c r="WDB1631" s="1"/>
      <c r="WDC1631" s="1"/>
      <c r="WDD1631" s="1"/>
      <c r="WDE1631" s="1"/>
      <c r="WDF1631" s="1"/>
      <c r="WDG1631" s="1"/>
      <c r="WDH1631" s="1"/>
      <c r="WDI1631" s="1"/>
      <c r="WDJ1631" s="1"/>
      <c r="WDK1631" s="1"/>
      <c r="WDL1631" s="1"/>
      <c r="WDM1631" s="1"/>
      <c r="WDN1631" s="1"/>
      <c r="WDO1631" s="1"/>
      <c r="WDP1631" s="1"/>
      <c r="WDQ1631" s="1"/>
      <c r="WDR1631" s="1"/>
      <c r="WDS1631" s="1"/>
      <c r="WDT1631" s="1"/>
      <c r="WDU1631" s="1"/>
      <c r="WDV1631" s="1"/>
      <c r="WDW1631" s="1"/>
      <c r="WDX1631" s="1"/>
      <c r="WDY1631" s="1"/>
      <c r="WDZ1631" s="1"/>
      <c r="WEA1631" s="1"/>
      <c r="WEB1631" s="1"/>
      <c r="WEC1631" s="1"/>
      <c r="WED1631" s="1"/>
      <c r="WEE1631" s="1"/>
      <c r="WEF1631" s="1"/>
      <c r="WEG1631" s="1"/>
      <c r="WEH1631" s="1"/>
      <c r="WEI1631" s="1"/>
      <c r="WEJ1631" s="1"/>
      <c r="WEK1631" s="1"/>
      <c r="WEL1631" s="1"/>
      <c r="WEM1631" s="1"/>
      <c r="WEN1631" s="1"/>
      <c r="WEO1631" s="1"/>
      <c r="WEP1631" s="1"/>
      <c r="WEQ1631" s="1"/>
      <c r="WER1631" s="1"/>
      <c r="WES1631" s="1"/>
      <c r="WET1631" s="1"/>
      <c r="WEU1631" s="1"/>
      <c r="WEV1631" s="1"/>
      <c r="WEW1631" s="1"/>
      <c r="WEX1631" s="1"/>
      <c r="WEY1631" s="1"/>
      <c r="WEZ1631" s="1"/>
      <c r="WFA1631" s="1"/>
      <c r="WFB1631" s="1"/>
      <c r="WFC1631" s="1"/>
      <c r="WFD1631" s="1"/>
      <c r="WFE1631" s="1"/>
      <c r="WFF1631" s="1"/>
      <c r="WFG1631" s="1"/>
      <c r="WFH1631" s="1"/>
      <c r="WFI1631" s="1"/>
      <c r="WFJ1631" s="1"/>
      <c r="WFK1631" s="1"/>
      <c r="WFL1631" s="1"/>
      <c r="WFM1631" s="1"/>
      <c r="WFN1631" s="1"/>
      <c r="WFO1631" s="1"/>
      <c r="WFP1631" s="1"/>
      <c r="WFQ1631" s="1"/>
      <c r="WFR1631" s="1"/>
      <c r="WFS1631" s="1"/>
      <c r="WFT1631" s="1"/>
      <c r="WFU1631" s="1"/>
      <c r="WFV1631" s="1"/>
      <c r="WFW1631" s="1"/>
      <c r="WFX1631" s="1"/>
      <c r="WFY1631" s="1"/>
      <c r="WFZ1631" s="1"/>
      <c r="WGA1631" s="1"/>
      <c r="WGB1631" s="1"/>
      <c r="WGC1631" s="1"/>
      <c r="WGD1631" s="1"/>
      <c r="WGE1631" s="1"/>
      <c r="WGF1631" s="1"/>
      <c r="WGG1631" s="1"/>
      <c r="WGH1631" s="1"/>
      <c r="WGI1631" s="1"/>
      <c r="WGJ1631" s="1"/>
      <c r="WGK1631" s="1"/>
      <c r="WGL1631" s="1"/>
      <c r="WGM1631" s="1"/>
      <c r="WGN1631" s="1"/>
      <c r="WGO1631" s="1"/>
      <c r="WGP1631" s="1"/>
      <c r="WGQ1631" s="1"/>
      <c r="WGR1631" s="1"/>
      <c r="WGS1631" s="1"/>
      <c r="WGT1631" s="1"/>
      <c r="WGU1631" s="1"/>
      <c r="WGV1631" s="1"/>
      <c r="WGW1631" s="1"/>
      <c r="WGX1631" s="1"/>
      <c r="WGY1631" s="1"/>
      <c r="WGZ1631" s="1"/>
      <c r="WHA1631" s="1"/>
      <c r="WHB1631" s="1"/>
      <c r="WHC1631" s="1"/>
      <c r="WHD1631" s="1"/>
      <c r="WHE1631" s="1"/>
      <c r="WHF1631" s="1"/>
      <c r="WHG1631" s="1"/>
      <c r="WHH1631" s="1"/>
      <c r="WHI1631" s="1"/>
      <c r="WHJ1631" s="1"/>
      <c r="WHK1631" s="1"/>
      <c r="WHL1631" s="1"/>
      <c r="WHM1631" s="1"/>
      <c r="WHN1631" s="1"/>
      <c r="WHO1631" s="1"/>
      <c r="WHP1631" s="1"/>
      <c r="WHQ1631" s="1"/>
      <c r="WHR1631" s="1"/>
      <c r="WHS1631" s="1"/>
      <c r="WHT1631" s="1"/>
      <c r="WHU1631" s="1"/>
      <c r="WHV1631" s="1"/>
      <c r="WHW1631" s="1"/>
      <c r="WHX1631" s="1"/>
      <c r="WHY1631" s="1"/>
      <c r="WHZ1631" s="1"/>
      <c r="WIA1631" s="1"/>
      <c r="WIB1631" s="1"/>
      <c r="WIC1631" s="1"/>
      <c r="WID1631" s="1"/>
      <c r="WIE1631" s="1"/>
      <c r="WIF1631" s="1"/>
      <c r="WIG1631" s="1"/>
      <c r="WIH1631" s="1"/>
      <c r="WII1631" s="1"/>
      <c r="WIJ1631" s="1"/>
      <c r="WIK1631" s="1"/>
      <c r="WIL1631" s="1"/>
      <c r="WIM1631" s="1"/>
      <c r="WIN1631" s="1"/>
      <c r="WIO1631" s="1"/>
      <c r="WIP1631" s="1"/>
      <c r="WIQ1631" s="1"/>
      <c r="WIR1631" s="1"/>
      <c r="WIS1631" s="1"/>
      <c r="WIT1631" s="1"/>
      <c r="WIU1631" s="1"/>
      <c r="WIV1631" s="1"/>
      <c r="WIW1631" s="1"/>
      <c r="WIX1631" s="1"/>
      <c r="WIY1631" s="1"/>
      <c r="WIZ1631" s="1"/>
      <c r="WJA1631" s="1"/>
      <c r="WJB1631" s="1"/>
      <c r="WJC1631" s="1"/>
      <c r="WJD1631" s="1"/>
      <c r="WJE1631" s="1"/>
      <c r="WJF1631" s="1"/>
      <c r="WJG1631" s="1"/>
      <c r="WJH1631" s="1"/>
      <c r="WJI1631" s="1"/>
      <c r="WJJ1631" s="1"/>
      <c r="WJK1631" s="1"/>
      <c r="WJL1631" s="1"/>
      <c r="WJM1631" s="1"/>
      <c r="WJN1631" s="1"/>
      <c r="WJO1631" s="1"/>
      <c r="WJP1631" s="1"/>
      <c r="WJQ1631" s="1"/>
      <c r="WJR1631" s="1"/>
      <c r="WJS1631" s="1"/>
      <c r="WJT1631" s="1"/>
      <c r="WJU1631" s="1"/>
      <c r="WJV1631" s="1"/>
      <c r="WJW1631" s="1"/>
      <c r="WJX1631" s="1"/>
      <c r="WJY1631" s="1"/>
      <c r="WJZ1631" s="1"/>
      <c r="WKA1631" s="1"/>
      <c r="WKB1631" s="1"/>
      <c r="WKC1631" s="1"/>
      <c r="WKD1631" s="1"/>
      <c r="WKE1631" s="1"/>
      <c r="WKF1631" s="1"/>
      <c r="WKG1631" s="1"/>
      <c r="WKH1631" s="1"/>
      <c r="WKI1631" s="1"/>
      <c r="WKJ1631" s="1"/>
      <c r="WKK1631" s="1"/>
      <c r="WKL1631" s="1"/>
      <c r="WKM1631" s="1"/>
      <c r="WKN1631" s="1"/>
      <c r="WKO1631" s="1"/>
      <c r="WKP1631" s="1"/>
      <c r="WKQ1631" s="1"/>
      <c r="WKR1631" s="1"/>
      <c r="WKS1631" s="1"/>
      <c r="WKT1631" s="1"/>
      <c r="WKU1631" s="1"/>
      <c r="WKV1631" s="1"/>
      <c r="WKW1631" s="1"/>
      <c r="WKX1631" s="1"/>
      <c r="WKY1631" s="1"/>
      <c r="WKZ1631" s="1"/>
      <c r="WLA1631" s="1"/>
      <c r="WLB1631" s="1"/>
      <c r="WLC1631" s="1"/>
      <c r="WLD1631" s="1"/>
      <c r="WLE1631" s="1"/>
      <c r="WLF1631" s="1"/>
      <c r="WLG1631" s="1"/>
      <c r="WLH1631" s="1"/>
      <c r="WLI1631" s="1"/>
      <c r="WLJ1631" s="1"/>
      <c r="WLK1631" s="1"/>
      <c r="WLL1631" s="1"/>
      <c r="WLM1631" s="1"/>
      <c r="WLN1631" s="1"/>
      <c r="WLO1631" s="1"/>
      <c r="WLP1631" s="1"/>
      <c r="WLQ1631" s="1"/>
      <c r="WLR1631" s="1"/>
      <c r="WLS1631" s="1"/>
      <c r="WLT1631" s="1"/>
      <c r="WLU1631" s="1"/>
      <c r="WLV1631" s="1"/>
      <c r="WLW1631" s="1"/>
      <c r="WLX1631" s="1"/>
      <c r="WLY1631" s="1"/>
      <c r="WLZ1631" s="1"/>
      <c r="WMA1631" s="1"/>
      <c r="WMB1631" s="1"/>
      <c r="WMC1631" s="1"/>
      <c r="WMD1631" s="1"/>
      <c r="WME1631" s="1"/>
      <c r="WMF1631" s="1"/>
      <c r="WMG1631" s="1"/>
      <c r="WMH1631" s="1"/>
      <c r="WMI1631" s="1"/>
      <c r="WMJ1631" s="1"/>
      <c r="WMK1631" s="1"/>
      <c r="WML1631" s="1"/>
      <c r="WMM1631" s="1"/>
      <c r="WMN1631" s="1"/>
      <c r="WMO1631" s="1"/>
      <c r="WMP1631" s="1"/>
      <c r="WMQ1631" s="1"/>
      <c r="WMR1631" s="1"/>
      <c r="WMS1631" s="1"/>
      <c r="WMT1631" s="1"/>
      <c r="WMU1631" s="1"/>
      <c r="WMV1631" s="1"/>
      <c r="WMW1631" s="1"/>
      <c r="WMX1631" s="1"/>
      <c r="WMY1631" s="1"/>
      <c r="WMZ1631" s="1"/>
      <c r="WNA1631" s="1"/>
      <c r="WNB1631" s="1"/>
      <c r="WNC1631" s="1"/>
      <c r="WND1631" s="1"/>
      <c r="WNE1631" s="1"/>
      <c r="WNF1631" s="1"/>
      <c r="WNG1631" s="1"/>
      <c r="WNH1631" s="1"/>
      <c r="WNI1631" s="1"/>
      <c r="WNJ1631" s="1"/>
      <c r="WNK1631" s="1"/>
      <c r="WNL1631" s="1"/>
      <c r="WNM1631" s="1"/>
      <c r="WNN1631" s="1"/>
      <c r="WNO1631" s="1"/>
      <c r="WNP1631" s="1"/>
      <c r="WNQ1631" s="1"/>
      <c r="WNR1631" s="1"/>
      <c r="WNS1631" s="1"/>
      <c r="WNT1631" s="1"/>
      <c r="WNU1631" s="1"/>
      <c r="WNV1631" s="1"/>
      <c r="WNW1631" s="1"/>
      <c r="WNX1631" s="1"/>
      <c r="WNY1631" s="1"/>
      <c r="WNZ1631" s="1"/>
      <c r="WOA1631" s="1"/>
      <c r="WOB1631" s="1"/>
      <c r="WOC1631" s="1"/>
      <c r="WOD1631" s="1"/>
      <c r="WOE1631" s="1"/>
      <c r="WOF1631" s="1"/>
      <c r="WOG1631" s="1"/>
      <c r="WOH1631" s="1"/>
      <c r="WOI1631" s="1"/>
      <c r="WOJ1631" s="1"/>
      <c r="WOK1631" s="1"/>
      <c r="WOL1631" s="1"/>
      <c r="WOM1631" s="1"/>
      <c r="WON1631" s="1"/>
      <c r="WOO1631" s="1"/>
      <c r="WOP1631" s="1"/>
      <c r="WOQ1631" s="1"/>
      <c r="WOR1631" s="1"/>
      <c r="WOS1631" s="1"/>
      <c r="WOT1631" s="1"/>
      <c r="WOU1631" s="1"/>
      <c r="WOV1631" s="1"/>
      <c r="WOW1631" s="1"/>
      <c r="WOX1631" s="1"/>
      <c r="WOY1631" s="1"/>
      <c r="WOZ1631" s="1"/>
      <c r="WPA1631" s="1"/>
      <c r="WPB1631" s="1"/>
      <c r="WPC1631" s="1"/>
      <c r="WPD1631" s="1"/>
      <c r="WPE1631" s="1"/>
      <c r="WPF1631" s="1"/>
      <c r="WPG1631" s="1"/>
      <c r="WPH1631" s="1"/>
      <c r="WPI1631" s="1"/>
      <c r="WPJ1631" s="1"/>
      <c r="WPK1631" s="1"/>
      <c r="WPL1631" s="1"/>
      <c r="WPM1631" s="1"/>
      <c r="WPN1631" s="1"/>
      <c r="WPO1631" s="1"/>
      <c r="WPP1631" s="1"/>
      <c r="WPQ1631" s="1"/>
      <c r="WPR1631" s="1"/>
      <c r="WPS1631" s="1"/>
      <c r="WPT1631" s="1"/>
      <c r="WPU1631" s="1"/>
      <c r="WPV1631" s="1"/>
      <c r="WPW1631" s="1"/>
      <c r="WPX1631" s="1"/>
      <c r="WPY1631" s="1"/>
      <c r="WPZ1631" s="1"/>
      <c r="WQA1631" s="1"/>
      <c r="WQB1631" s="1"/>
      <c r="WQC1631" s="1"/>
      <c r="WQD1631" s="1"/>
      <c r="WQE1631" s="1"/>
      <c r="WQF1631" s="1"/>
      <c r="WQG1631" s="1"/>
      <c r="WQH1631" s="1"/>
      <c r="WQI1631" s="1"/>
      <c r="WQJ1631" s="1"/>
      <c r="WQK1631" s="1"/>
      <c r="WQL1631" s="1"/>
      <c r="WQM1631" s="1"/>
      <c r="WQN1631" s="1"/>
      <c r="WQO1631" s="1"/>
      <c r="WQP1631" s="1"/>
      <c r="WQQ1631" s="1"/>
      <c r="WQR1631" s="1"/>
      <c r="WQS1631" s="1"/>
      <c r="WQT1631" s="1"/>
      <c r="WQU1631" s="1"/>
      <c r="WQV1631" s="1"/>
      <c r="WQW1631" s="1"/>
      <c r="WQX1631" s="1"/>
      <c r="WQY1631" s="1"/>
      <c r="WQZ1631" s="1"/>
      <c r="WRA1631" s="1"/>
      <c r="WRB1631" s="1"/>
      <c r="WRC1631" s="1"/>
      <c r="WRD1631" s="1"/>
      <c r="WRE1631" s="1"/>
      <c r="WRF1631" s="1"/>
      <c r="WRG1631" s="1"/>
      <c r="WRH1631" s="1"/>
      <c r="WRI1631" s="1"/>
      <c r="WRJ1631" s="1"/>
      <c r="WRK1631" s="1"/>
      <c r="WRL1631" s="1"/>
      <c r="WRM1631" s="1"/>
      <c r="WRN1631" s="1"/>
      <c r="WRO1631" s="1"/>
      <c r="WRP1631" s="1"/>
      <c r="WRQ1631" s="1"/>
      <c r="WRR1631" s="1"/>
      <c r="WRS1631" s="1"/>
      <c r="WRT1631" s="1"/>
      <c r="WRU1631" s="1"/>
      <c r="WRV1631" s="1"/>
      <c r="WRW1631" s="1"/>
      <c r="WRX1631" s="1"/>
      <c r="WRY1631" s="1"/>
      <c r="WRZ1631" s="1"/>
      <c r="WSA1631" s="1"/>
      <c r="WSB1631" s="1"/>
      <c r="WSC1631" s="1"/>
      <c r="WSD1631" s="1"/>
      <c r="WSE1631" s="1"/>
      <c r="WSF1631" s="1"/>
      <c r="WSG1631" s="1"/>
      <c r="WSH1631" s="1"/>
      <c r="WSI1631" s="1"/>
      <c r="WSJ1631" s="1"/>
      <c r="WSK1631" s="1"/>
      <c r="WSL1631" s="1"/>
      <c r="WSM1631" s="1"/>
      <c r="WSN1631" s="1"/>
      <c r="WSO1631" s="1"/>
      <c r="WSP1631" s="1"/>
      <c r="WSQ1631" s="1"/>
      <c r="WSR1631" s="1"/>
      <c r="WSS1631" s="1"/>
      <c r="WST1631" s="1"/>
      <c r="WSU1631" s="1"/>
      <c r="WSV1631" s="1"/>
      <c r="WSW1631" s="1"/>
      <c r="WSX1631" s="1"/>
      <c r="WSY1631" s="1"/>
      <c r="WSZ1631" s="1"/>
      <c r="WTA1631" s="1"/>
      <c r="WTB1631" s="1"/>
      <c r="WTC1631" s="1"/>
      <c r="WTD1631" s="1"/>
      <c r="WTE1631" s="1"/>
      <c r="WTF1631" s="1"/>
      <c r="WTG1631" s="1"/>
      <c r="WTH1631" s="1"/>
      <c r="WTI1631" s="1"/>
      <c r="WTJ1631" s="1"/>
      <c r="WTK1631" s="1"/>
      <c r="WTL1631" s="1"/>
      <c r="WTM1631" s="1"/>
      <c r="WTN1631" s="1"/>
      <c r="WTO1631" s="1"/>
      <c r="WTP1631" s="1"/>
      <c r="WTQ1631" s="1"/>
      <c r="WTR1631" s="1"/>
      <c r="WTS1631" s="1"/>
      <c r="WTT1631" s="1"/>
      <c r="WTU1631" s="1"/>
      <c r="WTV1631" s="1"/>
      <c r="WTW1631" s="1"/>
      <c r="WTX1631" s="1"/>
      <c r="WTY1631" s="1"/>
      <c r="WTZ1631" s="1"/>
      <c r="WUA1631" s="1"/>
      <c r="WUB1631" s="1"/>
      <c r="WUC1631" s="1"/>
      <c r="WUD1631" s="1"/>
      <c r="WUE1631" s="1"/>
      <c r="WUF1631" s="1"/>
      <c r="WUG1631" s="1"/>
      <c r="WUH1631" s="1"/>
      <c r="WUI1631" s="1"/>
      <c r="WUJ1631" s="1"/>
      <c r="WUK1631" s="1"/>
      <c r="WUL1631" s="1"/>
      <c r="WUM1631" s="1"/>
      <c r="WUN1631" s="1"/>
      <c r="WUO1631" s="1"/>
      <c r="WUP1631" s="1"/>
      <c r="WUQ1631" s="1"/>
      <c r="WUR1631" s="1"/>
      <c r="WUS1631" s="1"/>
      <c r="WUT1631" s="1"/>
      <c r="WUU1631" s="1"/>
      <c r="WUV1631" s="1"/>
      <c r="WUW1631" s="1"/>
      <c r="WUX1631" s="1"/>
      <c r="WUY1631" s="1"/>
      <c r="WUZ1631" s="1"/>
      <c r="WVA1631" s="1"/>
      <c r="WVB1631" s="1"/>
      <c r="WVC1631" s="1"/>
      <c r="WVD1631" s="1"/>
      <c r="WVE1631" s="1"/>
      <c r="WVF1631" s="1"/>
      <c r="WVG1631" s="1"/>
      <c r="WVH1631" s="1"/>
      <c r="WVI1631" s="1"/>
      <c r="WVJ1631" s="1"/>
      <c r="WVK1631" s="1"/>
      <c r="WVL1631" s="1"/>
      <c r="WVM1631" s="1"/>
      <c r="WVN1631" s="1"/>
      <c r="WVO1631" s="1"/>
      <c r="WVP1631" s="1"/>
      <c r="WVQ1631" s="1"/>
      <c r="WVR1631" s="1"/>
      <c r="WVS1631" s="1"/>
      <c r="WVT1631" s="1"/>
      <c r="WVU1631" s="1"/>
      <c r="WVV1631" s="1"/>
      <c r="WVW1631" s="1"/>
      <c r="WVX1631" s="1"/>
      <c r="WVY1631" s="1"/>
      <c r="WVZ1631" s="1"/>
      <c r="WWA1631" s="1"/>
      <c r="WWB1631" s="1"/>
      <c r="WWC1631" s="1"/>
      <c r="WWD1631" s="1"/>
      <c r="WWE1631" s="1"/>
      <c r="WWF1631" s="1"/>
      <c r="WWG1631" s="1"/>
      <c r="WWH1631" s="1"/>
      <c r="WWI1631" s="1"/>
      <c r="WWJ1631" s="1"/>
      <c r="WWK1631" s="1"/>
      <c r="WWL1631" s="1"/>
      <c r="WWM1631" s="1"/>
      <c r="WWN1631" s="1"/>
      <c r="WWO1631" s="1"/>
      <c r="WWP1631" s="1"/>
      <c r="WWQ1631" s="1"/>
      <c r="WWR1631" s="1"/>
      <c r="WWS1631" s="1"/>
      <c r="WWT1631" s="1"/>
      <c r="WWU1631" s="1"/>
      <c r="WWV1631" s="1"/>
      <c r="WWW1631" s="1"/>
      <c r="WWX1631" s="1"/>
      <c r="WWY1631" s="1"/>
      <c r="WWZ1631" s="1"/>
      <c r="WXA1631" s="1"/>
      <c r="WXB1631" s="1"/>
      <c r="WXC1631" s="1"/>
      <c r="WXD1631" s="1"/>
      <c r="WXE1631" s="1"/>
      <c r="WXF1631" s="1"/>
      <c r="WXG1631" s="1"/>
      <c r="WXH1631" s="1"/>
      <c r="WXI1631" s="1"/>
      <c r="WXJ1631" s="1"/>
      <c r="WXK1631" s="1"/>
      <c r="WXL1631" s="1"/>
      <c r="WXM1631" s="1"/>
      <c r="WXN1631" s="1"/>
      <c r="WXO1631" s="1"/>
      <c r="WXP1631" s="1"/>
      <c r="WXQ1631" s="1"/>
      <c r="WXR1631" s="1"/>
      <c r="WXS1631" s="1"/>
      <c r="WXT1631" s="1"/>
      <c r="WXU1631" s="1"/>
      <c r="WXV1631" s="1"/>
      <c r="WXW1631" s="1"/>
      <c r="WXX1631" s="1"/>
      <c r="WXY1631" s="1"/>
      <c r="WXZ1631" s="1"/>
      <c r="WYA1631" s="1"/>
      <c r="WYB1631" s="1"/>
      <c r="WYC1631" s="1"/>
      <c r="WYD1631" s="1"/>
      <c r="WYE1631" s="1"/>
      <c r="WYF1631" s="1"/>
      <c r="WYG1631" s="1"/>
      <c r="WYH1631" s="1"/>
      <c r="WYI1631" s="1"/>
      <c r="WYJ1631" s="1"/>
      <c r="WYK1631" s="1"/>
      <c r="WYL1631" s="1"/>
      <c r="WYM1631" s="1"/>
      <c r="WYN1631" s="1"/>
      <c r="WYO1631" s="1"/>
      <c r="WYP1631" s="1"/>
      <c r="WYQ1631" s="1"/>
      <c r="WYR1631" s="1"/>
      <c r="WYS1631" s="1"/>
      <c r="WYT1631" s="1"/>
      <c r="WYU1631" s="1"/>
      <c r="WYV1631" s="1"/>
      <c r="WYW1631" s="1"/>
      <c r="WYX1631" s="1"/>
      <c r="WYY1631" s="1"/>
      <c r="WYZ1631" s="1"/>
      <c r="WZA1631" s="1"/>
      <c r="WZB1631" s="1"/>
      <c r="WZC1631" s="1"/>
      <c r="WZD1631" s="1"/>
      <c r="WZE1631" s="1"/>
      <c r="WZF1631" s="1"/>
      <c r="WZG1631" s="1"/>
      <c r="WZH1631" s="1"/>
      <c r="WZI1631" s="1"/>
      <c r="WZJ1631" s="1"/>
      <c r="WZK1631" s="1"/>
      <c r="WZL1631" s="1"/>
      <c r="WZM1631" s="1"/>
      <c r="WZN1631" s="1"/>
      <c r="WZO1631" s="1"/>
      <c r="WZP1631" s="1"/>
      <c r="WZQ1631" s="1"/>
      <c r="WZR1631" s="1"/>
      <c r="WZS1631" s="1"/>
      <c r="WZT1631" s="1"/>
      <c r="WZU1631" s="1"/>
      <c r="WZV1631" s="1"/>
      <c r="WZW1631" s="1"/>
      <c r="WZX1631" s="1"/>
      <c r="WZY1631" s="1"/>
      <c r="WZZ1631" s="1"/>
      <c r="XAA1631" s="1"/>
      <c r="XAB1631" s="1"/>
      <c r="XAC1631" s="1"/>
      <c r="XAD1631" s="1"/>
      <c r="XAE1631" s="1"/>
      <c r="XAF1631" s="1"/>
      <c r="XAG1631" s="1"/>
      <c r="XAH1631" s="1"/>
      <c r="XAI1631" s="1"/>
      <c r="XAJ1631" s="1"/>
      <c r="XAK1631" s="1"/>
      <c r="XAL1631" s="1"/>
      <c r="XAM1631" s="1"/>
      <c r="XAN1631" s="1"/>
      <c r="XAO1631" s="1"/>
      <c r="XAP1631" s="1"/>
      <c r="XAQ1631" s="1"/>
      <c r="XAR1631" s="1"/>
      <c r="XAS1631" s="1"/>
      <c r="XAT1631" s="1"/>
      <c r="XAU1631" s="1"/>
      <c r="XAV1631" s="1"/>
      <c r="XAW1631" s="1"/>
      <c r="XAX1631" s="1"/>
      <c r="XAY1631" s="1"/>
      <c r="XAZ1631" s="1"/>
      <c r="XBA1631" s="1"/>
      <c r="XBB1631" s="1"/>
      <c r="XBC1631" s="1"/>
      <c r="XBD1631" s="1"/>
      <c r="XBE1631" s="1"/>
      <c r="XBF1631" s="1"/>
      <c r="XBG1631" s="1"/>
      <c r="XBH1631" s="1"/>
      <c r="XBI1631" s="1"/>
      <c r="XBJ1631" s="1"/>
      <c r="XBK1631" s="1"/>
      <c r="XBL1631" s="1"/>
      <c r="XBM1631" s="1"/>
      <c r="XBN1631" s="1"/>
      <c r="XBO1631" s="1"/>
      <c r="XBP1631" s="1"/>
      <c r="XBQ1631" s="1"/>
      <c r="XBR1631" s="1"/>
      <c r="XBS1631" s="1"/>
      <c r="XBT1631" s="1"/>
      <c r="XBU1631" s="1"/>
      <c r="XBV1631" s="1"/>
      <c r="XBW1631" s="1"/>
      <c r="XBX1631" s="1"/>
      <c r="XBY1631" s="1"/>
      <c r="XBZ1631" s="1"/>
      <c r="XCA1631" s="1"/>
      <c r="XCB1631" s="1"/>
      <c r="XCC1631" s="1"/>
      <c r="XCD1631" s="1"/>
      <c r="XCE1631" s="1"/>
      <c r="XCF1631" s="1"/>
      <c r="XCG1631" s="1"/>
      <c r="XCH1631" s="1"/>
      <c r="XCI1631" s="1"/>
      <c r="XCJ1631" s="1"/>
      <c r="XCK1631" s="1"/>
      <c r="XCL1631" s="1"/>
      <c r="XCM1631" s="1"/>
      <c r="XCN1631" s="1"/>
      <c r="XCO1631" s="1"/>
      <c r="XCP1631" s="1"/>
      <c r="XCQ1631" s="1"/>
      <c r="XCR1631" s="1"/>
      <c r="XCS1631" s="1"/>
      <c r="XCT1631" s="1"/>
      <c r="XCU1631" s="1"/>
      <c r="XCV1631" s="1"/>
      <c r="XCW1631" s="1"/>
      <c r="XCX1631" s="1"/>
      <c r="XCY1631" s="1"/>
      <c r="XCZ1631" s="1"/>
      <c r="XDA1631" s="1"/>
      <c r="XDB1631" s="1"/>
      <c r="XDC1631" s="1"/>
      <c r="XDD1631" s="1"/>
      <c r="XDE1631" s="1"/>
      <c r="XDF1631" s="1"/>
      <c r="XDG1631" s="1"/>
      <c r="XDH1631" s="1"/>
      <c r="XDI1631" s="1"/>
      <c r="XDJ1631" s="1"/>
      <c r="XDK1631" s="1"/>
      <c r="XDL1631" s="1"/>
      <c r="XDM1631" s="1"/>
      <c r="XDN1631" s="1"/>
      <c r="XDO1631" s="1"/>
      <c r="XDP1631" s="1"/>
      <c r="XDQ1631" s="1"/>
      <c r="XDR1631" s="1"/>
      <c r="XDS1631" s="1"/>
    </row>
    <row r="1632" spans="1:16347" s="26" customFormat="1" x14ac:dyDescent="0.25">
      <c r="A1632" s="1" t="s">
        <v>1014</v>
      </c>
      <c r="B1632" s="1" t="s">
        <v>1346</v>
      </c>
      <c r="C1632" s="1">
        <v>2243</v>
      </c>
      <c r="D1632" s="1">
        <v>0.5</v>
      </c>
      <c r="E1632" s="3">
        <f t="shared" si="104"/>
        <v>1121.5</v>
      </c>
      <c r="F1632" s="1">
        <f t="shared" si="105"/>
        <v>1345.8</v>
      </c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  <c r="BF1632" s="1"/>
      <c r="BG1632" s="1"/>
      <c r="BH1632" s="1"/>
      <c r="BI1632" s="1"/>
      <c r="BJ1632" s="1"/>
      <c r="BK1632" s="1"/>
      <c r="BL1632" s="1"/>
      <c r="BM1632" s="1"/>
      <c r="BN1632" s="1"/>
      <c r="BO1632" s="1"/>
      <c r="BP1632" s="1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  <c r="CC1632" s="1"/>
      <c r="CD1632" s="1"/>
      <c r="CE1632" s="1"/>
      <c r="CF1632" s="1"/>
      <c r="CG1632" s="1"/>
      <c r="CH1632" s="1"/>
      <c r="CI1632" s="1"/>
      <c r="CJ1632" s="1"/>
      <c r="CK1632" s="1"/>
      <c r="CL1632" s="1"/>
      <c r="CM1632" s="1"/>
      <c r="CN1632" s="1"/>
      <c r="CO1632" s="1"/>
      <c r="CP1632" s="1"/>
      <c r="CQ1632" s="1"/>
      <c r="CR1632" s="1"/>
      <c r="CS1632" s="1"/>
      <c r="CT1632" s="1"/>
      <c r="CU1632" s="1"/>
      <c r="CV1632" s="1"/>
      <c r="CW1632" s="1"/>
      <c r="CX1632" s="1"/>
      <c r="CY1632" s="1"/>
      <c r="CZ1632" s="1"/>
      <c r="DA1632" s="1"/>
      <c r="DB1632" s="1"/>
      <c r="DC1632" s="1"/>
      <c r="DD1632" s="1"/>
      <c r="DE1632" s="1"/>
      <c r="DF1632" s="1"/>
      <c r="DG1632" s="1"/>
      <c r="DH1632" s="1"/>
      <c r="DI1632" s="1"/>
      <c r="DJ1632" s="1"/>
      <c r="DK1632" s="1"/>
      <c r="DL1632" s="1"/>
      <c r="DM1632" s="1"/>
      <c r="DN1632" s="1"/>
      <c r="DO1632" s="1"/>
      <c r="DP1632" s="1"/>
      <c r="DQ1632" s="1"/>
      <c r="DR1632" s="1"/>
      <c r="DS1632" s="1"/>
      <c r="DT1632" s="1"/>
      <c r="DU1632" s="1"/>
      <c r="DV1632" s="1"/>
      <c r="DW1632" s="1"/>
      <c r="DX1632" s="1"/>
      <c r="DY1632" s="1"/>
      <c r="DZ1632" s="1"/>
      <c r="EA1632" s="1"/>
      <c r="EB1632" s="1"/>
      <c r="EC1632" s="1"/>
      <c r="ED1632" s="1"/>
      <c r="EE1632" s="1"/>
      <c r="EF1632" s="1"/>
      <c r="EG1632" s="1"/>
      <c r="EH1632" s="1"/>
      <c r="EI1632" s="1"/>
      <c r="EJ1632" s="1"/>
      <c r="EK1632" s="1"/>
      <c r="EL1632" s="1"/>
      <c r="EM1632" s="1"/>
      <c r="EN1632" s="1"/>
      <c r="EO1632" s="1"/>
      <c r="EP1632" s="1"/>
      <c r="EQ1632" s="1"/>
      <c r="ER1632" s="1"/>
      <c r="ES1632" s="1"/>
      <c r="ET1632" s="1"/>
      <c r="EU1632" s="1"/>
      <c r="EV1632" s="1"/>
      <c r="EW1632" s="1"/>
      <c r="EX1632" s="1"/>
      <c r="EY1632" s="1"/>
      <c r="EZ1632" s="1"/>
      <c r="FA1632" s="1"/>
      <c r="FB1632" s="1"/>
      <c r="FC1632" s="1"/>
      <c r="FD1632" s="1"/>
      <c r="FE1632" s="1"/>
      <c r="FF1632" s="1"/>
      <c r="FG1632" s="1"/>
      <c r="FH1632" s="1"/>
      <c r="FI1632" s="1"/>
      <c r="FJ1632" s="1"/>
      <c r="FK1632" s="1"/>
      <c r="FL1632" s="1"/>
      <c r="FM1632" s="1"/>
      <c r="FN1632" s="1"/>
      <c r="FO1632" s="1"/>
      <c r="FP1632" s="1"/>
      <c r="FQ1632" s="1"/>
      <c r="FR1632" s="1"/>
      <c r="FS1632" s="1"/>
      <c r="FT1632" s="1"/>
      <c r="FU1632" s="1"/>
      <c r="FV1632" s="1"/>
      <c r="FW1632" s="1"/>
      <c r="FX1632" s="1"/>
      <c r="FY1632" s="1"/>
      <c r="FZ1632" s="1"/>
      <c r="GA1632" s="1"/>
      <c r="GB1632" s="1"/>
      <c r="GC1632" s="1"/>
      <c r="GD1632" s="1"/>
      <c r="GE1632" s="1"/>
      <c r="GF1632" s="1"/>
      <c r="GG1632" s="1"/>
      <c r="GH1632" s="1"/>
      <c r="GI1632" s="1"/>
      <c r="GJ1632" s="1"/>
      <c r="GK1632" s="1"/>
      <c r="GL1632" s="1"/>
      <c r="GM1632" s="1"/>
      <c r="GN1632" s="1"/>
      <c r="GO1632" s="1"/>
      <c r="GP1632" s="1"/>
      <c r="GQ1632" s="1"/>
      <c r="GR1632" s="1"/>
      <c r="GS1632" s="1"/>
      <c r="GT1632" s="1"/>
      <c r="GU1632" s="1"/>
      <c r="GV1632" s="1"/>
      <c r="GW1632" s="1"/>
      <c r="GX1632" s="1"/>
      <c r="GY1632" s="1"/>
      <c r="GZ1632" s="1"/>
      <c r="HA1632" s="1"/>
      <c r="HB1632" s="1"/>
      <c r="HC1632" s="1"/>
      <c r="HD1632" s="1"/>
      <c r="HE1632" s="1"/>
      <c r="HF1632" s="1"/>
      <c r="HG1632" s="1"/>
      <c r="HH1632" s="1"/>
      <c r="HI1632" s="1"/>
      <c r="HJ1632" s="1"/>
      <c r="HK1632" s="1"/>
      <c r="HL1632" s="1"/>
      <c r="HM1632" s="1"/>
      <c r="HN1632" s="1"/>
      <c r="HO1632" s="1"/>
      <c r="HP1632" s="1"/>
      <c r="HQ1632" s="1"/>
      <c r="HR1632" s="1"/>
      <c r="HS1632" s="1"/>
      <c r="HT1632" s="1"/>
      <c r="HU1632" s="1"/>
      <c r="HV1632" s="1"/>
      <c r="HW1632" s="1"/>
      <c r="HX1632" s="1"/>
      <c r="HY1632" s="1"/>
      <c r="HZ1632" s="1"/>
      <c r="IA1632" s="1"/>
      <c r="IB1632" s="1"/>
      <c r="IC1632" s="1"/>
      <c r="ID1632" s="1"/>
      <c r="IE1632" s="1"/>
      <c r="IF1632" s="1"/>
      <c r="IG1632" s="1"/>
      <c r="IH1632" s="1"/>
      <c r="II1632" s="1"/>
      <c r="IJ1632" s="1"/>
      <c r="IK1632" s="1"/>
      <c r="IL1632" s="1"/>
      <c r="IM1632" s="1"/>
      <c r="IN1632" s="1"/>
      <c r="IO1632" s="1"/>
      <c r="IP1632" s="1"/>
      <c r="IQ1632" s="1"/>
      <c r="IR1632" s="1"/>
      <c r="IS1632" s="1"/>
      <c r="IT1632" s="1"/>
      <c r="IU1632" s="1"/>
      <c r="IV1632" s="1"/>
      <c r="IW1632" s="1"/>
      <c r="IX1632" s="1"/>
      <c r="IY1632" s="1"/>
      <c r="IZ1632" s="1"/>
      <c r="JA1632" s="1"/>
      <c r="JB1632" s="1"/>
      <c r="JC1632" s="1"/>
      <c r="JD1632" s="1"/>
      <c r="JE1632" s="1"/>
      <c r="JF1632" s="1"/>
      <c r="JG1632" s="1"/>
      <c r="JH1632" s="1"/>
      <c r="JI1632" s="1"/>
      <c r="JJ1632" s="1"/>
      <c r="JK1632" s="1"/>
      <c r="JL1632" s="1"/>
      <c r="JM1632" s="1"/>
      <c r="JN1632" s="1"/>
      <c r="JO1632" s="1"/>
      <c r="JP1632" s="1"/>
      <c r="JQ1632" s="1"/>
      <c r="JR1632" s="1"/>
      <c r="JS1632" s="1"/>
      <c r="JT1632" s="1"/>
      <c r="JU1632" s="1"/>
      <c r="JV1632" s="1"/>
      <c r="JW1632" s="1"/>
      <c r="JX1632" s="1"/>
      <c r="JY1632" s="1"/>
      <c r="JZ1632" s="1"/>
      <c r="KA1632" s="1"/>
      <c r="KB1632" s="1"/>
      <c r="KC1632" s="1"/>
      <c r="KD1632" s="1"/>
      <c r="KE1632" s="1"/>
      <c r="KF1632" s="1"/>
      <c r="KG1632" s="1"/>
      <c r="KH1632" s="1"/>
      <c r="KI1632" s="1"/>
      <c r="KJ1632" s="1"/>
      <c r="KK1632" s="1"/>
      <c r="KL1632" s="1"/>
      <c r="KM1632" s="1"/>
      <c r="KN1632" s="1"/>
      <c r="KO1632" s="1"/>
      <c r="KP1632" s="1"/>
      <c r="KQ1632" s="1"/>
      <c r="KR1632" s="1"/>
      <c r="KS1632" s="1"/>
      <c r="KT1632" s="1"/>
      <c r="KU1632" s="1"/>
      <c r="KV1632" s="1"/>
      <c r="KW1632" s="1"/>
      <c r="KX1632" s="1"/>
      <c r="KY1632" s="1"/>
      <c r="KZ1632" s="1"/>
      <c r="LA1632" s="1"/>
      <c r="LB1632" s="1"/>
      <c r="LC1632" s="1"/>
      <c r="LD1632" s="1"/>
      <c r="LE1632" s="1"/>
      <c r="LF1632" s="1"/>
      <c r="LG1632" s="1"/>
      <c r="LH1632" s="1"/>
      <c r="LI1632" s="1"/>
      <c r="LJ1632" s="1"/>
      <c r="LK1632" s="1"/>
      <c r="LL1632" s="1"/>
      <c r="LM1632" s="1"/>
      <c r="LN1632" s="1"/>
      <c r="LO1632" s="1"/>
      <c r="LP1632" s="1"/>
      <c r="LQ1632" s="1"/>
      <c r="LR1632" s="1"/>
      <c r="LS1632" s="1"/>
      <c r="LT1632" s="1"/>
      <c r="LU1632" s="1"/>
      <c r="LV1632" s="1"/>
      <c r="LW1632" s="1"/>
      <c r="LX1632" s="1"/>
      <c r="LY1632" s="1"/>
      <c r="LZ1632" s="1"/>
      <c r="MA1632" s="1"/>
      <c r="MB1632" s="1"/>
      <c r="MC1632" s="1"/>
      <c r="MD1632" s="1"/>
      <c r="ME1632" s="1"/>
      <c r="MF1632" s="1"/>
      <c r="MG1632" s="1"/>
      <c r="MH1632" s="1"/>
      <c r="MI1632" s="1"/>
      <c r="MJ1632" s="1"/>
      <c r="MK1632" s="1"/>
      <c r="ML1632" s="1"/>
      <c r="MM1632" s="1"/>
      <c r="MN1632" s="1"/>
      <c r="MO1632" s="1"/>
      <c r="MP1632" s="1"/>
      <c r="MQ1632" s="1"/>
      <c r="MR1632" s="1"/>
      <c r="MS1632" s="1"/>
      <c r="MT1632" s="1"/>
      <c r="MU1632" s="1"/>
      <c r="MV1632" s="1"/>
      <c r="MW1632" s="1"/>
      <c r="MX1632" s="1"/>
      <c r="MY1632" s="1"/>
      <c r="MZ1632" s="1"/>
      <c r="NA1632" s="1"/>
      <c r="NB1632" s="1"/>
      <c r="NC1632" s="1"/>
      <c r="ND1632" s="1"/>
      <c r="NE1632" s="1"/>
      <c r="NF1632" s="1"/>
      <c r="NG1632" s="1"/>
      <c r="NH1632" s="1"/>
      <c r="NI1632" s="1"/>
      <c r="NJ1632" s="1"/>
      <c r="NK1632" s="1"/>
      <c r="NL1632" s="1"/>
      <c r="NM1632" s="1"/>
      <c r="NN1632" s="1"/>
      <c r="NO1632" s="1"/>
      <c r="NP1632" s="1"/>
      <c r="NQ1632" s="1"/>
      <c r="NR1632" s="1"/>
      <c r="NS1632" s="1"/>
      <c r="NT1632" s="1"/>
      <c r="NU1632" s="1"/>
      <c r="NV1632" s="1"/>
      <c r="NW1632" s="1"/>
      <c r="NX1632" s="1"/>
      <c r="NY1632" s="1"/>
      <c r="NZ1632" s="1"/>
      <c r="OA1632" s="1"/>
      <c r="OB1632" s="1"/>
      <c r="OC1632" s="1"/>
      <c r="OD1632" s="1"/>
      <c r="OE1632" s="1"/>
      <c r="OF1632" s="1"/>
      <c r="OG1632" s="1"/>
      <c r="OH1632" s="1"/>
      <c r="OI1632" s="1"/>
      <c r="OJ1632" s="1"/>
      <c r="OK1632" s="1"/>
      <c r="OL1632" s="1"/>
      <c r="OM1632" s="1"/>
      <c r="ON1632" s="1"/>
      <c r="OO1632" s="1"/>
      <c r="OP1632" s="1"/>
      <c r="OQ1632" s="1"/>
      <c r="OR1632" s="1"/>
      <c r="OS1632" s="1"/>
      <c r="OT1632" s="1"/>
      <c r="OU1632" s="1"/>
      <c r="OV1632" s="1"/>
      <c r="OW1632" s="1"/>
      <c r="OX1632" s="1"/>
      <c r="OY1632" s="1"/>
      <c r="OZ1632" s="1"/>
      <c r="PA1632" s="1"/>
      <c r="PB1632" s="1"/>
      <c r="PC1632" s="1"/>
      <c r="PD1632" s="1"/>
      <c r="PE1632" s="1"/>
      <c r="PF1632" s="1"/>
      <c r="PG1632" s="1"/>
      <c r="PH1632" s="1"/>
      <c r="PI1632" s="1"/>
      <c r="PJ1632" s="1"/>
      <c r="PK1632" s="1"/>
      <c r="PL1632" s="1"/>
      <c r="PM1632" s="1"/>
      <c r="PN1632" s="1"/>
      <c r="PO1632" s="1"/>
      <c r="PP1632" s="1"/>
      <c r="PQ1632" s="1"/>
      <c r="PR1632" s="1"/>
      <c r="PS1632" s="1"/>
      <c r="PT1632" s="1"/>
      <c r="PU1632" s="1"/>
      <c r="PV1632" s="1"/>
      <c r="PW1632" s="1"/>
      <c r="PX1632" s="1"/>
      <c r="PY1632" s="1"/>
      <c r="PZ1632" s="1"/>
      <c r="QA1632" s="1"/>
      <c r="QB1632" s="1"/>
      <c r="QC1632" s="1"/>
      <c r="QD1632" s="1"/>
      <c r="QE1632" s="1"/>
      <c r="QF1632" s="1"/>
      <c r="QG1632" s="1"/>
      <c r="QH1632" s="1"/>
      <c r="QI1632" s="1"/>
      <c r="QJ1632" s="1"/>
      <c r="QK1632" s="1"/>
      <c r="QL1632" s="1"/>
      <c r="QM1632" s="1"/>
      <c r="QN1632" s="1"/>
      <c r="QO1632" s="1"/>
      <c r="QP1632" s="1"/>
      <c r="QQ1632" s="1"/>
      <c r="QR1632" s="1"/>
      <c r="QS1632" s="1"/>
      <c r="QT1632" s="1"/>
      <c r="QU1632" s="1"/>
      <c r="QV1632" s="1"/>
      <c r="QW1632" s="1"/>
      <c r="QX1632" s="1"/>
      <c r="QY1632" s="1"/>
      <c r="QZ1632" s="1"/>
      <c r="RA1632" s="1"/>
      <c r="RB1632" s="1"/>
      <c r="RC1632" s="1"/>
      <c r="RD1632" s="1"/>
      <c r="RE1632" s="1"/>
      <c r="RF1632" s="1"/>
      <c r="RG1632" s="1"/>
      <c r="RH1632" s="1"/>
      <c r="RI1632" s="1"/>
      <c r="RJ1632" s="1"/>
      <c r="RK1632" s="1"/>
      <c r="RL1632" s="1"/>
      <c r="RM1632" s="1"/>
      <c r="RN1632" s="1"/>
      <c r="RO1632" s="1"/>
      <c r="RP1632" s="1"/>
      <c r="RQ1632" s="1"/>
      <c r="RR1632" s="1"/>
      <c r="RS1632" s="1"/>
      <c r="RT1632" s="1"/>
      <c r="RU1632" s="1"/>
      <c r="RV1632" s="1"/>
      <c r="RW1632" s="1"/>
      <c r="RX1632" s="1"/>
      <c r="RY1632" s="1"/>
      <c r="RZ1632" s="1"/>
      <c r="SA1632" s="1"/>
      <c r="SB1632" s="1"/>
      <c r="SC1632" s="1"/>
      <c r="SD1632" s="1"/>
      <c r="SE1632" s="1"/>
      <c r="SF1632" s="1"/>
      <c r="SG1632" s="1"/>
      <c r="SH1632" s="1"/>
      <c r="SI1632" s="1"/>
      <c r="SJ1632" s="1"/>
      <c r="SK1632" s="1"/>
      <c r="SL1632" s="1"/>
      <c r="SM1632" s="1"/>
      <c r="SN1632" s="1"/>
      <c r="SO1632" s="1"/>
      <c r="SP1632" s="1"/>
      <c r="SQ1632" s="1"/>
      <c r="SR1632" s="1"/>
      <c r="SS1632" s="1"/>
      <c r="ST1632" s="1"/>
      <c r="SU1632" s="1"/>
      <c r="SV1632" s="1"/>
      <c r="SW1632" s="1"/>
      <c r="SX1632" s="1"/>
      <c r="SY1632" s="1"/>
      <c r="SZ1632" s="1"/>
      <c r="TA1632" s="1"/>
      <c r="TB1632" s="1"/>
      <c r="TC1632" s="1"/>
      <c r="TD1632" s="1"/>
      <c r="TE1632" s="1"/>
      <c r="TF1632" s="1"/>
      <c r="TG1632" s="1"/>
      <c r="TH1632" s="1"/>
      <c r="TI1632" s="1"/>
      <c r="TJ1632" s="1"/>
      <c r="TK1632" s="1"/>
      <c r="TL1632" s="1"/>
      <c r="TM1632" s="1"/>
      <c r="TN1632" s="1"/>
      <c r="TO1632" s="1"/>
      <c r="TP1632" s="1"/>
      <c r="TQ1632" s="1"/>
      <c r="TR1632" s="1"/>
      <c r="TS1632" s="1"/>
      <c r="TT1632" s="1"/>
      <c r="TU1632" s="1"/>
      <c r="TV1632" s="1"/>
      <c r="TW1632" s="1"/>
      <c r="TX1632" s="1"/>
      <c r="TY1632" s="1"/>
      <c r="TZ1632" s="1"/>
      <c r="UA1632" s="1"/>
      <c r="UB1632" s="1"/>
      <c r="UC1632" s="1"/>
      <c r="UD1632" s="1"/>
      <c r="UE1632" s="1"/>
      <c r="UF1632" s="1"/>
      <c r="UG1632" s="1"/>
      <c r="UH1632" s="1"/>
      <c r="UI1632" s="1"/>
      <c r="UJ1632" s="1"/>
      <c r="UK1632" s="1"/>
      <c r="UL1632" s="1"/>
      <c r="UM1632" s="1"/>
      <c r="UN1632" s="1"/>
      <c r="UO1632" s="1"/>
      <c r="UP1632" s="1"/>
      <c r="UQ1632" s="1"/>
      <c r="UR1632" s="1"/>
      <c r="US1632" s="1"/>
      <c r="UT1632" s="1"/>
      <c r="UU1632" s="1"/>
      <c r="UV1632" s="1"/>
      <c r="UW1632" s="1"/>
      <c r="UX1632" s="1"/>
      <c r="UY1632" s="1"/>
      <c r="UZ1632" s="1"/>
      <c r="VA1632" s="1"/>
      <c r="VB1632" s="1"/>
      <c r="VC1632" s="1"/>
      <c r="VD1632" s="1"/>
      <c r="VE1632" s="1"/>
      <c r="VF1632" s="1"/>
      <c r="VG1632" s="1"/>
      <c r="VH1632" s="1"/>
      <c r="VI1632" s="1"/>
      <c r="VJ1632" s="1"/>
      <c r="VK1632" s="1"/>
      <c r="VL1632" s="1"/>
      <c r="VM1632" s="1"/>
      <c r="VN1632" s="1"/>
      <c r="VO1632" s="1"/>
      <c r="VP1632" s="1"/>
      <c r="VQ1632" s="1"/>
      <c r="VR1632" s="1"/>
      <c r="VS1632" s="1"/>
      <c r="VT1632" s="1"/>
      <c r="VU1632" s="1"/>
      <c r="VV1632" s="1"/>
      <c r="VW1632" s="1"/>
      <c r="VX1632" s="1"/>
      <c r="VY1632" s="1"/>
      <c r="VZ1632" s="1"/>
      <c r="WA1632" s="1"/>
      <c r="WB1632" s="1"/>
      <c r="WC1632" s="1"/>
      <c r="WD1632" s="1"/>
      <c r="WE1632" s="1"/>
      <c r="WF1632" s="1"/>
      <c r="WG1632" s="1"/>
      <c r="WH1632" s="1"/>
      <c r="WI1632" s="1"/>
      <c r="WJ1632" s="1"/>
      <c r="WK1632" s="1"/>
      <c r="WL1632" s="1"/>
      <c r="WM1632" s="1"/>
      <c r="WN1632" s="1"/>
      <c r="WO1632" s="1"/>
      <c r="WP1632" s="1"/>
      <c r="WQ1632" s="1"/>
      <c r="WR1632" s="1"/>
      <c r="WS1632" s="1"/>
      <c r="WT1632" s="1"/>
      <c r="WU1632" s="1"/>
      <c r="WV1632" s="1"/>
      <c r="WW1632" s="1"/>
      <c r="WX1632" s="1"/>
      <c r="WY1632" s="1"/>
      <c r="WZ1632" s="1"/>
      <c r="XA1632" s="1"/>
      <c r="XB1632" s="1"/>
      <c r="XC1632" s="1"/>
      <c r="XD1632" s="1"/>
      <c r="XE1632" s="1"/>
      <c r="XF1632" s="1"/>
      <c r="XG1632" s="1"/>
      <c r="XH1632" s="1"/>
      <c r="XI1632" s="1"/>
      <c r="XJ1632" s="1"/>
      <c r="XK1632" s="1"/>
      <c r="XL1632" s="1"/>
      <c r="XM1632" s="1"/>
      <c r="XN1632" s="1"/>
      <c r="XO1632" s="1"/>
      <c r="XP1632" s="1"/>
      <c r="XQ1632" s="1"/>
      <c r="XR1632" s="1"/>
      <c r="XS1632" s="1"/>
      <c r="XT1632" s="1"/>
      <c r="XU1632" s="1"/>
      <c r="XV1632" s="1"/>
      <c r="XW1632" s="1"/>
      <c r="XX1632" s="1"/>
      <c r="XY1632" s="1"/>
      <c r="XZ1632" s="1"/>
      <c r="YA1632" s="1"/>
      <c r="YB1632" s="1"/>
      <c r="YC1632" s="1"/>
      <c r="YD1632" s="1"/>
      <c r="YE1632" s="1"/>
      <c r="YF1632" s="1"/>
      <c r="YG1632" s="1"/>
      <c r="YH1632" s="1"/>
      <c r="YI1632" s="1"/>
      <c r="YJ1632" s="1"/>
      <c r="YK1632" s="1"/>
      <c r="YL1632" s="1"/>
      <c r="YM1632" s="1"/>
      <c r="YN1632" s="1"/>
      <c r="YO1632" s="1"/>
      <c r="YP1632" s="1"/>
      <c r="YQ1632" s="1"/>
      <c r="YR1632" s="1"/>
      <c r="YS1632" s="1"/>
      <c r="YT1632" s="1"/>
      <c r="YU1632" s="1"/>
      <c r="YV1632" s="1"/>
      <c r="YW1632" s="1"/>
      <c r="YX1632" s="1"/>
      <c r="YY1632" s="1"/>
      <c r="YZ1632" s="1"/>
      <c r="ZA1632" s="1"/>
      <c r="ZB1632" s="1"/>
      <c r="ZC1632" s="1"/>
      <c r="ZD1632" s="1"/>
      <c r="ZE1632" s="1"/>
      <c r="ZF1632" s="1"/>
      <c r="ZG1632" s="1"/>
      <c r="ZH1632" s="1"/>
      <c r="ZI1632" s="1"/>
      <c r="ZJ1632" s="1"/>
      <c r="ZK1632" s="1"/>
      <c r="ZL1632" s="1"/>
      <c r="ZM1632" s="1"/>
      <c r="ZN1632" s="1"/>
      <c r="ZO1632" s="1"/>
      <c r="ZP1632" s="1"/>
      <c r="ZQ1632" s="1"/>
      <c r="ZR1632" s="1"/>
      <c r="ZS1632" s="1"/>
      <c r="ZT1632" s="1"/>
      <c r="ZU1632" s="1"/>
      <c r="ZV1632" s="1"/>
      <c r="ZW1632" s="1"/>
      <c r="ZX1632" s="1"/>
      <c r="ZY1632" s="1"/>
      <c r="ZZ1632" s="1"/>
      <c r="AAA1632" s="1"/>
      <c r="AAB1632" s="1"/>
      <c r="AAC1632" s="1"/>
      <c r="AAD1632" s="1"/>
      <c r="AAE1632" s="1"/>
      <c r="AAF1632" s="1"/>
      <c r="AAG1632" s="1"/>
      <c r="AAH1632" s="1"/>
      <c r="AAI1632" s="1"/>
      <c r="AAJ1632" s="1"/>
      <c r="AAK1632" s="1"/>
      <c r="AAL1632" s="1"/>
      <c r="AAM1632" s="1"/>
      <c r="AAN1632" s="1"/>
      <c r="AAO1632" s="1"/>
      <c r="AAP1632" s="1"/>
      <c r="AAQ1632" s="1"/>
      <c r="AAR1632" s="1"/>
      <c r="AAS1632" s="1"/>
      <c r="AAT1632" s="1"/>
      <c r="AAU1632" s="1"/>
      <c r="AAV1632" s="1"/>
      <c r="AAW1632" s="1"/>
      <c r="AAX1632" s="1"/>
      <c r="AAY1632" s="1"/>
      <c r="AAZ1632" s="1"/>
      <c r="ABA1632" s="1"/>
      <c r="ABB1632" s="1"/>
      <c r="ABC1632" s="1"/>
      <c r="ABD1632" s="1"/>
      <c r="ABE1632" s="1"/>
      <c r="ABF1632" s="1"/>
      <c r="ABG1632" s="1"/>
      <c r="ABH1632" s="1"/>
      <c r="ABI1632" s="1"/>
      <c r="ABJ1632" s="1"/>
      <c r="ABK1632" s="1"/>
      <c r="ABL1632" s="1"/>
      <c r="ABM1632" s="1"/>
      <c r="ABN1632" s="1"/>
      <c r="ABO1632" s="1"/>
      <c r="ABP1632" s="1"/>
      <c r="ABQ1632" s="1"/>
      <c r="ABR1632" s="1"/>
      <c r="ABS1632" s="1"/>
      <c r="ABT1632" s="1"/>
      <c r="ABU1632" s="1"/>
      <c r="ABV1632" s="1"/>
      <c r="ABW1632" s="1"/>
      <c r="ABX1632" s="1"/>
      <c r="ABY1632" s="1"/>
      <c r="ABZ1632" s="1"/>
      <c r="ACA1632" s="1"/>
      <c r="ACB1632" s="1"/>
      <c r="ACC1632" s="1"/>
      <c r="ACD1632" s="1"/>
      <c r="ACE1632" s="1"/>
      <c r="ACF1632" s="1"/>
      <c r="ACG1632" s="1"/>
      <c r="ACH1632" s="1"/>
      <c r="ACI1632" s="1"/>
      <c r="ACJ1632" s="1"/>
      <c r="ACK1632" s="1"/>
      <c r="ACL1632" s="1"/>
      <c r="ACM1632" s="1"/>
      <c r="ACN1632" s="1"/>
      <c r="ACO1632" s="1"/>
      <c r="ACP1632" s="1"/>
      <c r="ACQ1632" s="1"/>
      <c r="ACR1632" s="1"/>
      <c r="ACS1632" s="1"/>
      <c r="ACT1632" s="1"/>
      <c r="ACU1632" s="1"/>
      <c r="ACV1632" s="1"/>
      <c r="ACW1632" s="1"/>
      <c r="ACX1632" s="1"/>
      <c r="ACY1632" s="1"/>
      <c r="ACZ1632" s="1"/>
      <c r="ADA1632" s="1"/>
      <c r="ADB1632" s="1"/>
      <c r="ADC1632" s="1"/>
      <c r="ADD1632" s="1"/>
      <c r="ADE1632" s="1"/>
      <c r="ADF1632" s="1"/>
      <c r="ADG1632" s="1"/>
      <c r="ADH1632" s="1"/>
      <c r="ADI1632" s="1"/>
      <c r="ADJ1632" s="1"/>
      <c r="ADK1632" s="1"/>
      <c r="ADL1632" s="1"/>
      <c r="ADM1632" s="1"/>
      <c r="ADN1632" s="1"/>
      <c r="ADO1632" s="1"/>
      <c r="ADP1632" s="1"/>
      <c r="ADQ1632" s="1"/>
      <c r="ADR1632" s="1"/>
      <c r="ADS1632" s="1"/>
      <c r="ADT1632" s="1"/>
      <c r="ADU1632" s="1"/>
      <c r="ADV1632" s="1"/>
      <c r="ADW1632" s="1"/>
      <c r="ADX1632" s="1"/>
      <c r="ADY1632" s="1"/>
      <c r="ADZ1632" s="1"/>
      <c r="AEA1632" s="1"/>
      <c r="AEB1632" s="1"/>
      <c r="AEC1632" s="1"/>
      <c r="AED1632" s="1"/>
      <c r="AEE1632" s="1"/>
      <c r="AEF1632" s="1"/>
      <c r="AEG1632" s="1"/>
      <c r="AEH1632" s="1"/>
      <c r="AEI1632" s="1"/>
      <c r="AEJ1632" s="1"/>
      <c r="AEK1632" s="1"/>
      <c r="AEL1632" s="1"/>
      <c r="AEM1632" s="1"/>
      <c r="AEN1632" s="1"/>
      <c r="AEO1632" s="1"/>
      <c r="AEP1632" s="1"/>
      <c r="AEQ1632" s="1"/>
      <c r="AER1632" s="1"/>
      <c r="AES1632" s="1"/>
      <c r="AET1632" s="1"/>
      <c r="AEU1632" s="1"/>
      <c r="AEV1632" s="1"/>
      <c r="AEW1632" s="1"/>
      <c r="AEX1632" s="1"/>
      <c r="AEY1632" s="1"/>
      <c r="AEZ1632" s="1"/>
      <c r="AFA1632" s="1"/>
      <c r="AFB1632" s="1"/>
      <c r="AFC1632" s="1"/>
      <c r="AFD1632" s="1"/>
      <c r="AFE1632" s="1"/>
      <c r="AFF1632" s="1"/>
      <c r="AFG1632" s="1"/>
      <c r="AFH1632" s="1"/>
      <c r="AFI1632" s="1"/>
      <c r="AFJ1632" s="1"/>
      <c r="AFK1632" s="1"/>
      <c r="AFL1632" s="1"/>
      <c r="AFM1632" s="1"/>
      <c r="AFN1632" s="1"/>
      <c r="AFO1632" s="1"/>
      <c r="AFP1632" s="1"/>
      <c r="AFQ1632" s="1"/>
      <c r="AFR1632" s="1"/>
      <c r="AFS1632" s="1"/>
      <c r="AFT1632" s="1"/>
      <c r="AFU1632" s="1"/>
      <c r="AFV1632" s="1"/>
      <c r="AFW1632" s="1"/>
      <c r="AFX1632" s="1"/>
      <c r="AFY1632" s="1"/>
      <c r="AFZ1632" s="1"/>
      <c r="AGA1632" s="1"/>
      <c r="AGB1632" s="1"/>
      <c r="AGC1632" s="1"/>
      <c r="AGD1632" s="1"/>
      <c r="AGE1632" s="1"/>
      <c r="AGF1632" s="1"/>
      <c r="AGG1632" s="1"/>
      <c r="AGH1632" s="1"/>
      <c r="AGI1632" s="1"/>
      <c r="AGJ1632" s="1"/>
      <c r="AGK1632" s="1"/>
      <c r="AGL1632" s="1"/>
      <c r="AGM1632" s="1"/>
      <c r="AGN1632" s="1"/>
      <c r="AGO1632" s="1"/>
      <c r="AGP1632" s="1"/>
      <c r="AGQ1632" s="1"/>
      <c r="AGR1632" s="1"/>
      <c r="AGS1632" s="1"/>
      <c r="AGT1632" s="1"/>
      <c r="AGU1632" s="1"/>
      <c r="AGV1632" s="1"/>
      <c r="AGW1632" s="1"/>
      <c r="AGX1632" s="1"/>
      <c r="AGY1632" s="1"/>
      <c r="AGZ1632" s="1"/>
      <c r="AHA1632" s="1"/>
      <c r="AHB1632" s="1"/>
      <c r="AHC1632" s="1"/>
      <c r="AHD1632" s="1"/>
      <c r="AHE1632" s="1"/>
      <c r="AHF1632" s="1"/>
      <c r="AHG1632" s="1"/>
      <c r="AHH1632" s="1"/>
      <c r="AHI1632" s="1"/>
      <c r="AHJ1632" s="1"/>
      <c r="AHK1632" s="1"/>
      <c r="AHL1632" s="1"/>
      <c r="AHM1632" s="1"/>
      <c r="AHN1632" s="1"/>
      <c r="AHO1632" s="1"/>
      <c r="AHP1632" s="1"/>
      <c r="AHQ1632" s="1"/>
      <c r="AHR1632" s="1"/>
      <c r="AHS1632" s="1"/>
      <c r="AHT1632" s="1"/>
      <c r="AHU1632" s="1"/>
      <c r="AHV1632" s="1"/>
      <c r="AHW1632" s="1"/>
      <c r="AHX1632" s="1"/>
      <c r="AHY1632" s="1"/>
      <c r="AHZ1632" s="1"/>
      <c r="AIA1632" s="1"/>
      <c r="AIB1632" s="1"/>
      <c r="AIC1632" s="1"/>
      <c r="AID1632" s="1"/>
      <c r="AIE1632" s="1"/>
      <c r="AIF1632" s="1"/>
      <c r="AIG1632" s="1"/>
      <c r="AIH1632" s="1"/>
      <c r="AII1632" s="1"/>
      <c r="AIJ1632" s="1"/>
      <c r="AIK1632" s="1"/>
      <c r="AIL1632" s="1"/>
      <c r="AIM1632" s="1"/>
      <c r="AIN1632" s="1"/>
      <c r="AIO1632" s="1"/>
      <c r="AIP1632" s="1"/>
      <c r="AIQ1632" s="1"/>
      <c r="AIR1632" s="1"/>
      <c r="AIS1632" s="1"/>
      <c r="AIT1632" s="1"/>
      <c r="AIU1632" s="1"/>
      <c r="AIV1632" s="1"/>
      <c r="AIW1632" s="1"/>
      <c r="AIX1632" s="1"/>
      <c r="AIY1632" s="1"/>
      <c r="AIZ1632" s="1"/>
      <c r="AJA1632" s="1"/>
      <c r="AJB1632" s="1"/>
      <c r="AJC1632" s="1"/>
      <c r="AJD1632" s="1"/>
      <c r="AJE1632" s="1"/>
      <c r="AJF1632" s="1"/>
      <c r="AJG1632" s="1"/>
      <c r="AJH1632" s="1"/>
      <c r="AJI1632" s="1"/>
      <c r="AJJ1632" s="1"/>
      <c r="AJK1632" s="1"/>
      <c r="AJL1632" s="1"/>
      <c r="AJM1632" s="1"/>
      <c r="AJN1632" s="1"/>
      <c r="AJO1632" s="1"/>
      <c r="AJP1632" s="1"/>
      <c r="AJQ1632" s="1"/>
      <c r="AJR1632" s="1"/>
      <c r="AJS1632" s="1"/>
      <c r="AJT1632" s="1"/>
      <c r="AJU1632" s="1"/>
      <c r="AJV1632" s="1"/>
      <c r="AJW1632" s="1"/>
      <c r="AJX1632" s="1"/>
      <c r="AJY1632" s="1"/>
      <c r="AJZ1632" s="1"/>
      <c r="AKA1632" s="1"/>
      <c r="AKB1632" s="1"/>
      <c r="AKC1632" s="1"/>
      <c r="AKD1632" s="1"/>
      <c r="AKE1632" s="1"/>
      <c r="AKF1632" s="1"/>
      <c r="AKG1632" s="1"/>
      <c r="AKH1632" s="1"/>
      <c r="AKI1632" s="1"/>
      <c r="AKJ1632" s="1"/>
      <c r="AKK1632" s="1"/>
      <c r="AKL1632" s="1"/>
      <c r="AKM1632" s="1"/>
      <c r="AKN1632" s="1"/>
      <c r="AKO1632" s="1"/>
      <c r="AKP1632" s="1"/>
      <c r="AKQ1632" s="1"/>
      <c r="AKR1632" s="1"/>
      <c r="AKS1632" s="1"/>
      <c r="AKT1632" s="1"/>
      <c r="AKU1632" s="1"/>
      <c r="AKV1632" s="1"/>
      <c r="AKW1632" s="1"/>
      <c r="AKX1632" s="1"/>
      <c r="AKY1632" s="1"/>
      <c r="AKZ1632" s="1"/>
      <c r="ALA1632" s="1"/>
      <c r="ALB1632" s="1"/>
      <c r="ALC1632" s="1"/>
      <c r="ALD1632" s="1"/>
      <c r="ALE1632" s="1"/>
      <c r="ALF1632" s="1"/>
      <c r="ALG1632" s="1"/>
      <c r="ALH1632" s="1"/>
      <c r="ALI1632" s="1"/>
      <c r="ALJ1632" s="1"/>
      <c r="ALK1632" s="1"/>
      <c r="ALL1632" s="1"/>
      <c r="ALM1632" s="1"/>
      <c r="ALN1632" s="1"/>
      <c r="ALO1632" s="1"/>
      <c r="ALP1632" s="1"/>
      <c r="ALQ1632" s="1"/>
      <c r="ALR1632" s="1"/>
      <c r="ALS1632" s="1"/>
      <c r="ALT1632" s="1"/>
      <c r="ALU1632" s="1"/>
      <c r="ALV1632" s="1"/>
      <c r="ALW1632" s="1"/>
      <c r="ALX1632" s="1"/>
      <c r="ALY1632" s="1"/>
      <c r="ALZ1632" s="1"/>
      <c r="AMA1632" s="1"/>
      <c r="AMB1632" s="1"/>
      <c r="AMC1632" s="1"/>
      <c r="AMD1632" s="1"/>
      <c r="AME1632" s="1"/>
      <c r="AMF1632" s="1"/>
      <c r="AMG1632" s="1"/>
      <c r="AMH1632" s="1"/>
      <c r="AMI1632" s="1"/>
      <c r="AMJ1632" s="1"/>
      <c r="AMK1632" s="1"/>
      <c r="AML1632" s="1"/>
      <c r="AMM1632" s="1"/>
      <c r="AMN1632" s="1"/>
      <c r="AMO1632" s="1"/>
      <c r="AMP1632" s="1"/>
      <c r="AMQ1632" s="1"/>
      <c r="AMR1632" s="1"/>
      <c r="AMS1632" s="1"/>
      <c r="AMT1632" s="1"/>
      <c r="AMU1632" s="1"/>
      <c r="AMV1632" s="1"/>
      <c r="AMW1632" s="1"/>
      <c r="AMX1632" s="1"/>
      <c r="AMY1632" s="1"/>
      <c r="AMZ1632" s="1"/>
      <c r="ANA1632" s="1"/>
      <c r="ANB1632" s="1"/>
      <c r="ANC1632" s="1"/>
      <c r="AND1632" s="1"/>
      <c r="ANE1632" s="1"/>
      <c r="ANF1632" s="1"/>
      <c r="ANG1632" s="1"/>
      <c r="ANH1632" s="1"/>
      <c r="ANI1632" s="1"/>
      <c r="ANJ1632" s="1"/>
      <c r="ANK1632" s="1"/>
      <c r="ANL1632" s="1"/>
      <c r="ANM1632" s="1"/>
      <c r="ANN1632" s="1"/>
      <c r="ANO1632" s="1"/>
      <c r="ANP1632" s="1"/>
      <c r="ANQ1632" s="1"/>
      <c r="ANR1632" s="1"/>
      <c r="ANS1632" s="1"/>
      <c r="ANT1632" s="1"/>
      <c r="ANU1632" s="1"/>
      <c r="ANV1632" s="1"/>
      <c r="ANW1632" s="1"/>
      <c r="ANX1632" s="1"/>
      <c r="ANY1632" s="1"/>
      <c r="ANZ1632" s="1"/>
      <c r="AOA1632" s="1"/>
      <c r="AOB1632" s="1"/>
      <c r="AOC1632" s="1"/>
      <c r="AOD1632" s="1"/>
      <c r="AOE1632" s="1"/>
      <c r="AOF1632" s="1"/>
      <c r="AOG1632" s="1"/>
      <c r="AOH1632" s="1"/>
      <c r="AOI1632" s="1"/>
      <c r="AOJ1632" s="1"/>
      <c r="AOK1632" s="1"/>
      <c r="AOL1632" s="1"/>
      <c r="AOM1632" s="1"/>
      <c r="AON1632" s="1"/>
      <c r="AOO1632" s="1"/>
      <c r="AOP1632" s="1"/>
      <c r="AOQ1632" s="1"/>
      <c r="AOR1632" s="1"/>
      <c r="AOS1632" s="1"/>
      <c r="AOT1632" s="1"/>
      <c r="AOU1632" s="1"/>
      <c r="AOV1632" s="1"/>
      <c r="AOW1632" s="1"/>
      <c r="AOX1632" s="1"/>
      <c r="AOY1632" s="1"/>
      <c r="AOZ1632" s="1"/>
      <c r="APA1632" s="1"/>
      <c r="APB1632" s="1"/>
      <c r="APC1632" s="1"/>
      <c r="APD1632" s="1"/>
      <c r="APE1632" s="1"/>
      <c r="APF1632" s="1"/>
      <c r="APG1632" s="1"/>
      <c r="APH1632" s="1"/>
      <c r="API1632" s="1"/>
      <c r="APJ1632" s="1"/>
      <c r="APK1632" s="1"/>
      <c r="APL1632" s="1"/>
      <c r="APM1632" s="1"/>
      <c r="APN1632" s="1"/>
      <c r="APO1632" s="1"/>
      <c r="APP1632" s="1"/>
      <c r="APQ1632" s="1"/>
      <c r="APR1632" s="1"/>
      <c r="APS1632" s="1"/>
      <c r="APT1632" s="1"/>
      <c r="APU1632" s="1"/>
      <c r="APV1632" s="1"/>
      <c r="APW1632" s="1"/>
      <c r="APX1632" s="1"/>
      <c r="APY1632" s="1"/>
      <c r="APZ1632" s="1"/>
      <c r="AQA1632" s="1"/>
      <c r="AQB1632" s="1"/>
      <c r="AQC1632" s="1"/>
      <c r="AQD1632" s="1"/>
      <c r="AQE1632" s="1"/>
      <c r="AQF1632" s="1"/>
      <c r="AQG1632" s="1"/>
      <c r="AQH1632" s="1"/>
      <c r="AQI1632" s="1"/>
      <c r="AQJ1632" s="1"/>
      <c r="AQK1632" s="1"/>
      <c r="AQL1632" s="1"/>
      <c r="AQM1632" s="1"/>
      <c r="AQN1632" s="1"/>
      <c r="AQO1632" s="1"/>
      <c r="AQP1632" s="1"/>
      <c r="AQQ1632" s="1"/>
      <c r="AQR1632" s="1"/>
      <c r="AQS1632" s="1"/>
      <c r="AQT1632" s="1"/>
      <c r="AQU1632" s="1"/>
      <c r="AQV1632" s="1"/>
      <c r="AQW1632" s="1"/>
      <c r="AQX1632" s="1"/>
      <c r="AQY1632" s="1"/>
      <c r="AQZ1632" s="1"/>
      <c r="ARA1632" s="1"/>
      <c r="ARB1632" s="1"/>
      <c r="ARC1632" s="1"/>
      <c r="ARD1632" s="1"/>
      <c r="ARE1632" s="1"/>
      <c r="ARF1632" s="1"/>
      <c r="ARG1632" s="1"/>
      <c r="ARH1632" s="1"/>
      <c r="ARI1632" s="1"/>
      <c r="ARJ1632" s="1"/>
      <c r="ARK1632" s="1"/>
      <c r="ARL1632" s="1"/>
      <c r="ARM1632" s="1"/>
      <c r="ARN1632" s="1"/>
      <c r="ARO1632" s="1"/>
      <c r="ARP1632" s="1"/>
      <c r="ARQ1632" s="1"/>
      <c r="ARR1632" s="1"/>
      <c r="ARS1632" s="1"/>
      <c r="ART1632" s="1"/>
      <c r="ARU1632" s="1"/>
      <c r="ARV1632" s="1"/>
      <c r="ARW1632" s="1"/>
      <c r="ARX1632" s="1"/>
      <c r="ARY1632" s="1"/>
      <c r="ARZ1632" s="1"/>
      <c r="ASA1632" s="1"/>
      <c r="ASB1632" s="1"/>
      <c r="ASC1632" s="1"/>
      <c r="ASD1632" s="1"/>
      <c r="ASE1632" s="1"/>
      <c r="ASF1632" s="1"/>
      <c r="ASG1632" s="1"/>
      <c r="ASH1632" s="1"/>
      <c r="ASI1632" s="1"/>
      <c r="ASJ1632" s="1"/>
      <c r="ASK1632" s="1"/>
      <c r="ASL1632" s="1"/>
      <c r="ASM1632" s="1"/>
      <c r="ASN1632" s="1"/>
      <c r="ASO1632" s="1"/>
      <c r="ASP1632" s="1"/>
      <c r="ASQ1632" s="1"/>
      <c r="ASR1632" s="1"/>
      <c r="ASS1632" s="1"/>
      <c r="AST1632" s="1"/>
      <c r="ASU1632" s="1"/>
      <c r="ASV1632" s="1"/>
      <c r="ASW1632" s="1"/>
      <c r="ASX1632" s="1"/>
      <c r="ASY1632" s="1"/>
      <c r="ASZ1632" s="1"/>
      <c r="ATA1632" s="1"/>
      <c r="ATB1632" s="1"/>
      <c r="ATC1632" s="1"/>
      <c r="ATD1632" s="1"/>
      <c r="ATE1632" s="1"/>
      <c r="ATF1632" s="1"/>
      <c r="ATG1632" s="1"/>
      <c r="ATH1632" s="1"/>
      <c r="ATI1632" s="1"/>
      <c r="ATJ1632" s="1"/>
      <c r="ATK1632" s="1"/>
      <c r="ATL1632" s="1"/>
      <c r="ATM1632" s="1"/>
      <c r="ATN1632" s="1"/>
      <c r="ATO1632" s="1"/>
      <c r="ATP1632" s="1"/>
      <c r="ATQ1632" s="1"/>
      <c r="ATR1632" s="1"/>
      <c r="ATS1632" s="1"/>
      <c r="ATT1632" s="1"/>
      <c r="ATU1632" s="1"/>
      <c r="ATV1632" s="1"/>
      <c r="ATW1632" s="1"/>
      <c r="ATX1632" s="1"/>
      <c r="ATY1632" s="1"/>
      <c r="ATZ1632" s="1"/>
      <c r="AUA1632" s="1"/>
      <c r="AUB1632" s="1"/>
      <c r="AUC1632" s="1"/>
      <c r="AUD1632" s="1"/>
      <c r="AUE1632" s="1"/>
      <c r="AUF1632" s="1"/>
      <c r="AUG1632" s="1"/>
      <c r="AUH1632" s="1"/>
      <c r="AUI1632" s="1"/>
      <c r="AUJ1632" s="1"/>
      <c r="AUK1632" s="1"/>
      <c r="AUL1632" s="1"/>
      <c r="AUM1632" s="1"/>
      <c r="AUN1632" s="1"/>
      <c r="AUO1632" s="1"/>
      <c r="AUP1632" s="1"/>
      <c r="AUQ1632" s="1"/>
      <c r="AUR1632" s="1"/>
      <c r="AUS1632" s="1"/>
      <c r="AUT1632" s="1"/>
      <c r="AUU1632" s="1"/>
      <c r="AUV1632" s="1"/>
      <c r="AUW1632" s="1"/>
      <c r="AUX1632" s="1"/>
      <c r="AUY1632" s="1"/>
      <c r="AUZ1632" s="1"/>
      <c r="AVA1632" s="1"/>
      <c r="AVB1632" s="1"/>
      <c r="AVC1632" s="1"/>
      <c r="AVD1632" s="1"/>
      <c r="AVE1632" s="1"/>
      <c r="AVF1632" s="1"/>
      <c r="AVG1632" s="1"/>
      <c r="AVH1632" s="1"/>
      <c r="AVI1632" s="1"/>
      <c r="AVJ1632" s="1"/>
      <c r="AVK1632" s="1"/>
      <c r="AVL1632" s="1"/>
      <c r="AVM1632" s="1"/>
      <c r="AVN1632" s="1"/>
      <c r="AVO1632" s="1"/>
      <c r="AVP1632" s="1"/>
      <c r="AVQ1632" s="1"/>
      <c r="AVR1632" s="1"/>
      <c r="AVS1632" s="1"/>
      <c r="AVT1632" s="1"/>
      <c r="AVU1632" s="1"/>
      <c r="AVV1632" s="1"/>
      <c r="AVW1632" s="1"/>
      <c r="AVX1632" s="1"/>
      <c r="AVY1632" s="1"/>
      <c r="AVZ1632" s="1"/>
      <c r="AWA1632" s="1"/>
      <c r="AWB1632" s="1"/>
      <c r="AWC1632" s="1"/>
      <c r="AWD1632" s="1"/>
      <c r="AWE1632" s="1"/>
      <c r="AWF1632" s="1"/>
      <c r="AWG1632" s="1"/>
      <c r="AWH1632" s="1"/>
      <c r="AWI1632" s="1"/>
      <c r="AWJ1632" s="1"/>
      <c r="AWK1632" s="1"/>
      <c r="AWL1632" s="1"/>
      <c r="AWM1632" s="1"/>
      <c r="AWN1632" s="1"/>
      <c r="AWO1632" s="1"/>
      <c r="AWP1632" s="1"/>
      <c r="AWQ1632" s="1"/>
      <c r="AWR1632" s="1"/>
      <c r="AWS1632" s="1"/>
      <c r="AWT1632" s="1"/>
      <c r="AWU1632" s="1"/>
      <c r="AWV1632" s="1"/>
      <c r="AWW1632" s="1"/>
      <c r="AWX1632" s="1"/>
      <c r="AWY1632" s="1"/>
      <c r="AWZ1632" s="1"/>
      <c r="AXA1632" s="1"/>
      <c r="AXB1632" s="1"/>
      <c r="AXC1632" s="1"/>
      <c r="AXD1632" s="1"/>
      <c r="AXE1632" s="1"/>
      <c r="AXF1632" s="1"/>
      <c r="AXG1632" s="1"/>
      <c r="AXH1632" s="1"/>
      <c r="AXI1632" s="1"/>
      <c r="AXJ1632" s="1"/>
      <c r="AXK1632" s="1"/>
      <c r="AXL1632" s="1"/>
      <c r="AXM1632" s="1"/>
      <c r="AXN1632" s="1"/>
      <c r="AXO1632" s="1"/>
      <c r="AXP1632" s="1"/>
      <c r="AXQ1632" s="1"/>
      <c r="AXR1632" s="1"/>
      <c r="AXS1632" s="1"/>
      <c r="AXT1632" s="1"/>
      <c r="AXU1632" s="1"/>
      <c r="AXV1632" s="1"/>
      <c r="AXW1632" s="1"/>
      <c r="AXX1632" s="1"/>
      <c r="AXY1632" s="1"/>
      <c r="AXZ1632" s="1"/>
      <c r="AYA1632" s="1"/>
      <c r="AYB1632" s="1"/>
      <c r="AYC1632" s="1"/>
      <c r="AYD1632" s="1"/>
      <c r="AYE1632" s="1"/>
      <c r="AYF1632" s="1"/>
      <c r="AYG1632" s="1"/>
      <c r="AYH1632" s="1"/>
      <c r="AYI1632" s="1"/>
      <c r="AYJ1632" s="1"/>
      <c r="AYK1632" s="1"/>
      <c r="AYL1632" s="1"/>
      <c r="AYM1632" s="1"/>
      <c r="AYN1632" s="1"/>
      <c r="AYO1632" s="1"/>
      <c r="AYP1632" s="1"/>
      <c r="AYQ1632" s="1"/>
      <c r="AYR1632" s="1"/>
      <c r="AYS1632" s="1"/>
      <c r="AYT1632" s="1"/>
      <c r="AYU1632" s="1"/>
      <c r="AYV1632" s="1"/>
      <c r="AYW1632" s="1"/>
      <c r="AYX1632" s="1"/>
      <c r="AYY1632" s="1"/>
      <c r="AYZ1632" s="1"/>
      <c r="AZA1632" s="1"/>
      <c r="AZB1632" s="1"/>
      <c r="AZC1632" s="1"/>
      <c r="AZD1632" s="1"/>
      <c r="AZE1632" s="1"/>
      <c r="AZF1632" s="1"/>
      <c r="AZG1632" s="1"/>
      <c r="AZH1632" s="1"/>
      <c r="AZI1632" s="1"/>
      <c r="AZJ1632" s="1"/>
      <c r="AZK1632" s="1"/>
      <c r="AZL1632" s="1"/>
      <c r="AZM1632" s="1"/>
      <c r="AZN1632" s="1"/>
      <c r="AZO1632" s="1"/>
      <c r="AZP1632" s="1"/>
      <c r="AZQ1632" s="1"/>
      <c r="AZR1632" s="1"/>
      <c r="AZS1632" s="1"/>
      <c r="AZT1632" s="1"/>
      <c r="AZU1632" s="1"/>
      <c r="AZV1632" s="1"/>
      <c r="AZW1632" s="1"/>
      <c r="AZX1632" s="1"/>
      <c r="AZY1632" s="1"/>
      <c r="AZZ1632" s="1"/>
      <c r="BAA1632" s="1"/>
      <c r="BAB1632" s="1"/>
      <c r="BAC1632" s="1"/>
      <c r="BAD1632" s="1"/>
      <c r="BAE1632" s="1"/>
      <c r="BAF1632" s="1"/>
      <c r="BAG1632" s="1"/>
      <c r="BAH1632" s="1"/>
      <c r="BAI1632" s="1"/>
      <c r="BAJ1632" s="1"/>
      <c r="BAK1632" s="1"/>
      <c r="BAL1632" s="1"/>
      <c r="BAM1632" s="1"/>
      <c r="BAN1632" s="1"/>
      <c r="BAO1632" s="1"/>
      <c r="BAP1632" s="1"/>
      <c r="BAQ1632" s="1"/>
      <c r="BAR1632" s="1"/>
      <c r="BAS1632" s="1"/>
      <c r="BAT1632" s="1"/>
      <c r="BAU1632" s="1"/>
      <c r="BAV1632" s="1"/>
      <c r="BAW1632" s="1"/>
      <c r="BAX1632" s="1"/>
      <c r="BAY1632" s="1"/>
      <c r="BAZ1632" s="1"/>
      <c r="BBA1632" s="1"/>
      <c r="BBB1632" s="1"/>
      <c r="BBC1632" s="1"/>
      <c r="BBD1632" s="1"/>
      <c r="BBE1632" s="1"/>
      <c r="BBF1632" s="1"/>
      <c r="BBG1632" s="1"/>
      <c r="BBH1632" s="1"/>
      <c r="BBI1632" s="1"/>
      <c r="BBJ1632" s="1"/>
      <c r="BBK1632" s="1"/>
      <c r="BBL1632" s="1"/>
      <c r="BBM1632" s="1"/>
      <c r="BBN1632" s="1"/>
      <c r="BBO1632" s="1"/>
      <c r="BBP1632" s="1"/>
      <c r="BBQ1632" s="1"/>
      <c r="BBR1632" s="1"/>
      <c r="BBS1632" s="1"/>
      <c r="BBT1632" s="1"/>
      <c r="BBU1632" s="1"/>
      <c r="BBV1632" s="1"/>
      <c r="BBW1632" s="1"/>
      <c r="BBX1632" s="1"/>
      <c r="BBY1632" s="1"/>
      <c r="BBZ1632" s="1"/>
      <c r="BCA1632" s="1"/>
      <c r="BCB1632" s="1"/>
      <c r="BCC1632" s="1"/>
      <c r="BCD1632" s="1"/>
      <c r="BCE1632" s="1"/>
      <c r="BCF1632" s="1"/>
      <c r="BCG1632" s="1"/>
      <c r="BCH1632" s="1"/>
      <c r="BCI1632" s="1"/>
      <c r="BCJ1632" s="1"/>
      <c r="BCK1632" s="1"/>
      <c r="BCL1632" s="1"/>
      <c r="BCM1632" s="1"/>
      <c r="BCN1632" s="1"/>
      <c r="BCO1632" s="1"/>
      <c r="BCP1632" s="1"/>
      <c r="BCQ1632" s="1"/>
      <c r="BCR1632" s="1"/>
      <c r="BCS1632" s="1"/>
      <c r="BCT1632" s="1"/>
      <c r="BCU1632" s="1"/>
      <c r="BCV1632" s="1"/>
      <c r="BCW1632" s="1"/>
      <c r="BCX1632" s="1"/>
      <c r="BCY1632" s="1"/>
      <c r="BCZ1632" s="1"/>
      <c r="BDA1632" s="1"/>
      <c r="BDB1632" s="1"/>
      <c r="BDC1632" s="1"/>
      <c r="BDD1632" s="1"/>
      <c r="BDE1632" s="1"/>
      <c r="BDF1632" s="1"/>
      <c r="BDG1632" s="1"/>
      <c r="BDH1632" s="1"/>
      <c r="BDI1632" s="1"/>
      <c r="BDJ1632" s="1"/>
      <c r="BDK1632" s="1"/>
      <c r="BDL1632" s="1"/>
      <c r="BDM1632" s="1"/>
      <c r="BDN1632" s="1"/>
      <c r="BDO1632" s="1"/>
      <c r="BDP1632" s="1"/>
      <c r="BDQ1632" s="1"/>
      <c r="BDR1632" s="1"/>
      <c r="BDS1632" s="1"/>
      <c r="BDT1632" s="1"/>
      <c r="BDU1632" s="1"/>
      <c r="BDV1632" s="1"/>
      <c r="BDW1632" s="1"/>
      <c r="BDX1632" s="1"/>
      <c r="BDY1632" s="1"/>
      <c r="BDZ1632" s="1"/>
      <c r="BEA1632" s="1"/>
      <c r="BEB1632" s="1"/>
      <c r="BEC1632" s="1"/>
      <c r="BED1632" s="1"/>
      <c r="BEE1632" s="1"/>
      <c r="BEF1632" s="1"/>
      <c r="BEG1632" s="1"/>
      <c r="BEH1632" s="1"/>
      <c r="BEI1632" s="1"/>
      <c r="BEJ1632" s="1"/>
      <c r="BEK1632" s="1"/>
      <c r="BEL1632" s="1"/>
      <c r="BEM1632" s="1"/>
      <c r="BEN1632" s="1"/>
      <c r="BEO1632" s="1"/>
      <c r="BEP1632" s="1"/>
      <c r="BEQ1632" s="1"/>
      <c r="BER1632" s="1"/>
      <c r="BES1632" s="1"/>
      <c r="BET1632" s="1"/>
      <c r="BEU1632" s="1"/>
      <c r="BEV1632" s="1"/>
      <c r="BEW1632" s="1"/>
      <c r="BEX1632" s="1"/>
      <c r="BEY1632" s="1"/>
      <c r="BEZ1632" s="1"/>
      <c r="BFA1632" s="1"/>
      <c r="BFB1632" s="1"/>
      <c r="BFC1632" s="1"/>
      <c r="BFD1632" s="1"/>
      <c r="BFE1632" s="1"/>
      <c r="BFF1632" s="1"/>
      <c r="BFG1632" s="1"/>
      <c r="BFH1632" s="1"/>
      <c r="BFI1632" s="1"/>
      <c r="BFJ1632" s="1"/>
      <c r="BFK1632" s="1"/>
      <c r="BFL1632" s="1"/>
      <c r="BFM1632" s="1"/>
      <c r="BFN1632" s="1"/>
      <c r="BFO1632" s="1"/>
      <c r="BFP1632" s="1"/>
      <c r="BFQ1632" s="1"/>
      <c r="BFR1632" s="1"/>
      <c r="BFS1632" s="1"/>
      <c r="BFT1632" s="1"/>
      <c r="BFU1632" s="1"/>
      <c r="BFV1632" s="1"/>
      <c r="BFW1632" s="1"/>
      <c r="BFX1632" s="1"/>
      <c r="BFY1632" s="1"/>
      <c r="BFZ1632" s="1"/>
      <c r="BGA1632" s="1"/>
      <c r="BGB1632" s="1"/>
      <c r="BGC1632" s="1"/>
      <c r="BGD1632" s="1"/>
      <c r="BGE1632" s="1"/>
      <c r="BGF1632" s="1"/>
      <c r="BGG1632" s="1"/>
      <c r="BGH1632" s="1"/>
      <c r="BGI1632" s="1"/>
      <c r="BGJ1632" s="1"/>
      <c r="BGK1632" s="1"/>
      <c r="BGL1632" s="1"/>
      <c r="BGM1632" s="1"/>
      <c r="BGN1632" s="1"/>
      <c r="BGO1632" s="1"/>
      <c r="BGP1632" s="1"/>
      <c r="BGQ1632" s="1"/>
      <c r="BGR1632" s="1"/>
      <c r="BGS1632" s="1"/>
      <c r="BGT1632" s="1"/>
      <c r="BGU1632" s="1"/>
      <c r="BGV1632" s="1"/>
      <c r="BGW1632" s="1"/>
      <c r="BGX1632" s="1"/>
      <c r="BGY1632" s="1"/>
      <c r="BGZ1632" s="1"/>
      <c r="BHA1632" s="1"/>
      <c r="BHB1632" s="1"/>
      <c r="BHC1632" s="1"/>
      <c r="BHD1632" s="1"/>
      <c r="BHE1632" s="1"/>
      <c r="BHF1632" s="1"/>
      <c r="BHG1632" s="1"/>
      <c r="BHH1632" s="1"/>
      <c r="BHI1632" s="1"/>
      <c r="BHJ1632" s="1"/>
      <c r="BHK1632" s="1"/>
      <c r="BHL1632" s="1"/>
      <c r="BHM1632" s="1"/>
      <c r="BHN1632" s="1"/>
      <c r="BHO1632" s="1"/>
      <c r="BHP1632" s="1"/>
      <c r="BHQ1632" s="1"/>
      <c r="BHR1632" s="1"/>
      <c r="BHS1632" s="1"/>
      <c r="BHT1632" s="1"/>
      <c r="BHU1632" s="1"/>
      <c r="BHV1632" s="1"/>
      <c r="BHW1632" s="1"/>
      <c r="BHX1632" s="1"/>
      <c r="BHY1632" s="1"/>
      <c r="BHZ1632" s="1"/>
      <c r="BIA1632" s="1"/>
      <c r="BIB1632" s="1"/>
      <c r="BIC1632" s="1"/>
      <c r="BID1632" s="1"/>
      <c r="BIE1632" s="1"/>
      <c r="BIF1632" s="1"/>
      <c r="BIG1632" s="1"/>
      <c r="BIH1632" s="1"/>
      <c r="BII1632" s="1"/>
      <c r="BIJ1632" s="1"/>
      <c r="BIK1632" s="1"/>
      <c r="BIL1632" s="1"/>
      <c r="BIM1632" s="1"/>
      <c r="BIN1632" s="1"/>
      <c r="BIO1632" s="1"/>
      <c r="BIP1632" s="1"/>
      <c r="BIQ1632" s="1"/>
      <c r="BIR1632" s="1"/>
      <c r="BIS1632" s="1"/>
      <c r="BIT1632" s="1"/>
      <c r="BIU1632" s="1"/>
      <c r="BIV1632" s="1"/>
      <c r="BIW1632" s="1"/>
      <c r="BIX1632" s="1"/>
      <c r="BIY1632" s="1"/>
      <c r="BIZ1632" s="1"/>
      <c r="BJA1632" s="1"/>
      <c r="BJB1632" s="1"/>
      <c r="BJC1632" s="1"/>
      <c r="BJD1632" s="1"/>
      <c r="BJE1632" s="1"/>
      <c r="BJF1632" s="1"/>
      <c r="BJG1632" s="1"/>
      <c r="BJH1632" s="1"/>
      <c r="BJI1632" s="1"/>
      <c r="BJJ1632" s="1"/>
      <c r="BJK1632" s="1"/>
      <c r="BJL1632" s="1"/>
      <c r="BJM1632" s="1"/>
      <c r="BJN1632" s="1"/>
      <c r="BJO1632" s="1"/>
      <c r="BJP1632" s="1"/>
      <c r="BJQ1632" s="1"/>
      <c r="BJR1632" s="1"/>
      <c r="BJS1632" s="1"/>
      <c r="BJT1632" s="1"/>
      <c r="BJU1632" s="1"/>
      <c r="BJV1632" s="1"/>
      <c r="BJW1632" s="1"/>
      <c r="BJX1632" s="1"/>
      <c r="BJY1632" s="1"/>
      <c r="BJZ1632" s="1"/>
      <c r="BKA1632" s="1"/>
      <c r="BKB1632" s="1"/>
      <c r="BKC1632" s="1"/>
      <c r="BKD1632" s="1"/>
      <c r="BKE1632" s="1"/>
      <c r="BKF1632" s="1"/>
      <c r="BKG1632" s="1"/>
      <c r="BKH1632" s="1"/>
      <c r="BKI1632" s="1"/>
      <c r="BKJ1632" s="1"/>
      <c r="BKK1632" s="1"/>
      <c r="BKL1632" s="1"/>
      <c r="BKM1632" s="1"/>
      <c r="BKN1632" s="1"/>
      <c r="BKO1632" s="1"/>
      <c r="BKP1632" s="1"/>
      <c r="BKQ1632" s="1"/>
      <c r="BKR1632" s="1"/>
      <c r="BKS1632" s="1"/>
      <c r="BKT1632" s="1"/>
      <c r="BKU1632" s="1"/>
      <c r="BKV1632" s="1"/>
      <c r="BKW1632" s="1"/>
      <c r="BKX1632" s="1"/>
      <c r="BKY1632" s="1"/>
      <c r="BKZ1632" s="1"/>
      <c r="BLA1632" s="1"/>
      <c r="BLB1632" s="1"/>
      <c r="BLC1632" s="1"/>
      <c r="BLD1632" s="1"/>
      <c r="BLE1632" s="1"/>
      <c r="BLF1632" s="1"/>
      <c r="BLG1632" s="1"/>
      <c r="BLH1632" s="1"/>
      <c r="BLI1632" s="1"/>
      <c r="BLJ1632" s="1"/>
      <c r="BLK1632" s="1"/>
      <c r="BLL1632" s="1"/>
      <c r="BLM1632" s="1"/>
      <c r="BLN1632" s="1"/>
      <c r="BLO1632" s="1"/>
      <c r="BLP1632" s="1"/>
      <c r="BLQ1632" s="1"/>
      <c r="BLR1632" s="1"/>
      <c r="BLS1632" s="1"/>
      <c r="BLT1632" s="1"/>
      <c r="BLU1632" s="1"/>
      <c r="BLV1632" s="1"/>
      <c r="BLW1632" s="1"/>
      <c r="BLX1632" s="1"/>
      <c r="BLY1632" s="1"/>
      <c r="BLZ1632" s="1"/>
      <c r="BMA1632" s="1"/>
      <c r="BMB1632" s="1"/>
      <c r="BMC1632" s="1"/>
      <c r="BMD1632" s="1"/>
      <c r="BME1632" s="1"/>
      <c r="BMF1632" s="1"/>
      <c r="BMG1632" s="1"/>
      <c r="BMH1632" s="1"/>
      <c r="BMI1632" s="1"/>
      <c r="BMJ1632" s="1"/>
      <c r="BMK1632" s="1"/>
      <c r="BML1632" s="1"/>
      <c r="BMM1632" s="1"/>
      <c r="BMN1632" s="1"/>
      <c r="BMO1632" s="1"/>
      <c r="BMP1632" s="1"/>
      <c r="BMQ1632" s="1"/>
      <c r="BMR1632" s="1"/>
      <c r="BMS1632" s="1"/>
      <c r="BMT1632" s="1"/>
      <c r="BMU1632" s="1"/>
      <c r="BMV1632" s="1"/>
      <c r="BMW1632" s="1"/>
      <c r="BMX1632" s="1"/>
      <c r="BMY1632" s="1"/>
      <c r="BMZ1632" s="1"/>
      <c r="BNA1632" s="1"/>
      <c r="BNB1632" s="1"/>
      <c r="BNC1632" s="1"/>
      <c r="BND1632" s="1"/>
      <c r="BNE1632" s="1"/>
      <c r="BNF1632" s="1"/>
      <c r="BNG1632" s="1"/>
      <c r="BNH1632" s="1"/>
      <c r="BNI1632" s="1"/>
      <c r="BNJ1632" s="1"/>
      <c r="BNK1632" s="1"/>
      <c r="BNL1632" s="1"/>
      <c r="BNM1632" s="1"/>
      <c r="BNN1632" s="1"/>
      <c r="BNO1632" s="1"/>
      <c r="BNP1632" s="1"/>
      <c r="BNQ1632" s="1"/>
      <c r="BNR1632" s="1"/>
      <c r="BNS1632" s="1"/>
      <c r="BNT1632" s="1"/>
      <c r="BNU1632" s="1"/>
      <c r="BNV1632" s="1"/>
      <c r="BNW1632" s="1"/>
      <c r="BNX1632" s="1"/>
      <c r="BNY1632" s="1"/>
      <c r="BNZ1632" s="1"/>
      <c r="BOA1632" s="1"/>
      <c r="BOB1632" s="1"/>
      <c r="BOC1632" s="1"/>
      <c r="BOD1632" s="1"/>
      <c r="BOE1632" s="1"/>
      <c r="BOF1632" s="1"/>
      <c r="BOG1632" s="1"/>
      <c r="BOH1632" s="1"/>
      <c r="BOI1632" s="1"/>
      <c r="BOJ1632" s="1"/>
      <c r="BOK1632" s="1"/>
      <c r="BOL1632" s="1"/>
      <c r="BOM1632" s="1"/>
      <c r="BON1632" s="1"/>
      <c r="BOO1632" s="1"/>
      <c r="BOP1632" s="1"/>
      <c r="BOQ1632" s="1"/>
      <c r="BOR1632" s="1"/>
      <c r="BOS1632" s="1"/>
      <c r="BOT1632" s="1"/>
      <c r="BOU1632" s="1"/>
      <c r="BOV1632" s="1"/>
      <c r="BOW1632" s="1"/>
      <c r="BOX1632" s="1"/>
      <c r="BOY1632" s="1"/>
      <c r="BOZ1632" s="1"/>
      <c r="BPA1632" s="1"/>
      <c r="BPB1632" s="1"/>
      <c r="BPC1632" s="1"/>
      <c r="BPD1632" s="1"/>
      <c r="BPE1632" s="1"/>
      <c r="BPF1632" s="1"/>
      <c r="BPG1632" s="1"/>
      <c r="BPH1632" s="1"/>
      <c r="BPI1632" s="1"/>
      <c r="BPJ1632" s="1"/>
      <c r="BPK1632" s="1"/>
      <c r="BPL1632" s="1"/>
      <c r="BPM1632" s="1"/>
      <c r="BPN1632" s="1"/>
      <c r="BPO1632" s="1"/>
      <c r="BPP1632" s="1"/>
      <c r="BPQ1632" s="1"/>
      <c r="BPR1632" s="1"/>
      <c r="BPS1632" s="1"/>
      <c r="BPT1632" s="1"/>
      <c r="BPU1632" s="1"/>
      <c r="BPV1632" s="1"/>
      <c r="BPW1632" s="1"/>
      <c r="BPX1632" s="1"/>
      <c r="BPY1632" s="1"/>
      <c r="BPZ1632" s="1"/>
      <c r="BQA1632" s="1"/>
      <c r="BQB1632" s="1"/>
      <c r="BQC1632" s="1"/>
      <c r="BQD1632" s="1"/>
      <c r="BQE1632" s="1"/>
      <c r="BQF1632" s="1"/>
      <c r="BQG1632" s="1"/>
      <c r="BQH1632" s="1"/>
      <c r="BQI1632" s="1"/>
      <c r="BQJ1632" s="1"/>
      <c r="BQK1632" s="1"/>
      <c r="BQL1632" s="1"/>
      <c r="BQM1632" s="1"/>
      <c r="BQN1632" s="1"/>
      <c r="BQO1632" s="1"/>
      <c r="BQP1632" s="1"/>
      <c r="BQQ1632" s="1"/>
      <c r="BQR1632" s="1"/>
      <c r="BQS1632" s="1"/>
      <c r="BQT1632" s="1"/>
      <c r="BQU1632" s="1"/>
      <c r="BQV1632" s="1"/>
      <c r="BQW1632" s="1"/>
      <c r="BQX1632" s="1"/>
      <c r="BQY1632" s="1"/>
      <c r="BQZ1632" s="1"/>
      <c r="BRA1632" s="1"/>
      <c r="BRB1632" s="1"/>
      <c r="BRC1632" s="1"/>
      <c r="BRD1632" s="1"/>
      <c r="BRE1632" s="1"/>
      <c r="BRF1632" s="1"/>
      <c r="BRG1632" s="1"/>
      <c r="BRH1632" s="1"/>
      <c r="BRI1632" s="1"/>
      <c r="BRJ1632" s="1"/>
      <c r="BRK1632" s="1"/>
      <c r="BRL1632" s="1"/>
      <c r="BRM1632" s="1"/>
      <c r="BRN1632" s="1"/>
      <c r="BRO1632" s="1"/>
      <c r="BRP1632" s="1"/>
      <c r="BRQ1632" s="1"/>
      <c r="BRR1632" s="1"/>
      <c r="BRS1632" s="1"/>
      <c r="BRT1632" s="1"/>
      <c r="BRU1632" s="1"/>
      <c r="BRV1632" s="1"/>
      <c r="BRW1632" s="1"/>
      <c r="BRX1632" s="1"/>
      <c r="BRY1632" s="1"/>
      <c r="BRZ1632" s="1"/>
      <c r="BSA1632" s="1"/>
      <c r="BSB1632" s="1"/>
      <c r="BSC1632" s="1"/>
      <c r="BSD1632" s="1"/>
      <c r="BSE1632" s="1"/>
      <c r="BSF1632" s="1"/>
      <c r="BSG1632" s="1"/>
      <c r="BSH1632" s="1"/>
      <c r="BSI1632" s="1"/>
      <c r="BSJ1632" s="1"/>
      <c r="BSK1632" s="1"/>
      <c r="BSL1632" s="1"/>
      <c r="BSM1632" s="1"/>
      <c r="BSN1632" s="1"/>
      <c r="BSO1632" s="1"/>
      <c r="BSP1632" s="1"/>
      <c r="BSQ1632" s="1"/>
      <c r="BSR1632" s="1"/>
      <c r="BSS1632" s="1"/>
      <c r="BST1632" s="1"/>
      <c r="BSU1632" s="1"/>
      <c r="BSV1632" s="1"/>
      <c r="BSW1632" s="1"/>
      <c r="BSX1632" s="1"/>
      <c r="BSY1632" s="1"/>
      <c r="BSZ1632" s="1"/>
      <c r="BTA1632" s="1"/>
      <c r="BTB1632" s="1"/>
      <c r="BTC1632" s="1"/>
      <c r="BTD1632" s="1"/>
      <c r="BTE1632" s="1"/>
      <c r="BTF1632" s="1"/>
      <c r="BTG1632" s="1"/>
      <c r="BTH1632" s="1"/>
      <c r="BTI1632" s="1"/>
      <c r="BTJ1632" s="1"/>
      <c r="BTK1632" s="1"/>
      <c r="BTL1632" s="1"/>
      <c r="BTM1632" s="1"/>
      <c r="BTN1632" s="1"/>
      <c r="BTO1632" s="1"/>
      <c r="BTP1632" s="1"/>
      <c r="BTQ1632" s="1"/>
      <c r="BTR1632" s="1"/>
      <c r="BTS1632" s="1"/>
      <c r="BTT1632" s="1"/>
      <c r="BTU1632" s="1"/>
      <c r="BTV1632" s="1"/>
      <c r="BTW1632" s="1"/>
      <c r="BTX1632" s="1"/>
      <c r="BTY1632" s="1"/>
      <c r="BTZ1632" s="1"/>
      <c r="BUA1632" s="1"/>
      <c r="BUB1632" s="1"/>
      <c r="BUC1632" s="1"/>
      <c r="BUD1632" s="1"/>
      <c r="BUE1632" s="1"/>
      <c r="BUF1632" s="1"/>
      <c r="BUG1632" s="1"/>
      <c r="BUH1632" s="1"/>
      <c r="BUI1632" s="1"/>
      <c r="BUJ1632" s="1"/>
      <c r="BUK1632" s="1"/>
      <c r="BUL1632" s="1"/>
      <c r="BUM1632" s="1"/>
      <c r="BUN1632" s="1"/>
      <c r="BUO1632" s="1"/>
      <c r="BUP1632" s="1"/>
      <c r="BUQ1632" s="1"/>
      <c r="BUR1632" s="1"/>
      <c r="BUS1632" s="1"/>
      <c r="BUT1632" s="1"/>
      <c r="BUU1632" s="1"/>
      <c r="BUV1632" s="1"/>
      <c r="BUW1632" s="1"/>
      <c r="BUX1632" s="1"/>
      <c r="BUY1632" s="1"/>
      <c r="BUZ1632" s="1"/>
      <c r="BVA1632" s="1"/>
      <c r="BVB1632" s="1"/>
      <c r="BVC1632" s="1"/>
      <c r="BVD1632" s="1"/>
      <c r="BVE1632" s="1"/>
      <c r="BVF1632" s="1"/>
      <c r="BVG1632" s="1"/>
      <c r="BVH1632" s="1"/>
      <c r="BVI1632" s="1"/>
      <c r="BVJ1632" s="1"/>
      <c r="BVK1632" s="1"/>
      <c r="BVL1632" s="1"/>
      <c r="BVM1632" s="1"/>
      <c r="BVN1632" s="1"/>
      <c r="BVO1632" s="1"/>
      <c r="BVP1632" s="1"/>
      <c r="BVQ1632" s="1"/>
      <c r="BVR1632" s="1"/>
      <c r="BVS1632" s="1"/>
      <c r="BVT1632" s="1"/>
      <c r="BVU1632" s="1"/>
      <c r="BVV1632" s="1"/>
      <c r="BVW1632" s="1"/>
      <c r="BVX1632" s="1"/>
      <c r="BVY1632" s="1"/>
      <c r="BVZ1632" s="1"/>
      <c r="BWA1632" s="1"/>
      <c r="BWB1632" s="1"/>
      <c r="BWC1632" s="1"/>
      <c r="BWD1632" s="1"/>
      <c r="BWE1632" s="1"/>
      <c r="BWF1632" s="1"/>
      <c r="BWG1632" s="1"/>
      <c r="BWH1632" s="1"/>
      <c r="BWI1632" s="1"/>
      <c r="BWJ1632" s="1"/>
      <c r="BWK1632" s="1"/>
      <c r="BWL1632" s="1"/>
      <c r="BWM1632" s="1"/>
      <c r="BWN1632" s="1"/>
      <c r="BWO1632" s="1"/>
      <c r="BWP1632" s="1"/>
      <c r="BWQ1632" s="1"/>
      <c r="BWR1632" s="1"/>
      <c r="BWS1632" s="1"/>
      <c r="BWT1632" s="1"/>
      <c r="BWU1632" s="1"/>
      <c r="BWV1632" s="1"/>
      <c r="BWW1632" s="1"/>
      <c r="BWX1632" s="1"/>
      <c r="BWY1632" s="1"/>
      <c r="BWZ1632" s="1"/>
      <c r="BXA1632" s="1"/>
      <c r="BXB1632" s="1"/>
      <c r="BXC1632" s="1"/>
      <c r="BXD1632" s="1"/>
      <c r="BXE1632" s="1"/>
      <c r="BXF1632" s="1"/>
      <c r="BXG1632" s="1"/>
      <c r="BXH1632" s="1"/>
      <c r="BXI1632" s="1"/>
      <c r="BXJ1632" s="1"/>
      <c r="BXK1632" s="1"/>
      <c r="BXL1632" s="1"/>
      <c r="BXM1632" s="1"/>
      <c r="BXN1632" s="1"/>
      <c r="BXO1632" s="1"/>
      <c r="BXP1632" s="1"/>
      <c r="BXQ1632" s="1"/>
      <c r="BXR1632" s="1"/>
      <c r="BXS1632" s="1"/>
      <c r="BXT1632" s="1"/>
      <c r="BXU1632" s="1"/>
      <c r="BXV1632" s="1"/>
      <c r="BXW1632" s="1"/>
      <c r="BXX1632" s="1"/>
      <c r="BXY1632" s="1"/>
      <c r="BXZ1632" s="1"/>
      <c r="BYA1632" s="1"/>
      <c r="BYB1632" s="1"/>
      <c r="BYC1632" s="1"/>
      <c r="BYD1632" s="1"/>
      <c r="BYE1632" s="1"/>
      <c r="BYF1632" s="1"/>
      <c r="BYG1632" s="1"/>
      <c r="BYH1632" s="1"/>
      <c r="BYI1632" s="1"/>
      <c r="BYJ1632" s="1"/>
      <c r="BYK1632" s="1"/>
      <c r="BYL1632" s="1"/>
      <c r="BYM1632" s="1"/>
      <c r="BYN1632" s="1"/>
      <c r="BYO1632" s="1"/>
      <c r="BYP1632" s="1"/>
      <c r="BYQ1632" s="1"/>
      <c r="BYR1632" s="1"/>
      <c r="BYS1632" s="1"/>
      <c r="BYT1632" s="1"/>
      <c r="BYU1632" s="1"/>
      <c r="BYV1632" s="1"/>
      <c r="BYW1632" s="1"/>
      <c r="BYX1632" s="1"/>
      <c r="BYY1632" s="1"/>
      <c r="BYZ1632" s="1"/>
      <c r="BZA1632" s="1"/>
      <c r="BZB1632" s="1"/>
      <c r="BZC1632" s="1"/>
      <c r="BZD1632" s="1"/>
      <c r="BZE1632" s="1"/>
      <c r="BZF1632" s="1"/>
      <c r="BZG1632" s="1"/>
      <c r="BZH1632" s="1"/>
      <c r="BZI1632" s="1"/>
      <c r="BZJ1632" s="1"/>
      <c r="BZK1632" s="1"/>
      <c r="BZL1632" s="1"/>
      <c r="BZM1632" s="1"/>
      <c r="BZN1632" s="1"/>
      <c r="BZO1632" s="1"/>
      <c r="BZP1632" s="1"/>
      <c r="BZQ1632" s="1"/>
      <c r="BZR1632" s="1"/>
      <c r="BZS1632" s="1"/>
      <c r="BZT1632" s="1"/>
      <c r="BZU1632" s="1"/>
      <c r="BZV1632" s="1"/>
      <c r="BZW1632" s="1"/>
      <c r="BZX1632" s="1"/>
      <c r="BZY1632" s="1"/>
      <c r="BZZ1632" s="1"/>
      <c r="CAA1632" s="1"/>
      <c r="CAB1632" s="1"/>
      <c r="CAC1632" s="1"/>
      <c r="CAD1632" s="1"/>
      <c r="CAE1632" s="1"/>
      <c r="CAF1632" s="1"/>
      <c r="CAG1632" s="1"/>
      <c r="CAH1632" s="1"/>
      <c r="CAI1632" s="1"/>
      <c r="CAJ1632" s="1"/>
      <c r="CAK1632" s="1"/>
      <c r="CAL1632" s="1"/>
      <c r="CAM1632" s="1"/>
      <c r="CAN1632" s="1"/>
      <c r="CAO1632" s="1"/>
      <c r="CAP1632" s="1"/>
      <c r="CAQ1632" s="1"/>
      <c r="CAR1632" s="1"/>
      <c r="CAS1632" s="1"/>
      <c r="CAT1632" s="1"/>
      <c r="CAU1632" s="1"/>
      <c r="CAV1632" s="1"/>
      <c r="CAW1632" s="1"/>
      <c r="CAX1632" s="1"/>
      <c r="CAY1632" s="1"/>
      <c r="CAZ1632" s="1"/>
      <c r="CBA1632" s="1"/>
      <c r="CBB1632" s="1"/>
      <c r="CBC1632" s="1"/>
      <c r="CBD1632" s="1"/>
      <c r="CBE1632" s="1"/>
      <c r="CBF1632" s="1"/>
      <c r="CBG1632" s="1"/>
      <c r="CBH1632" s="1"/>
      <c r="CBI1632" s="1"/>
      <c r="CBJ1632" s="1"/>
      <c r="CBK1632" s="1"/>
      <c r="CBL1632" s="1"/>
      <c r="CBM1632" s="1"/>
      <c r="CBN1632" s="1"/>
      <c r="CBO1632" s="1"/>
      <c r="CBP1632" s="1"/>
      <c r="CBQ1632" s="1"/>
      <c r="CBR1632" s="1"/>
      <c r="CBS1632" s="1"/>
      <c r="CBT1632" s="1"/>
      <c r="CBU1632" s="1"/>
      <c r="CBV1632" s="1"/>
      <c r="CBW1632" s="1"/>
      <c r="CBX1632" s="1"/>
      <c r="CBY1632" s="1"/>
      <c r="CBZ1632" s="1"/>
      <c r="CCA1632" s="1"/>
      <c r="CCB1632" s="1"/>
      <c r="CCC1632" s="1"/>
      <c r="CCD1632" s="1"/>
      <c r="CCE1632" s="1"/>
      <c r="CCF1632" s="1"/>
      <c r="CCG1632" s="1"/>
      <c r="CCH1632" s="1"/>
      <c r="CCI1632" s="1"/>
      <c r="CCJ1632" s="1"/>
      <c r="CCK1632" s="1"/>
      <c r="CCL1632" s="1"/>
      <c r="CCM1632" s="1"/>
      <c r="CCN1632" s="1"/>
      <c r="CCO1632" s="1"/>
      <c r="CCP1632" s="1"/>
      <c r="CCQ1632" s="1"/>
      <c r="CCR1632" s="1"/>
      <c r="CCS1632" s="1"/>
      <c r="CCT1632" s="1"/>
      <c r="CCU1632" s="1"/>
      <c r="CCV1632" s="1"/>
      <c r="CCW1632" s="1"/>
      <c r="CCX1632" s="1"/>
      <c r="CCY1632" s="1"/>
      <c r="CCZ1632" s="1"/>
      <c r="CDA1632" s="1"/>
      <c r="CDB1632" s="1"/>
      <c r="CDC1632" s="1"/>
      <c r="CDD1632" s="1"/>
      <c r="CDE1632" s="1"/>
      <c r="CDF1632" s="1"/>
      <c r="CDG1632" s="1"/>
      <c r="CDH1632" s="1"/>
      <c r="CDI1632" s="1"/>
      <c r="CDJ1632" s="1"/>
      <c r="CDK1632" s="1"/>
      <c r="CDL1632" s="1"/>
      <c r="CDM1632" s="1"/>
      <c r="CDN1632" s="1"/>
      <c r="CDO1632" s="1"/>
      <c r="CDP1632" s="1"/>
      <c r="CDQ1632" s="1"/>
      <c r="CDR1632" s="1"/>
      <c r="CDS1632" s="1"/>
      <c r="CDT1632" s="1"/>
      <c r="CDU1632" s="1"/>
      <c r="CDV1632" s="1"/>
      <c r="CDW1632" s="1"/>
      <c r="CDX1632" s="1"/>
      <c r="CDY1632" s="1"/>
      <c r="CDZ1632" s="1"/>
      <c r="CEA1632" s="1"/>
      <c r="CEB1632" s="1"/>
      <c r="CEC1632" s="1"/>
      <c r="CED1632" s="1"/>
      <c r="CEE1632" s="1"/>
      <c r="CEF1632" s="1"/>
      <c r="CEG1632" s="1"/>
      <c r="CEH1632" s="1"/>
      <c r="CEI1632" s="1"/>
      <c r="CEJ1632" s="1"/>
      <c r="CEK1632" s="1"/>
      <c r="CEL1632" s="1"/>
      <c r="CEM1632" s="1"/>
      <c r="CEN1632" s="1"/>
      <c r="CEO1632" s="1"/>
      <c r="CEP1632" s="1"/>
      <c r="CEQ1632" s="1"/>
      <c r="CER1632" s="1"/>
      <c r="CES1632" s="1"/>
      <c r="CET1632" s="1"/>
      <c r="CEU1632" s="1"/>
      <c r="CEV1632" s="1"/>
      <c r="CEW1632" s="1"/>
      <c r="CEX1632" s="1"/>
      <c r="CEY1632" s="1"/>
      <c r="CEZ1632" s="1"/>
      <c r="CFA1632" s="1"/>
      <c r="CFB1632" s="1"/>
      <c r="CFC1632" s="1"/>
      <c r="CFD1632" s="1"/>
      <c r="CFE1632" s="1"/>
      <c r="CFF1632" s="1"/>
      <c r="CFG1632" s="1"/>
      <c r="CFH1632" s="1"/>
      <c r="CFI1632" s="1"/>
      <c r="CFJ1632" s="1"/>
      <c r="CFK1632" s="1"/>
      <c r="CFL1632" s="1"/>
      <c r="CFM1632" s="1"/>
      <c r="CFN1632" s="1"/>
      <c r="CFO1632" s="1"/>
      <c r="CFP1632" s="1"/>
      <c r="CFQ1632" s="1"/>
      <c r="CFR1632" s="1"/>
      <c r="CFS1632" s="1"/>
      <c r="CFT1632" s="1"/>
      <c r="CFU1632" s="1"/>
      <c r="CFV1632" s="1"/>
      <c r="CFW1632" s="1"/>
      <c r="CFX1632" s="1"/>
      <c r="CFY1632" s="1"/>
      <c r="CFZ1632" s="1"/>
      <c r="CGA1632" s="1"/>
      <c r="CGB1632" s="1"/>
      <c r="CGC1632" s="1"/>
      <c r="CGD1632" s="1"/>
      <c r="CGE1632" s="1"/>
      <c r="CGF1632" s="1"/>
      <c r="CGG1632" s="1"/>
      <c r="CGH1632" s="1"/>
      <c r="CGI1632" s="1"/>
      <c r="CGJ1632" s="1"/>
      <c r="CGK1632" s="1"/>
      <c r="CGL1632" s="1"/>
      <c r="CGM1632" s="1"/>
      <c r="CGN1632" s="1"/>
      <c r="CGO1632" s="1"/>
      <c r="CGP1632" s="1"/>
      <c r="CGQ1632" s="1"/>
      <c r="CGR1632" s="1"/>
      <c r="CGS1632" s="1"/>
      <c r="CGT1632" s="1"/>
      <c r="CGU1632" s="1"/>
      <c r="CGV1632" s="1"/>
      <c r="CGW1632" s="1"/>
      <c r="CGX1632" s="1"/>
      <c r="CGY1632" s="1"/>
      <c r="CGZ1632" s="1"/>
      <c r="CHA1632" s="1"/>
      <c r="CHB1632" s="1"/>
      <c r="CHC1632" s="1"/>
      <c r="CHD1632" s="1"/>
      <c r="CHE1632" s="1"/>
      <c r="CHF1632" s="1"/>
      <c r="CHG1632" s="1"/>
      <c r="CHH1632" s="1"/>
      <c r="CHI1632" s="1"/>
      <c r="CHJ1632" s="1"/>
      <c r="CHK1632" s="1"/>
      <c r="CHL1632" s="1"/>
      <c r="CHM1632" s="1"/>
      <c r="CHN1632" s="1"/>
      <c r="CHO1632" s="1"/>
      <c r="CHP1632" s="1"/>
      <c r="CHQ1632" s="1"/>
      <c r="CHR1632" s="1"/>
      <c r="CHS1632" s="1"/>
      <c r="CHT1632" s="1"/>
      <c r="CHU1632" s="1"/>
      <c r="CHV1632" s="1"/>
      <c r="CHW1632" s="1"/>
      <c r="CHX1632" s="1"/>
      <c r="CHY1632" s="1"/>
      <c r="CHZ1632" s="1"/>
      <c r="CIA1632" s="1"/>
      <c r="CIB1632" s="1"/>
      <c r="CIC1632" s="1"/>
      <c r="CID1632" s="1"/>
      <c r="CIE1632" s="1"/>
      <c r="CIF1632" s="1"/>
      <c r="CIG1632" s="1"/>
      <c r="CIH1632" s="1"/>
      <c r="CII1632" s="1"/>
      <c r="CIJ1632" s="1"/>
      <c r="CIK1632" s="1"/>
      <c r="CIL1632" s="1"/>
      <c r="CIM1632" s="1"/>
      <c r="CIN1632" s="1"/>
      <c r="CIO1632" s="1"/>
      <c r="CIP1632" s="1"/>
      <c r="CIQ1632" s="1"/>
      <c r="CIR1632" s="1"/>
      <c r="CIS1632" s="1"/>
      <c r="CIT1632" s="1"/>
      <c r="CIU1632" s="1"/>
      <c r="CIV1632" s="1"/>
      <c r="CIW1632" s="1"/>
      <c r="CIX1632" s="1"/>
      <c r="CIY1632" s="1"/>
      <c r="CIZ1632" s="1"/>
      <c r="CJA1632" s="1"/>
      <c r="CJB1632" s="1"/>
      <c r="CJC1632" s="1"/>
      <c r="CJD1632" s="1"/>
      <c r="CJE1632" s="1"/>
      <c r="CJF1632" s="1"/>
      <c r="CJG1632" s="1"/>
      <c r="CJH1632" s="1"/>
      <c r="CJI1632" s="1"/>
      <c r="CJJ1632" s="1"/>
      <c r="CJK1632" s="1"/>
      <c r="CJL1632" s="1"/>
      <c r="CJM1632" s="1"/>
      <c r="CJN1632" s="1"/>
      <c r="CJO1632" s="1"/>
      <c r="CJP1632" s="1"/>
      <c r="CJQ1632" s="1"/>
      <c r="CJR1632" s="1"/>
      <c r="CJS1632" s="1"/>
      <c r="CJT1632" s="1"/>
      <c r="CJU1632" s="1"/>
      <c r="CJV1632" s="1"/>
      <c r="CJW1632" s="1"/>
      <c r="CJX1632" s="1"/>
      <c r="CJY1632" s="1"/>
      <c r="CJZ1632" s="1"/>
      <c r="CKA1632" s="1"/>
      <c r="CKB1632" s="1"/>
      <c r="CKC1632" s="1"/>
      <c r="CKD1632" s="1"/>
      <c r="CKE1632" s="1"/>
      <c r="CKF1632" s="1"/>
      <c r="CKG1632" s="1"/>
      <c r="CKH1632" s="1"/>
      <c r="CKI1632" s="1"/>
      <c r="CKJ1632" s="1"/>
      <c r="CKK1632" s="1"/>
      <c r="CKL1632" s="1"/>
      <c r="CKM1632" s="1"/>
      <c r="CKN1632" s="1"/>
      <c r="CKO1632" s="1"/>
      <c r="CKP1632" s="1"/>
      <c r="CKQ1632" s="1"/>
      <c r="CKR1632" s="1"/>
      <c r="CKS1632" s="1"/>
      <c r="CKT1632" s="1"/>
      <c r="CKU1632" s="1"/>
      <c r="CKV1632" s="1"/>
      <c r="CKW1632" s="1"/>
      <c r="CKX1632" s="1"/>
      <c r="CKY1632" s="1"/>
      <c r="CKZ1632" s="1"/>
      <c r="CLA1632" s="1"/>
      <c r="CLB1632" s="1"/>
      <c r="CLC1632" s="1"/>
      <c r="CLD1632" s="1"/>
      <c r="CLE1632" s="1"/>
      <c r="CLF1632" s="1"/>
      <c r="CLG1632" s="1"/>
      <c r="CLH1632" s="1"/>
      <c r="CLI1632" s="1"/>
      <c r="CLJ1632" s="1"/>
      <c r="CLK1632" s="1"/>
      <c r="CLL1632" s="1"/>
      <c r="CLM1632" s="1"/>
      <c r="CLN1632" s="1"/>
      <c r="CLO1632" s="1"/>
      <c r="CLP1632" s="1"/>
      <c r="CLQ1632" s="1"/>
      <c r="CLR1632" s="1"/>
      <c r="CLS1632" s="1"/>
      <c r="CLT1632" s="1"/>
      <c r="CLU1632" s="1"/>
      <c r="CLV1632" s="1"/>
      <c r="CLW1632" s="1"/>
      <c r="CLX1632" s="1"/>
      <c r="CLY1632" s="1"/>
      <c r="CLZ1632" s="1"/>
      <c r="CMA1632" s="1"/>
      <c r="CMB1632" s="1"/>
      <c r="CMC1632" s="1"/>
      <c r="CMD1632" s="1"/>
      <c r="CME1632" s="1"/>
      <c r="CMF1632" s="1"/>
      <c r="CMG1632" s="1"/>
      <c r="CMH1632" s="1"/>
      <c r="CMI1632" s="1"/>
      <c r="CMJ1632" s="1"/>
      <c r="CMK1632" s="1"/>
      <c r="CML1632" s="1"/>
      <c r="CMM1632" s="1"/>
      <c r="CMN1632" s="1"/>
      <c r="CMO1632" s="1"/>
      <c r="CMP1632" s="1"/>
      <c r="CMQ1632" s="1"/>
      <c r="CMR1632" s="1"/>
      <c r="CMS1632" s="1"/>
      <c r="CMT1632" s="1"/>
      <c r="CMU1632" s="1"/>
      <c r="CMV1632" s="1"/>
      <c r="CMW1632" s="1"/>
      <c r="CMX1632" s="1"/>
      <c r="CMY1632" s="1"/>
      <c r="CMZ1632" s="1"/>
      <c r="CNA1632" s="1"/>
      <c r="CNB1632" s="1"/>
      <c r="CNC1632" s="1"/>
      <c r="CND1632" s="1"/>
      <c r="CNE1632" s="1"/>
      <c r="CNF1632" s="1"/>
      <c r="CNG1632" s="1"/>
      <c r="CNH1632" s="1"/>
      <c r="CNI1632" s="1"/>
      <c r="CNJ1632" s="1"/>
      <c r="CNK1632" s="1"/>
      <c r="CNL1632" s="1"/>
      <c r="CNM1632" s="1"/>
      <c r="CNN1632" s="1"/>
      <c r="CNO1632" s="1"/>
      <c r="CNP1632" s="1"/>
      <c r="CNQ1632" s="1"/>
      <c r="CNR1632" s="1"/>
      <c r="CNS1632" s="1"/>
      <c r="CNT1632" s="1"/>
      <c r="CNU1632" s="1"/>
      <c r="CNV1632" s="1"/>
      <c r="CNW1632" s="1"/>
      <c r="CNX1632" s="1"/>
      <c r="CNY1632" s="1"/>
      <c r="CNZ1632" s="1"/>
      <c r="COA1632" s="1"/>
      <c r="COB1632" s="1"/>
      <c r="COC1632" s="1"/>
      <c r="COD1632" s="1"/>
      <c r="COE1632" s="1"/>
      <c r="COF1632" s="1"/>
      <c r="COG1632" s="1"/>
      <c r="COH1632" s="1"/>
      <c r="COI1632" s="1"/>
      <c r="COJ1632" s="1"/>
      <c r="COK1632" s="1"/>
      <c r="COL1632" s="1"/>
      <c r="COM1632" s="1"/>
      <c r="CON1632" s="1"/>
      <c r="COO1632" s="1"/>
      <c r="COP1632" s="1"/>
      <c r="COQ1632" s="1"/>
      <c r="COR1632" s="1"/>
      <c r="COS1632" s="1"/>
      <c r="COT1632" s="1"/>
      <c r="COU1632" s="1"/>
      <c r="COV1632" s="1"/>
      <c r="COW1632" s="1"/>
      <c r="COX1632" s="1"/>
      <c r="COY1632" s="1"/>
      <c r="COZ1632" s="1"/>
      <c r="CPA1632" s="1"/>
      <c r="CPB1632" s="1"/>
      <c r="CPC1632" s="1"/>
      <c r="CPD1632" s="1"/>
      <c r="CPE1632" s="1"/>
      <c r="CPF1632" s="1"/>
      <c r="CPG1632" s="1"/>
      <c r="CPH1632" s="1"/>
      <c r="CPI1632" s="1"/>
      <c r="CPJ1632" s="1"/>
      <c r="CPK1632" s="1"/>
      <c r="CPL1632" s="1"/>
      <c r="CPM1632" s="1"/>
      <c r="CPN1632" s="1"/>
      <c r="CPO1632" s="1"/>
      <c r="CPP1632" s="1"/>
      <c r="CPQ1632" s="1"/>
      <c r="CPR1632" s="1"/>
      <c r="CPS1632" s="1"/>
      <c r="CPT1632" s="1"/>
      <c r="CPU1632" s="1"/>
      <c r="CPV1632" s="1"/>
      <c r="CPW1632" s="1"/>
      <c r="CPX1632" s="1"/>
      <c r="CPY1632" s="1"/>
      <c r="CPZ1632" s="1"/>
      <c r="CQA1632" s="1"/>
      <c r="CQB1632" s="1"/>
      <c r="CQC1632" s="1"/>
      <c r="CQD1632" s="1"/>
      <c r="CQE1632" s="1"/>
      <c r="CQF1632" s="1"/>
      <c r="CQG1632" s="1"/>
      <c r="CQH1632" s="1"/>
      <c r="CQI1632" s="1"/>
      <c r="CQJ1632" s="1"/>
      <c r="CQK1632" s="1"/>
      <c r="CQL1632" s="1"/>
      <c r="CQM1632" s="1"/>
      <c r="CQN1632" s="1"/>
      <c r="CQO1632" s="1"/>
      <c r="CQP1632" s="1"/>
      <c r="CQQ1632" s="1"/>
      <c r="CQR1632" s="1"/>
      <c r="CQS1632" s="1"/>
      <c r="CQT1632" s="1"/>
      <c r="CQU1632" s="1"/>
      <c r="CQV1632" s="1"/>
      <c r="CQW1632" s="1"/>
      <c r="CQX1632" s="1"/>
      <c r="CQY1632" s="1"/>
      <c r="CQZ1632" s="1"/>
      <c r="CRA1632" s="1"/>
      <c r="CRB1632" s="1"/>
      <c r="CRC1632" s="1"/>
      <c r="CRD1632" s="1"/>
      <c r="CRE1632" s="1"/>
      <c r="CRF1632" s="1"/>
      <c r="CRG1632" s="1"/>
      <c r="CRH1632" s="1"/>
      <c r="CRI1632" s="1"/>
      <c r="CRJ1632" s="1"/>
      <c r="CRK1632" s="1"/>
      <c r="CRL1632" s="1"/>
      <c r="CRM1632" s="1"/>
      <c r="CRN1632" s="1"/>
      <c r="CRO1632" s="1"/>
      <c r="CRP1632" s="1"/>
      <c r="CRQ1632" s="1"/>
      <c r="CRR1632" s="1"/>
      <c r="CRS1632" s="1"/>
      <c r="CRT1632" s="1"/>
      <c r="CRU1632" s="1"/>
      <c r="CRV1632" s="1"/>
      <c r="CRW1632" s="1"/>
      <c r="CRX1632" s="1"/>
      <c r="CRY1632" s="1"/>
      <c r="CRZ1632" s="1"/>
      <c r="CSA1632" s="1"/>
      <c r="CSB1632" s="1"/>
      <c r="CSC1632" s="1"/>
      <c r="CSD1632" s="1"/>
      <c r="CSE1632" s="1"/>
      <c r="CSF1632" s="1"/>
      <c r="CSG1632" s="1"/>
      <c r="CSH1632" s="1"/>
      <c r="CSI1632" s="1"/>
      <c r="CSJ1632" s="1"/>
      <c r="CSK1632" s="1"/>
      <c r="CSL1632" s="1"/>
      <c r="CSM1632" s="1"/>
      <c r="CSN1632" s="1"/>
      <c r="CSO1632" s="1"/>
      <c r="CSP1632" s="1"/>
      <c r="CSQ1632" s="1"/>
      <c r="CSR1632" s="1"/>
      <c r="CSS1632" s="1"/>
      <c r="CST1632" s="1"/>
      <c r="CSU1632" s="1"/>
      <c r="CSV1632" s="1"/>
      <c r="CSW1632" s="1"/>
      <c r="CSX1632" s="1"/>
      <c r="CSY1632" s="1"/>
      <c r="CSZ1632" s="1"/>
      <c r="CTA1632" s="1"/>
      <c r="CTB1632" s="1"/>
      <c r="CTC1632" s="1"/>
      <c r="CTD1632" s="1"/>
      <c r="CTE1632" s="1"/>
      <c r="CTF1632" s="1"/>
      <c r="CTG1632" s="1"/>
      <c r="CTH1632" s="1"/>
      <c r="CTI1632" s="1"/>
      <c r="CTJ1632" s="1"/>
      <c r="CTK1632" s="1"/>
      <c r="CTL1632" s="1"/>
      <c r="CTM1632" s="1"/>
      <c r="CTN1632" s="1"/>
      <c r="CTO1632" s="1"/>
      <c r="CTP1632" s="1"/>
      <c r="CTQ1632" s="1"/>
      <c r="CTR1632" s="1"/>
      <c r="CTS1632" s="1"/>
      <c r="CTT1632" s="1"/>
      <c r="CTU1632" s="1"/>
      <c r="CTV1632" s="1"/>
      <c r="CTW1632" s="1"/>
      <c r="CTX1632" s="1"/>
      <c r="CTY1632" s="1"/>
      <c r="CTZ1632" s="1"/>
      <c r="CUA1632" s="1"/>
      <c r="CUB1632" s="1"/>
      <c r="CUC1632" s="1"/>
      <c r="CUD1632" s="1"/>
      <c r="CUE1632" s="1"/>
      <c r="CUF1632" s="1"/>
      <c r="CUG1632" s="1"/>
      <c r="CUH1632" s="1"/>
      <c r="CUI1632" s="1"/>
      <c r="CUJ1632" s="1"/>
      <c r="CUK1632" s="1"/>
      <c r="CUL1632" s="1"/>
      <c r="CUM1632" s="1"/>
      <c r="CUN1632" s="1"/>
      <c r="CUO1632" s="1"/>
      <c r="CUP1632" s="1"/>
      <c r="CUQ1632" s="1"/>
      <c r="CUR1632" s="1"/>
      <c r="CUS1632" s="1"/>
      <c r="CUT1632" s="1"/>
      <c r="CUU1632" s="1"/>
      <c r="CUV1632" s="1"/>
      <c r="CUW1632" s="1"/>
      <c r="CUX1632" s="1"/>
      <c r="CUY1632" s="1"/>
      <c r="CUZ1632" s="1"/>
      <c r="CVA1632" s="1"/>
      <c r="CVB1632" s="1"/>
      <c r="CVC1632" s="1"/>
      <c r="CVD1632" s="1"/>
      <c r="CVE1632" s="1"/>
      <c r="CVF1632" s="1"/>
      <c r="CVG1632" s="1"/>
      <c r="CVH1632" s="1"/>
      <c r="CVI1632" s="1"/>
      <c r="CVJ1632" s="1"/>
      <c r="CVK1632" s="1"/>
      <c r="CVL1632" s="1"/>
      <c r="CVM1632" s="1"/>
      <c r="CVN1632" s="1"/>
      <c r="CVO1632" s="1"/>
      <c r="CVP1632" s="1"/>
      <c r="CVQ1632" s="1"/>
      <c r="CVR1632" s="1"/>
      <c r="CVS1632" s="1"/>
      <c r="CVT1632" s="1"/>
      <c r="CVU1632" s="1"/>
      <c r="CVV1632" s="1"/>
      <c r="CVW1632" s="1"/>
      <c r="CVX1632" s="1"/>
      <c r="CVY1632" s="1"/>
      <c r="CVZ1632" s="1"/>
      <c r="CWA1632" s="1"/>
      <c r="CWB1632" s="1"/>
      <c r="CWC1632" s="1"/>
      <c r="CWD1632" s="1"/>
      <c r="CWE1632" s="1"/>
      <c r="CWF1632" s="1"/>
      <c r="CWG1632" s="1"/>
      <c r="CWH1632" s="1"/>
      <c r="CWI1632" s="1"/>
      <c r="CWJ1632" s="1"/>
      <c r="CWK1632" s="1"/>
      <c r="CWL1632" s="1"/>
      <c r="CWM1632" s="1"/>
      <c r="CWN1632" s="1"/>
      <c r="CWO1632" s="1"/>
      <c r="CWP1632" s="1"/>
      <c r="CWQ1632" s="1"/>
      <c r="CWR1632" s="1"/>
      <c r="CWS1632" s="1"/>
      <c r="CWT1632" s="1"/>
      <c r="CWU1632" s="1"/>
      <c r="CWV1632" s="1"/>
      <c r="CWW1632" s="1"/>
      <c r="CWX1632" s="1"/>
      <c r="CWY1632" s="1"/>
      <c r="CWZ1632" s="1"/>
      <c r="CXA1632" s="1"/>
      <c r="CXB1632" s="1"/>
      <c r="CXC1632" s="1"/>
      <c r="CXD1632" s="1"/>
      <c r="CXE1632" s="1"/>
      <c r="CXF1632" s="1"/>
      <c r="CXG1632" s="1"/>
      <c r="CXH1632" s="1"/>
      <c r="CXI1632" s="1"/>
      <c r="CXJ1632" s="1"/>
      <c r="CXK1632" s="1"/>
      <c r="CXL1632" s="1"/>
      <c r="CXM1632" s="1"/>
      <c r="CXN1632" s="1"/>
      <c r="CXO1632" s="1"/>
      <c r="CXP1632" s="1"/>
      <c r="CXQ1632" s="1"/>
      <c r="CXR1632" s="1"/>
      <c r="CXS1632" s="1"/>
      <c r="CXT1632" s="1"/>
      <c r="CXU1632" s="1"/>
      <c r="CXV1632" s="1"/>
      <c r="CXW1632" s="1"/>
      <c r="CXX1632" s="1"/>
      <c r="CXY1632" s="1"/>
      <c r="CXZ1632" s="1"/>
      <c r="CYA1632" s="1"/>
      <c r="CYB1632" s="1"/>
      <c r="CYC1632" s="1"/>
      <c r="CYD1632" s="1"/>
      <c r="CYE1632" s="1"/>
      <c r="CYF1632" s="1"/>
      <c r="CYG1632" s="1"/>
      <c r="CYH1632" s="1"/>
      <c r="CYI1632" s="1"/>
      <c r="CYJ1632" s="1"/>
      <c r="CYK1632" s="1"/>
      <c r="CYL1632" s="1"/>
      <c r="CYM1632" s="1"/>
      <c r="CYN1632" s="1"/>
      <c r="CYO1632" s="1"/>
      <c r="CYP1632" s="1"/>
      <c r="CYQ1632" s="1"/>
      <c r="CYR1632" s="1"/>
      <c r="CYS1632" s="1"/>
      <c r="CYT1632" s="1"/>
      <c r="CYU1632" s="1"/>
      <c r="CYV1632" s="1"/>
      <c r="CYW1632" s="1"/>
      <c r="CYX1632" s="1"/>
      <c r="CYY1632" s="1"/>
      <c r="CYZ1632" s="1"/>
      <c r="CZA1632" s="1"/>
      <c r="CZB1632" s="1"/>
      <c r="CZC1632" s="1"/>
      <c r="CZD1632" s="1"/>
      <c r="CZE1632" s="1"/>
      <c r="CZF1632" s="1"/>
      <c r="CZG1632" s="1"/>
      <c r="CZH1632" s="1"/>
      <c r="CZI1632" s="1"/>
      <c r="CZJ1632" s="1"/>
      <c r="CZK1632" s="1"/>
      <c r="CZL1632" s="1"/>
      <c r="CZM1632" s="1"/>
      <c r="CZN1632" s="1"/>
      <c r="CZO1632" s="1"/>
      <c r="CZP1632" s="1"/>
      <c r="CZQ1632" s="1"/>
      <c r="CZR1632" s="1"/>
      <c r="CZS1632" s="1"/>
      <c r="CZT1632" s="1"/>
      <c r="CZU1632" s="1"/>
      <c r="CZV1632" s="1"/>
      <c r="CZW1632" s="1"/>
      <c r="CZX1632" s="1"/>
      <c r="CZY1632" s="1"/>
      <c r="CZZ1632" s="1"/>
      <c r="DAA1632" s="1"/>
      <c r="DAB1632" s="1"/>
      <c r="DAC1632" s="1"/>
      <c r="DAD1632" s="1"/>
      <c r="DAE1632" s="1"/>
      <c r="DAF1632" s="1"/>
      <c r="DAG1632" s="1"/>
      <c r="DAH1632" s="1"/>
      <c r="DAI1632" s="1"/>
      <c r="DAJ1632" s="1"/>
      <c r="DAK1632" s="1"/>
      <c r="DAL1632" s="1"/>
      <c r="DAM1632" s="1"/>
      <c r="DAN1632" s="1"/>
      <c r="DAO1632" s="1"/>
      <c r="DAP1632" s="1"/>
      <c r="DAQ1632" s="1"/>
      <c r="DAR1632" s="1"/>
      <c r="DAS1632" s="1"/>
      <c r="DAT1632" s="1"/>
      <c r="DAU1632" s="1"/>
      <c r="DAV1632" s="1"/>
      <c r="DAW1632" s="1"/>
      <c r="DAX1632" s="1"/>
      <c r="DAY1632" s="1"/>
      <c r="DAZ1632" s="1"/>
      <c r="DBA1632" s="1"/>
      <c r="DBB1632" s="1"/>
      <c r="DBC1632" s="1"/>
      <c r="DBD1632" s="1"/>
      <c r="DBE1632" s="1"/>
      <c r="DBF1632" s="1"/>
      <c r="DBG1632" s="1"/>
      <c r="DBH1632" s="1"/>
      <c r="DBI1632" s="1"/>
      <c r="DBJ1632" s="1"/>
      <c r="DBK1632" s="1"/>
      <c r="DBL1632" s="1"/>
      <c r="DBM1632" s="1"/>
      <c r="DBN1632" s="1"/>
      <c r="DBO1632" s="1"/>
      <c r="DBP1632" s="1"/>
      <c r="DBQ1632" s="1"/>
      <c r="DBR1632" s="1"/>
      <c r="DBS1632" s="1"/>
      <c r="DBT1632" s="1"/>
      <c r="DBU1632" s="1"/>
      <c r="DBV1632" s="1"/>
      <c r="DBW1632" s="1"/>
      <c r="DBX1632" s="1"/>
      <c r="DBY1632" s="1"/>
      <c r="DBZ1632" s="1"/>
      <c r="DCA1632" s="1"/>
      <c r="DCB1632" s="1"/>
      <c r="DCC1632" s="1"/>
      <c r="DCD1632" s="1"/>
      <c r="DCE1632" s="1"/>
      <c r="DCF1632" s="1"/>
      <c r="DCG1632" s="1"/>
      <c r="DCH1632" s="1"/>
      <c r="DCI1632" s="1"/>
      <c r="DCJ1632" s="1"/>
      <c r="DCK1632" s="1"/>
      <c r="DCL1632" s="1"/>
      <c r="DCM1632" s="1"/>
      <c r="DCN1632" s="1"/>
      <c r="DCO1632" s="1"/>
      <c r="DCP1632" s="1"/>
      <c r="DCQ1632" s="1"/>
      <c r="DCR1632" s="1"/>
      <c r="DCS1632" s="1"/>
      <c r="DCT1632" s="1"/>
      <c r="DCU1632" s="1"/>
      <c r="DCV1632" s="1"/>
      <c r="DCW1632" s="1"/>
      <c r="DCX1632" s="1"/>
      <c r="DCY1632" s="1"/>
      <c r="DCZ1632" s="1"/>
      <c r="DDA1632" s="1"/>
      <c r="DDB1632" s="1"/>
      <c r="DDC1632" s="1"/>
      <c r="DDD1632" s="1"/>
      <c r="DDE1632" s="1"/>
      <c r="DDF1632" s="1"/>
      <c r="DDG1632" s="1"/>
      <c r="DDH1632" s="1"/>
      <c r="DDI1632" s="1"/>
      <c r="DDJ1632" s="1"/>
      <c r="DDK1632" s="1"/>
      <c r="DDL1632" s="1"/>
      <c r="DDM1632" s="1"/>
      <c r="DDN1632" s="1"/>
      <c r="DDO1632" s="1"/>
      <c r="DDP1632" s="1"/>
      <c r="DDQ1632" s="1"/>
      <c r="DDR1632" s="1"/>
      <c r="DDS1632" s="1"/>
      <c r="DDT1632" s="1"/>
      <c r="DDU1632" s="1"/>
      <c r="DDV1632" s="1"/>
      <c r="DDW1632" s="1"/>
      <c r="DDX1632" s="1"/>
      <c r="DDY1632" s="1"/>
      <c r="DDZ1632" s="1"/>
      <c r="DEA1632" s="1"/>
      <c r="DEB1632" s="1"/>
      <c r="DEC1632" s="1"/>
      <c r="DED1632" s="1"/>
      <c r="DEE1632" s="1"/>
      <c r="DEF1632" s="1"/>
      <c r="DEG1632" s="1"/>
      <c r="DEH1632" s="1"/>
      <c r="DEI1632" s="1"/>
      <c r="DEJ1632" s="1"/>
      <c r="DEK1632" s="1"/>
      <c r="DEL1632" s="1"/>
      <c r="DEM1632" s="1"/>
      <c r="DEN1632" s="1"/>
      <c r="DEO1632" s="1"/>
      <c r="DEP1632" s="1"/>
      <c r="DEQ1632" s="1"/>
      <c r="DER1632" s="1"/>
      <c r="DES1632" s="1"/>
      <c r="DET1632" s="1"/>
      <c r="DEU1632" s="1"/>
      <c r="DEV1632" s="1"/>
      <c r="DEW1632" s="1"/>
      <c r="DEX1632" s="1"/>
      <c r="DEY1632" s="1"/>
      <c r="DEZ1632" s="1"/>
      <c r="DFA1632" s="1"/>
      <c r="DFB1632" s="1"/>
      <c r="DFC1632" s="1"/>
      <c r="DFD1632" s="1"/>
      <c r="DFE1632" s="1"/>
      <c r="DFF1632" s="1"/>
      <c r="DFG1632" s="1"/>
      <c r="DFH1632" s="1"/>
      <c r="DFI1632" s="1"/>
      <c r="DFJ1632" s="1"/>
      <c r="DFK1632" s="1"/>
      <c r="DFL1632" s="1"/>
      <c r="DFM1632" s="1"/>
      <c r="DFN1632" s="1"/>
      <c r="DFO1632" s="1"/>
      <c r="DFP1632" s="1"/>
      <c r="DFQ1632" s="1"/>
      <c r="DFR1632" s="1"/>
      <c r="DFS1632" s="1"/>
      <c r="DFT1632" s="1"/>
      <c r="DFU1632" s="1"/>
      <c r="DFV1632" s="1"/>
      <c r="DFW1632" s="1"/>
      <c r="DFX1632" s="1"/>
      <c r="DFY1632" s="1"/>
      <c r="DFZ1632" s="1"/>
      <c r="DGA1632" s="1"/>
      <c r="DGB1632" s="1"/>
      <c r="DGC1632" s="1"/>
      <c r="DGD1632" s="1"/>
      <c r="DGE1632" s="1"/>
      <c r="DGF1632" s="1"/>
      <c r="DGG1632" s="1"/>
      <c r="DGH1632" s="1"/>
      <c r="DGI1632" s="1"/>
      <c r="DGJ1632" s="1"/>
      <c r="DGK1632" s="1"/>
      <c r="DGL1632" s="1"/>
      <c r="DGM1632" s="1"/>
      <c r="DGN1632" s="1"/>
      <c r="DGO1632" s="1"/>
      <c r="DGP1632" s="1"/>
      <c r="DGQ1632" s="1"/>
      <c r="DGR1632" s="1"/>
      <c r="DGS1632" s="1"/>
      <c r="DGT1632" s="1"/>
      <c r="DGU1632" s="1"/>
      <c r="DGV1632" s="1"/>
      <c r="DGW1632" s="1"/>
      <c r="DGX1632" s="1"/>
      <c r="DGY1632" s="1"/>
      <c r="DGZ1632" s="1"/>
      <c r="DHA1632" s="1"/>
      <c r="DHB1632" s="1"/>
      <c r="DHC1632" s="1"/>
      <c r="DHD1632" s="1"/>
      <c r="DHE1632" s="1"/>
      <c r="DHF1632" s="1"/>
      <c r="DHG1632" s="1"/>
      <c r="DHH1632" s="1"/>
      <c r="DHI1632" s="1"/>
      <c r="DHJ1632" s="1"/>
      <c r="DHK1632" s="1"/>
      <c r="DHL1632" s="1"/>
      <c r="DHM1632" s="1"/>
      <c r="DHN1632" s="1"/>
      <c r="DHO1632" s="1"/>
      <c r="DHP1632" s="1"/>
      <c r="DHQ1632" s="1"/>
      <c r="DHR1632" s="1"/>
      <c r="DHS1632" s="1"/>
      <c r="DHT1632" s="1"/>
      <c r="DHU1632" s="1"/>
      <c r="DHV1632" s="1"/>
      <c r="DHW1632" s="1"/>
      <c r="DHX1632" s="1"/>
      <c r="DHY1632" s="1"/>
      <c r="DHZ1632" s="1"/>
      <c r="DIA1632" s="1"/>
      <c r="DIB1632" s="1"/>
      <c r="DIC1632" s="1"/>
      <c r="DID1632" s="1"/>
      <c r="DIE1632" s="1"/>
      <c r="DIF1632" s="1"/>
      <c r="DIG1632" s="1"/>
      <c r="DIH1632" s="1"/>
      <c r="DII1632" s="1"/>
      <c r="DIJ1632" s="1"/>
      <c r="DIK1632" s="1"/>
      <c r="DIL1632" s="1"/>
      <c r="DIM1632" s="1"/>
      <c r="DIN1632" s="1"/>
      <c r="DIO1632" s="1"/>
      <c r="DIP1632" s="1"/>
      <c r="DIQ1632" s="1"/>
      <c r="DIR1632" s="1"/>
      <c r="DIS1632" s="1"/>
      <c r="DIT1632" s="1"/>
      <c r="DIU1632" s="1"/>
      <c r="DIV1632" s="1"/>
      <c r="DIW1632" s="1"/>
      <c r="DIX1632" s="1"/>
      <c r="DIY1632" s="1"/>
      <c r="DIZ1632" s="1"/>
      <c r="DJA1632" s="1"/>
      <c r="DJB1632" s="1"/>
      <c r="DJC1632" s="1"/>
      <c r="DJD1632" s="1"/>
      <c r="DJE1632" s="1"/>
      <c r="DJF1632" s="1"/>
      <c r="DJG1632" s="1"/>
      <c r="DJH1632" s="1"/>
      <c r="DJI1632" s="1"/>
      <c r="DJJ1632" s="1"/>
      <c r="DJK1632" s="1"/>
      <c r="DJL1632" s="1"/>
      <c r="DJM1632" s="1"/>
      <c r="DJN1632" s="1"/>
      <c r="DJO1632" s="1"/>
      <c r="DJP1632" s="1"/>
      <c r="DJQ1632" s="1"/>
      <c r="DJR1632" s="1"/>
      <c r="DJS1632" s="1"/>
      <c r="DJT1632" s="1"/>
      <c r="DJU1632" s="1"/>
      <c r="DJV1632" s="1"/>
      <c r="DJW1632" s="1"/>
      <c r="DJX1632" s="1"/>
      <c r="DJY1632" s="1"/>
      <c r="DJZ1632" s="1"/>
      <c r="DKA1632" s="1"/>
      <c r="DKB1632" s="1"/>
      <c r="DKC1632" s="1"/>
      <c r="DKD1632" s="1"/>
      <c r="DKE1632" s="1"/>
      <c r="DKF1632" s="1"/>
      <c r="DKG1632" s="1"/>
      <c r="DKH1632" s="1"/>
      <c r="DKI1632" s="1"/>
      <c r="DKJ1632" s="1"/>
      <c r="DKK1632" s="1"/>
      <c r="DKL1632" s="1"/>
      <c r="DKM1632" s="1"/>
      <c r="DKN1632" s="1"/>
      <c r="DKO1632" s="1"/>
      <c r="DKP1632" s="1"/>
      <c r="DKQ1632" s="1"/>
      <c r="DKR1632" s="1"/>
      <c r="DKS1632" s="1"/>
      <c r="DKT1632" s="1"/>
      <c r="DKU1632" s="1"/>
      <c r="DKV1632" s="1"/>
      <c r="DKW1632" s="1"/>
      <c r="DKX1632" s="1"/>
      <c r="DKY1632" s="1"/>
      <c r="DKZ1632" s="1"/>
      <c r="DLA1632" s="1"/>
      <c r="DLB1632" s="1"/>
      <c r="DLC1632" s="1"/>
      <c r="DLD1632" s="1"/>
      <c r="DLE1632" s="1"/>
      <c r="DLF1632" s="1"/>
      <c r="DLG1632" s="1"/>
      <c r="DLH1632" s="1"/>
      <c r="DLI1632" s="1"/>
      <c r="DLJ1632" s="1"/>
      <c r="DLK1632" s="1"/>
      <c r="DLL1632" s="1"/>
      <c r="DLM1632" s="1"/>
      <c r="DLN1632" s="1"/>
      <c r="DLO1632" s="1"/>
      <c r="DLP1632" s="1"/>
      <c r="DLQ1632" s="1"/>
      <c r="DLR1632" s="1"/>
      <c r="DLS1632" s="1"/>
      <c r="DLT1632" s="1"/>
      <c r="DLU1632" s="1"/>
      <c r="DLV1632" s="1"/>
      <c r="DLW1632" s="1"/>
      <c r="DLX1632" s="1"/>
      <c r="DLY1632" s="1"/>
      <c r="DLZ1632" s="1"/>
      <c r="DMA1632" s="1"/>
      <c r="DMB1632" s="1"/>
      <c r="DMC1632" s="1"/>
      <c r="DMD1632" s="1"/>
      <c r="DME1632" s="1"/>
      <c r="DMF1632" s="1"/>
      <c r="DMG1632" s="1"/>
      <c r="DMH1632" s="1"/>
      <c r="DMI1632" s="1"/>
      <c r="DMJ1632" s="1"/>
      <c r="DMK1632" s="1"/>
      <c r="DML1632" s="1"/>
      <c r="DMM1632" s="1"/>
      <c r="DMN1632" s="1"/>
      <c r="DMO1632" s="1"/>
      <c r="DMP1632" s="1"/>
      <c r="DMQ1632" s="1"/>
      <c r="DMR1632" s="1"/>
      <c r="DMS1632" s="1"/>
      <c r="DMT1632" s="1"/>
      <c r="DMU1632" s="1"/>
      <c r="DMV1632" s="1"/>
      <c r="DMW1632" s="1"/>
      <c r="DMX1632" s="1"/>
      <c r="DMY1632" s="1"/>
      <c r="DMZ1632" s="1"/>
      <c r="DNA1632" s="1"/>
      <c r="DNB1632" s="1"/>
      <c r="DNC1632" s="1"/>
      <c r="DND1632" s="1"/>
      <c r="DNE1632" s="1"/>
      <c r="DNF1632" s="1"/>
      <c r="DNG1632" s="1"/>
      <c r="DNH1632" s="1"/>
      <c r="DNI1632" s="1"/>
      <c r="DNJ1632" s="1"/>
      <c r="DNK1632" s="1"/>
      <c r="DNL1632" s="1"/>
      <c r="DNM1632" s="1"/>
      <c r="DNN1632" s="1"/>
      <c r="DNO1632" s="1"/>
      <c r="DNP1632" s="1"/>
      <c r="DNQ1632" s="1"/>
      <c r="DNR1632" s="1"/>
      <c r="DNS1632" s="1"/>
      <c r="DNT1632" s="1"/>
      <c r="DNU1632" s="1"/>
      <c r="DNV1632" s="1"/>
      <c r="DNW1632" s="1"/>
      <c r="DNX1632" s="1"/>
      <c r="DNY1632" s="1"/>
      <c r="DNZ1632" s="1"/>
      <c r="DOA1632" s="1"/>
      <c r="DOB1632" s="1"/>
      <c r="DOC1632" s="1"/>
      <c r="DOD1632" s="1"/>
      <c r="DOE1632" s="1"/>
      <c r="DOF1632" s="1"/>
      <c r="DOG1632" s="1"/>
      <c r="DOH1632" s="1"/>
      <c r="DOI1632" s="1"/>
      <c r="DOJ1632" s="1"/>
      <c r="DOK1632" s="1"/>
      <c r="DOL1632" s="1"/>
      <c r="DOM1632" s="1"/>
      <c r="DON1632" s="1"/>
      <c r="DOO1632" s="1"/>
      <c r="DOP1632" s="1"/>
      <c r="DOQ1632" s="1"/>
      <c r="DOR1632" s="1"/>
      <c r="DOS1632" s="1"/>
      <c r="DOT1632" s="1"/>
      <c r="DOU1632" s="1"/>
      <c r="DOV1632" s="1"/>
      <c r="DOW1632" s="1"/>
      <c r="DOX1632" s="1"/>
      <c r="DOY1632" s="1"/>
      <c r="DOZ1632" s="1"/>
      <c r="DPA1632" s="1"/>
      <c r="DPB1632" s="1"/>
      <c r="DPC1632" s="1"/>
      <c r="DPD1632" s="1"/>
      <c r="DPE1632" s="1"/>
      <c r="DPF1632" s="1"/>
      <c r="DPG1632" s="1"/>
      <c r="DPH1632" s="1"/>
      <c r="DPI1632" s="1"/>
      <c r="DPJ1632" s="1"/>
      <c r="DPK1632" s="1"/>
      <c r="DPL1632" s="1"/>
      <c r="DPM1632" s="1"/>
      <c r="DPN1632" s="1"/>
      <c r="DPO1632" s="1"/>
      <c r="DPP1632" s="1"/>
      <c r="DPQ1632" s="1"/>
      <c r="DPR1632" s="1"/>
      <c r="DPS1632" s="1"/>
      <c r="DPT1632" s="1"/>
      <c r="DPU1632" s="1"/>
      <c r="DPV1632" s="1"/>
      <c r="DPW1632" s="1"/>
      <c r="DPX1632" s="1"/>
      <c r="DPY1632" s="1"/>
      <c r="DPZ1632" s="1"/>
      <c r="DQA1632" s="1"/>
      <c r="DQB1632" s="1"/>
      <c r="DQC1632" s="1"/>
      <c r="DQD1632" s="1"/>
      <c r="DQE1632" s="1"/>
      <c r="DQF1632" s="1"/>
      <c r="DQG1632" s="1"/>
      <c r="DQH1632" s="1"/>
      <c r="DQI1632" s="1"/>
      <c r="DQJ1632" s="1"/>
      <c r="DQK1632" s="1"/>
      <c r="DQL1632" s="1"/>
      <c r="DQM1632" s="1"/>
      <c r="DQN1632" s="1"/>
      <c r="DQO1632" s="1"/>
      <c r="DQP1632" s="1"/>
      <c r="DQQ1632" s="1"/>
      <c r="DQR1632" s="1"/>
      <c r="DQS1632" s="1"/>
      <c r="DQT1632" s="1"/>
      <c r="DQU1632" s="1"/>
      <c r="DQV1632" s="1"/>
      <c r="DQW1632" s="1"/>
      <c r="DQX1632" s="1"/>
      <c r="DQY1632" s="1"/>
      <c r="DQZ1632" s="1"/>
      <c r="DRA1632" s="1"/>
      <c r="DRB1632" s="1"/>
      <c r="DRC1632" s="1"/>
      <c r="DRD1632" s="1"/>
      <c r="DRE1632" s="1"/>
      <c r="DRF1632" s="1"/>
      <c r="DRG1632" s="1"/>
      <c r="DRH1632" s="1"/>
      <c r="DRI1632" s="1"/>
      <c r="DRJ1632" s="1"/>
      <c r="DRK1632" s="1"/>
      <c r="DRL1632" s="1"/>
      <c r="DRM1632" s="1"/>
      <c r="DRN1632" s="1"/>
      <c r="DRO1632" s="1"/>
      <c r="DRP1632" s="1"/>
      <c r="DRQ1632" s="1"/>
      <c r="DRR1632" s="1"/>
      <c r="DRS1632" s="1"/>
      <c r="DRT1632" s="1"/>
      <c r="DRU1632" s="1"/>
      <c r="DRV1632" s="1"/>
      <c r="DRW1632" s="1"/>
      <c r="DRX1632" s="1"/>
      <c r="DRY1632" s="1"/>
      <c r="DRZ1632" s="1"/>
      <c r="DSA1632" s="1"/>
      <c r="DSB1632" s="1"/>
      <c r="DSC1632" s="1"/>
      <c r="DSD1632" s="1"/>
      <c r="DSE1632" s="1"/>
      <c r="DSF1632" s="1"/>
      <c r="DSG1632" s="1"/>
      <c r="DSH1632" s="1"/>
      <c r="DSI1632" s="1"/>
      <c r="DSJ1632" s="1"/>
      <c r="DSK1632" s="1"/>
      <c r="DSL1632" s="1"/>
      <c r="DSM1632" s="1"/>
      <c r="DSN1632" s="1"/>
      <c r="DSO1632" s="1"/>
      <c r="DSP1632" s="1"/>
      <c r="DSQ1632" s="1"/>
      <c r="DSR1632" s="1"/>
      <c r="DSS1632" s="1"/>
      <c r="DST1632" s="1"/>
      <c r="DSU1632" s="1"/>
      <c r="DSV1632" s="1"/>
      <c r="DSW1632" s="1"/>
      <c r="DSX1632" s="1"/>
      <c r="DSY1632" s="1"/>
      <c r="DSZ1632" s="1"/>
      <c r="DTA1632" s="1"/>
      <c r="DTB1632" s="1"/>
      <c r="DTC1632" s="1"/>
      <c r="DTD1632" s="1"/>
      <c r="DTE1632" s="1"/>
      <c r="DTF1632" s="1"/>
      <c r="DTG1632" s="1"/>
      <c r="DTH1632" s="1"/>
      <c r="DTI1632" s="1"/>
      <c r="DTJ1632" s="1"/>
      <c r="DTK1632" s="1"/>
      <c r="DTL1632" s="1"/>
      <c r="DTM1632" s="1"/>
      <c r="DTN1632" s="1"/>
      <c r="DTO1632" s="1"/>
      <c r="DTP1632" s="1"/>
      <c r="DTQ1632" s="1"/>
      <c r="DTR1632" s="1"/>
      <c r="DTS1632" s="1"/>
      <c r="DTT1632" s="1"/>
      <c r="DTU1632" s="1"/>
      <c r="DTV1632" s="1"/>
      <c r="DTW1632" s="1"/>
      <c r="DTX1632" s="1"/>
      <c r="DTY1632" s="1"/>
      <c r="DTZ1632" s="1"/>
      <c r="DUA1632" s="1"/>
      <c r="DUB1632" s="1"/>
      <c r="DUC1632" s="1"/>
      <c r="DUD1632" s="1"/>
      <c r="DUE1632" s="1"/>
      <c r="DUF1632" s="1"/>
      <c r="DUG1632" s="1"/>
      <c r="DUH1632" s="1"/>
      <c r="DUI1632" s="1"/>
      <c r="DUJ1632" s="1"/>
      <c r="DUK1632" s="1"/>
      <c r="DUL1632" s="1"/>
      <c r="DUM1632" s="1"/>
      <c r="DUN1632" s="1"/>
      <c r="DUO1632" s="1"/>
      <c r="DUP1632" s="1"/>
      <c r="DUQ1632" s="1"/>
      <c r="DUR1632" s="1"/>
      <c r="DUS1632" s="1"/>
      <c r="DUT1632" s="1"/>
      <c r="DUU1632" s="1"/>
      <c r="DUV1632" s="1"/>
      <c r="DUW1632" s="1"/>
      <c r="DUX1632" s="1"/>
      <c r="DUY1632" s="1"/>
      <c r="DUZ1632" s="1"/>
      <c r="DVA1632" s="1"/>
      <c r="DVB1632" s="1"/>
      <c r="DVC1632" s="1"/>
      <c r="DVD1632" s="1"/>
      <c r="DVE1632" s="1"/>
      <c r="DVF1632" s="1"/>
      <c r="DVG1632" s="1"/>
      <c r="DVH1632" s="1"/>
      <c r="DVI1632" s="1"/>
      <c r="DVJ1632" s="1"/>
      <c r="DVK1632" s="1"/>
      <c r="DVL1632" s="1"/>
      <c r="DVM1632" s="1"/>
      <c r="DVN1632" s="1"/>
      <c r="DVO1632" s="1"/>
      <c r="DVP1632" s="1"/>
      <c r="DVQ1632" s="1"/>
      <c r="DVR1632" s="1"/>
      <c r="DVS1632" s="1"/>
      <c r="DVT1632" s="1"/>
      <c r="DVU1632" s="1"/>
      <c r="DVV1632" s="1"/>
      <c r="DVW1632" s="1"/>
      <c r="DVX1632" s="1"/>
      <c r="DVY1632" s="1"/>
      <c r="DVZ1632" s="1"/>
      <c r="DWA1632" s="1"/>
      <c r="DWB1632" s="1"/>
      <c r="DWC1632" s="1"/>
      <c r="DWD1632" s="1"/>
      <c r="DWE1632" s="1"/>
      <c r="DWF1632" s="1"/>
      <c r="DWG1632" s="1"/>
      <c r="DWH1632" s="1"/>
      <c r="DWI1632" s="1"/>
      <c r="DWJ1632" s="1"/>
      <c r="DWK1632" s="1"/>
      <c r="DWL1632" s="1"/>
      <c r="DWM1632" s="1"/>
      <c r="DWN1632" s="1"/>
      <c r="DWO1632" s="1"/>
      <c r="DWP1632" s="1"/>
      <c r="DWQ1632" s="1"/>
      <c r="DWR1632" s="1"/>
      <c r="DWS1632" s="1"/>
      <c r="DWT1632" s="1"/>
      <c r="DWU1632" s="1"/>
      <c r="DWV1632" s="1"/>
      <c r="DWW1632" s="1"/>
      <c r="DWX1632" s="1"/>
      <c r="DWY1632" s="1"/>
      <c r="DWZ1632" s="1"/>
      <c r="DXA1632" s="1"/>
      <c r="DXB1632" s="1"/>
      <c r="DXC1632" s="1"/>
      <c r="DXD1632" s="1"/>
      <c r="DXE1632" s="1"/>
      <c r="DXF1632" s="1"/>
      <c r="DXG1632" s="1"/>
      <c r="DXH1632" s="1"/>
      <c r="DXI1632" s="1"/>
      <c r="DXJ1632" s="1"/>
      <c r="DXK1632" s="1"/>
      <c r="DXL1632" s="1"/>
      <c r="DXM1632" s="1"/>
      <c r="DXN1632" s="1"/>
      <c r="DXO1632" s="1"/>
      <c r="DXP1632" s="1"/>
      <c r="DXQ1632" s="1"/>
      <c r="DXR1632" s="1"/>
      <c r="DXS1632" s="1"/>
      <c r="DXT1632" s="1"/>
      <c r="DXU1632" s="1"/>
      <c r="DXV1632" s="1"/>
      <c r="DXW1632" s="1"/>
      <c r="DXX1632" s="1"/>
      <c r="DXY1632" s="1"/>
      <c r="DXZ1632" s="1"/>
      <c r="DYA1632" s="1"/>
      <c r="DYB1632" s="1"/>
      <c r="DYC1632" s="1"/>
      <c r="DYD1632" s="1"/>
      <c r="DYE1632" s="1"/>
      <c r="DYF1632" s="1"/>
      <c r="DYG1632" s="1"/>
      <c r="DYH1632" s="1"/>
      <c r="DYI1632" s="1"/>
      <c r="DYJ1632" s="1"/>
      <c r="DYK1632" s="1"/>
      <c r="DYL1632" s="1"/>
      <c r="DYM1632" s="1"/>
      <c r="DYN1632" s="1"/>
      <c r="DYO1632" s="1"/>
      <c r="DYP1632" s="1"/>
      <c r="DYQ1632" s="1"/>
      <c r="DYR1632" s="1"/>
      <c r="DYS1632" s="1"/>
      <c r="DYT1632" s="1"/>
      <c r="DYU1632" s="1"/>
      <c r="DYV1632" s="1"/>
      <c r="DYW1632" s="1"/>
      <c r="DYX1632" s="1"/>
      <c r="DYY1632" s="1"/>
      <c r="DYZ1632" s="1"/>
      <c r="DZA1632" s="1"/>
      <c r="DZB1632" s="1"/>
      <c r="DZC1632" s="1"/>
      <c r="DZD1632" s="1"/>
      <c r="DZE1632" s="1"/>
      <c r="DZF1632" s="1"/>
      <c r="DZG1632" s="1"/>
      <c r="DZH1632" s="1"/>
      <c r="DZI1632" s="1"/>
      <c r="DZJ1632" s="1"/>
      <c r="DZK1632" s="1"/>
      <c r="DZL1632" s="1"/>
      <c r="DZM1632" s="1"/>
      <c r="DZN1632" s="1"/>
      <c r="DZO1632" s="1"/>
      <c r="DZP1632" s="1"/>
      <c r="DZQ1632" s="1"/>
      <c r="DZR1632" s="1"/>
      <c r="DZS1632" s="1"/>
      <c r="DZT1632" s="1"/>
      <c r="DZU1632" s="1"/>
      <c r="DZV1632" s="1"/>
      <c r="DZW1632" s="1"/>
      <c r="DZX1632" s="1"/>
      <c r="DZY1632" s="1"/>
      <c r="DZZ1632" s="1"/>
      <c r="EAA1632" s="1"/>
      <c r="EAB1632" s="1"/>
      <c r="EAC1632" s="1"/>
      <c r="EAD1632" s="1"/>
      <c r="EAE1632" s="1"/>
      <c r="EAF1632" s="1"/>
      <c r="EAG1632" s="1"/>
      <c r="EAH1632" s="1"/>
      <c r="EAI1632" s="1"/>
      <c r="EAJ1632" s="1"/>
      <c r="EAK1632" s="1"/>
      <c r="EAL1632" s="1"/>
      <c r="EAM1632" s="1"/>
      <c r="EAN1632" s="1"/>
      <c r="EAO1632" s="1"/>
      <c r="EAP1632" s="1"/>
      <c r="EAQ1632" s="1"/>
      <c r="EAR1632" s="1"/>
      <c r="EAS1632" s="1"/>
      <c r="EAT1632" s="1"/>
      <c r="EAU1632" s="1"/>
      <c r="EAV1632" s="1"/>
      <c r="EAW1632" s="1"/>
      <c r="EAX1632" s="1"/>
      <c r="EAY1632" s="1"/>
      <c r="EAZ1632" s="1"/>
      <c r="EBA1632" s="1"/>
      <c r="EBB1632" s="1"/>
      <c r="EBC1632" s="1"/>
      <c r="EBD1632" s="1"/>
      <c r="EBE1632" s="1"/>
      <c r="EBF1632" s="1"/>
      <c r="EBG1632" s="1"/>
      <c r="EBH1632" s="1"/>
      <c r="EBI1632" s="1"/>
      <c r="EBJ1632" s="1"/>
      <c r="EBK1632" s="1"/>
      <c r="EBL1632" s="1"/>
      <c r="EBM1632" s="1"/>
      <c r="EBN1632" s="1"/>
      <c r="EBO1632" s="1"/>
      <c r="EBP1632" s="1"/>
      <c r="EBQ1632" s="1"/>
      <c r="EBR1632" s="1"/>
      <c r="EBS1632" s="1"/>
      <c r="EBT1632" s="1"/>
      <c r="EBU1632" s="1"/>
      <c r="EBV1632" s="1"/>
      <c r="EBW1632" s="1"/>
      <c r="EBX1632" s="1"/>
      <c r="EBY1632" s="1"/>
      <c r="EBZ1632" s="1"/>
      <c r="ECA1632" s="1"/>
      <c r="ECB1632" s="1"/>
      <c r="ECC1632" s="1"/>
      <c r="ECD1632" s="1"/>
      <c r="ECE1632" s="1"/>
      <c r="ECF1632" s="1"/>
      <c r="ECG1632" s="1"/>
      <c r="ECH1632" s="1"/>
      <c r="ECI1632" s="1"/>
      <c r="ECJ1632" s="1"/>
      <c r="ECK1632" s="1"/>
      <c r="ECL1632" s="1"/>
      <c r="ECM1632" s="1"/>
      <c r="ECN1632" s="1"/>
      <c r="ECO1632" s="1"/>
      <c r="ECP1632" s="1"/>
      <c r="ECQ1632" s="1"/>
      <c r="ECR1632" s="1"/>
      <c r="ECS1632" s="1"/>
      <c r="ECT1632" s="1"/>
      <c r="ECU1632" s="1"/>
      <c r="ECV1632" s="1"/>
      <c r="ECW1632" s="1"/>
      <c r="ECX1632" s="1"/>
      <c r="ECY1632" s="1"/>
      <c r="ECZ1632" s="1"/>
      <c r="EDA1632" s="1"/>
      <c r="EDB1632" s="1"/>
      <c r="EDC1632" s="1"/>
      <c r="EDD1632" s="1"/>
      <c r="EDE1632" s="1"/>
      <c r="EDF1632" s="1"/>
      <c r="EDG1632" s="1"/>
      <c r="EDH1632" s="1"/>
      <c r="EDI1632" s="1"/>
      <c r="EDJ1632" s="1"/>
      <c r="EDK1632" s="1"/>
      <c r="EDL1632" s="1"/>
      <c r="EDM1632" s="1"/>
      <c r="EDN1632" s="1"/>
      <c r="EDO1632" s="1"/>
      <c r="EDP1632" s="1"/>
      <c r="EDQ1632" s="1"/>
      <c r="EDR1632" s="1"/>
      <c r="EDS1632" s="1"/>
      <c r="EDT1632" s="1"/>
      <c r="EDU1632" s="1"/>
      <c r="EDV1632" s="1"/>
      <c r="EDW1632" s="1"/>
      <c r="EDX1632" s="1"/>
      <c r="EDY1632" s="1"/>
      <c r="EDZ1632" s="1"/>
      <c r="EEA1632" s="1"/>
      <c r="EEB1632" s="1"/>
      <c r="EEC1632" s="1"/>
      <c r="EED1632" s="1"/>
      <c r="EEE1632" s="1"/>
      <c r="EEF1632" s="1"/>
      <c r="EEG1632" s="1"/>
      <c r="EEH1632" s="1"/>
      <c r="EEI1632" s="1"/>
      <c r="EEJ1632" s="1"/>
      <c r="EEK1632" s="1"/>
      <c r="EEL1632" s="1"/>
      <c r="EEM1632" s="1"/>
      <c r="EEN1632" s="1"/>
      <c r="EEO1632" s="1"/>
      <c r="EEP1632" s="1"/>
      <c r="EEQ1632" s="1"/>
      <c r="EER1632" s="1"/>
      <c r="EES1632" s="1"/>
      <c r="EET1632" s="1"/>
      <c r="EEU1632" s="1"/>
      <c r="EEV1632" s="1"/>
      <c r="EEW1632" s="1"/>
      <c r="EEX1632" s="1"/>
      <c r="EEY1632" s="1"/>
      <c r="EEZ1632" s="1"/>
      <c r="EFA1632" s="1"/>
      <c r="EFB1632" s="1"/>
      <c r="EFC1632" s="1"/>
      <c r="EFD1632" s="1"/>
      <c r="EFE1632" s="1"/>
      <c r="EFF1632" s="1"/>
      <c r="EFG1632" s="1"/>
      <c r="EFH1632" s="1"/>
      <c r="EFI1632" s="1"/>
      <c r="EFJ1632" s="1"/>
      <c r="EFK1632" s="1"/>
      <c r="EFL1632" s="1"/>
      <c r="EFM1632" s="1"/>
      <c r="EFN1632" s="1"/>
      <c r="EFO1632" s="1"/>
      <c r="EFP1632" s="1"/>
      <c r="EFQ1632" s="1"/>
      <c r="EFR1632" s="1"/>
      <c r="EFS1632" s="1"/>
      <c r="EFT1632" s="1"/>
      <c r="EFU1632" s="1"/>
      <c r="EFV1632" s="1"/>
      <c r="EFW1632" s="1"/>
      <c r="EFX1632" s="1"/>
      <c r="EFY1632" s="1"/>
      <c r="EFZ1632" s="1"/>
      <c r="EGA1632" s="1"/>
      <c r="EGB1632" s="1"/>
      <c r="EGC1632" s="1"/>
      <c r="EGD1632" s="1"/>
      <c r="EGE1632" s="1"/>
      <c r="EGF1632" s="1"/>
      <c r="EGG1632" s="1"/>
      <c r="EGH1632" s="1"/>
      <c r="EGI1632" s="1"/>
      <c r="EGJ1632" s="1"/>
      <c r="EGK1632" s="1"/>
      <c r="EGL1632" s="1"/>
      <c r="EGM1632" s="1"/>
      <c r="EGN1632" s="1"/>
      <c r="EGO1632" s="1"/>
      <c r="EGP1632" s="1"/>
      <c r="EGQ1632" s="1"/>
      <c r="EGR1632" s="1"/>
      <c r="EGS1632" s="1"/>
      <c r="EGT1632" s="1"/>
      <c r="EGU1632" s="1"/>
      <c r="EGV1632" s="1"/>
      <c r="EGW1632" s="1"/>
      <c r="EGX1632" s="1"/>
      <c r="EGY1632" s="1"/>
      <c r="EGZ1632" s="1"/>
      <c r="EHA1632" s="1"/>
      <c r="EHB1632" s="1"/>
      <c r="EHC1632" s="1"/>
      <c r="EHD1632" s="1"/>
      <c r="EHE1632" s="1"/>
      <c r="EHF1632" s="1"/>
      <c r="EHG1632" s="1"/>
      <c r="EHH1632" s="1"/>
      <c r="EHI1632" s="1"/>
      <c r="EHJ1632" s="1"/>
      <c r="EHK1632" s="1"/>
      <c r="EHL1632" s="1"/>
      <c r="EHM1632" s="1"/>
      <c r="EHN1632" s="1"/>
      <c r="EHO1632" s="1"/>
      <c r="EHP1632" s="1"/>
      <c r="EHQ1632" s="1"/>
      <c r="EHR1632" s="1"/>
      <c r="EHS1632" s="1"/>
      <c r="EHT1632" s="1"/>
      <c r="EHU1632" s="1"/>
      <c r="EHV1632" s="1"/>
      <c r="EHW1632" s="1"/>
      <c r="EHX1632" s="1"/>
      <c r="EHY1632" s="1"/>
      <c r="EHZ1632" s="1"/>
      <c r="EIA1632" s="1"/>
      <c r="EIB1632" s="1"/>
      <c r="EIC1632" s="1"/>
      <c r="EID1632" s="1"/>
      <c r="EIE1632" s="1"/>
      <c r="EIF1632" s="1"/>
      <c r="EIG1632" s="1"/>
      <c r="EIH1632" s="1"/>
      <c r="EII1632" s="1"/>
      <c r="EIJ1632" s="1"/>
      <c r="EIK1632" s="1"/>
      <c r="EIL1632" s="1"/>
      <c r="EIM1632" s="1"/>
      <c r="EIN1632" s="1"/>
      <c r="EIO1632" s="1"/>
      <c r="EIP1632" s="1"/>
      <c r="EIQ1632" s="1"/>
      <c r="EIR1632" s="1"/>
      <c r="EIS1632" s="1"/>
      <c r="EIT1632" s="1"/>
      <c r="EIU1632" s="1"/>
      <c r="EIV1632" s="1"/>
      <c r="EIW1632" s="1"/>
      <c r="EIX1632" s="1"/>
      <c r="EIY1632" s="1"/>
      <c r="EIZ1632" s="1"/>
      <c r="EJA1632" s="1"/>
      <c r="EJB1632" s="1"/>
      <c r="EJC1632" s="1"/>
      <c r="EJD1632" s="1"/>
      <c r="EJE1632" s="1"/>
      <c r="EJF1632" s="1"/>
      <c r="EJG1632" s="1"/>
      <c r="EJH1632" s="1"/>
      <c r="EJI1632" s="1"/>
      <c r="EJJ1632" s="1"/>
      <c r="EJK1632" s="1"/>
      <c r="EJL1632" s="1"/>
      <c r="EJM1632" s="1"/>
      <c r="EJN1632" s="1"/>
      <c r="EJO1632" s="1"/>
      <c r="EJP1632" s="1"/>
      <c r="EJQ1632" s="1"/>
      <c r="EJR1632" s="1"/>
      <c r="EJS1632" s="1"/>
      <c r="EJT1632" s="1"/>
      <c r="EJU1632" s="1"/>
      <c r="EJV1632" s="1"/>
      <c r="EJW1632" s="1"/>
      <c r="EJX1632" s="1"/>
      <c r="EJY1632" s="1"/>
      <c r="EJZ1632" s="1"/>
      <c r="EKA1632" s="1"/>
      <c r="EKB1632" s="1"/>
      <c r="EKC1632" s="1"/>
      <c r="EKD1632" s="1"/>
      <c r="EKE1632" s="1"/>
      <c r="EKF1632" s="1"/>
      <c r="EKG1632" s="1"/>
      <c r="EKH1632" s="1"/>
      <c r="EKI1632" s="1"/>
      <c r="EKJ1632" s="1"/>
      <c r="EKK1632" s="1"/>
      <c r="EKL1632" s="1"/>
      <c r="EKM1632" s="1"/>
      <c r="EKN1632" s="1"/>
      <c r="EKO1632" s="1"/>
      <c r="EKP1632" s="1"/>
      <c r="EKQ1632" s="1"/>
      <c r="EKR1632" s="1"/>
      <c r="EKS1632" s="1"/>
      <c r="EKT1632" s="1"/>
      <c r="EKU1632" s="1"/>
      <c r="EKV1632" s="1"/>
      <c r="EKW1632" s="1"/>
      <c r="EKX1632" s="1"/>
      <c r="EKY1632" s="1"/>
      <c r="EKZ1632" s="1"/>
      <c r="ELA1632" s="1"/>
      <c r="ELB1632" s="1"/>
      <c r="ELC1632" s="1"/>
      <c r="ELD1632" s="1"/>
      <c r="ELE1632" s="1"/>
      <c r="ELF1632" s="1"/>
      <c r="ELG1632" s="1"/>
      <c r="ELH1632" s="1"/>
      <c r="ELI1632" s="1"/>
      <c r="ELJ1632" s="1"/>
      <c r="ELK1632" s="1"/>
      <c r="ELL1632" s="1"/>
      <c r="ELM1632" s="1"/>
      <c r="ELN1632" s="1"/>
      <c r="ELO1632" s="1"/>
      <c r="ELP1632" s="1"/>
      <c r="ELQ1632" s="1"/>
      <c r="ELR1632" s="1"/>
      <c r="ELS1632" s="1"/>
      <c r="ELT1632" s="1"/>
      <c r="ELU1632" s="1"/>
      <c r="ELV1632" s="1"/>
      <c r="ELW1632" s="1"/>
      <c r="ELX1632" s="1"/>
      <c r="ELY1632" s="1"/>
      <c r="ELZ1632" s="1"/>
      <c r="EMA1632" s="1"/>
      <c r="EMB1632" s="1"/>
      <c r="EMC1632" s="1"/>
      <c r="EMD1632" s="1"/>
      <c r="EME1632" s="1"/>
      <c r="EMF1632" s="1"/>
      <c r="EMG1632" s="1"/>
      <c r="EMH1632" s="1"/>
      <c r="EMI1632" s="1"/>
      <c r="EMJ1632" s="1"/>
      <c r="EMK1632" s="1"/>
      <c r="EML1632" s="1"/>
      <c r="EMM1632" s="1"/>
      <c r="EMN1632" s="1"/>
      <c r="EMO1632" s="1"/>
      <c r="EMP1632" s="1"/>
      <c r="EMQ1632" s="1"/>
      <c r="EMR1632" s="1"/>
      <c r="EMS1632" s="1"/>
      <c r="EMT1632" s="1"/>
      <c r="EMU1632" s="1"/>
      <c r="EMV1632" s="1"/>
      <c r="EMW1632" s="1"/>
      <c r="EMX1632" s="1"/>
      <c r="EMY1632" s="1"/>
      <c r="EMZ1632" s="1"/>
      <c r="ENA1632" s="1"/>
      <c r="ENB1632" s="1"/>
      <c r="ENC1632" s="1"/>
      <c r="END1632" s="1"/>
      <c r="ENE1632" s="1"/>
      <c r="ENF1632" s="1"/>
      <c r="ENG1632" s="1"/>
      <c r="ENH1632" s="1"/>
      <c r="ENI1632" s="1"/>
      <c r="ENJ1632" s="1"/>
      <c r="ENK1632" s="1"/>
      <c r="ENL1632" s="1"/>
      <c r="ENM1632" s="1"/>
      <c r="ENN1632" s="1"/>
      <c r="ENO1632" s="1"/>
      <c r="ENP1632" s="1"/>
      <c r="ENQ1632" s="1"/>
      <c r="ENR1632" s="1"/>
      <c r="ENS1632" s="1"/>
      <c r="ENT1632" s="1"/>
      <c r="ENU1632" s="1"/>
      <c r="ENV1632" s="1"/>
      <c r="ENW1632" s="1"/>
      <c r="ENX1632" s="1"/>
      <c r="ENY1632" s="1"/>
      <c r="ENZ1632" s="1"/>
      <c r="EOA1632" s="1"/>
      <c r="EOB1632" s="1"/>
      <c r="EOC1632" s="1"/>
      <c r="EOD1632" s="1"/>
      <c r="EOE1632" s="1"/>
      <c r="EOF1632" s="1"/>
      <c r="EOG1632" s="1"/>
      <c r="EOH1632" s="1"/>
      <c r="EOI1632" s="1"/>
      <c r="EOJ1632" s="1"/>
      <c r="EOK1632" s="1"/>
      <c r="EOL1632" s="1"/>
      <c r="EOM1632" s="1"/>
      <c r="EON1632" s="1"/>
      <c r="EOO1632" s="1"/>
      <c r="EOP1632" s="1"/>
      <c r="EOQ1632" s="1"/>
      <c r="EOR1632" s="1"/>
      <c r="EOS1632" s="1"/>
      <c r="EOT1632" s="1"/>
      <c r="EOU1632" s="1"/>
      <c r="EOV1632" s="1"/>
      <c r="EOW1632" s="1"/>
      <c r="EOX1632" s="1"/>
      <c r="EOY1632" s="1"/>
      <c r="EOZ1632" s="1"/>
      <c r="EPA1632" s="1"/>
      <c r="EPB1632" s="1"/>
      <c r="EPC1632" s="1"/>
      <c r="EPD1632" s="1"/>
      <c r="EPE1632" s="1"/>
      <c r="EPF1632" s="1"/>
      <c r="EPG1632" s="1"/>
      <c r="EPH1632" s="1"/>
      <c r="EPI1632" s="1"/>
      <c r="EPJ1632" s="1"/>
      <c r="EPK1632" s="1"/>
      <c r="EPL1632" s="1"/>
      <c r="EPM1632" s="1"/>
      <c r="EPN1632" s="1"/>
      <c r="EPO1632" s="1"/>
      <c r="EPP1632" s="1"/>
      <c r="EPQ1632" s="1"/>
      <c r="EPR1632" s="1"/>
      <c r="EPS1632" s="1"/>
      <c r="EPT1632" s="1"/>
      <c r="EPU1632" s="1"/>
      <c r="EPV1632" s="1"/>
      <c r="EPW1632" s="1"/>
      <c r="EPX1632" s="1"/>
      <c r="EPY1632" s="1"/>
      <c r="EPZ1632" s="1"/>
      <c r="EQA1632" s="1"/>
      <c r="EQB1632" s="1"/>
      <c r="EQC1632" s="1"/>
      <c r="EQD1632" s="1"/>
      <c r="EQE1632" s="1"/>
      <c r="EQF1632" s="1"/>
      <c r="EQG1632" s="1"/>
      <c r="EQH1632" s="1"/>
      <c r="EQI1632" s="1"/>
      <c r="EQJ1632" s="1"/>
      <c r="EQK1632" s="1"/>
      <c r="EQL1632" s="1"/>
      <c r="EQM1632" s="1"/>
      <c r="EQN1632" s="1"/>
      <c r="EQO1632" s="1"/>
      <c r="EQP1632" s="1"/>
      <c r="EQQ1632" s="1"/>
      <c r="EQR1632" s="1"/>
      <c r="EQS1632" s="1"/>
      <c r="EQT1632" s="1"/>
      <c r="EQU1632" s="1"/>
      <c r="EQV1632" s="1"/>
      <c r="EQW1632" s="1"/>
      <c r="EQX1632" s="1"/>
      <c r="EQY1632" s="1"/>
      <c r="EQZ1632" s="1"/>
      <c r="ERA1632" s="1"/>
      <c r="ERB1632" s="1"/>
      <c r="ERC1632" s="1"/>
      <c r="ERD1632" s="1"/>
      <c r="ERE1632" s="1"/>
      <c r="ERF1632" s="1"/>
      <c r="ERG1632" s="1"/>
      <c r="ERH1632" s="1"/>
      <c r="ERI1632" s="1"/>
      <c r="ERJ1632" s="1"/>
      <c r="ERK1632" s="1"/>
      <c r="ERL1632" s="1"/>
      <c r="ERM1632" s="1"/>
      <c r="ERN1632" s="1"/>
      <c r="ERO1632" s="1"/>
      <c r="ERP1632" s="1"/>
      <c r="ERQ1632" s="1"/>
      <c r="ERR1632" s="1"/>
      <c r="ERS1632" s="1"/>
      <c r="ERT1632" s="1"/>
      <c r="ERU1632" s="1"/>
      <c r="ERV1632" s="1"/>
      <c r="ERW1632" s="1"/>
      <c r="ERX1632" s="1"/>
      <c r="ERY1632" s="1"/>
      <c r="ERZ1632" s="1"/>
      <c r="ESA1632" s="1"/>
      <c r="ESB1632" s="1"/>
      <c r="ESC1632" s="1"/>
      <c r="ESD1632" s="1"/>
      <c r="ESE1632" s="1"/>
      <c r="ESF1632" s="1"/>
      <c r="ESG1632" s="1"/>
      <c r="ESH1632" s="1"/>
      <c r="ESI1632" s="1"/>
      <c r="ESJ1632" s="1"/>
      <c r="ESK1632" s="1"/>
      <c r="ESL1632" s="1"/>
      <c r="ESM1632" s="1"/>
      <c r="ESN1632" s="1"/>
      <c r="ESO1632" s="1"/>
      <c r="ESP1632" s="1"/>
      <c r="ESQ1632" s="1"/>
      <c r="ESR1632" s="1"/>
      <c r="ESS1632" s="1"/>
      <c r="EST1632" s="1"/>
      <c r="ESU1632" s="1"/>
      <c r="ESV1632" s="1"/>
      <c r="ESW1632" s="1"/>
      <c r="ESX1632" s="1"/>
      <c r="ESY1632" s="1"/>
      <c r="ESZ1632" s="1"/>
      <c r="ETA1632" s="1"/>
      <c r="ETB1632" s="1"/>
      <c r="ETC1632" s="1"/>
      <c r="ETD1632" s="1"/>
      <c r="ETE1632" s="1"/>
      <c r="ETF1632" s="1"/>
      <c r="ETG1632" s="1"/>
      <c r="ETH1632" s="1"/>
      <c r="ETI1632" s="1"/>
      <c r="ETJ1632" s="1"/>
      <c r="ETK1632" s="1"/>
      <c r="ETL1632" s="1"/>
      <c r="ETM1632" s="1"/>
      <c r="ETN1632" s="1"/>
      <c r="ETO1632" s="1"/>
      <c r="ETP1632" s="1"/>
      <c r="ETQ1632" s="1"/>
      <c r="ETR1632" s="1"/>
      <c r="ETS1632" s="1"/>
      <c r="ETT1632" s="1"/>
      <c r="ETU1632" s="1"/>
      <c r="ETV1632" s="1"/>
      <c r="ETW1632" s="1"/>
      <c r="ETX1632" s="1"/>
      <c r="ETY1632" s="1"/>
      <c r="ETZ1632" s="1"/>
      <c r="EUA1632" s="1"/>
      <c r="EUB1632" s="1"/>
      <c r="EUC1632" s="1"/>
      <c r="EUD1632" s="1"/>
      <c r="EUE1632" s="1"/>
      <c r="EUF1632" s="1"/>
      <c r="EUG1632" s="1"/>
      <c r="EUH1632" s="1"/>
      <c r="EUI1632" s="1"/>
      <c r="EUJ1632" s="1"/>
      <c r="EUK1632" s="1"/>
      <c r="EUL1632" s="1"/>
      <c r="EUM1632" s="1"/>
      <c r="EUN1632" s="1"/>
      <c r="EUO1632" s="1"/>
      <c r="EUP1632" s="1"/>
      <c r="EUQ1632" s="1"/>
      <c r="EUR1632" s="1"/>
      <c r="EUS1632" s="1"/>
      <c r="EUT1632" s="1"/>
      <c r="EUU1632" s="1"/>
      <c r="EUV1632" s="1"/>
      <c r="EUW1632" s="1"/>
      <c r="EUX1632" s="1"/>
      <c r="EUY1632" s="1"/>
      <c r="EUZ1632" s="1"/>
      <c r="EVA1632" s="1"/>
      <c r="EVB1632" s="1"/>
      <c r="EVC1632" s="1"/>
      <c r="EVD1632" s="1"/>
      <c r="EVE1632" s="1"/>
      <c r="EVF1632" s="1"/>
      <c r="EVG1632" s="1"/>
      <c r="EVH1632" s="1"/>
      <c r="EVI1632" s="1"/>
      <c r="EVJ1632" s="1"/>
      <c r="EVK1632" s="1"/>
      <c r="EVL1632" s="1"/>
      <c r="EVM1632" s="1"/>
      <c r="EVN1632" s="1"/>
      <c r="EVO1632" s="1"/>
      <c r="EVP1632" s="1"/>
      <c r="EVQ1632" s="1"/>
      <c r="EVR1632" s="1"/>
      <c r="EVS1632" s="1"/>
      <c r="EVT1632" s="1"/>
      <c r="EVU1632" s="1"/>
      <c r="EVV1632" s="1"/>
      <c r="EVW1632" s="1"/>
      <c r="EVX1632" s="1"/>
      <c r="EVY1632" s="1"/>
      <c r="EVZ1632" s="1"/>
      <c r="EWA1632" s="1"/>
      <c r="EWB1632" s="1"/>
      <c r="EWC1632" s="1"/>
      <c r="EWD1632" s="1"/>
      <c r="EWE1632" s="1"/>
      <c r="EWF1632" s="1"/>
      <c r="EWG1632" s="1"/>
      <c r="EWH1632" s="1"/>
      <c r="EWI1632" s="1"/>
      <c r="EWJ1632" s="1"/>
      <c r="EWK1632" s="1"/>
      <c r="EWL1632" s="1"/>
      <c r="EWM1632" s="1"/>
      <c r="EWN1632" s="1"/>
      <c r="EWO1632" s="1"/>
      <c r="EWP1632" s="1"/>
      <c r="EWQ1632" s="1"/>
      <c r="EWR1632" s="1"/>
      <c r="EWS1632" s="1"/>
      <c r="EWT1632" s="1"/>
      <c r="EWU1632" s="1"/>
      <c r="EWV1632" s="1"/>
      <c r="EWW1632" s="1"/>
      <c r="EWX1632" s="1"/>
      <c r="EWY1632" s="1"/>
      <c r="EWZ1632" s="1"/>
      <c r="EXA1632" s="1"/>
      <c r="EXB1632" s="1"/>
      <c r="EXC1632" s="1"/>
      <c r="EXD1632" s="1"/>
      <c r="EXE1632" s="1"/>
      <c r="EXF1632" s="1"/>
      <c r="EXG1632" s="1"/>
      <c r="EXH1632" s="1"/>
      <c r="EXI1632" s="1"/>
      <c r="EXJ1632" s="1"/>
      <c r="EXK1632" s="1"/>
      <c r="EXL1632" s="1"/>
      <c r="EXM1632" s="1"/>
      <c r="EXN1632" s="1"/>
      <c r="EXO1632" s="1"/>
      <c r="EXP1632" s="1"/>
      <c r="EXQ1632" s="1"/>
      <c r="EXR1632" s="1"/>
      <c r="EXS1632" s="1"/>
      <c r="EXT1632" s="1"/>
      <c r="EXU1632" s="1"/>
      <c r="EXV1632" s="1"/>
      <c r="EXW1632" s="1"/>
      <c r="EXX1632" s="1"/>
      <c r="EXY1632" s="1"/>
      <c r="EXZ1632" s="1"/>
      <c r="EYA1632" s="1"/>
      <c r="EYB1632" s="1"/>
      <c r="EYC1632" s="1"/>
      <c r="EYD1632" s="1"/>
      <c r="EYE1632" s="1"/>
      <c r="EYF1632" s="1"/>
      <c r="EYG1632" s="1"/>
      <c r="EYH1632" s="1"/>
      <c r="EYI1632" s="1"/>
      <c r="EYJ1632" s="1"/>
      <c r="EYK1632" s="1"/>
      <c r="EYL1632" s="1"/>
      <c r="EYM1632" s="1"/>
      <c r="EYN1632" s="1"/>
      <c r="EYO1632" s="1"/>
      <c r="EYP1632" s="1"/>
      <c r="EYQ1632" s="1"/>
      <c r="EYR1632" s="1"/>
      <c r="EYS1632" s="1"/>
      <c r="EYT1632" s="1"/>
      <c r="EYU1632" s="1"/>
      <c r="EYV1632" s="1"/>
      <c r="EYW1632" s="1"/>
      <c r="EYX1632" s="1"/>
      <c r="EYY1632" s="1"/>
      <c r="EYZ1632" s="1"/>
      <c r="EZA1632" s="1"/>
      <c r="EZB1632" s="1"/>
      <c r="EZC1632" s="1"/>
      <c r="EZD1632" s="1"/>
      <c r="EZE1632" s="1"/>
      <c r="EZF1632" s="1"/>
      <c r="EZG1632" s="1"/>
      <c r="EZH1632" s="1"/>
      <c r="EZI1632" s="1"/>
      <c r="EZJ1632" s="1"/>
      <c r="EZK1632" s="1"/>
      <c r="EZL1632" s="1"/>
      <c r="EZM1632" s="1"/>
      <c r="EZN1632" s="1"/>
      <c r="EZO1632" s="1"/>
      <c r="EZP1632" s="1"/>
      <c r="EZQ1632" s="1"/>
      <c r="EZR1632" s="1"/>
      <c r="EZS1632" s="1"/>
      <c r="EZT1632" s="1"/>
      <c r="EZU1632" s="1"/>
      <c r="EZV1632" s="1"/>
      <c r="EZW1632" s="1"/>
      <c r="EZX1632" s="1"/>
      <c r="EZY1632" s="1"/>
      <c r="EZZ1632" s="1"/>
      <c r="FAA1632" s="1"/>
      <c r="FAB1632" s="1"/>
      <c r="FAC1632" s="1"/>
      <c r="FAD1632" s="1"/>
      <c r="FAE1632" s="1"/>
      <c r="FAF1632" s="1"/>
      <c r="FAG1632" s="1"/>
      <c r="FAH1632" s="1"/>
      <c r="FAI1632" s="1"/>
      <c r="FAJ1632" s="1"/>
      <c r="FAK1632" s="1"/>
      <c r="FAL1632" s="1"/>
      <c r="FAM1632" s="1"/>
      <c r="FAN1632" s="1"/>
      <c r="FAO1632" s="1"/>
      <c r="FAP1632" s="1"/>
      <c r="FAQ1632" s="1"/>
      <c r="FAR1632" s="1"/>
      <c r="FAS1632" s="1"/>
      <c r="FAT1632" s="1"/>
      <c r="FAU1632" s="1"/>
      <c r="FAV1632" s="1"/>
      <c r="FAW1632" s="1"/>
      <c r="FAX1632" s="1"/>
      <c r="FAY1632" s="1"/>
      <c r="FAZ1632" s="1"/>
      <c r="FBA1632" s="1"/>
      <c r="FBB1632" s="1"/>
      <c r="FBC1632" s="1"/>
      <c r="FBD1632" s="1"/>
      <c r="FBE1632" s="1"/>
      <c r="FBF1632" s="1"/>
      <c r="FBG1632" s="1"/>
      <c r="FBH1632" s="1"/>
      <c r="FBI1632" s="1"/>
      <c r="FBJ1632" s="1"/>
      <c r="FBK1632" s="1"/>
      <c r="FBL1632" s="1"/>
      <c r="FBM1632" s="1"/>
      <c r="FBN1632" s="1"/>
      <c r="FBO1632" s="1"/>
      <c r="FBP1632" s="1"/>
      <c r="FBQ1632" s="1"/>
      <c r="FBR1632" s="1"/>
      <c r="FBS1632" s="1"/>
      <c r="FBT1632" s="1"/>
      <c r="FBU1632" s="1"/>
      <c r="FBV1632" s="1"/>
      <c r="FBW1632" s="1"/>
      <c r="FBX1632" s="1"/>
      <c r="FBY1632" s="1"/>
      <c r="FBZ1632" s="1"/>
      <c r="FCA1632" s="1"/>
      <c r="FCB1632" s="1"/>
      <c r="FCC1632" s="1"/>
      <c r="FCD1632" s="1"/>
      <c r="FCE1632" s="1"/>
      <c r="FCF1632" s="1"/>
      <c r="FCG1632" s="1"/>
      <c r="FCH1632" s="1"/>
      <c r="FCI1632" s="1"/>
      <c r="FCJ1632" s="1"/>
      <c r="FCK1632" s="1"/>
      <c r="FCL1632" s="1"/>
      <c r="FCM1632" s="1"/>
      <c r="FCN1632" s="1"/>
      <c r="FCO1632" s="1"/>
      <c r="FCP1632" s="1"/>
      <c r="FCQ1632" s="1"/>
      <c r="FCR1632" s="1"/>
      <c r="FCS1632" s="1"/>
      <c r="FCT1632" s="1"/>
      <c r="FCU1632" s="1"/>
      <c r="FCV1632" s="1"/>
      <c r="FCW1632" s="1"/>
      <c r="FCX1632" s="1"/>
      <c r="FCY1632" s="1"/>
      <c r="FCZ1632" s="1"/>
      <c r="FDA1632" s="1"/>
      <c r="FDB1632" s="1"/>
      <c r="FDC1632" s="1"/>
      <c r="FDD1632" s="1"/>
      <c r="FDE1632" s="1"/>
      <c r="FDF1632" s="1"/>
      <c r="FDG1632" s="1"/>
      <c r="FDH1632" s="1"/>
      <c r="FDI1632" s="1"/>
      <c r="FDJ1632" s="1"/>
      <c r="FDK1632" s="1"/>
      <c r="FDL1632" s="1"/>
      <c r="FDM1632" s="1"/>
      <c r="FDN1632" s="1"/>
      <c r="FDO1632" s="1"/>
      <c r="FDP1632" s="1"/>
      <c r="FDQ1632" s="1"/>
      <c r="FDR1632" s="1"/>
      <c r="FDS1632" s="1"/>
      <c r="FDT1632" s="1"/>
      <c r="FDU1632" s="1"/>
      <c r="FDV1632" s="1"/>
      <c r="FDW1632" s="1"/>
      <c r="FDX1632" s="1"/>
      <c r="FDY1632" s="1"/>
      <c r="FDZ1632" s="1"/>
      <c r="FEA1632" s="1"/>
      <c r="FEB1632" s="1"/>
      <c r="FEC1632" s="1"/>
      <c r="FED1632" s="1"/>
      <c r="FEE1632" s="1"/>
      <c r="FEF1632" s="1"/>
      <c r="FEG1632" s="1"/>
      <c r="FEH1632" s="1"/>
      <c r="FEI1632" s="1"/>
      <c r="FEJ1632" s="1"/>
      <c r="FEK1632" s="1"/>
      <c r="FEL1632" s="1"/>
      <c r="FEM1632" s="1"/>
      <c r="FEN1632" s="1"/>
      <c r="FEO1632" s="1"/>
      <c r="FEP1632" s="1"/>
      <c r="FEQ1632" s="1"/>
      <c r="FER1632" s="1"/>
      <c r="FES1632" s="1"/>
      <c r="FET1632" s="1"/>
      <c r="FEU1632" s="1"/>
      <c r="FEV1632" s="1"/>
      <c r="FEW1632" s="1"/>
      <c r="FEX1632" s="1"/>
      <c r="FEY1632" s="1"/>
      <c r="FEZ1632" s="1"/>
      <c r="FFA1632" s="1"/>
      <c r="FFB1632" s="1"/>
      <c r="FFC1632" s="1"/>
      <c r="FFD1632" s="1"/>
      <c r="FFE1632" s="1"/>
      <c r="FFF1632" s="1"/>
      <c r="FFG1632" s="1"/>
      <c r="FFH1632" s="1"/>
      <c r="FFI1632" s="1"/>
      <c r="FFJ1632" s="1"/>
      <c r="FFK1632" s="1"/>
      <c r="FFL1632" s="1"/>
      <c r="FFM1632" s="1"/>
      <c r="FFN1632" s="1"/>
      <c r="FFO1632" s="1"/>
      <c r="FFP1632" s="1"/>
      <c r="FFQ1632" s="1"/>
      <c r="FFR1632" s="1"/>
      <c r="FFS1632" s="1"/>
      <c r="FFT1632" s="1"/>
      <c r="FFU1632" s="1"/>
      <c r="FFV1632" s="1"/>
      <c r="FFW1632" s="1"/>
      <c r="FFX1632" s="1"/>
      <c r="FFY1632" s="1"/>
      <c r="FFZ1632" s="1"/>
      <c r="FGA1632" s="1"/>
      <c r="FGB1632" s="1"/>
      <c r="FGC1632" s="1"/>
      <c r="FGD1632" s="1"/>
      <c r="FGE1632" s="1"/>
      <c r="FGF1632" s="1"/>
      <c r="FGG1632" s="1"/>
      <c r="FGH1632" s="1"/>
      <c r="FGI1632" s="1"/>
      <c r="FGJ1632" s="1"/>
      <c r="FGK1632" s="1"/>
      <c r="FGL1632" s="1"/>
      <c r="FGM1632" s="1"/>
      <c r="FGN1632" s="1"/>
      <c r="FGO1632" s="1"/>
      <c r="FGP1632" s="1"/>
      <c r="FGQ1632" s="1"/>
      <c r="FGR1632" s="1"/>
      <c r="FGS1632" s="1"/>
      <c r="FGT1632" s="1"/>
      <c r="FGU1632" s="1"/>
      <c r="FGV1632" s="1"/>
      <c r="FGW1632" s="1"/>
      <c r="FGX1632" s="1"/>
      <c r="FGY1632" s="1"/>
      <c r="FGZ1632" s="1"/>
      <c r="FHA1632" s="1"/>
      <c r="FHB1632" s="1"/>
      <c r="FHC1632" s="1"/>
      <c r="FHD1632" s="1"/>
      <c r="FHE1632" s="1"/>
      <c r="FHF1632" s="1"/>
      <c r="FHG1632" s="1"/>
      <c r="FHH1632" s="1"/>
      <c r="FHI1632" s="1"/>
      <c r="FHJ1632" s="1"/>
      <c r="FHK1632" s="1"/>
      <c r="FHL1632" s="1"/>
      <c r="FHM1632" s="1"/>
      <c r="FHN1632" s="1"/>
      <c r="FHO1632" s="1"/>
      <c r="FHP1632" s="1"/>
      <c r="FHQ1632" s="1"/>
      <c r="FHR1632" s="1"/>
      <c r="FHS1632" s="1"/>
      <c r="FHT1632" s="1"/>
      <c r="FHU1632" s="1"/>
      <c r="FHV1632" s="1"/>
      <c r="FHW1632" s="1"/>
      <c r="FHX1632" s="1"/>
      <c r="FHY1632" s="1"/>
      <c r="FHZ1632" s="1"/>
      <c r="FIA1632" s="1"/>
      <c r="FIB1632" s="1"/>
      <c r="FIC1632" s="1"/>
      <c r="FID1632" s="1"/>
      <c r="FIE1632" s="1"/>
      <c r="FIF1632" s="1"/>
      <c r="FIG1632" s="1"/>
      <c r="FIH1632" s="1"/>
      <c r="FII1632" s="1"/>
      <c r="FIJ1632" s="1"/>
      <c r="FIK1632" s="1"/>
      <c r="FIL1632" s="1"/>
      <c r="FIM1632" s="1"/>
      <c r="FIN1632" s="1"/>
      <c r="FIO1632" s="1"/>
      <c r="FIP1632" s="1"/>
      <c r="FIQ1632" s="1"/>
      <c r="FIR1632" s="1"/>
      <c r="FIS1632" s="1"/>
      <c r="FIT1632" s="1"/>
      <c r="FIU1632" s="1"/>
      <c r="FIV1632" s="1"/>
      <c r="FIW1632" s="1"/>
      <c r="FIX1632" s="1"/>
      <c r="FIY1632" s="1"/>
      <c r="FIZ1632" s="1"/>
      <c r="FJA1632" s="1"/>
      <c r="FJB1632" s="1"/>
      <c r="FJC1632" s="1"/>
      <c r="FJD1632" s="1"/>
      <c r="FJE1632" s="1"/>
      <c r="FJF1632" s="1"/>
      <c r="FJG1632" s="1"/>
      <c r="FJH1632" s="1"/>
      <c r="FJI1632" s="1"/>
      <c r="FJJ1632" s="1"/>
      <c r="FJK1632" s="1"/>
      <c r="FJL1632" s="1"/>
      <c r="FJM1632" s="1"/>
      <c r="FJN1632" s="1"/>
      <c r="FJO1632" s="1"/>
      <c r="FJP1632" s="1"/>
      <c r="FJQ1632" s="1"/>
      <c r="FJR1632" s="1"/>
      <c r="FJS1632" s="1"/>
      <c r="FJT1632" s="1"/>
      <c r="FJU1632" s="1"/>
      <c r="FJV1632" s="1"/>
      <c r="FJW1632" s="1"/>
      <c r="FJX1632" s="1"/>
      <c r="FJY1632" s="1"/>
      <c r="FJZ1632" s="1"/>
      <c r="FKA1632" s="1"/>
      <c r="FKB1632" s="1"/>
      <c r="FKC1632" s="1"/>
      <c r="FKD1632" s="1"/>
      <c r="FKE1632" s="1"/>
      <c r="FKF1632" s="1"/>
      <c r="FKG1632" s="1"/>
      <c r="FKH1632" s="1"/>
      <c r="FKI1632" s="1"/>
      <c r="FKJ1632" s="1"/>
      <c r="FKK1632" s="1"/>
      <c r="FKL1632" s="1"/>
      <c r="FKM1632" s="1"/>
      <c r="FKN1632" s="1"/>
      <c r="FKO1632" s="1"/>
      <c r="FKP1632" s="1"/>
      <c r="FKQ1632" s="1"/>
      <c r="FKR1632" s="1"/>
      <c r="FKS1632" s="1"/>
      <c r="FKT1632" s="1"/>
      <c r="FKU1632" s="1"/>
      <c r="FKV1632" s="1"/>
      <c r="FKW1632" s="1"/>
      <c r="FKX1632" s="1"/>
      <c r="FKY1632" s="1"/>
      <c r="FKZ1632" s="1"/>
      <c r="FLA1632" s="1"/>
      <c r="FLB1632" s="1"/>
      <c r="FLC1632" s="1"/>
      <c r="FLD1632" s="1"/>
      <c r="FLE1632" s="1"/>
      <c r="FLF1632" s="1"/>
      <c r="FLG1632" s="1"/>
      <c r="FLH1632" s="1"/>
      <c r="FLI1632" s="1"/>
      <c r="FLJ1632" s="1"/>
      <c r="FLK1632" s="1"/>
      <c r="FLL1632" s="1"/>
      <c r="FLM1632" s="1"/>
      <c r="FLN1632" s="1"/>
      <c r="FLO1632" s="1"/>
      <c r="FLP1632" s="1"/>
      <c r="FLQ1632" s="1"/>
      <c r="FLR1632" s="1"/>
      <c r="FLS1632" s="1"/>
      <c r="FLT1632" s="1"/>
      <c r="FLU1632" s="1"/>
      <c r="FLV1632" s="1"/>
      <c r="FLW1632" s="1"/>
      <c r="FLX1632" s="1"/>
      <c r="FLY1632" s="1"/>
      <c r="FLZ1632" s="1"/>
      <c r="FMA1632" s="1"/>
      <c r="FMB1632" s="1"/>
      <c r="FMC1632" s="1"/>
      <c r="FMD1632" s="1"/>
      <c r="FME1632" s="1"/>
      <c r="FMF1632" s="1"/>
      <c r="FMG1632" s="1"/>
      <c r="FMH1632" s="1"/>
      <c r="FMI1632" s="1"/>
      <c r="FMJ1632" s="1"/>
      <c r="FMK1632" s="1"/>
      <c r="FML1632" s="1"/>
      <c r="FMM1632" s="1"/>
      <c r="FMN1632" s="1"/>
      <c r="FMO1632" s="1"/>
      <c r="FMP1632" s="1"/>
      <c r="FMQ1632" s="1"/>
      <c r="FMR1632" s="1"/>
      <c r="FMS1632" s="1"/>
      <c r="FMT1632" s="1"/>
      <c r="FMU1632" s="1"/>
      <c r="FMV1632" s="1"/>
      <c r="FMW1632" s="1"/>
      <c r="FMX1632" s="1"/>
      <c r="FMY1632" s="1"/>
      <c r="FMZ1632" s="1"/>
      <c r="FNA1632" s="1"/>
      <c r="FNB1632" s="1"/>
      <c r="FNC1632" s="1"/>
      <c r="FND1632" s="1"/>
      <c r="FNE1632" s="1"/>
      <c r="FNF1632" s="1"/>
      <c r="FNG1632" s="1"/>
      <c r="FNH1632" s="1"/>
      <c r="FNI1632" s="1"/>
      <c r="FNJ1632" s="1"/>
      <c r="FNK1632" s="1"/>
      <c r="FNL1632" s="1"/>
      <c r="FNM1632" s="1"/>
      <c r="FNN1632" s="1"/>
      <c r="FNO1632" s="1"/>
      <c r="FNP1632" s="1"/>
      <c r="FNQ1632" s="1"/>
      <c r="FNR1632" s="1"/>
      <c r="FNS1632" s="1"/>
      <c r="FNT1632" s="1"/>
      <c r="FNU1632" s="1"/>
      <c r="FNV1632" s="1"/>
      <c r="FNW1632" s="1"/>
      <c r="FNX1632" s="1"/>
      <c r="FNY1632" s="1"/>
      <c r="FNZ1632" s="1"/>
      <c r="FOA1632" s="1"/>
      <c r="FOB1632" s="1"/>
      <c r="FOC1632" s="1"/>
      <c r="FOD1632" s="1"/>
      <c r="FOE1632" s="1"/>
      <c r="FOF1632" s="1"/>
      <c r="FOG1632" s="1"/>
      <c r="FOH1632" s="1"/>
      <c r="FOI1632" s="1"/>
      <c r="FOJ1632" s="1"/>
      <c r="FOK1632" s="1"/>
      <c r="FOL1632" s="1"/>
      <c r="FOM1632" s="1"/>
      <c r="FON1632" s="1"/>
      <c r="FOO1632" s="1"/>
      <c r="FOP1632" s="1"/>
      <c r="FOQ1632" s="1"/>
      <c r="FOR1632" s="1"/>
      <c r="FOS1632" s="1"/>
      <c r="FOT1632" s="1"/>
      <c r="FOU1632" s="1"/>
      <c r="FOV1632" s="1"/>
      <c r="FOW1632" s="1"/>
      <c r="FOX1632" s="1"/>
      <c r="FOY1632" s="1"/>
      <c r="FOZ1632" s="1"/>
      <c r="FPA1632" s="1"/>
      <c r="FPB1632" s="1"/>
      <c r="FPC1632" s="1"/>
      <c r="FPD1632" s="1"/>
      <c r="FPE1632" s="1"/>
      <c r="FPF1632" s="1"/>
      <c r="FPG1632" s="1"/>
      <c r="FPH1632" s="1"/>
      <c r="FPI1632" s="1"/>
      <c r="FPJ1632" s="1"/>
      <c r="FPK1632" s="1"/>
      <c r="FPL1632" s="1"/>
      <c r="FPM1632" s="1"/>
      <c r="FPN1632" s="1"/>
      <c r="FPO1632" s="1"/>
      <c r="FPP1632" s="1"/>
      <c r="FPQ1632" s="1"/>
      <c r="FPR1632" s="1"/>
      <c r="FPS1632" s="1"/>
      <c r="FPT1632" s="1"/>
      <c r="FPU1632" s="1"/>
      <c r="FPV1632" s="1"/>
      <c r="FPW1632" s="1"/>
      <c r="FPX1632" s="1"/>
      <c r="FPY1632" s="1"/>
      <c r="FPZ1632" s="1"/>
      <c r="FQA1632" s="1"/>
      <c r="FQB1632" s="1"/>
      <c r="FQC1632" s="1"/>
      <c r="FQD1632" s="1"/>
      <c r="FQE1632" s="1"/>
      <c r="FQF1632" s="1"/>
      <c r="FQG1632" s="1"/>
      <c r="FQH1632" s="1"/>
      <c r="FQI1632" s="1"/>
      <c r="FQJ1632" s="1"/>
      <c r="FQK1632" s="1"/>
      <c r="FQL1632" s="1"/>
      <c r="FQM1632" s="1"/>
      <c r="FQN1632" s="1"/>
      <c r="FQO1632" s="1"/>
      <c r="FQP1632" s="1"/>
      <c r="FQQ1632" s="1"/>
      <c r="FQR1632" s="1"/>
      <c r="FQS1632" s="1"/>
      <c r="FQT1632" s="1"/>
      <c r="FQU1632" s="1"/>
      <c r="FQV1632" s="1"/>
      <c r="FQW1632" s="1"/>
      <c r="FQX1632" s="1"/>
      <c r="FQY1632" s="1"/>
      <c r="FQZ1632" s="1"/>
      <c r="FRA1632" s="1"/>
      <c r="FRB1632" s="1"/>
      <c r="FRC1632" s="1"/>
      <c r="FRD1632" s="1"/>
      <c r="FRE1632" s="1"/>
      <c r="FRF1632" s="1"/>
      <c r="FRG1632" s="1"/>
      <c r="FRH1632" s="1"/>
      <c r="FRI1632" s="1"/>
      <c r="FRJ1632" s="1"/>
      <c r="FRK1632" s="1"/>
      <c r="FRL1632" s="1"/>
      <c r="FRM1632" s="1"/>
      <c r="FRN1632" s="1"/>
      <c r="FRO1632" s="1"/>
      <c r="FRP1632" s="1"/>
      <c r="FRQ1632" s="1"/>
      <c r="FRR1632" s="1"/>
      <c r="FRS1632" s="1"/>
      <c r="FRT1632" s="1"/>
      <c r="FRU1632" s="1"/>
      <c r="FRV1632" s="1"/>
      <c r="FRW1632" s="1"/>
      <c r="FRX1632" s="1"/>
      <c r="FRY1632" s="1"/>
      <c r="FRZ1632" s="1"/>
      <c r="FSA1632" s="1"/>
      <c r="FSB1632" s="1"/>
      <c r="FSC1632" s="1"/>
      <c r="FSD1632" s="1"/>
      <c r="FSE1632" s="1"/>
      <c r="FSF1632" s="1"/>
      <c r="FSG1632" s="1"/>
      <c r="FSH1632" s="1"/>
      <c r="FSI1632" s="1"/>
      <c r="FSJ1632" s="1"/>
      <c r="FSK1632" s="1"/>
      <c r="FSL1632" s="1"/>
      <c r="FSM1632" s="1"/>
      <c r="FSN1632" s="1"/>
      <c r="FSO1632" s="1"/>
      <c r="FSP1632" s="1"/>
      <c r="FSQ1632" s="1"/>
      <c r="FSR1632" s="1"/>
      <c r="FSS1632" s="1"/>
      <c r="FST1632" s="1"/>
      <c r="FSU1632" s="1"/>
      <c r="FSV1632" s="1"/>
      <c r="FSW1632" s="1"/>
      <c r="FSX1632" s="1"/>
      <c r="FSY1632" s="1"/>
      <c r="FSZ1632" s="1"/>
      <c r="FTA1632" s="1"/>
      <c r="FTB1632" s="1"/>
      <c r="FTC1632" s="1"/>
      <c r="FTD1632" s="1"/>
      <c r="FTE1632" s="1"/>
      <c r="FTF1632" s="1"/>
      <c r="FTG1632" s="1"/>
      <c r="FTH1632" s="1"/>
      <c r="FTI1632" s="1"/>
      <c r="FTJ1632" s="1"/>
      <c r="FTK1632" s="1"/>
      <c r="FTL1632" s="1"/>
      <c r="FTM1632" s="1"/>
      <c r="FTN1632" s="1"/>
      <c r="FTO1632" s="1"/>
      <c r="FTP1632" s="1"/>
      <c r="FTQ1632" s="1"/>
      <c r="FTR1632" s="1"/>
      <c r="FTS1632" s="1"/>
      <c r="FTT1632" s="1"/>
      <c r="FTU1632" s="1"/>
      <c r="FTV1632" s="1"/>
      <c r="FTW1632" s="1"/>
      <c r="FTX1632" s="1"/>
      <c r="FTY1632" s="1"/>
      <c r="FTZ1632" s="1"/>
      <c r="FUA1632" s="1"/>
      <c r="FUB1632" s="1"/>
      <c r="FUC1632" s="1"/>
      <c r="FUD1632" s="1"/>
      <c r="FUE1632" s="1"/>
      <c r="FUF1632" s="1"/>
      <c r="FUG1632" s="1"/>
      <c r="FUH1632" s="1"/>
      <c r="FUI1632" s="1"/>
      <c r="FUJ1632" s="1"/>
      <c r="FUK1632" s="1"/>
      <c r="FUL1632" s="1"/>
      <c r="FUM1632" s="1"/>
      <c r="FUN1632" s="1"/>
      <c r="FUO1632" s="1"/>
      <c r="FUP1632" s="1"/>
      <c r="FUQ1632" s="1"/>
      <c r="FUR1632" s="1"/>
      <c r="FUS1632" s="1"/>
      <c r="FUT1632" s="1"/>
      <c r="FUU1632" s="1"/>
      <c r="FUV1632" s="1"/>
      <c r="FUW1632" s="1"/>
      <c r="FUX1632" s="1"/>
      <c r="FUY1632" s="1"/>
      <c r="FUZ1632" s="1"/>
      <c r="FVA1632" s="1"/>
      <c r="FVB1632" s="1"/>
      <c r="FVC1632" s="1"/>
      <c r="FVD1632" s="1"/>
      <c r="FVE1632" s="1"/>
      <c r="FVF1632" s="1"/>
      <c r="FVG1632" s="1"/>
      <c r="FVH1632" s="1"/>
      <c r="FVI1632" s="1"/>
      <c r="FVJ1632" s="1"/>
      <c r="FVK1632" s="1"/>
      <c r="FVL1632" s="1"/>
      <c r="FVM1632" s="1"/>
      <c r="FVN1632" s="1"/>
      <c r="FVO1632" s="1"/>
      <c r="FVP1632" s="1"/>
      <c r="FVQ1632" s="1"/>
      <c r="FVR1632" s="1"/>
      <c r="FVS1632" s="1"/>
      <c r="FVT1632" s="1"/>
      <c r="FVU1632" s="1"/>
      <c r="FVV1632" s="1"/>
      <c r="FVW1632" s="1"/>
      <c r="FVX1632" s="1"/>
      <c r="FVY1632" s="1"/>
      <c r="FVZ1632" s="1"/>
      <c r="FWA1632" s="1"/>
      <c r="FWB1632" s="1"/>
      <c r="FWC1632" s="1"/>
      <c r="FWD1632" s="1"/>
      <c r="FWE1632" s="1"/>
      <c r="FWF1632" s="1"/>
      <c r="FWG1632" s="1"/>
      <c r="FWH1632" s="1"/>
      <c r="FWI1632" s="1"/>
      <c r="FWJ1632" s="1"/>
      <c r="FWK1632" s="1"/>
      <c r="FWL1632" s="1"/>
      <c r="FWM1632" s="1"/>
      <c r="FWN1632" s="1"/>
      <c r="FWO1632" s="1"/>
      <c r="FWP1632" s="1"/>
      <c r="FWQ1632" s="1"/>
      <c r="FWR1632" s="1"/>
      <c r="FWS1632" s="1"/>
      <c r="FWT1632" s="1"/>
      <c r="FWU1632" s="1"/>
      <c r="FWV1632" s="1"/>
      <c r="FWW1632" s="1"/>
      <c r="FWX1632" s="1"/>
      <c r="FWY1632" s="1"/>
      <c r="FWZ1632" s="1"/>
      <c r="FXA1632" s="1"/>
      <c r="FXB1632" s="1"/>
      <c r="FXC1632" s="1"/>
      <c r="FXD1632" s="1"/>
      <c r="FXE1632" s="1"/>
      <c r="FXF1632" s="1"/>
      <c r="FXG1632" s="1"/>
      <c r="FXH1632" s="1"/>
      <c r="FXI1632" s="1"/>
      <c r="FXJ1632" s="1"/>
      <c r="FXK1632" s="1"/>
      <c r="FXL1632" s="1"/>
      <c r="FXM1632" s="1"/>
      <c r="FXN1632" s="1"/>
      <c r="FXO1632" s="1"/>
      <c r="FXP1632" s="1"/>
      <c r="FXQ1632" s="1"/>
      <c r="FXR1632" s="1"/>
      <c r="FXS1632" s="1"/>
      <c r="FXT1632" s="1"/>
      <c r="FXU1632" s="1"/>
      <c r="FXV1632" s="1"/>
      <c r="FXW1632" s="1"/>
      <c r="FXX1632" s="1"/>
      <c r="FXY1632" s="1"/>
      <c r="FXZ1632" s="1"/>
      <c r="FYA1632" s="1"/>
      <c r="FYB1632" s="1"/>
      <c r="FYC1632" s="1"/>
      <c r="FYD1632" s="1"/>
      <c r="FYE1632" s="1"/>
      <c r="FYF1632" s="1"/>
      <c r="FYG1632" s="1"/>
      <c r="FYH1632" s="1"/>
      <c r="FYI1632" s="1"/>
      <c r="FYJ1632" s="1"/>
      <c r="FYK1632" s="1"/>
      <c r="FYL1632" s="1"/>
      <c r="FYM1632" s="1"/>
      <c r="FYN1632" s="1"/>
      <c r="FYO1632" s="1"/>
      <c r="FYP1632" s="1"/>
      <c r="FYQ1632" s="1"/>
      <c r="FYR1632" s="1"/>
      <c r="FYS1632" s="1"/>
      <c r="FYT1632" s="1"/>
      <c r="FYU1632" s="1"/>
      <c r="FYV1632" s="1"/>
      <c r="FYW1632" s="1"/>
      <c r="FYX1632" s="1"/>
      <c r="FYY1632" s="1"/>
      <c r="FYZ1632" s="1"/>
      <c r="FZA1632" s="1"/>
      <c r="FZB1632" s="1"/>
      <c r="FZC1632" s="1"/>
      <c r="FZD1632" s="1"/>
      <c r="FZE1632" s="1"/>
      <c r="FZF1632" s="1"/>
      <c r="FZG1632" s="1"/>
      <c r="FZH1632" s="1"/>
      <c r="FZI1632" s="1"/>
      <c r="FZJ1632" s="1"/>
      <c r="FZK1632" s="1"/>
      <c r="FZL1632" s="1"/>
      <c r="FZM1632" s="1"/>
      <c r="FZN1632" s="1"/>
      <c r="FZO1632" s="1"/>
      <c r="FZP1632" s="1"/>
      <c r="FZQ1632" s="1"/>
      <c r="FZR1632" s="1"/>
      <c r="FZS1632" s="1"/>
      <c r="FZT1632" s="1"/>
      <c r="FZU1632" s="1"/>
      <c r="FZV1632" s="1"/>
      <c r="FZW1632" s="1"/>
      <c r="FZX1632" s="1"/>
      <c r="FZY1632" s="1"/>
      <c r="FZZ1632" s="1"/>
      <c r="GAA1632" s="1"/>
      <c r="GAB1632" s="1"/>
      <c r="GAC1632" s="1"/>
      <c r="GAD1632" s="1"/>
      <c r="GAE1632" s="1"/>
      <c r="GAF1632" s="1"/>
      <c r="GAG1632" s="1"/>
      <c r="GAH1632" s="1"/>
      <c r="GAI1632" s="1"/>
      <c r="GAJ1632" s="1"/>
      <c r="GAK1632" s="1"/>
      <c r="GAL1632" s="1"/>
      <c r="GAM1632" s="1"/>
      <c r="GAN1632" s="1"/>
      <c r="GAO1632" s="1"/>
      <c r="GAP1632" s="1"/>
      <c r="GAQ1632" s="1"/>
      <c r="GAR1632" s="1"/>
      <c r="GAS1632" s="1"/>
      <c r="GAT1632" s="1"/>
      <c r="GAU1632" s="1"/>
      <c r="GAV1632" s="1"/>
      <c r="GAW1632" s="1"/>
      <c r="GAX1632" s="1"/>
      <c r="GAY1632" s="1"/>
      <c r="GAZ1632" s="1"/>
      <c r="GBA1632" s="1"/>
      <c r="GBB1632" s="1"/>
      <c r="GBC1632" s="1"/>
      <c r="GBD1632" s="1"/>
      <c r="GBE1632" s="1"/>
      <c r="GBF1632" s="1"/>
      <c r="GBG1632" s="1"/>
      <c r="GBH1632" s="1"/>
      <c r="GBI1632" s="1"/>
      <c r="GBJ1632" s="1"/>
      <c r="GBK1632" s="1"/>
      <c r="GBL1632" s="1"/>
      <c r="GBM1632" s="1"/>
      <c r="GBN1632" s="1"/>
      <c r="GBO1632" s="1"/>
      <c r="GBP1632" s="1"/>
      <c r="GBQ1632" s="1"/>
      <c r="GBR1632" s="1"/>
      <c r="GBS1632" s="1"/>
      <c r="GBT1632" s="1"/>
      <c r="GBU1632" s="1"/>
      <c r="GBV1632" s="1"/>
      <c r="GBW1632" s="1"/>
      <c r="GBX1632" s="1"/>
      <c r="GBY1632" s="1"/>
      <c r="GBZ1632" s="1"/>
      <c r="GCA1632" s="1"/>
      <c r="GCB1632" s="1"/>
      <c r="GCC1632" s="1"/>
      <c r="GCD1632" s="1"/>
      <c r="GCE1632" s="1"/>
      <c r="GCF1632" s="1"/>
      <c r="GCG1632" s="1"/>
      <c r="GCH1632" s="1"/>
      <c r="GCI1632" s="1"/>
      <c r="GCJ1632" s="1"/>
      <c r="GCK1632" s="1"/>
      <c r="GCL1632" s="1"/>
      <c r="GCM1632" s="1"/>
      <c r="GCN1632" s="1"/>
      <c r="GCO1632" s="1"/>
      <c r="GCP1632" s="1"/>
      <c r="GCQ1632" s="1"/>
      <c r="GCR1632" s="1"/>
      <c r="GCS1632" s="1"/>
      <c r="GCT1632" s="1"/>
      <c r="GCU1632" s="1"/>
      <c r="GCV1632" s="1"/>
      <c r="GCW1632" s="1"/>
      <c r="GCX1632" s="1"/>
      <c r="GCY1632" s="1"/>
      <c r="GCZ1632" s="1"/>
      <c r="GDA1632" s="1"/>
      <c r="GDB1632" s="1"/>
      <c r="GDC1632" s="1"/>
      <c r="GDD1632" s="1"/>
      <c r="GDE1632" s="1"/>
      <c r="GDF1632" s="1"/>
      <c r="GDG1632" s="1"/>
      <c r="GDH1632" s="1"/>
      <c r="GDI1632" s="1"/>
      <c r="GDJ1632" s="1"/>
      <c r="GDK1632" s="1"/>
      <c r="GDL1632" s="1"/>
      <c r="GDM1632" s="1"/>
      <c r="GDN1632" s="1"/>
      <c r="GDO1632" s="1"/>
      <c r="GDP1632" s="1"/>
      <c r="GDQ1632" s="1"/>
      <c r="GDR1632" s="1"/>
      <c r="GDS1632" s="1"/>
      <c r="GDT1632" s="1"/>
      <c r="GDU1632" s="1"/>
      <c r="GDV1632" s="1"/>
      <c r="GDW1632" s="1"/>
      <c r="GDX1632" s="1"/>
      <c r="GDY1632" s="1"/>
      <c r="GDZ1632" s="1"/>
      <c r="GEA1632" s="1"/>
      <c r="GEB1632" s="1"/>
      <c r="GEC1632" s="1"/>
      <c r="GED1632" s="1"/>
      <c r="GEE1632" s="1"/>
      <c r="GEF1632" s="1"/>
      <c r="GEG1632" s="1"/>
      <c r="GEH1632" s="1"/>
      <c r="GEI1632" s="1"/>
      <c r="GEJ1632" s="1"/>
      <c r="GEK1632" s="1"/>
      <c r="GEL1632" s="1"/>
      <c r="GEM1632" s="1"/>
      <c r="GEN1632" s="1"/>
      <c r="GEO1632" s="1"/>
      <c r="GEP1632" s="1"/>
      <c r="GEQ1632" s="1"/>
      <c r="GER1632" s="1"/>
      <c r="GES1632" s="1"/>
      <c r="GET1632" s="1"/>
      <c r="GEU1632" s="1"/>
      <c r="GEV1632" s="1"/>
      <c r="GEW1632" s="1"/>
      <c r="GEX1632" s="1"/>
      <c r="GEY1632" s="1"/>
      <c r="GEZ1632" s="1"/>
      <c r="GFA1632" s="1"/>
      <c r="GFB1632" s="1"/>
      <c r="GFC1632" s="1"/>
      <c r="GFD1632" s="1"/>
      <c r="GFE1632" s="1"/>
      <c r="GFF1632" s="1"/>
      <c r="GFG1632" s="1"/>
      <c r="GFH1632" s="1"/>
      <c r="GFI1632" s="1"/>
      <c r="GFJ1632" s="1"/>
      <c r="GFK1632" s="1"/>
      <c r="GFL1632" s="1"/>
      <c r="GFM1632" s="1"/>
      <c r="GFN1632" s="1"/>
      <c r="GFO1632" s="1"/>
      <c r="GFP1632" s="1"/>
      <c r="GFQ1632" s="1"/>
      <c r="GFR1632" s="1"/>
      <c r="GFS1632" s="1"/>
      <c r="GFT1632" s="1"/>
      <c r="GFU1632" s="1"/>
      <c r="GFV1632" s="1"/>
      <c r="GFW1632" s="1"/>
      <c r="GFX1632" s="1"/>
      <c r="GFY1632" s="1"/>
      <c r="GFZ1632" s="1"/>
      <c r="GGA1632" s="1"/>
      <c r="GGB1632" s="1"/>
      <c r="GGC1632" s="1"/>
      <c r="GGD1632" s="1"/>
      <c r="GGE1632" s="1"/>
      <c r="GGF1632" s="1"/>
      <c r="GGG1632" s="1"/>
      <c r="GGH1632" s="1"/>
      <c r="GGI1632" s="1"/>
      <c r="GGJ1632" s="1"/>
      <c r="GGK1632" s="1"/>
      <c r="GGL1632" s="1"/>
      <c r="GGM1632" s="1"/>
      <c r="GGN1632" s="1"/>
      <c r="GGO1632" s="1"/>
      <c r="GGP1632" s="1"/>
      <c r="GGQ1632" s="1"/>
      <c r="GGR1632" s="1"/>
      <c r="GGS1632" s="1"/>
      <c r="GGT1632" s="1"/>
      <c r="GGU1632" s="1"/>
      <c r="GGV1632" s="1"/>
      <c r="GGW1632" s="1"/>
      <c r="GGX1632" s="1"/>
      <c r="GGY1632" s="1"/>
      <c r="GGZ1632" s="1"/>
      <c r="GHA1632" s="1"/>
      <c r="GHB1632" s="1"/>
      <c r="GHC1632" s="1"/>
      <c r="GHD1632" s="1"/>
      <c r="GHE1632" s="1"/>
      <c r="GHF1632" s="1"/>
      <c r="GHG1632" s="1"/>
      <c r="GHH1632" s="1"/>
      <c r="GHI1632" s="1"/>
      <c r="GHJ1632" s="1"/>
      <c r="GHK1632" s="1"/>
      <c r="GHL1632" s="1"/>
      <c r="GHM1632" s="1"/>
      <c r="GHN1632" s="1"/>
      <c r="GHO1632" s="1"/>
      <c r="GHP1632" s="1"/>
      <c r="GHQ1632" s="1"/>
      <c r="GHR1632" s="1"/>
      <c r="GHS1632" s="1"/>
      <c r="GHT1632" s="1"/>
      <c r="GHU1632" s="1"/>
      <c r="GHV1632" s="1"/>
      <c r="GHW1632" s="1"/>
      <c r="GHX1632" s="1"/>
      <c r="GHY1632" s="1"/>
      <c r="GHZ1632" s="1"/>
      <c r="GIA1632" s="1"/>
      <c r="GIB1632" s="1"/>
      <c r="GIC1632" s="1"/>
      <c r="GID1632" s="1"/>
      <c r="GIE1632" s="1"/>
      <c r="GIF1632" s="1"/>
      <c r="GIG1632" s="1"/>
      <c r="GIH1632" s="1"/>
      <c r="GII1632" s="1"/>
      <c r="GIJ1632" s="1"/>
      <c r="GIK1632" s="1"/>
      <c r="GIL1632" s="1"/>
      <c r="GIM1632" s="1"/>
      <c r="GIN1632" s="1"/>
      <c r="GIO1632" s="1"/>
      <c r="GIP1632" s="1"/>
      <c r="GIQ1632" s="1"/>
      <c r="GIR1632" s="1"/>
      <c r="GIS1632" s="1"/>
      <c r="GIT1632" s="1"/>
      <c r="GIU1632" s="1"/>
      <c r="GIV1632" s="1"/>
      <c r="GIW1632" s="1"/>
      <c r="GIX1632" s="1"/>
      <c r="GIY1632" s="1"/>
      <c r="GIZ1632" s="1"/>
      <c r="GJA1632" s="1"/>
      <c r="GJB1632" s="1"/>
      <c r="GJC1632" s="1"/>
      <c r="GJD1632" s="1"/>
      <c r="GJE1632" s="1"/>
      <c r="GJF1632" s="1"/>
      <c r="GJG1632" s="1"/>
      <c r="GJH1632" s="1"/>
      <c r="GJI1632" s="1"/>
      <c r="GJJ1632" s="1"/>
      <c r="GJK1632" s="1"/>
      <c r="GJL1632" s="1"/>
      <c r="GJM1632" s="1"/>
      <c r="GJN1632" s="1"/>
      <c r="GJO1632" s="1"/>
      <c r="GJP1632" s="1"/>
      <c r="GJQ1632" s="1"/>
      <c r="GJR1632" s="1"/>
      <c r="GJS1632" s="1"/>
      <c r="GJT1632" s="1"/>
      <c r="GJU1632" s="1"/>
      <c r="GJV1632" s="1"/>
      <c r="GJW1632" s="1"/>
      <c r="GJX1632" s="1"/>
      <c r="GJY1632" s="1"/>
      <c r="GJZ1632" s="1"/>
      <c r="GKA1632" s="1"/>
      <c r="GKB1632" s="1"/>
      <c r="GKC1632" s="1"/>
      <c r="GKD1632" s="1"/>
      <c r="GKE1632" s="1"/>
      <c r="GKF1632" s="1"/>
      <c r="GKG1632" s="1"/>
      <c r="GKH1632" s="1"/>
      <c r="GKI1632" s="1"/>
      <c r="GKJ1632" s="1"/>
      <c r="GKK1632" s="1"/>
      <c r="GKL1632" s="1"/>
      <c r="GKM1632" s="1"/>
      <c r="GKN1632" s="1"/>
      <c r="GKO1632" s="1"/>
      <c r="GKP1632" s="1"/>
      <c r="GKQ1632" s="1"/>
      <c r="GKR1632" s="1"/>
      <c r="GKS1632" s="1"/>
      <c r="GKT1632" s="1"/>
      <c r="GKU1632" s="1"/>
      <c r="GKV1632" s="1"/>
      <c r="GKW1632" s="1"/>
      <c r="GKX1632" s="1"/>
      <c r="GKY1632" s="1"/>
      <c r="GKZ1632" s="1"/>
      <c r="GLA1632" s="1"/>
      <c r="GLB1632" s="1"/>
      <c r="GLC1632" s="1"/>
      <c r="GLD1632" s="1"/>
      <c r="GLE1632" s="1"/>
      <c r="GLF1632" s="1"/>
      <c r="GLG1632" s="1"/>
      <c r="GLH1632" s="1"/>
      <c r="GLI1632" s="1"/>
      <c r="GLJ1632" s="1"/>
      <c r="GLK1632" s="1"/>
      <c r="GLL1632" s="1"/>
      <c r="GLM1632" s="1"/>
      <c r="GLN1632" s="1"/>
      <c r="GLO1632" s="1"/>
      <c r="GLP1632" s="1"/>
      <c r="GLQ1632" s="1"/>
      <c r="GLR1632" s="1"/>
      <c r="GLS1632" s="1"/>
      <c r="GLT1632" s="1"/>
      <c r="GLU1632" s="1"/>
      <c r="GLV1632" s="1"/>
      <c r="GLW1632" s="1"/>
      <c r="GLX1632" s="1"/>
      <c r="GLY1632" s="1"/>
      <c r="GLZ1632" s="1"/>
      <c r="GMA1632" s="1"/>
      <c r="GMB1632" s="1"/>
      <c r="GMC1632" s="1"/>
      <c r="GMD1632" s="1"/>
      <c r="GME1632" s="1"/>
      <c r="GMF1632" s="1"/>
      <c r="GMG1632" s="1"/>
      <c r="GMH1632" s="1"/>
      <c r="GMI1632" s="1"/>
      <c r="GMJ1632" s="1"/>
      <c r="GMK1632" s="1"/>
      <c r="GML1632" s="1"/>
      <c r="GMM1632" s="1"/>
      <c r="GMN1632" s="1"/>
      <c r="GMO1632" s="1"/>
      <c r="GMP1632" s="1"/>
      <c r="GMQ1632" s="1"/>
      <c r="GMR1632" s="1"/>
      <c r="GMS1632" s="1"/>
      <c r="GMT1632" s="1"/>
      <c r="GMU1632" s="1"/>
      <c r="GMV1632" s="1"/>
      <c r="GMW1632" s="1"/>
      <c r="GMX1632" s="1"/>
      <c r="GMY1632" s="1"/>
      <c r="GMZ1632" s="1"/>
      <c r="GNA1632" s="1"/>
      <c r="GNB1632" s="1"/>
      <c r="GNC1632" s="1"/>
      <c r="GND1632" s="1"/>
      <c r="GNE1632" s="1"/>
      <c r="GNF1632" s="1"/>
      <c r="GNG1632" s="1"/>
      <c r="GNH1632" s="1"/>
      <c r="GNI1632" s="1"/>
      <c r="GNJ1632" s="1"/>
      <c r="GNK1632" s="1"/>
      <c r="GNL1632" s="1"/>
      <c r="GNM1632" s="1"/>
      <c r="GNN1632" s="1"/>
      <c r="GNO1632" s="1"/>
      <c r="GNP1632" s="1"/>
      <c r="GNQ1632" s="1"/>
      <c r="GNR1632" s="1"/>
      <c r="GNS1632" s="1"/>
      <c r="GNT1632" s="1"/>
      <c r="GNU1632" s="1"/>
      <c r="GNV1632" s="1"/>
      <c r="GNW1632" s="1"/>
      <c r="GNX1632" s="1"/>
      <c r="GNY1632" s="1"/>
      <c r="GNZ1632" s="1"/>
      <c r="GOA1632" s="1"/>
      <c r="GOB1632" s="1"/>
      <c r="GOC1632" s="1"/>
      <c r="GOD1632" s="1"/>
      <c r="GOE1632" s="1"/>
      <c r="GOF1632" s="1"/>
      <c r="GOG1632" s="1"/>
      <c r="GOH1632" s="1"/>
      <c r="GOI1632" s="1"/>
      <c r="GOJ1632" s="1"/>
      <c r="GOK1632" s="1"/>
      <c r="GOL1632" s="1"/>
      <c r="GOM1632" s="1"/>
      <c r="GON1632" s="1"/>
      <c r="GOO1632" s="1"/>
      <c r="GOP1632" s="1"/>
      <c r="GOQ1632" s="1"/>
      <c r="GOR1632" s="1"/>
      <c r="GOS1632" s="1"/>
      <c r="GOT1632" s="1"/>
      <c r="GOU1632" s="1"/>
      <c r="GOV1632" s="1"/>
      <c r="GOW1632" s="1"/>
      <c r="GOX1632" s="1"/>
      <c r="GOY1632" s="1"/>
      <c r="GOZ1632" s="1"/>
      <c r="GPA1632" s="1"/>
      <c r="GPB1632" s="1"/>
      <c r="GPC1632" s="1"/>
      <c r="GPD1632" s="1"/>
      <c r="GPE1632" s="1"/>
      <c r="GPF1632" s="1"/>
      <c r="GPG1632" s="1"/>
      <c r="GPH1632" s="1"/>
      <c r="GPI1632" s="1"/>
      <c r="GPJ1632" s="1"/>
      <c r="GPK1632" s="1"/>
      <c r="GPL1632" s="1"/>
      <c r="GPM1632" s="1"/>
      <c r="GPN1632" s="1"/>
      <c r="GPO1632" s="1"/>
      <c r="GPP1632" s="1"/>
      <c r="GPQ1632" s="1"/>
      <c r="GPR1632" s="1"/>
      <c r="GPS1632" s="1"/>
      <c r="GPT1632" s="1"/>
      <c r="GPU1632" s="1"/>
      <c r="GPV1632" s="1"/>
      <c r="GPW1632" s="1"/>
      <c r="GPX1632" s="1"/>
      <c r="GPY1632" s="1"/>
      <c r="GPZ1632" s="1"/>
      <c r="GQA1632" s="1"/>
      <c r="GQB1632" s="1"/>
      <c r="GQC1632" s="1"/>
      <c r="GQD1632" s="1"/>
      <c r="GQE1632" s="1"/>
      <c r="GQF1632" s="1"/>
      <c r="GQG1632" s="1"/>
      <c r="GQH1632" s="1"/>
      <c r="GQI1632" s="1"/>
      <c r="GQJ1632" s="1"/>
      <c r="GQK1632" s="1"/>
      <c r="GQL1632" s="1"/>
      <c r="GQM1632" s="1"/>
      <c r="GQN1632" s="1"/>
      <c r="GQO1632" s="1"/>
      <c r="GQP1632" s="1"/>
      <c r="GQQ1632" s="1"/>
      <c r="GQR1632" s="1"/>
      <c r="GQS1632" s="1"/>
      <c r="GQT1632" s="1"/>
      <c r="GQU1632" s="1"/>
      <c r="GQV1632" s="1"/>
      <c r="GQW1632" s="1"/>
      <c r="GQX1632" s="1"/>
      <c r="GQY1632" s="1"/>
      <c r="GQZ1632" s="1"/>
      <c r="GRA1632" s="1"/>
      <c r="GRB1632" s="1"/>
      <c r="GRC1632" s="1"/>
      <c r="GRD1632" s="1"/>
      <c r="GRE1632" s="1"/>
      <c r="GRF1632" s="1"/>
      <c r="GRG1632" s="1"/>
      <c r="GRH1632" s="1"/>
      <c r="GRI1632" s="1"/>
      <c r="GRJ1632" s="1"/>
      <c r="GRK1632" s="1"/>
      <c r="GRL1632" s="1"/>
      <c r="GRM1632" s="1"/>
      <c r="GRN1632" s="1"/>
      <c r="GRO1632" s="1"/>
      <c r="GRP1632" s="1"/>
      <c r="GRQ1632" s="1"/>
      <c r="GRR1632" s="1"/>
      <c r="GRS1632" s="1"/>
      <c r="GRT1632" s="1"/>
      <c r="GRU1632" s="1"/>
      <c r="GRV1632" s="1"/>
      <c r="GRW1632" s="1"/>
      <c r="GRX1632" s="1"/>
      <c r="GRY1632" s="1"/>
      <c r="GRZ1632" s="1"/>
      <c r="GSA1632" s="1"/>
      <c r="GSB1632" s="1"/>
      <c r="GSC1632" s="1"/>
      <c r="GSD1632" s="1"/>
      <c r="GSE1632" s="1"/>
      <c r="GSF1632" s="1"/>
      <c r="GSG1632" s="1"/>
      <c r="GSH1632" s="1"/>
      <c r="GSI1632" s="1"/>
      <c r="GSJ1632" s="1"/>
      <c r="GSK1632" s="1"/>
      <c r="GSL1632" s="1"/>
      <c r="GSM1632" s="1"/>
      <c r="GSN1632" s="1"/>
      <c r="GSO1632" s="1"/>
      <c r="GSP1632" s="1"/>
      <c r="GSQ1632" s="1"/>
      <c r="GSR1632" s="1"/>
      <c r="GSS1632" s="1"/>
      <c r="GST1632" s="1"/>
      <c r="GSU1632" s="1"/>
      <c r="GSV1632" s="1"/>
      <c r="GSW1632" s="1"/>
      <c r="GSX1632" s="1"/>
      <c r="GSY1632" s="1"/>
      <c r="GSZ1632" s="1"/>
      <c r="GTA1632" s="1"/>
      <c r="GTB1632" s="1"/>
      <c r="GTC1632" s="1"/>
      <c r="GTD1632" s="1"/>
      <c r="GTE1632" s="1"/>
      <c r="GTF1632" s="1"/>
      <c r="GTG1632" s="1"/>
      <c r="GTH1632" s="1"/>
      <c r="GTI1632" s="1"/>
      <c r="GTJ1632" s="1"/>
      <c r="GTK1632" s="1"/>
      <c r="GTL1632" s="1"/>
      <c r="GTM1632" s="1"/>
      <c r="GTN1632" s="1"/>
      <c r="GTO1632" s="1"/>
      <c r="GTP1632" s="1"/>
      <c r="GTQ1632" s="1"/>
      <c r="GTR1632" s="1"/>
      <c r="GTS1632" s="1"/>
      <c r="GTT1632" s="1"/>
      <c r="GTU1632" s="1"/>
      <c r="GTV1632" s="1"/>
      <c r="GTW1632" s="1"/>
      <c r="GTX1632" s="1"/>
      <c r="GTY1632" s="1"/>
      <c r="GTZ1632" s="1"/>
      <c r="GUA1632" s="1"/>
      <c r="GUB1632" s="1"/>
      <c r="GUC1632" s="1"/>
      <c r="GUD1632" s="1"/>
      <c r="GUE1632" s="1"/>
      <c r="GUF1632" s="1"/>
      <c r="GUG1632" s="1"/>
      <c r="GUH1632" s="1"/>
      <c r="GUI1632" s="1"/>
      <c r="GUJ1632" s="1"/>
      <c r="GUK1632" s="1"/>
      <c r="GUL1632" s="1"/>
      <c r="GUM1632" s="1"/>
      <c r="GUN1632" s="1"/>
      <c r="GUO1632" s="1"/>
      <c r="GUP1632" s="1"/>
      <c r="GUQ1632" s="1"/>
      <c r="GUR1632" s="1"/>
      <c r="GUS1632" s="1"/>
      <c r="GUT1632" s="1"/>
      <c r="GUU1632" s="1"/>
      <c r="GUV1632" s="1"/>
      <c r="GUW1632" s="1"/>
      <c r="GUX1632" s="1"/>
      <c r="GUY1632" s="1"/>
      <c r="GUZ1632" s="1"/>
      <c r="GVA1632" s="1"/>
      <c r="GVB1632" s="1"/>
      <c r="GVC1632" s="1"/>
      <c r="GVD1632" s="1"/>
      <c r="GVE1632" s="1"/>
      <c r="GVF1632" s="1"/>
      <c r="GVG1632" s="1"/>
      <c r="GVH1632" s="1"/>
      <c r="GVI1632" s="1"/>
      <c r="GVJ1632" s="1"/>
      <c r="GVK1632" s="1"/>
      <c r="GVL1632" s="1"/>
      <c r="GVM1632" s="1"/>
      <c r="GVN1632" s="1"/>
      <c r="GVO1632" s="1"/>
      <c r="GVP1632" s="1"/>
      <c r="GVQ1632" s="1"/>
      <c r="GVR1632" s="1"/>
      <c r="GVS1632" s="1"/>
      <c r="GVT1632" s="1"/>
      <c r="GVU1632" s="1"/>
      <c r="GVV1632" s="1"/>
      <c r="GVW1632" s="1"/>
      <c r="GVX1632" s="1"/>
      <c r="GVY1632" s="1"/>
      <c r="GVZ1632" s="1"/>
      <c r="GWA1632" s="1"/>
      <c r="GWB1632" s="1"/>
      <c r="GWC1632" s="1"/>
      <c r="GWD1632" s="1"/>
      <c r="GWE1632" s="1"/>
      <c r="GWF1632" s="1"/>
      <c r="GWG1632" s="1"/>
      <c r="GWH1632" s="1"/>
      <c r="GWI1632" s="1"/>
      <c r="GWJ1632" s="1"/>
      <c r="GWK1632" s="1"/>
      <c r="GWL1632" s="1"/>
      <c r="GWM1632" s="1"/>
      <c r="GWN1632" s="1"/>
      <c r="GWO1632" s="1"/>
      <c r="GWP1632" s="1"/>
      <c r="GWQ1632" s="1"/>
      <c r="GWR1632" s="1"/>
      <c r="GWS1632" s="1"/>
      <c r="GWT1632" s="1"/>
      <c r="GWU1632" s="1"/>
      <c r="GWV1632" s="1"/>
      <c r="GWW1632" s="1"/>
      <c r="GWX1632" s="1"/>
      <c r="GWY1632" s="1"/>
      <c r="GWZ1632" s="1"/>
      <c r="GXA1632" s="1"/>
      <c r="GXB1632" s="1"/>
      <c r="GXC1632" s="1"/>
      <c r="GXD1632" s="1"/>
      <c r="GXE1632" s="1"/>
      <c r="GXF1632" s="1"/>
      <c r="GXG1632" s="1"/>
      <c r="GXH1632" s="1"/>
      <c r="GXI1632" s="1"/>
      <c r="GXJ1632" s="1"/>
      <c r="GXK1632" s="1"/>
      <c r="GXL1632" s="1"/>
      <c r="GXM1632" s="1"/>
      <c r="GXN1632" s="1"/>
      <c r="GXO1632" s="1"/>
      <c r="GXP1632" s="1"/>
      <c r="GXQ1632" s="1"/>
      <c r="GXR1632" s="1"/>
      <c r="GXS1632" s="1"/>
      <c r="GXT1632" s="1"/>
      <c r="GXU1632" s="1"/>
      <c r="GXV1632" s="1"/>
      <c r="GXW1632" s="1"/>
      <c r="GXX1632" s="1"/>
      <c r="GXY1632" s="1"/>
      <c r="GXZ1632" s="1"/>
      <c r="GYA1632" s="1"/>
      <c r="GYB1632" s="1"/>
      <c r="GYC1632" s="1"/>
      <c r="GYD1632" s="1"/>
      <c r="GYE1632" s="1"/>
      <c r="GYF1632" s="1"/>
      <c r="GYG1632" s="1"/>
      <c r="GYH1632" s="1"/>
      <c r="GYI1632" s="1"/>
      <c r="GYJ1632" s="1"/>
      <c r="GYK1632" s="1"/>
      <c r="GYL1632" s="1"/>
      <c r="GYM1632" s="1"/>
      <c r="GYN1632" s="1"/>
      <c r="GYO1632" s="1"/>
      <c r="GYP1632" s="1"/>
      <c r="GYQ1632" s="1"/>
      <c r="GYR1632" s="1"/>
      <c r="GYS1632" s="1"/>
      <c r="GYT1632" s="1"/>
      <c r="GYU1632" s="1"/>
      <c r="GYV1632" s="1"/>
      <c r="GYW1632" s="1"/>
      <c r="GYX1632" s="1"/>
      <c r="GYY1632" s="1"/>
      <c r="GYZ1632" s="1"/>
      <c r="GZA1632" s="1"/>
      <c r="GZB1632" s="1"/>
      <c r="GZC1632" s="1"/>
      <c r="GZD1632" s="1"/>
      <c r="GZE1632" s="1"/>
      <c r="GZF1632" s="1"/>
      <c r="GZG1632" s="1"/>
      <c r="GZH1632" s="1"/>
      <c r="GZI1632" s="1"/>
      <c r="GZJ1632" s="1"/>
      <c r="GZK1632" s="1"/>
      <c r="GZL1632" s="1"/>
      <c r="GZM1632" s="1"/>
      <c r="GZN1632" s="1"/>
      <c r="GZO1632" s="1"/>
      <c r="GZP1632" s="1"/>
      <c r="GZQ1632" s="1"/>
      <c r="GZR1632" s="1"/>
      <c r="GZS1632" s="1"/>
      <c r="GZT1632" s="1"/>
      <c r="GZU1632" s="1"/>
      <c r="GZV1632" s="1"/>
      <c r="GZW1632" s="1"/>
      <c r="GZX1632" s="1"/>
      <c r="GZY1632" s="1"/>
      <c r="GZZ1632" s="1"/>
      <c r="HAA1632" s="1"/>
      <c r="HAB1632" s="1"/>
      <c r="HAC1632" s="1"/>
      <c r="HAD1632" s="1"/>
      <c r="HAE1632" s="1"/>
      <c r="HAF1632" s="1"/>
      <c r="HAG1632" s="1"/>
      <c r="HAH1632" s="1"/>
      <c r="HAI1632" s="1"/>
      <c r="HAJ1632" s="1"/>
      <c r="HAK1632" s="1"/>
      <c r="HAL1632" s="1"/>
      <c r="HAM1632" s="1"/>
      <c r="HAN1632" s="1"/>
      <c r="HAO1632" s="1"/>
      <c r="HAP1632" s="1"/>
      <c r="HAQ1632" s="1"/>
      <c r="HAR1632" s="1"/>
      <c r="HAS1632" s="1"/>
      <c r="HAT1632" s="1"/>
      <c r="HAU1632" s="1"/>
      <c r="HAV1632" s="1"/>
      <c r="HAW1632" s="1"/>
      <c r="HAX1632" s="1"/>
      <c r="HAY1632" s="1"/>
      <c r="HAZ1632" s="1"/>
      <c r="HBA1632" s="1"/>
      <c r="HBB1632" s="1"/>
      <c r="HBC1632" s="1"/>
      <c r="HBD1632" s="1"/>
      <c r="HBE1632" s="1"/>
      <c r="HBF1632" s="1"/>
      <c r="HBG1632" s="1"/>
      <c r="HBH1632" s="1"/>
      <c r="HBI1632" s="1"/>
      <c r="HBJ1632" s="1"/>
      <c r="HBK1632" s="1"/>
      <c r="HBL1632" s="1"/>
      <c r="HBM1632" s="1"/>
      <c r="HBN1632" s="1"/>
      <c r="HBO1632" s="1"/>
      <c r="HBP1632" s="1"/>
      <c r="HBQ1632" s="1"/>
      <c r="HBR1632" s="1"/>
      <c r="HBS1632" s="1"/>
      <c r="HBT1632" s="1"/>
      <c r="HBU1632" s="1"/>
      <c r="HBV1632" s="1"/>
      <c r="HBW1632" s="1"/>
      <c r="HBX1632" s="1"/>
      <c r="HBY1632" s="1"/>
      <c r="HBZ1632" s="1"/>
      <c r="HCA1632" s="1"/>
      <c r="HCB1632" s="1"/>
      <c r="HCC1632" s="1"/>
      <c r="HCD1632" s="1"/>
      <c r="HCE1632" s="1"/>
      <c r="HCF1632" s="1"/>
      <c r="HCG1632" s="1"/>
      <c r="HCH1632" s="1"/>
      <c r="HCI1632" s="1"/>
      <c r="HCJ1632" s="1"/>
      <c r="HCK1632" s="1"/>
      <c r="HCL1632" s="1"/>
      <c r="HCM1632" s="1"/>
      <c r="HCN1632" s="1"/>
      <c r="HCO1632" s="1"/>
      <c r="HCP1632" s="1"/>
      <c r="HCQ1632" s="1"/>
      <c r="HCR1632" s="1"/>
      <c r="HCS1632" s="1"/>
      <c r="HCT1632" s="1"/>
      <c r="HCU1632" s="1"/>
      <c r="HCV1632" s="1"/>
      <c r="HCW1632" s="1"/>
      <c r="HCX1632" s="1"/>
      <c r="HCY1632" s="1"/>
      <c r="HCZ1632" s="1"/>
      <c r="HDA1632" s="1"/>
      <c r="HDB1632" s="1"/>
      <c r="HDC1632" s="1"/>
      <c r="HDD1632" s="1"/>
      <c r="HDE1632" s="1"/>
      <c r="HDF1632" s="1"/>
      <c r="HDG1632" s="1"/>
      <c r="HDH1632" s="1"/>
      <c r="HDI1632" s="1"/>
      <c r="HDJ1632" s="1"/>
      <c r="HDK1632" s="1"/>
      <c r="HDL1632" s="1"/>
      <c r="HDM1632" s="1"/>
      <c r="HDN1632" s="1"/>
      <c r="HDO1632" s="1"/>
      <c r="HDP1632" s="1"/>
      <c r="HDQ1632" s="1"/>
      <c r="HDR1632" s="1"/>
      <c r="HDS1632" s="1"/>
      <c r="HDT1632" s="1"/>
      <c r="HDU1632" s="1"/>
      <c r="HDV1632" s="1"/>
      <c r="HDW1632" s="1"/>
      <c r="HDX1632" s="1"/>
      <c r="HDY1632" s="1"/>
      <c r="HDZ1632" s="1"/>
      <c r="HEA1632" s="1"/>
      <c r="HEB1632" s="1"/>
      <c r="HEC1632" s="1"/>
      <c r="HED1632" s="1"/>
      <c r="HEE1632" s="1"/>
      <c r="HEF1632" s="1"/>
      <c r="HEG1632" s="1"/>
      <c r="HEH1632" s="1"/>
      <c r="HEI1632" s="1"/>
      <c r="HEJ1632" s="1"/>
      <c r="HEK1632" s="1"/>
      <c r="HEL1632" s="1"/>
      <c r="HEM1632" s="1"/>
      <c r="HEN1632" s="1"/>
      <c r="HEO1632" s="1"/>
      <c r="HEP1632" s="1"/>
      <c r="HEQ1632" s="1"/>
      <c r="HER1632" s="1"/>
      <c r="HES1632" s="1"/>
      <c r="HET1632" s="1"/>
      <c r="HEU1632" s="1"/>
      <c r="HEV1632" s="1"/>
      <c r="HEW1632" s="1"/>
      <c r="HEX1632" s="1"/>
      <c r="HEY1632" s="1"/>
      <c r="HEZ1632" s="1"/>
      <c r="HFA1632" s="1"/>
      <c r="HFB1632" s="1"/>
      <c r="HFC1632" s="1"/>
      <c r="HFD1632" s="1"/>
      <c r="HFE1632" s="1"/>
      <c r="HFF1632" s="1"/>
      <c r="HFG1632" s="1"/>
      <c r="HFH1632" s="1"/>
      <c r="HFI1632" s="1"/>
      <c r="HFJ1632" s="1"/>
      <c r="HFK1632" s="1"/>
      <c r="HFL1632" s="1"/>
      <c r="HFM1632" s="1"/>
      <c r="HFN1632" s="1"/>
      <c r="HFO1632" s="1"/>
      <c r="HFP1632" s="1"/>
      <c r="HFQ1632" s="1"/>
      <c r="HFR1632" s="1"/>
      <c r="HFS1632" s="1"/>
      <c r="HFT1632" s="1"/>
      <c r="HFU1632" s="1"/>
      <c r="HFV1632" s="1"/>
      <c r="HFW1632" s="1"/>
      <c r="HFX1632" s="1"/>
      <c r="HFY1632" s="1"/>
      <c r="HFZ1632" s="1"/>
      <c r="HGA1632" s="1"/>
      <c r="HGB1632" s="1"/>
      <c r="HGC1632" s="1"/>
      <c r="HGD1632" s="1"/>
      <c r="HGE1632" s="1"/>
      <c r="HGF1632" s="1"/>
      <c r="HGG1632" s="1"/>
      <c r="HGH1632" s="1"/>
      <c r="HGI1632" s="1"/>
      <c r="HGJ1632" s="1"/>
      <c r="HGK1632" s="1"/>
      <c r="HGL1632" s="1"/>
      <c r="HGM1632" s="1"/>
      <c r="HGN1632" s="1"/>
      <c r="HGO1632" s="1"/>
      <c r="HGP1632" s="1"/>
      <c r="HGQ1632" s="1"/>
      <c r="HGR1632" s="1"/>
      <c r="HGS1632" s="1"/>
      <c r="HGT1632" s="1"/>
      <c r="HGU1632" s="1"/>
      <c r="HGV1632" s="1"/>
      <c r="HGW1632" s="1"/>
      <c r="HGX1632" s="1"/>
      <c r="HGY1632" s="1"/>
      <c r="HGZ1632" s="1"/>
      <c r="HHA1632" s="1"/>
      <c r="HHB1632" s="1"/>
      <c r="HHC1632" s="1"/>
      <c r="HHD1632" s="1"/>
      <c r="HHE1632" s="1"/>
      <c r="HHF1632" s="1"/>
      <c r="HHG1632" s="1"/>
      <c r="HHH1632" s="1"/>
      <c r="HHI1632" s="1"/>
      <c r="HHJ1632" s="1"/>
      <c r="HHK1632" s="1"/>
      <c r="HHL1632" s="1"/>
      <c r="HHM1632" s="1"/>
      <c r="HHN1632" s="1"/>
      <c r="HHO1632" s="1"/>
      <c r="HHP1632" s="1"/>
      <c r="HHQ1632" s="1"/>
      <c r="HHR1632" s="1"/>
      <c r="HHS1632" s="1"/>
      <c r="HHT1632" s="1"/>
      <c r="HHU1632" s="1"/>
      <c r="HHV1632" s="1"/>
      <c r="HHW1632" s="1"/>
      <c r="HHX1632" s="1"/>
      <c r="HHY1632" s="1"/>
      <c r="HHZ1632" s="1"/>
      <c r="HIA1632" s="1"/>
      <c r="HIB1632" s="1"/>
      <c r="HIC1632" s="1"/>
      <c r="HID1632" s="1"/>
      <c r="HIE1632" s="1"/>
      <c r="HIF1632" s="1"/>
      <c r="HIG1632" s="1"/>
      <c r="HIH1632" s="1"/>
      <c r="HII1632" s="1"/>
      <c r="HIJ1632" s="1"/>
      <c r="HIK1632" s="1"/>
      <c r="HIL1632" s="1"/>
      <c r="HIM1632" s="1"/>
      <c r="HIN1632" s="1"/>
      <c r="HIO1632" s="1"/>
      <c r="HIP1632" s="1"/>
      <c r="HIQ1632" s="1"/>
      <c r="HIR1632" s="1"/>
      <c r="HIS1632" s="1"/>
      <c r="HIT1632" s="1"/>
      <c r="HIU1632" s="1"/>
      <c r="HIV1632" s="1"/>
      <c r="HIW1632" s="1"/>
      <c r="HIX1632" s="1"/>
      <c r="HIY1632" s="1"/>
      <c r="HIZ1632" s="1"/>
      <c r="HJA1632" s="1"/>
      <c r="HJB1632" s="1"/>
      <c r="HJC1632" s="1"/>
      <c r="HJD1632" s="1"/>
      <c r="HJE1632" s="1"/>
      <c r="HJF1632" s="1"/>
      <c r="HJG1632" s="1"/>
      <c r="HJH1632" s="1"/>
      <c r="HJI1632" s="1"/>
      <c r="HJJ1632" s="1"/>
      <c r="HJK1632" s="1"/>
      <c r="HJL1632" s="1"/>
      <c r="HJM1632" s="1"/>
      <c r="HJN1632" s="1"/>
      <c r="HJO1632" s="1"/>
      <c r="HJP1632" s="1"/>
      <c r="HJQ1632" s="1"/>
      <c r="HJR1632" s="1"/>
      <c r="HJS1632" s="1"/>
      <c r="HJT1632" s="1"/>
      <c r="HJU1632" s="1"/>
      <c r="HJV1632" s="1"/>
      <c r="HJW1632" s="1"/>
      <c r="HJX1632" s="1"/>
      <c r="HJY1632" s="1"/>
      <c r="HJZ1632" s="1"/>
      <c r="HKA1632" s="1"/>
      <c r="HKB1632" s="1"/>
      <c r="HKC1632" s="1"/>
      <c r="HKD1632" s="1"/>
      <c r="HKE1632" s="1"/>
      <c r="HKF1632" s="1"/>
      <c r="HKG1632" s="1"/>
      <c r="HKH1632" s="1"/>
      <c r="HKI1632" s="1"/>
      <c r="HKJ1632" s="1"/>
      <c r="HKK1632" s="1"/>
      <c r="HKL1632" s="1"/>
      <c r="HKM1632" s="1"/>
      <c r="HKN1632" s="1"/>
      <c r="HKO1632" s="1"/>
      <c r="HKP1632" s="1"/>
      <c r="HKQ1632" s="1"/>
      <c r="HKR1632" s="1"/>
      <c r="HKS1632" s="1"/>
      <c r="HKT1632" s="1"/>
      <c r="HKU1632" s="1"/>
      <c r="HKV1632" s="1"/>
      <c r="HKW1632" s="1"/>
      <c r="HKX1632" s="1"/>
      <c r="HKY1632" s="1"/>
      <c r="HKZ1632" s="1"/>
      <c r="HLA1632" s="1"/>
      <c r="HLB1632" s="1"/>
      <c r="HLC1632" s="1"/>
      <c r="HLD1632" s="1"/>
      <c r="HLE1632" s="1"/>
      <c r="HLF1632" s="1"/>
      <c r="HLG1632" s="1"/>
      <c r="HLH1632" s="1"/>
      <c r="HLI1632" s="1"/>
      <c r="HLJ1632" s="1"/>
      <c r="HLK1632" s="1"/>
      <c r="HLL1632" s="1"/>
      <c r="HLM1632" s="1"/>
      <c r="HLN1632" s="1"/>
      <c r="HLO1632" s="1"/>
      <c r="HLP1632" s="1"/>
      <c r="HLQ1632" s="1"/>
      <c r="HLR1632" s="1"/>
      <c r="HLS1632" s="1"/>
      <c r="HLT1632" s="1"/>
      <c r="HLU1632" s="1"/>
      <c r="HLV1632" s="1"/>
      <c r="HLW1632" s="1"/>
      <c r="HLX1632" s="1"/>
      <c r="HLY1632" s="1"/>
      <c r="HLZ1632" s="1"/>
      <c r="HMA1632" s="1"/>
      <c r="HMB1632" s="1"/>
      <c r="HMC1632" s="1"/>
      <c r="HMD1632" s="1"/>
      <c r="HME1632" s="1"/>
      <c r="HMF1632" s="1"/>
      <c r="HMG1632" s="1"/>
      <c r="HMH1632" s="1"/>
      <c r="HMI1632" s="1"/>
      <c r="HMJ1632" s="1"/>
      <c r="HMK1632" s="1"/>
      <c r="HML1632" s="1"/>
      <c r="HMM1632" s="1"/>
      <c r="HMN1632" s="1"/>
      <c r="HMO1632" s="1"/>
      <c r="HMP1632" s="1"/>
      <c r="HMQ1632" s="1"/>
      <c r="HMR1632" s="1"/>
      <c r="HMS1632" s="1"/>
      <c r="HMT1632" s="1"/>
      <c r="HMU1632" s="1"/>
      <c r="HMV1632" s="1"/>
      <c r="HMW1632" s="1"/>
      <c r="HMX1632" s="1"/>
      <c r="HMY1632" s="1"/>
      <c r="HMZ1632" s="1"/>
      <c r="HNA1632" s="1"/>
      <c r="HNB1632" s="1"/>
      <c r="HNC1632" s="1"/>
      <c r="HND1632" s="1"/>
      <c r="HNE1632" s="1"/>
      <c r="HNF1632" s="1"/>
      <c r="HNG1632" s="1"/>
      <c r="HNH1632" s="1"/>
      <c r="HNI1632" s="1"/>
      <c r="HNJ1632" s="1"/>
      <c r="HNK1632" s="1"/>
      <c r="HNL1632" s="1"/>
      <c r="HNM1632" s="1"/>
      <c r="HNN1632" s="1"/>
      <c r="HNO1632" s="1"/>
      <c r="HNP1632" s="1"/>
      <c r="HNQ1632" s="1"/>
      <c r="HNR1632" s="1"/>
      <c r="HNS1632" s="1"/>
      <c r="HNT1632" s="1"/>
      <c r="HNU1632" s="1"/>
      <c r="HNV1632" s="1"/>
      <c r="HNW1632" s="1"/>
      <c r="HNX1632" s="1"/>
      <c r="HNY1632" s="1"/>
      <c r="HNZ1632" s="1"/>
      <c r="HOA1632" s="1"/>
      <c r="HOB1632" s="1"/>
      <c r="HOC1632" s="1"/>
      <c r="HOD1632" s="1"/>
      <c r="HOE1632" s="1"/>
      <c r="HOF1632" s="1"/>
      <c r="HOG1632" s="1"/>
      <c r="HOH1632" s="1"/>
      <c r="HOI1632" s="1"/>
      <c r="HOJ1632" s="1"/>
      <c r="HOK1632" s="1"/>
      <c r="HOL1632" s="1"/>
      <c r="HOM1632" s="1"/>
      <c r="HON1632" s="1"/>
      <c r="HOO1632" s="1"/>
      <c r="HOP1632" s="1"/>
      <c r="HOQ1632" s="1"/>
      <c r="HOR1632" s="1"/>
      <c r="HOS1632" s="1"/>
      <c r="HOT1632" s="1"/>
      <c r="HOU1632" s="1"/>
      <c r="HOV1632" s="1"/>
      <c r="HOW1632" s="1"/>
      <c r="HOX1632" s="1"/>
      <c r="HOY1632" s="1"/>
      <c r="HOZ1632" s="1"/>
      <c r="HPA1632" s="1"/>
      <c r="HPB1632" s="1"/>
      <c r="HPC1632" s="1"/>
      <c r="HPD1632" s="1"/>
      <c r="HPE1632" s="1"/>
      <c r="HPF1632" s="1"/>
      <c r="HPG1632" s="1"/>
      <c r="HPH1632" s="1"/>
      <c r="HPI1632" s="1"/>
      <c r="HPJ1632" s="1"/>
      <c r="HPK1632" s="1"/>
      <c r="HPL1632" s="1"/>
      <c r="HPM1632" s="1"/>
      <c r="HPN1632" s="1"/>
      <c r="HPO1632" s="1"/>
      <c r="HPP1632" s="1"/>
      <c r="HPQ1632" s="1"/>
      <c r="HPR1632" s="1"/>
      <c r="HPS1632" s="1"/>
      <c r="HPT1632" s="1"/>
      <c r="HPU1632" s="1"/>
      <c r="HPV1632" s="1"/>
      <c r="HPW1632" s="1"/>
      <c r="HPX1632" s="1"/>
      <c r="HPY1632" s="1"/>
      <c r="HPZ1632" s="1"/>
      <c r="HQA1632" s="1"/>
      <c r="HQB1632" s="1"/>
      <c r="HQC1632" s="1"/>
      <c r="HQD1632" s="1"/>
      <c r="HQE1632" s="1"/>
      <c r="HQF1632" s="1"/>
      <c r="HQG1632" s="1"/>
      <c r="HQH1632" s="1"/>
      <c r="HQI1632" s="1"/>
      <c r="HQJ1632" s="1"/>
      <c r="HQK1632" s="1"/>
      <c r="HQL1632" s="1"/>
      <c r="HQM1632" s="1"/>
      <c r="HQN1632" s="1"/>
      <c r="HQO1632" s="1"/>
      <c r="HQP1632" s="1"/>
      <c r="HQQ1632" s="1"/>
      <c r="HQR1632" s="1"/>
      <c r="HQS1632" s="1"/>
      <c r="HQT1632" s="1"/>
      <c r="HQU1632" s="1"/>
      <c r="HQV1632" s="1"/>
      <c r="HQW1632" s="1"/>
      <c r="HQX1632" s="1"/>
      <c r="HQY1632" s="1"/>
      <c r="HQZ1632" s="1"/>
      <c r="HRA1632" s="1"/>
      <c r="HRB1632" s="1"/>
      <c r="HRC1632" s="1"/>
      <c r="HRD1632" s="1"/>
      <c r="HRE1632" s="1"/>
      <c r="HRF1632" s="1"/>
      <c r="HRG1632" s="1"/>
      <c r="HRH1632" s="1"/>
      <c r="HRI1632" s="1"/>
      <c r="HRJ1632" s="1"/>
      <c r="HRK1632" s="1"/>
      <c r="HRL1632" s="1"/>
      <c r="HRM1632" s="1"/>
      <c r="HRN1632" s="1"/>
      <c r="HRO1632" s="1"/>
      <c r="HRP1632" s="1"/>
      <c r="HRQ1632" s="1"/>
      <c r="HRR1632" s="1"/>
      <c r="HRS1632" s="1"/>
      <c r="HRT1632" s="1"/>
      <c r="HRU1632" s="1"/>
      <c r="HRV1632" s="1"/>
      <c r="HRW1632" s="1"/>
      <c r="HRX1632" s="1"/>
      <c r="HRY1632" s="1"/>
      <c r="HRZ1632" s="1"/>
      <c r="HSA1632" s="1"/>
      <c r="HSB1632" s="1"/>
      <c r="HSC1632" s="1"/>
      <c r="HSD1632" s="1"/>
      <c r="HSE1632" s="1"/>
      <c r="HSF1632" s="1"/>
      <c r="HSG1632" s="1"/>
      <c r="HSH1632" s="1"/>
      <c r="HSI1632" s="1"/>
      <c r="HSJ1632" s="1"/>
      <c r="HSK1632" s="1"/>
      <c r="HSL1632" s="1"/>
      <c r="HSM1632" s="1"/>
      <c r="HSN1632" s="1"/>
      <c r="HSO1632" s="1"/>
      <c r="HSP1632" s="1"/>
      <c r="HSQ1632" s="1"/>
      <c r="HSR1632" s="1"/>
      <c r="HSS1632" s="1"/>
      <c r="HST1632" s="1"/>
      <c r="HSU1632" s="1"/>
      <c r="HSV1632" s="1"/>
      <c r="HSW1632" s="1"/>
      <c r="HSX1632" s="1"/>
      <c r="HSY1632" s="1"/>
      <c r="HSZ1632" s="1"/>
      <c r="HTA1632" s="1"/>
      <c r="HTB1632" s="1"/>
      <c r="HTC1632" s="1"/>
      <c r="HTD1632" s="1"/>
      <c r="HTE1632" s="1"/>
      <c r="HTF1632" s="1"/>
      <c r="HTG1632" s="1"/>
      <c r="HTH1632" s="1"/>
      <c r="HTI1632" s="1"/>
      <c r="HTJ1632" s="1"/>
      <c r="HTK1632" s="1"/>
      <c r="HTL1632" s="1"/>
      <c r="HTM1632" s="1"/>
      <c r="HTN1632" s="1"/>
      <c r="HTO1632" s="1"/>
      <c r="HTP1632" s="1"/>
      <c r="HTQ1632" s="1"/>
      <c r="HTR1632" s="1"/>
      <c r="HTS1632" s="1"/>
      <c r="HTT1632" s="1"/>
      <c r="HTU1632" s="1"/>
      <c r="HTV1632" s="1"/>
      <c r="HTW1632" s="1"/>
      <c r="HTX1632" s="1"/>
      <c r="HTY1632" s="1"/>
      <c r="HTZ1632" s="1"/>
      <c r="HUA1632" s="1"/>
      <c r="HUB1632" s="1"/>
      <c r="HUC1632" s="1"/>
      <c r="HUD1632" s="1"/>
      <c r="HUE1632" s="1"/>
      <c r="HUF1632" s="1"/>
      <c r="HUG1632" s="1"/>
      <c r="HUH1632" s="1"/>
      <c r="HUI1632" s="1"/>
      <c r="HUJ1632" s="1"/>
      <c r="HUK1632" s="1"/>
      <c r="HUL1632" s="1"/>
      <c r="HUM1632" s="1"/>
      <c r="HUN1632" s="1"/>
      <c r="HUO1632" s="1"/>
      <c r="HUP1632" s="1"/>
      <c r="HUQ1632" s="1"/>
      <c r="HUR1632" s="1"/>
      <c r="HUS1632" s="1"/>
      <c r="HUT1632" s="1"/>
      <c r="HUU1632" s="1"/>
      <c r="HUV1632" s="1"/>
      <c r="HUW1632" s="1"/>
      <c r="HUX1632" s="1"/>
      <c r="HUY1632" s="1"/>
      <c r="HUZ1632" s="1"/>
      <c r="HVA1632" s="1"/>
      <c r="HVB1632" s="1"/>
      <c r="HVC1632" s="1"/>
      <c r="HVD1632" s="1"/>
      <c r="HVE1632" s="1"/>
      <c r="HVF1632" s="1"/>
      <c r="HVG1632" s="1"/>
      <c r="HVH1632" s="1"/>
      <c r="HVI1632" s="1"/>
      <c r="HVJ1632" s="1"/>
      <c r="HVK1632" s="1"/>
      <c r="HVL1632" s="1"/>
      <c r="HVM1632" s="1"/>
      <c r="HVN1632" s="1"/>
      <c r="HVO1632" s="1"/>
      <c r="HVP1632" s="1"/>
      <c r="HVQ1632" s="1"/>
      <c r="HVR1632" s="1"/>
      <c r="HVS1632" s="1"/>
      <c r="HVT1632" s="1"/>
      <c r="HVU1632" s="1"/>
      <c r="HVV1632" s="1"/>
      <c r="HVW1632" s="1"/>
      <c r="HVX1632" s="1"/>
      <c r="HVY1632" s="1"/>
      <c r="HVZ1632" s="1"/>
      <c r="HWA1632" s="1"/>
      <c r="HWB1632" s="1"/>
      <c r="HWC1632" s="1"/>
      <c r="HWD1632" s="1"/>
      <c r="HWE1632" s="1"/>
      <c r="HWF1632" s="1"/>
      <c r="HWG1632" s="1"/>
      <c r="HWH1632" s="1"/>
      <c r="HWI1632" s="1"/>
      <c r="HWJ1632" s="1"/>
      <c r="HWK1632" s="1"/>
      <c r="HWL1632" s="1"/>
      <c r="HWM1632" s="1"/>
      <c r="HWN1632" s="1"/>
      <c r="HWO1632" s="1"/>
      <c r="HWP1632" s="1"/>
      <c r="HWQ1632" s="1"/>
      <c r="HWR1632" s="1"/>
      <c r="HWS1632" s="1"/>
      <c r="HWT1632" s="1"/>
      <c r="HWU1632" s="1"/>
      <c r="HWV1632" s="1"/>
      <c r="HWW1632" s="1"/>
      <c r="HWX1632" s="1"/>
      <c r="HWY1632" s="1"/>
      <c r="HWZ1632" s="1"/>
      <c r="HXA1632" s="1"/>
      <c r="HXB1632" s="1"/>
      <c r="HXC1632" s="1"/>
      <c r="HXD1632" s="1"/>
      <c r="HXE1632" s="1"/>
      <c r="HXF1632" s="1"/>
      <c r="HXG1632" s="1"/>
      <c r="HXH1632" s="1"/>
      <c r="HXI1632" s="1"/>
      <c r="HXJ1632" s="1"/>
      <c r="HXK1632" s="1"/>
      <c r="HXL1632" s="1"/>
      <c r="HXM1632" s="1"/>
      <c r="HXN1632" s="1"/>
      <c r="HXO1632" s="1"/>
      <c r="HXP1632" s="1"/>
      <c r="HXQ1632" s="1"/>
      <c r="HXR1632" s="1"/>
      <c r="HXS1632" s="1"/>
      <c r="HXT1632" s="1"/>
      <c r="HXU1632" s="1"/>
      <c r="HXV1632" s="1"/>
      <c r="HXW1632" s="1"/>
      <c r="HXX1632" s="1"/>
      <c r="HXY1632" s="1"/>
      <c r="HXZ1632" s="1"/>
      <c r="HYA1632" s="1"/>
      <c r="HYB1632" s="1"/>
      <c r="HYC1632" s="1"/>
      <c r="HYD1632" s="1"/>
      <c r="HYE1632" s="1"/>
      <c r="HYF1632" s="1"/>
      <c r="HYG1632" s="1"/>
      <c r="HYH1632" s="1"/>
      <c r="HYI1632" s="1"/>
      <c r="HYJ1632" s="1"/>
      <c r="HYK1632" s="1"/>
      <c r="HYL1632" s="1"/>
      <c r="HYM1632" s="1"/>
      <c r="HYN1632" s="1"/>
      <c r="HYO1632" s="1"/>
      <c r="HYP1632" s="1"/>
      <c r="HYQ1632" s="1"/>
      <c r="HYR1632" s="1"/>
      <c r="HYS1632" s="1"/>
      <c r="HYT1632" s="1"/>
      <c r="HYU1632" s="1"/>
      <c r="HYV1632" s="1"/>
      <c r="HYW1632" s="1"/>
      <c r="HYX1632" s="1"/>
      <c r="HYY1632" s="1"/>
      <c r="HYZ1632" s="1"/>
      <c r="HZA1632" s="1"/>
      <c r="HZB1632" s="1"/>
      <c r="HZC1632" s="1"/>
      <c r="HZD1632" s="1"/>
      <c r="HZE1632" s="1"/>
      <c r="HZF1632" s="1"/>
      <c r="HZG1632" s="1"/>
      <c r="HZH1632" s="1"/>
      <c r="HZI1632" s="1"/>
      <c r="HZJ1632" s="1"/>
      <c r="HZK1632" s="1"/>
      <c r="HZL1632" s="1"/>
      <c r="HZM1632" s="1"/>
      <c r="HZN1632" s="1"/>
      <c r="HZO1632" s="1"/>
      <c r="HZP1632" s="1"/>
      <c r="HZQ1632" s="1"/>
      <c r="HZR1632" s="1"/>
      <c r="HZS1632" s="1"/>
      <c r="HZT1632" s="1"/>
      <c r="HZU1632" s="1"/>
      <c r="HZV1632" s="1"/>
      <c r="HZW1632" s="1"/>
      <c r="HZX1632" s="1"/>
      <c r="HZY1632" s="1"/>
      <c r="HZZ1632" s="1"/>
      <c r="IAA1632" s="1"/>
      <c r="IAB1632" s="1"/>
      <c r="IAC1632" s="1"/>
      <c r="IAD1632" s="1"/>
      <c r="IAE1632" s="1"/>
      <c r="IAF1632" s="1"/>
      <c r="IAG1632" s="1"/>
      <c r="IAH1632" s="1"/>
      <c r="IAI1632" s="1"/>
      <c r="IAJ1632" s="1"/>
      <c r="IAK1632" s="1"/>
      <c r="IAL1632" s="1"/>
      <c r="IAM1632" s="1"/>
      <c r="IAN1632" s="1"/>
      <c r="IAO1632" s="1"/>
      <c r="IAP1632" s="1"/>
      <c r="IAQ1632" s="1"/>
      <c r="IAR1632" s="1"/>
      <c r="IAS1632" s="1"/>
      <c r="IAT1632" s="1"/>
      <c r="IAU1632" s="1"/>
      <c r="IAV1632" s="1"/>
      <c r="IAW1632" s="1"/>
      <c r="IAX1632" s="1"/>
      <c r="IAY1632" s="1"/>
      <c r="IAZ1632" s="1"/>
      <c r="IBA1632" s="1"/>
      <c r="IBB1632" s="1"/>
      <c r="IBC1632" s="1"/>
      <c r="IBD1632" s="1"/>
      <c r="IBE1632" s="1"/>
      <c r="IBF1632" s="1"/>
      <c r="IBG1632" s="1"/>
      <c r="IBH1632" s="1"/>
      <c r="IBI1632" s="1"/>
      <c r="IBJ1632" s="1"/>
      <c r="IBK1632" s="1"/>
      <c r="IBL1632" s="1"/>
      <c r="IBM1632" s="1"/>
      <c r="IBN1632" s="1"/>
      <c r="IBO1632" s="1"/>
      <c r="IBP1632" s="1"/>
      <c r="IBQ1632" s="1"/>
      <c r="IBR1632" s="1"/>
      <c r="IBS1632" s="1"/>
      <c r="IBT1632" s="1"/>
      <c r="IBU1632" s="1"/>
      <c r="IBV1632" s="1"/>
      <c r="IBW1632" s="1"/>
      <c r="IBX1632" s="1"/>
      <c r="IBY1632" s="1"/>
      <c r="IBZ1632" s="1"/>
      <c r="ICA1632" s="1"/>
      <c r="ICB1632" s="1"/>
      <c r="ICC1632" s="1"/>
      <c r="ICD1632" s="1"/>
      <c r="ICE1632" s="1"/>
      <c r="ICF1632" s="1"/>
      <c r="ICG1632" s="1"/>
      <c r="ICH1632" s="1"/>
      <c r="ICI1632" s="1"/>
      <c r="ICJ1632" s="1"/>
      <c r="ICK1632" s="1"/>
      <c r="ICL1632" s="1"/>
      <c r="ICM1632" s="1"/>
      <c r="ICN1632" s="1"/>
      <c r="ICO1632" s="1"/>
      <c r="ICP1632" s="1"/>
      <c r="ICQ1632" s="1"/>
      <c r="ICR1632" s="1"/>
      <c r="ICS1632" s="1"/>
      <c r="ICT1632" s="1"/>
      <c r="ICU1632" s="1"/>
      <c r="ICV1632" s="1"/>
      <c r="ICW1632" s="1"/>
      <c r="ICX1632" s="1"/>
      <c r="ICY1632" s="1"/>
      <c r="ICZ1632" s="1"/>
      <c r="IDA1632" s="1"/>
      <c r="IDB1632" s="1"/>
      <c r="IDC1632" s="1"/>
      <c r="IDD1632" s="1"/>
      <c r="IDE1632" s="1"/>
      <c r="IDF1632" s="1"/>
      <c r="IDG1632" s="1"/>
      <c r="IDH1632" s="1"/>
      <c r="IDI1632" s="1"/>
      <c r="IDJ1632" s="1"/>
      <c r="IDK1632" s="1"/>
      <c r="IDL1632" s="1"/>
      <c r="IDM1632" s="1"/>
      <c r="IDN1632" s="1"/>
      <c r="IDO1632" s="1"/>
      <c r="IDP1632" s="1"/>
      <c r="IDQ1632" s="1"/>
      <c r="IDR1632" s="1"/>
      <c r="IDS1632" s="1"/>
      <c r="IDT1632" s="1"/>
      <c r="IDU1632" s="1"/>
      <c r="IDV1632" s="1"/>
      <c r="IDW1632" s="1"/>
      <c r="IDX1632" s="1"/>
      <c r="IDY1632" s="1"/>
      <c r="IDZ1632" s="1"/>
      <c r="IEA1632" s="1"/>
      <c r="IEB1632" s="1"/>
      <c r="IEC1632" s="1"/>
      <c r="IED1632" s="1"/>
      <c r="IEE1632" s="1"/>
      <c r="IEF1632" s="1"/>
      <c r="IEG1632" s="1"/>
      <c r="IEH1632" s="1"/>
      <c r="IEI1632" s="1"/>
      <c r="IEJ1632" s="1"/>
      <c r="IEK1632" s="1"/>
      <c r="IEL1632" s="1"/>
      <c r="IEM1632" s="1"/>
      <c r="IEN1632" s="1"/>
      <c r="IEO1632" s="1"/>
      <c r="IEP1632" s="1"/>
      <c r="IEQ1632" s="1"/>
      <c r="IER1632" s="1"/>
      <c r="IES1632" s="1"/>
      <c r="IET1632" s="1"/>
      <c r="IEU1632" s="1"/>
      <c r="IEV1632" s="1"/>
      <c r="IEW1632" s="1"/>
      <c r="IEX1632" s="1"/>
      <c r="IEY1632" s="1"/>
      <c r="IEZ1632" s="1"/>
      <c r="IFA1632" s="1"/>
      <c r="IFB1632" s="1"/>
      <c r="IFC1632" s="1"/>
      <c r="IFD1632" s="1"/>
      <c r="IFE1632" s="1"/>
      <c r="IFF1632" s="1"/>
      <c r="IFG1632" s="1"/>
      <c r="IFH1632" s="1"/>
      <c r="IFI1632" s="1"/>
      <c r="IFJ1632" s="1"/>
      <c r="IFK1632" s="1"/>
      <c r="IFL1632" s="1"/>
      <c r="IFM1632" s="1"/>
      <c r="IFN1632" s="1"/>
      <c r="IFO1632" s="1"/>
      <c r="IFP1632" s="1"/>
      <c r="IFQ1632" s="1"/>
      <c r="IFR1632" s="1"/>
      <c r="IFS1632" s="1"/>
      <c r="IFT1632" s="1"/>
      <c r="IFU1632" s="1"/>
      <c r="IFV1632" s="1"/>
      <c r="IFW1632" s="1"/>
      <c r="IFX1632" s="1"/>
      <c r="IFY1632" s="1"/>
      <c r="IFZ1632" s="1"/>
      <c r="IGA1632" s="1"/>
      <c r="IGB1632" s="1"/>
      <c r="IGC1632" s="1"/>
      <c r="IGD1632" s="1"/>
      <c r="IGE1632" s="1"/>
      <c r="IGF1632" s="1"/>
      <c r="IGG1632" s="1"/>
      <c r="IGH1632" s="1"/>
      <c r="IGI1632" s="1"/>
      <c r="IGJ1632" s="1"/>
      <c r="IGK1632" s="1"/>
      <c r="IGL1632" s="1"/>
      <c r="IGM1632" s="1"/>
      <c r="IGN1632" s="1"/>
      <c r="IGO1632" s="1"/>
      <c r="IGP1632" s="1"/>
      <c r="IGQ1632" s="1"/>
      <c r="IGR1632" s="1"/>
      <c r="IGS1632" s="1"/>
      <c r="IGT1632" s="1"/>
      <c r="IGU1632" s="1"/>
      <c r="IGV1632" s="1"/>
      <c r="IGW1632" s="1"/>
      <c r="IGX1632" s="1"/>
      <c r="IGY1632" s="1"/>
      <c r="IGZ1632" s="1"/>
      <c r="IHA1632" s="1"/>
      <c r="IHB1632" s="1"/>
      <c r="IHC1632" s="1"/>
      <c r="IHD1632" s="1"/>
      <c r="IHE1632" s="1"/>
      <c r="IHF1632" s="1"/>
      <c r="IHG1632" s="1"/>
      <c r="IHH1632" s="1"/>
      <c r="IHI1632" s="1"/>
      <c r="IHJ1632" s="1"/>
      <c r="IHK1632" s="1"/>
      <c r="IHL1632" s="1"/>
      <c r="IHM1632" s="1"/>
      <c r="IHN1632" s="1"/>
      <c r="IHO1632" s="1"/>
      <c r="IHP1632" s="1"/>
      <c r="IHQ1632" s="1"/>
      <c r="IHR1632" s="1"/>
      <c r="IHS1632" s="1"/>
      <c r="IHT1632" s="1"/>
      <c r="IHU1632" s="1"/>
      <c r="IHV1632" s="1"/>
      <c r="IHW1632" s="1"/>
      <c r="IHX1632" s="1"/>
      <c r="IHY1632" s="1"/>
      <c r="IHZ1632" s="1"/>
      <c r="IIA1632" s="1"/>
      <c r="IIB1632" s="1"/>
      <c r="IIC1632" s="1"/>
      <c r="IID1632" s="1"/>
      <c r="IIE1632" s="1"/>
      <c r="IIF1632" s="1"/>
      <c r="IIG1632" s="1"/>
      <c r="IIH1632" s="1"/>
      <c r="III1632" s="1"/>
      <c r="IIJ1632" s="1"/>
      <c r="IIK1632" s="1"/>
      <c r="IIL1632" s="1"/>
      <c r="IIM1632" s="1"/>
      <c r="IIN1632" s="1"/>
      <c r="IIO1632" s="1"/>
      <c r="IIP1632" s="1"/>
      <c r="IIQ1632" s="1"/>
      <c r="IIR1632" s="1"/>
      <c r="IIS1632" s="1"/>
      <c r="IIT1632" s="1"/>
      <c r="IIU1632" s="1"/>
      <c r="IIV1632" s="1"/>
      <c r="IIW1632" s="1"/>
      <c r="IIX1632" s="1"/>
      <c r="IIY1632" s="1"/>
      <c r="IIZ1632" s="1"/>
      <c r="IJA1632" s="1"/>
      <c r="IJB1632" s="1"/>
      <c r="IJC1632" s="1"/>
      <c r="IJD1632" s="1"/>
      <c r="IJE1632" s="1"/>
      <c r="IJF1632" s="1"/>
      <c r="IJG1632" s="1"/>
      <c r="IJH1632" s="1"/>
      <c r="IJI1632" s="1"/>
      <c r="IJJ1632" s="1"/>
      <c r="IJK1632" s="1"/>
      <c r="IJL1632" s="1"/>
      <c r="IJM1632" s="1"/>
      <c r="IJN1632" s="1"/>
      <c r="IJO1632" s="1"/>
      <c r="IJP1632" s="1"/>
      <c r="IJQ1632" s="1"/>
      <c r="IJR1632" s="1"/>
      <c r="IJS1632" s="1"/>
      <c r="IJT1632" s="1"/>
      <c r="IJU1632" s="1"/>
      <c r="IJV1632" s="1"/>
      <c r="IJW1632" s="1"/>
      <c r="IJX1632" s="1"/>
      <c r="IJY1632" s="1"/>
      <c r="IJZ1632" s="1"/>
      <c r="IKA1632" s="1"/>
      <c r="IKB1632" s="1"/>
      <c r="IKC1632" s="1"/>
      <c r="IKD1632" s="1"/>
      <c r="IKE1632" s="1"/>
      <c r="IKF1632" s="1"/>
      <c r="IKG1632" s="1"/>
      <c r="IKH1632" s="1"/>
      <c r="IKI1632" s="1"/>
      <c r="IKJ1632" s="1"/>
      <c r="IKK1632" s="1"/>
      <c r="IKL1632" s="1"/>
      <c r="IKM1632" s="1"/>
      <c r="IKN1632" s="1"/>
      <c r="IKO1632" s="1"/>
      <c r="IKP1632" s="1"/>
      <c r="IKQ1632" s="1"/>
      <c r="IKR1632" s="1"/>
      <c r="IKS1632" s="1"/>
      <c r="IKT1632" s="1"/>
      <c r="IKU1632" s="1"/>
      <c r="IKV1632" s="1"/>
      <c r="IKW1632" s="1"/>
      <c r="IKX1632" s="1"/>
      <c r="IKY1632" s="1"/>
      <c r="IKZ1632" s="1"/>
      <c r="ILA1632" s="1"/>
      <c r="ILB1632" s="1"/>
      <c r="ILC1632" s="1"/>
      <c r="ILD1632" s="1"/>
      <c r="ILE1632" s="1"/>
      <c r="ILF1632" s="1"/>
      <c r="ILG1632" s="1"/>
      <c r="ILH1632" s="1"/>
      <c r="ILI1632" s="1"/>
      <c r="ILJ1632" s="1"/>
      <c r="ILK1632" s="1"/>
      <c r="ILL1632" s="1"/>
      <c r="ILM1632" s="1"/>
      <c r="ILN1632" s="1"/>
      <c r="ILO1632" s="1"/>
      <c r="ILP1632" s="1"/>
      <c r="ILQ1632" s="1"/>
      <c r="ILR1632" s="1"/>
      <c r="ILS1632" s="1"/>
      <c r="ILT1632" s="1"/>
      <c r="ILU1632" s="1"/>
      <c r="ILV1632" s="1"/>
      <c r="ILW1632" s="1"/>
      <c r="ILX1632" s="1"/>
      <c r="ILY1632" s="1"/>
      <c r="ILZ1632" s="1"/>
      <c r="IMA1632" s="1"/>
      <c r="IMB1632" s="1"/>
      <c r="IMC1632" s="1"/>
      <c r="IMD1632" s="1"/>
      <c r="IME1632" s="1"/>
      <c r="IMF1632" s="1"/>
      <c r="IMG1632" s="1"/>
      <c r="IMH1632" s="1"/>
      <c r="IMI1632" s="1"/>
      <c r="IMJ1632" s="1"/>
      <c r="IMK1632" s="1"/>
      <c r="IML1632" s="1"/>
      <c r="IMM1632" s="1"/>
      <c r="IMN1632" s="1"/>
      <c r="IMO1632" s="1"/>
      <c r="IMP1632" s="1"/>
      <c r="IMQ1632" s="1"/>
      <c r="IMR1632" s="1"/>
      <c r="IMS1632" s="1"/>
      <c r="IMT1632" s="1"/>
      <c r="IMU1632" s="1"/>
      <c r="IMV1632" s="1"/>
      <c r="IMW1632" s="1"/>
      <c r="IMX1632" s="1"/>
      <c r="IMY1632" s="1"/>
      <c r="IMZ1632" s="1"/>
      <c r="INA1632" s="1"/>
      <c r="INB1632" s="1"/>
      <c r="INC1632" s="1"/>
      <c r="IND1632" s="1"/>
      <c r="INE1632" s="1"/>
      <c r="INF1632" s="1"/>
      <c r="ING1632" s="1"/>
      <c r="INH1632" s="1"/>
      <c r="INI1632" s="1"/>
      <c r="INJ1632" s="1"/>
      <c r="INK1632" s="1"/>
      <c r="INL1632" s="1"/>
      <c r="INM1632" s="1"/>
      <c r="INN1632" s="1"/>
      <c r="INO1632" s="1"/>
      <c r="INP1632" s="1"/>
      <c r="INQ1632" s="1"/>
      <c r="INR1632" s="1"/>
      <c r="INS1632" s="1"/>
      <c r="INT1632" s="1"/>
      <c r="INU1632" s="1"/>
      <c r="INV1632" s="1"/>
      <c r="INW1632" s="1"/>
      <c r="INX1632" s="1"/>
      <c r="INY1632" s="1"/>
      <c r="INZ1632" s="1"/>
      <c r="IOA1632" s="1"/>
      <c r="IOB1632" s="1"/>
      <c r="IOC1632" s="1"/>
      <c r="IOD1632" s="1"/>
      <c r="IOE1632" s="1"/>
      <c r="IOF1632" s="1"/>
      <c r="IOG1632" s="1"/>
      <c r="IOH1632" s="1"/>
      <c r="IOI1632" s="1"/>
      <c r="IOJ1632" s="1"/>
      <c r="IOK1632" s="1"/>
      <c r="IOL1632" s="1"/>
      <c r="IOM1632" s="1"/>
      <c r="ION1632" s="1"/>
      <c r="IOO1632" s="1"/>
      <c r="IOP1632" s="1"/>
      <c r="IOQ1632" s="1"/>
      <c r="IOR1632" s="1"/>
      <c r="IOS1632" s="1"/>
      <c r="IOT1632" s="1"/>
      <c r="IOU1632" s="1"/>
      <c r="IOV1632" s="1"/>
      <c r="IOW1632" s="1"/>
      <c r="IOX1632" s="1"/>
      <c r="IOY1632" s="1"/>
      <c r="IOZ1632" s="1"/>
      <c r="IPA1632" s="1"/>
      <c r="IPB1632" s="1"/>
      <c r="IPC1632" s="1"/>
      <c r="IPD1632" s="1"/>
      <c r="IPE1632" s="1"/>
      <c r="IPF1632" s="1"/>
      <c r="IPG1632" s="1"/>
      <c r="IPH1632" s="1"/>
      <c r="IPI1632" s="1"/>
      <c r="IPJ1632" s="1"/>
      <c r="IPK1632" s="1"/>
      <c r="IPL1632" s="1"/>
      <c r="IPM1632" s="1"/>
      <c r="IPN1632" s="1"/>
      <c r="IPO1632" s="1"/>
      <c r="IPP1632" s="1"/>
      <c r="IPQ1632" s="1"/>
      <c r="IPR1632" s="1"/>
      <c r="IPS1632" s="1"/>
      <c r="IPT1632" s="1"/>
      <c r="IPU1632" s="1"/>
      <c r="IPV1632" s="1"/>
      <c r="IPW1632" s="1"/>
      <c r="IPX1632" s="1"/>
      <c r="IPY1632" s="1"/>
      <c r="IPZ1632" s="1"/>
      <c r="IQA1632" s="1"/>
      <c r="IQB1632" s="1"/>
      <c r="IQC1632" s="1"/>
      <c r="IQD1632" s="1"/>
      <c r="IQE1632" s="1"/>
      <c r="IQF1632" s="1"/>
      <c r="IQG1632" s="1"/>
      <c r="IQH1632" s="1"/>
      <c r="IQI1632" s="1"/>
      <c r="IQJ1632" s="1"/>
      <c r="IQK1632" s="1"/>
      <c r="IQL1632" s="1"/>
      <c r="IQM1632" s="1"/>
      <c r="IQN1632" s="1"/>
      <c r="IQO1632" s="1"/>
      <c r="IQP1632" s="1"/>
      <c r="IQQ1632" s="1"/>
      <c r="IQR1632" s="1"/>
      <c r="IQS1632" s="1"/>
      <c r="IQT1632" s="1"/>
      <c r="IQU1632" s="1"/>
      <c r="IQV1632" s="1"/>
      <c r="IQW1632" s="1"/>
      <c r="IQX1632" s="1"/>
      <c r="IQY1632" s="1"/>
      <c r="IQZ1632" s="1"/>
      <c r="IRA1632" s="1"/>
      <c r="IRB1632" s="1"/>
      <c r="IRC1632" s="1"/>
      <c r="IRD1632" s="1"/>
      <c r="IRE1632" s="1"/>
      <c r="IRF1632" s="1"/>
      <c r="IRG1632" s="1"/>
      <c r="IRH1632" s="1"/>
      <c r="IRI1632" s="1"/>
      <c r="IRJ1632" s="1"/>
      <c r="IRK1632" s="1"/>
      <c r="IRL1632" s="1"/>
      <c r="IRM1632" s="1"/>
      <c r="IRN1632" s="1"/>
      <c r="IRO1632" s="1"/>
      <c r="IRP1632" s="1"/>
      <c r="IRQ1632" s="1"/>
      <c r="IRR1632" s="1"/>
      <c r="IRS1632" s="1"/>
      <c r="IRT1632" s="1"/>
      <c r="IRU1632" s="1"/>
      <c r="IRV1632" s="1"/>
      <c r="IRW1632" s="1"/>
      <c r="IRX1632" s="1"/>
      <c r="IRY1632" s="1"/>
      <c r="IRZ1632" s="1"/>
      <c r="ISA1632" s="1"/>
      <c r="ISB1632" s="1"/>
      <c r="ISC1632" s="1"/>
      <c r="ISD1632" s="1"/>
      <c r="ISE1632" s="1"/>
      <c r="ISF1632" s="1"/>
      <c r="ISG1632" s="1"/>
      <c r="ISH1632" s="1"/>
      <c r="ISI1632" s="1"/>
      <c r="ISJ1632" s="1"/>
      <c r="ISK1632" s="1"/>
      <c r="ISL1632" s="1"/>
      <c r="ISM1632" s="1"/>
      <c r="ISN1632" s="1"/>
      <c r="ISO1632" s="1"/>
      <c r="ISP1632" s="1"/>
      <c r="ISQ1632" s="1"/>
      <c r="ISR1632" s="1"/>
      <c r="ISS1632" s="1"/>
      <c r="IST1632" s="1"/>
      <c r="ISU1632" s="1"/>
      <c r="ISV1632" s="1"/>
      <c r="ISW1632" s="1"/>
      <c r="ISX1632" s="1"/>
      <c r="ISY1632" s="1"/>
      <c r="ISZ1632" s="1"/>
      <c r="ITA1632" s="1"/>
      <c r="ITB1632" s="1"/>
      <c r="ITC1632" s="1"/>
      <c r="ITD1632" s="1"/>
      <c r="ITE1632" s="1"/>
      <c r="ITF1632" s="1"/>
      <c r="ITG1632" s="1"/>
      <c r="ITH1632" s="1"/>
      <c r="ITI1632" s="1"/>
      <c r="ITJ1632" s="1"/>
      <c r="ITK1632" s="1"/>
      <c r="ITL1632" s="1"/>
      <c r="ITM1632" s="1"/>
      <c r="ITN1632" s="1"/>
      <c r="ITO1632" s="1"/>
      <c r="ITP1632" s="1"/>
      <c r="ITQ1632" s="1"/>
      <c r="ITR1632" s="1"/>
      <c r="ITS1632" s="1"/>
      <c r="ITT1632" s="1"/>
      <c r="ITU1632" s="1"/>
      <c r="ITV1632" s="1"/>
      <c r="ITW1632" s="1"/>
      <c r="ITX1632" s="1"/>
      <c r="ITY1632" s="1"/>
      <c r="ITZ1632" s="1"/>
      <c r="IUA1632" s="1"/>
      <c r="IUB1632" s="1"/>
      <c r="IUC1632" s="1"/>
      <c r="IUD1632" s="1"/>
      <c r="IUE1632" s="1"/>
      <c r="IUF1632" s="1"/>
      <c r="IUG1632" s="1"/>
      <c r="IUH1632" s="1"/>
      <c r="IUI1632" s="1"/>
      <c r="IUJ1632" s="1"/>
      <c r="IUK1632" s="1"/>
      <c r="IUL1632" s="1"/>
      <c r="IUM1632" s="1"/>
      <c r="IUN1632" s="1"/>
      <c r="IUO1632" s="1"/>
      <c r="IUP1632" s="1"/>
      <c r="IUQ1632" s="1"/>
      <c r="IUR1632" s="1"/>
      <c r="IUS1632" s="1"/>
      <c r="IUT1632" s="1"/>
      <c r="IUU1632" s="1"/>
      <c r="IUV1632" s="1"/>
      <c r="IUW1632" s="1"/>
      <c r="IUX1632" s="1"/>
      <c r="IUY1632" s="1"/>
      <c r="IUZ1632" s="1"/>
      <c r="IVA1632" s="1"/>
      <c r="IVB1632" s="1"/>
      <c r="IVC1632" s="1"/>
      <c r="IVD1632" s="1"/>
      <c r="IVE1632" s="1"/>
      <c r="IVF1632" s="1"/>
      <c r="IVG1632" s="1"/>
      <c r="IVH1632" s="1"/>
      <c r="IVI1632" s="1"/>
      <c r="IVJ1632" s="1"/>
      <c r="IVK1632" s="1"/>
      <c r="IVL1632" s="1"/>
      <c r="IVM1632" s="1"/>
      <c r="IVN1632" s="1"/>
      <c r="IVO1632" s="1"/>
      <c r="IVP1632" s="1"/>
      <c r="IVQ1632" s="1"/>
      <c r="IVR1632" s="1"/>
      <c r="IVS1632" s="1"/>
      <c r="IVT1632" s="1"/>
      <c r="IVU1632" s="1"/>
      <c r="IVV1632" s="1"/>
      <c r="IVW1632" s="1"/>
      <c r="IVX1632" s="1"/>
      <c r="IVY1632" s="1"/>
      <c r="IVZ1632" s="1"/>
      <c r="IWA1632" s="1"/>
      <c r="IWB1632" s="1"/>
      <c r="IWC1632" s="1"/>
      <c r="IWD1632" s="1"/>
      <c r="IWE1632" s="1"/>
      <c r="IWF1632" s="1"/>
      <c r="IWG1632" s="1"/>
      <c r="IWH1632" s="1"/>
      <c r="IWI1632" s="1"/>
      <c r="IWJ1632" s="1"/>
      <c r="IWK1632" s="1"/>
      <c r="IWL1632" s="1"/>
      <c r="IWM1632" s="1"/>
      <c r="IWN1632" s="1"/>
      <c r="IWO1632" s="1"/>
      <c r="IWP1632" s="1"/>
      <c r="IWQ1632" s="1"/>
      <c r="IWR1632" s="1"/>
      <c r="IWS1632" s="1"/>
      <c r="IWT1632" s="1"/>
      <c r="IWU1632" s="1"/>
      <c r="IWV1632" s="1"/>
      <c r="IWW1632" s="1"/>
      <c r="IWX1632" s="1"/>
      <c r="IWY1632" s="1"/>
      <c r="IWZ1632" s="1"/>
      <c r="IXA1632" s="1"/>
      <c r="IXB1632" s="1"/>
      <c r="IXC1632" s="1"/>
      <c r="IXD1632" s="1"/>
      <c r="IXE1632" s="1"/>
      <c r="IXF1632" s="1"/>
      <c r="IXG1632" s="1"/>
      <c r="IXH1632" s="1"/>
      <c r="IXI1632" s="1"/>
      <c r="IXJ1632" s="1"/>
      <c r="IXK1632" s="1"/>
      <c r="IXL1632" s="1"/>
      <c r="IXM1632" s="1"/>
      <c r="IXN1632" s="1"/>
      <c r="IXO1632" s="1"/>
      <c r="IXP1632" s="1"/>
      <c r="IXQ1632" s="1"/>
      <c r="IXR1632" s="1"/>
      <c r="IXS1632" s="1"/>
      <c r="IXT1632" s="1"/>
      <c r="IXU1632" s="1"/>
      <c r="IXV1632" s="1"/>
      <c r="IXW1632" s="1"/>
      <c r="IXX1632" s="1"/>
      <c r="IXY1632" s="1"/>
      <c r="IXZ1632" s="1"/>
      <c r="IYA1632" s="1"/>
      <c r="IYB1632" s="1"/>
      <c r="IYC1632" s="1"/>
      <c r="IYD1632" s="1"/>
      <c r="IYE1632" s="1"/>
      <c r="IYF1632" s="1"/>
      <c r="IYG1632" s="1"/>
      <c r="IYH1632" s="1"/>
      <c r="IYI1632" s="1"/>
      <c r="IYJ1632" s="1"/>
      <c r="IYK1632" s="1"/>
      <c r="IYL1632" s="1"/>
      <c r="IYM1632" s="1"/>
      <c r="IYN1632" s="1"/>
      <c r="IYO1632" s="1"/>
      <c r="IYP1632" s="1"/>
      <c r="IYQ1632" s="1"/>
      <c r="IYR1632" s="1"/>
      <c r="IYS1632" s="1"/>
      <c r="IYT1632" s="1"/>
      <c r="IYU1632" s="1"/>
      <c r="IYV1632" s="1"/>
      <c r="IYW1632" s="1"/>
      <c r="IYX1632" s="1"/>
      <c r="IYY1632" s="1"/>
      <c r="IYZ1632" s="1"/>
      <c r="IZA1632" s="1"/>
      <c r="IZB1632" s="1"/>
      <c r="IZC1632" s="1"/>
      <c r="IZD1632" s="1"/>
      <c r="IZE1632" s="1"/>
      <c r="IZF1632" s="1"/>
      <c r="IZG1632" s="1"/>
      <c r="IZH1632" s="1"/>
      <c r="IZI1632" s="1"/>
      <c r="IZJ1632" s="1"/>
      <c r="IZK1632" s="1"/>
      <c r="IZL1632" s="1"/>
      <c r="IZM1632" s="1"/>
      <c r="IZN1632" s="1"/>
      <c r="IZO1632" s="1"/>
      <c r="IZP1632" s="1"/>
      <c r="IZQ1632" s="1"/>
      <c r="IZR1632" s="1"/>
      <c r="IZS1632" s="1"/>
      <c r="IZT1632" s="1"/>
      <c r="IZU1632" s="1"/>
      <c r="IZV1632" s="1"/>
      <c r="IZW1632" s="1"/>
      <c r="IZX1632" s="1"/>
      <c r="IZY1632" s="1"/>
      <c r="IZZ1632" s="1"/>
      <c r="JAA1632" s="1"/>
      <c r="JAB1632" s="1"/>
      <c r="JAC1632" s="1"/>
      <c r="JAD1632" s="1"/>
      <c r="JAE1632" s="1"/>
      <c r="JAF1632" s="1"/>
      <c r="JAG1632" s="1"/>
      <c r="JAH1632" s="1"/>
      <c r="JAI1632" s="1"/>
      <c r="JAJ1632" s="1"/>
      <c r="JAK1632" s="1"/>
      <c r="JAL1632" s="1"/>
      <c r="JAM1632" s="1"/>
      <c r="JAN1632" s="1"/>
      <c r="JAO1632" s="1"/>
      <c r="JAP1632" s="1"/>
      <c r="JAQ1632" s="1"/>
      <c r="JAR1632" s="1"/>
      <c r="JAS1632" s="1"/>
      <c r="JAT1632" s="1"/>
      <c r="JAU1632" s="1"/>
      <c r="JAV1632" s="1"/>
      <c r="JAW1632" s="1"/>
      <c r="JAX1632" s="1"/>
      <c r="JAY1632" s="1"/>
      <c r="JAZ1632" s="1"/>
      <c r="JBA1632" s="1"/>
      <c r="JBB1632" s="1"/>
      <c r="JBC1632" s="1"/>
      <c r="JBD1632" s="1"/>
      <c r="JBE1632" s="1"/>
      <c r="JBF1632" s="1"/>
      <c r="JBG1632" s="1"/>
      <c r="JBH1632" s="1"/>
      <c r="JBI1632" s="1"/>
      <c r="JBJ1632" s="1"/>
      <c r="JBK1632" s="1"/>
      <c r="JBL1632" s="1"/>
      <c r="JBM1632" s="1"/>
      <c r="JBN1632" s="1"/>
      <c r="JBO1632" s="1"/>
      <c r="JBP1632" s="1"/>
      <c r="JBQ1632" s="1"/>
      <c r="JBR1632" s="1"/>
      <c r="JBS1632" s="1"/>
      <c r="JBT1632" s="1"/>
      <c r="JBU1632" s="1"/>
      <c r="JBV1632" s="1"/>
      <c r="JBW1632" s="1"/>
      <c r="JBX1632" s="1"/>
      <c r="JBY1632" s="1"/>
      <c r="JBZ1632" s="1"/>
      <c r="JCA1632" s="1"/>
      <c r="JCB1632" s="1"/>
      <c r="JCC1632" s="1"/>
      <c r="JCD1632" s="1"/>
      <c r="JCE1632" s="1"/>
      <c r="JCF1632" s="1"/>
      <c r="JCG1632" s="1"/>
      <c r="JCH1632" s="1"/>
      <c r="JCI1632" s="1"/>
      <c r="JCJ1632" s="1"/>
      <c r="JCK1632" s="1"/>
      <c r="JCL1632" s="1"/>
      <c r="JCM1632" s="1"/>
      <c r="JCN1632" s="1"/>
      <c r="JCO1632" s="1"/>
      <c r="JCP1632" s="1"/>
      <c r="JCQ1632" s="1"/>
      <c r="JCR1632" s="1"/>
      <c r="JCS1632" s="1"/>
      <c r="JCT1632" s="1"/>
      <c r="JCU1632" s="1"/>
      <c r="JCV1632" s="1"/>
      <c r="JCW1632" s="1"/>
      <c r="JCX1632" s="1"/>
      <c r="JCY1632" s="1"/>
      <c r="JCZ1632" s="1"/>
      <c r="JDA1632" s="1"/>
      <c r="JDB1632" s="1"/>
      <c r="JDC1632" s="1"/>
      <c r="JDD1632" s="1"/>
      <c r="JDE1632" s="1"/>
      <c r="JDF1632" s="1"/>
      <c r="JDG1632" s="1"/>
      <c r="JDH1632" s="1"/>
      <c r="JDI1632" s="1"/>
      <c r="JDJ1632" s="1"/>
      <c r="JDK1632" s="1"/>
      <c r="JDL1632" s="1"/>
      <c r="JDM1632" s="1"/>
      <c r="JDN1632" s="1"/>
      <c r="JDO1632" s="1"/>
      <c r="JDP1632" s="1"/>
      <c r="JDQ1632" s="1"/>
      <c r="JDR1632" s="1"/>
      <c r="JDS1632" s="1"/>
      <c r="JDT1632" s="1"/>
      <c r="JDU1632" s="1"/>
      <c r="JDV1632" s="1"/>
      <c r="JDW1632" s="1"/>
      <c r="JDX1632" s="1"/>
      <c r="JDY1632" s="1"/>
      <c r="JDZ1632" s="1"/>
      <c r="JEA1632" s="1"/>
      <c r="JEB1632" s="1"/>
      <c r="JEC1632" s="1"/>
      <c r="JED1632" s="1"/>
      <c r="JEE1632" s="1"/>
      <c r="JEF1632" s="1"/>
      <c r="JEG1632" s="1"/>
      <c r="JEH1632" s="1"/>
      <c r="JEI1632" s="1"/>
      <c r="JEJ1632" s="1"/>
      <c r="JEK1632" s="1"/>
      <c r="JEL1632" s="1"/>
      <c r="JEM1632" s="1"/>
      <c r="JEN1632" s="1"/>
      <c r="JEO1632" s="1"/>
      <c r="JEP1632" s="1"/>
      <c r="JEQ1632" s="1"/>
      <c r="JER1632" s="1"/>
      <c r="JES1632" s="1"/>
      <c r="JET1632" s="1"/>
      <c r="JEU1632" s="1"/>
      <c r="JEV1632" s="1"/>
      <c r="JEW1632" s="1"/>
      <c r="JEX1632" s="1"/>
      <c r="JEY1632" s="1"/>
      <c r="JEZ1632" s="1"/>
      <c r="JFA1632" s="1"/>
      <c r="JFB1632" s="1"/>
      <c r="JFC1632" s="1"/>
      <c r="JFD1632" s="1"/>
      <c r="JFE1632" s="1"/>
      <c r="JFF1632" s="1"/>
      <c r="JFG1632" s="1"/>
      <c r="JFH1632" s="1"/>
      <c r="JFI1632" s="1"/>
      <c r="JFJ1632" s="1"/>
      <c r="JFK1632" s="1"/>
      <c r="JFL1632" s="1"/>
      <c r="JFM1632" s="1"/>
      <c r="JFN1632" s="1"/>
      <c r="JFO1632" s="1"/>
      <c r="JFP1632" s="1"/>
      <c r="JFQ1632" s="1"/>
      <c r="JFR1632" s="1"/>
      <c r="JFS1632" s="1"/>
      <c r="JFT1632" s="1"/>
      <c r="JFU1632" s="1"/>
      <c r="JFV1632" s="1"/>
      <c r="JFW1632" s="1"/>
      <c r="JFX1632" s="1"/>
      <c r="JFY1632" s="1"/>
      <c r="JFZ1632" s="1"/>
      <c r="JGA1632" s="1"/>
      <c r="JGB1632" s="1"/>
      <c r="JGC1632" s="1"/>
      <c r="JGD1632" s="1"/>
      <c r="JGE1632" s="1"/>
      <c r="JGF1632" s="1"/>
      <c r="JGG1632" s="1"/>
      <c r="JGH1632" s="1"/>
      <c r="JGI1632" s="1"/>
      <c r="JGJ1632" s="1"/>
      <c r="JGK1632" s="1"/>
      <c r="JGL1632" s="1"/>
      <c r="JGM1632" s="1"/>
      <c r="JGN1632" s="1"/>
      <c r="JGO1632" s="1"/>
      <c r="JGP1632" s="1"/>
      <c r="JGQ1632" s="1"/>
      <c r="JGR1632" s="1"/>
      <c r="JGS1632" s="1"/>
      <c r="JGT1632" s="1"/>
      <c r="JGU1632" s="1"/>
      <c r="JGV1632" s="1"/>
      <c r="JGW1632" s="1"/>
      <c r="JGX1632" s="1"/>
      <c r="JGY1632" s="1"/>
      <c r="JGZ1632" s="1"/>
      <c r="JHA1632" s="1"/>
      <c r="JHB1632" s="1"/>
      <c r="JHC1632" s="1"/>
      <c r="JHD1632" s="1"/>
      <c r="JHE1632" s="1"/>
      <c r="JHF1632" s="1"/>
      <c r="JHG1632" s="1"/>
      <c r="JHH1632" s="1"/>
      <c r="JHI1632" s="1"/>
      <c r="JHJ1632" s="1"/>
      <c r="JHK1632" s="1"/>
      <c r="JHL1632" s="1"/>
      <c r="JHM1632" s="1"/>
      <c r="JHN1632" s="1"/>
      <c r="JHO1632" s="1"/>
      <c r="JHP1632" s="1"/>
      <c r="JHQ1632" s="1"/>
      <c r="JHR1632" s="1"/>
      <c r="JHS1632" s="1"/>
      <c r="JHT1632" s="1"/>
      <c r="JHU1632" s="1"/>
      <c r="JHV1632" s="1"/>
      <c r="JHW1632" s="1"/>
      <c r="JHX1632" s="1"/>
      <c r="JHY1632" s="1"/>
      <c r="JHZ1632" s="1"/>
      <c r="JIA1632" s="1"/>
      <c r="JIB1632" s="1"/>
      <c r="JIC1632" s="1"/>
      <c r="JID1632" s="1"/>
      <c r="JIE1632" s="1"/>
      <c r="JIF1632" s="1"/>
      <c r="JIG1632" s="1"/>
      <c r="JIH1632" s="1"/>
      <c r="JII1632" s="1"/>
      <c r="JIJ1632" s="1"/>
      <c r="JIK1632" s="1"/>
      <c r="JIL1632" s="1"/>
      <c r="JIM1632" s="1"/>
      <c r="JIN1632" s="1"/>
      <c r="JIO1632" s="1"/>
      <c r="JIP1632" s="1"/>
      <c r="JIQ1632" s="1"/>
      <c r="JIR1632" s="1"/>
      <c r="JIS1632" s="1"/>
      <c r="JIT1632" s="1"/>
      <c r="JIU1632" s="1"/>
      <c r="JIV1632" s="1"/>
      <c r="JIW1632" s="1"/>
      <c r="JIX1632" s="1"/>
      <c r="JIY1632" s="1"/>
      <c r="JIZ1632" s="1"/>
      <c r="JJA1632" s="1"/>
      <c r="JJB1632" s="1"/>
      <c r="JJC1632" s="1"/>
      <c r="JJD1632" s="1"/>
      <c r="JJE1632" s="1"/>
      <c r="JJF1632" s="1"/>
      <c r="JJG1632" s="1"/>
      <c r="JJH1632" s="1"/>
      <c r="JJI1632" s="1"/>
      <c r="JJJ1632" s="1"/>
      <c r="JJK1632" s="1"/>
      <c r="JJL1632" s="1"/>
      <c r="JJM1632" s="1"/>
      <c r="JJN1632" s="1"/>
      <c r="JJO1632" s="1"/>
      <c r="JJP1632" s="1"/>
      <c r="JJQ1632" s="1"/>
      <c r="JJR1632" s="1"/>
      <c r="JJS1632" s="1"/>
      <c r="JJT1632" s="1"/>
      <c r="JJU1632" s="1"/>
      <c r="JJV1632" s="1"/>
      <c r="JJW1632" s="1"/>
      <c r="JJX1632" s="1"/>
      <c r="JJY1632" s="1"/>
      <c r="JJZ1632" s="1"/>
      <c r="JKA1632" s="1"/>
      <c r="JKB1632" s="1"/>
      <c r="JKC1632" s="1"/>
      <c r="JKD1632" s="1"/>
      <c r="JKE1632" s="1"/>
      <c r="JKF1632" s="1"/>
      <c r="JKG1632" s="1"/>
      <c r="JKH1632" s="1"/>
      <c r="JKI1632" s="1"/>
      <c r="JKJ1632" s="1"/>
      <c r="JKK1632" s="1"/>
      <c r="JKL1632" s="1"/>
      <c r="JKM1632" s="1"/>
      <c r="JKN1632" s="1"/>
      <c r="JKO1632" s="1"/>
      <c r="JKP1632" s="1"/>
      <c r="JKQ1632" s="1"/>
      <c r="JKR1632" s="1"/>
      <c r="JKS1632" s="1"/>
      <c r="JKT1632" s="1"/>
      <c r="JKU1632" s="1"/>
      <c r="JKV1632" s="1"/>
      <c r="JKW1632" s="1"/>
      <c r="JKX1632" s="1"/>
      <c r="JKY1632" s="1"/>
      <c r="JKZ1632" s="1"/>
      <c r="JLA1632" s="1"/>
      <c r="JLB1632" s="1"/>
      <c r="JLC1632" s="1"/>
      <c r="JLD1632" s="1"/>
      <c r="JLE1632" s="1"/>
      <c r="JLF1632" s="1"/>
      <c r="JLG1632" s="1"/>
      <c r="JLH1632" s="1"/>
      <c r="JLI1632" s="1"/>
      <c r="JLJ1632" s="1"/>
      <c r="JLK1632" s="1"/>
      <c r="JLL1632" s="1"/>
      <c r="JLM1632" s="1"/>
      <c r="JLN1632" s="1"/>
      <c r="JLO1632" s="1"/>
      <c r="JLP1632" s="1"/>
      <c r="JLQ1632" s="1"/>
      <c r="JLR1632" s="1"/>
      <c r="JLS1632" s="1"/>
      <c r="JLT1632" s="1"/>
      <c r="JLU1632" s="1"/>
      <c r="JLV1632" s="1"/>
      <c r="JLW1632" s="1"/>
      <c r="JLX1632" s="1"/>
      <c r="JLY1632" s="1"/>
      <c r="JLZ1632" s="1"/>
      <c r="JMA1632" s="1"/>
      <c r="JMB1632" s="1"/>
      <c r="JMC1632" s="1"/>
      <c r="JMD1632" s="1"/>
      <c r="JME1632" s="1"/>
      <c r="JMF1632" s="1"/>
      <c r="JMG1632" s="1"/>
      <c r="JMH1632" s="1"/>
      <c r="JMI1632" s="1"/>
      <c r="JMJ1632" s="1"/>
      <c r="JMK1632" s="1"/>
      <c r="JML1632" s="1"/>
      <c r="JMM1632" s="1"/>
      <c r="JMN1632" s="1"/>
      <c r="JMO1632" s="1"/>
      <c r="JMP1632" s="1"/>
      <c r="JMQ1632" s="1"/>
      <c r="JMR1632" s="1"/>
      <c r="JMS1632" s="1"/>
      <c r="JMT1632" s="1"/>
      <c r="JMU1632" s="1"/>
      <c r="JMV1632" s="1"/>
      <c r="JMW1632" s="1"/>
      <c r="JMX1632" s="1"/>
      <c r="JMY1632" s="1"/>
      <c r="JMZ1632" s="1"/>
      <c r="JNA1632" s="1"/>
      <c r="JNB1632" s="1"/>
      <c r="JNC1632" s="1"/>
      <c r="JND1632" s="1"/>
      <c r="JNE1632" s="1"/>
      <c r="JNF1632" s="1"/>
      <c r="JNG1632" s="1"/>
      <c r="JNH1632" s="1"/>
      <c r="JNI1632" s="1"/>
      <c r="JNJ1632" s="1"/>
      <c r="JNK1632" s="1"/>
      <c r="JNL1632" s="1"/>
      <c r="JNM1632" s="1"/>
      <c r="JNN1632" s="1"/>
      <c r="JNO1632" s="1"/>
      <c r="JNP1632" s="1"/>
      <c r="JNQ1632" s="1"/>
      <c r="JNR1632" s="1"/>
      <c r="JNS1632" s="1"/>
      <c r="JNT1632" s="1"/>
      <c r="JNU1632" s="1"/>
      <c r="JNV1632" s="1"/>
      <c r="JNW1632" s="1"/>
      <c r="JNX1632" s="1"/>
      <c r="JNY1632" s="1"/>
      <c r="JNZ1632" s="1"/>
      <c r="JOA1632" s="1"/>
      <c r="JOB1632" s="1"/>
      <c r="JOC1632" s="1"/>
      <c r="JOD1632" s="1"/>
      <c r="JOE1632" s="1"/>
      <c r="JOF1632" s="1"/>
      <c r="JOG1632" s="1"/>
      <c r="JOH1632" s="1"/>
      <c r="JOI1632" s="1"/>
      <c r="JOJ1632" s="1"/>
      <c r="JOK1632" s="1"/>
      <c r="JOL1632" s="1"/>
      <c r="JOM1632" s="1"/>
      <c r="JON1632" s="1"/>
      <c r="JOO1632" s="1"/>
      <c r="JOP1632" s="1"/>
      <c r="JOQ1632" s="1"/>
      <c r="JOR1632" s="1"/>
      <c r="JOS1632" s="1"/>
      <c r="JOT1632" s="1"/>
      <c r="JOU1632" s="1"/>
      <c r="JOV1632" s="1"/>
      <c r="JOW1632" s="1"/>
      <c r="JOX1632" s="1"/>
      <c r="JOY1632" s="1"/>
      <c r="JOZ1632" s="1"/>
      <c r="JPA1632" s="1"/>
      <c r="JPB1632" s="1"/>
      <c r="JPC1632" s="1"/>
      <c r="JPD1632" s="1"/>
      <c r="JPE1632" s="1"/>
      <c r="JPF1632" s="1"/>
      <c r="JPG1632" s="1"/>
      <c r="JPH1632" s="1"/>
      <c r="JPI1632" s="1"/>
      <c r="JPJ1632" s="1"/>
      <c r="JPK1632" s="1"/>
      <c r="JPL1632" s="1"/>
      <c r="JPM1632" s="1"/>
      <c r="JPN1632" s="1"/>
      <c r="JPO1632" s="1"/>
      <c r="JPP1632" s="1"/>
      <c r="JPQ1632" s="1"/>
      <c r="JPR1632" s="1"/>
      <c r="JPS1632" s="1"/>
      <c r="JPT1632" s="1"/>
      <c r="JPU1632" s="1"/>
      <c r="JPV1632" s="1"/>
      <c r="JPW1632" s="1"/>
      <c r="JPX1632" s="1"/>
      <c r="JPY1632" s="1"/>
      <c r="JPZ1632" s="1"/>
      <c r="JQA1632" s="1"/>
      <c r="JQB1632" s="1"/>
      <c r="JQC1632" s="1"/>
      <c r="JQD1632" s="1"/>
      <c r="JQE1632" s="1"/>
      <c r="JQF1632" s="1"/>
      <c r="JQG1632" s="1"/>
      <c r="JQH1632" s="1"/>
      <c r="JQI1632" s="1"/>
      <c r="JQJ1632" s="1"/>
      <c r="JQK1632" s="1"/>
      <c r="JQL1632" s="1"/>
      <c r="JQM1632" s="1"/>
      <c r="JQN1632" s="1"/>
      <c r="JQO1632" s="1"/>
      <c r="JQP1632" s="1"/>
      <c r="JQQ1632" s="1"/>
      <c r="JQR1632" s="1"/>
      <c r="JQS1632" s="1"/>
      <c r="JQT1632" s="1"/>
      <c r="JQU1632" s="1"/>
      <c r="JQV1632" s="1"/>
      <c r="JQW1632" s="1"/>
      <c r="JQX1632" s="1"/>
      <c r="JQY1632" s="1"/>
      <c r="JQZ1632" s="1"/>
      <c r="JRA1632" s="1"/>
      <c r="JRB1632" s="1"/>
      <c r="JRC1632" s="1"/>
      <c r="JRD1632" s="1"/>
      <c r="JRE1632" s="1"/>
      <c r="JRF1632" s="1"/>
      <c r="JRG1632" s="1"/>
      <c r="JRH1632" s="1"/>
      <c r="JRI1632" s="1"/>
      <c r="JRJ1632" s="1"/>
      <c r="JRK1632" s="1"/>
      <c r="JRL1632" s="1"/>
      <c r="JRM1632" s="1"/>
      <c r="JRN1632" s="1"/>
      <c r="JRO1632" s="1"/>
      <c r="JRP1632" s="1"/>
      <c r="JRQ1632" s="1"/>
      <c r="JRR1632" s="1"/>
      <c r="JRS1632" s="1"/>
      <c r="JRT1632" s="1"/>
      <c r="JRU1632" s="1"/>
      <c r="JRV1632" s="1"/>
      <c r="JRW1632" s="1"/>
      <c r="JRX1632" s="1"/>
      <c r="JRY1632" s="1"/>
      <c r="JRZ1632" s="1"/>
      <c r="JSA1632" s="1"/>
      <c r="JSB1632" s="1"/>
      <c r="JSC1632" s="1"/>
      <c r="JSD1632" s="1"/>
      <c r="JSE1632" s="1"/>
      <c r="JSF1632" s="1"/>
      <c r="JSG1632" s="1"/>
      <c r="JSH1632" s="1"/>
      <c r="JSI1632" s="1"/>
      <c r="JSJ1632" s="1"/>
      <c r="JSK1632" s="1"/>
      <c r="JSL1632" s="1"/>
      <c r="JSM1632" s="1"/>
      <c r="JSN1632" s="1"/>
      <c r="JSO1632" s="1"/>
      <c r="JSP1632" s="1"/>
      <c r="JSQ1632" s="1"/>
      <c r="JSR1632" s="1"/>
      <c r="JSS1632" s="1"/>
      <c r="JST1632" s="1"/>
      <c r="JSU1632" s="1"/>
      <c r="JSV1632" s="1"/>
      <c r="JSW1632" s="1"/>
      <c r="JSX1632" s="1"/>
      <c r="JSY1632" s="1"/>
      <c r="JSZ1632" s="1"/>
      <c r="JTA1632" s="1"/>
      <c r="JTB1632" s="1"/>
      <c r="JTC1632" s="1"/>
      <c r="JTD1632" s="1"/>
      <c r="JTE1632" s="1"/>
      <c r="JTF1632" s="1"/>
      <c r="JTG1632" s="1"/>
      <c r="JTH1632" s="1"/>
      <c r="JTI1632" s="1"/>
      <c r="JTJ1632" s="1"/>
      <c r="JTK1632" s="1"/>
      <c r="JTL1632" s="1"/>
      <c r="JTM1632" s="1"/>
      <c r="JTN1632" s="1"/>
      <c r="JTO1632" s="1"/>
      <c r="JTP1632" s="1"/>
      <c r="JTQ1632" s="1"/>
      <c r="JTR1632" s="1"/>
      <c r="JTS1632" s="1"/>
      <c r="JTT1632" s="1"/>
      <c r="JTU1632" s="1"/>
      <c r="JTV1632" s="1"/>
      <c r="JTW1632" s="1"/>
      <c r="JTX1632" s="1"/>
      <c r="JTY1632" s="1"/>
      <c r="JTZ1632" s="1"/>
      <c r="JUA1632" s="1"/>
      <c r="JUB1632" s="1"/>
      <c r="JUC1632" s="1"/>
      <c r="JUD1632" s="1"/>
      <c r="JUE1632" s="1"/>
      <c r="JUF1632" s="1"/>
      <c r="JUG1632" s="1"/>
      <c r="JUH1632" s="1"/>
      <c r="JUI1632" s="1"/>
      <c r="JUJ1632" s="1"/>
      <c r="JUK1632" s="1"/>
      <c r="JUL1632" s="1"/>
      <c r="JUM1632" s="1"/>
      <c r="JUN1632" s="1"/>
      <c r="JUO1632" s="1"/>
      <c r="JUP1632" s="1"/>
      <c r="JUQ1632" s="1"/>
      <c r="JUR1632" s="1"/>
      <c r="JUS1632" s="1"/>
      <c r="JUT1632" s="1"/>
      <c r="JUU1632" s="1"/>
      <c r="JUV1632" s="1"/>
      <c r="JUW1632" s="1"/>
      <c r="JUX1632" s="1"/>
      <c r="JUY1632" s="1"/>
      <c r="JUZ1632" s="1"/>
      <c r="JVA1632" s="1"/>
      <c r="JVB1632" s="1"/>
      <c r="JVC1632" s="1"/>
      <c r="JVD1632" s="1"/>
      <c r="JVE1632" s="1"/>
      <c r="JVF1632" s="1"/>
      <c r="JVG1632" s="1"/>
      <c r="JVH1632" s="1"/>
      <c r="JVI1632" s="1"/>
      <c r="JVJ1632" s="1"/>
      <c r="JVK1632" s="1"/>
      <c r="JVL1632" s="1"/>
      <c r="JVM1632" s="1"/>
      <c r="JVN1632" s="1"/>
      <c r="JVO1632" s="1"/>
      <c r="JVP1632" s="1"/>
      <c r="JVQ1632" s="1"/>
      <c r="JVR1632" s="1"/>
      <c r="JVS1632" s="1"/>
      <c r="JVT1632" s="1"/>
      <c r="JVU1632" s="1"/>
      <c r="JVV1632" s="1"/>
      <c r="JVW1632" s="1"/>
      <c r="JVX1632" s="1"/>
      <c r="JVY1632" s="1"/>
      <c r="JVZ1632" s="1"/>
      <c r="JWA1632" s="1"/>
      <c r="JWB1632" s="1"/>
      <c r="JWC1632" s="1"/>
      <c r="JWD1632" s="1"/>
      <c r="JWE1632" s="1"/>
      <c r="JWF1632" s="1"/>
      <c r="JWG1632" s="1"/>
      <c r="JWH1632" s="1"/>
      <c r="JWI1632" s="1"/>
      <c r="JWJ1632" s="1"/>
      <c r="JWK1632" s="1"/>
      <c r="JWL1632" s="1"/>
      <c r="JWM1632" s="1"/>
      <c r="JWN1632" s="1"/>
      <c r="JWO1632" s="1"/>
      <c r="JWP1632" s="1"/>
      <c r="JWQ1632" s="1"/>
      <c r="JWR1632" s="1"/>
      <c r="JWS1632" s="1"/>
      <c r="JWT1632" s="1"/>
      <c r="JWU1632" s="1"/>
      <c r="JWV1632" s="1"/>
      <c r="JWW1632" s="1"/>
      <c r="JWX1632" s="1"/>
      <c r="JWY1632" s="1"/>
      <c r="JWZ1632" s="1"/>
      <c r="JXA1632" s="1"/>
      <c r="JXB1632" s="1"/>
      <c r="JXC1632" s="1"/>
      <c r="JXD1632" s="1"/>
      <c r="JXE1632" s="1"/>
      <c r="JXF1632" s="1"/>
      <c r="JXG1632" s="1"/>
      <c r="JXH1632" s="1"/>
      <c r="JXI1632" s="1"/>
      <c r="JXJ1632" s="1"/>
      <c r="JXK1632" s="1"/>
      <c r="JXL1632" s="1"/>
      <c r="JXM1632" s="1"/>
      <c r="JXN1632" s="1"/>
      <c r="JXO1632" s="1"/>
      <c r="JXP1632" s="1"/>
      <c r="JXQ1632" s="1"/>
      <c r="JXR1632" s="1"/>
      <c r="JXS1632" s="1"/>
      <c r="JXT1632" s="1"/>
      <c r="JXU1632" s="1"/>
      <c r="JXV1632" s="1"/>
      <c r="JXW1632" s="1"/>
      <c r="JXX1632" s="1"/>
      <c r="JXY1632" s="1"/>
      <c r="JXZ1632" s="1"/>
      <c r="JYA1632" s="1"/>
      <c r="JYB1632" s="1"/>
      <c r="JYC1632" s="1"/>
      <c r="JYD1632" s="1"/>
      <c r="JYE1632" s="1"/>
      <c r="JYF1632" s="1"/>
      <c r="JYG1632" s="1"/>
      <c r="JYH1632" s="1"/>
      <c r="JYI1632" s="1"/>
      <c r="JYJ1632" s="1"/>
      <c r="JYK1632" s="1"/>
      <c r="JYL1632" s="1"/>
      <c r="JYM1632" s="1"/>
      <c r="JYN1632" s="1"/>
      <c r="JYO1632" s="1"/>
      <c r="JYP1632" s="1"/>
      <c r="JYQ1632" s="1"/>
      <c r="JYR1632" s="1"/>
      <c r="JYS1632" s="1"/>
      <c r="JYT1632" s="1"/>
      <c r="JYU1632" s="1"/>
      <c r="JYV1632" s="1"/>
      <c r="JYW1632" s="1"/>
      <c r="JYX1632" s="1"/>
      <c r="JYY1632" s="1"/>
      <c r="JYZ1632" s="1"/>
      <c r="JZA1632" s="1"/>
      <c r="JZB1632" s="1"/>
      <c r="JZC1632" s="1"/>
      <c r="JZD1632" s="1"/>
      <c r="JZE1632" s="1"/>
      <c r="JZF1632" s="1"/>
      <c r="JZG1632" s="1"/>
      <c r="JZH1632" s="1"/>
      <c r="JZI1632" s="1"/>
      <c r="JZJ1632" s="1"/>
      <c r="JZK1632" s="1"/>
      <c r="JZL1632" s="1"/>
      <c r="JZM1632" s="1"/>
      <c r="JZN1632" s="1"/>
      <c r="JZO1632" s="1"/>
      <c r="JZP1632" s="1"/>
      <c r="JZQ1632" s="1"/>
      <c r="JZR1632" s="1"/>
      <c r="JZS1632" s="1"/>
      <c r="JZT1632" s="1"/>
      <c r="JZU1632" s="1"/>
      <c r="JZV1632" s="1"/>
      <c r="JZW1632" s="1"/>
      <c r="JZX1632" s="1"/>
      <c r="JZY1632" s="1"/>
      <c r="JZZ1632" s="1"/>
      <c r="KAA1632" s="1"/>
      <c r="KAB1632" s="1"/>
      <c r="KAC1632" s="1"/>
      <c r="KAD1632" s="1"/>
      <c r="KAE1632" s="1"/>
      <c r="KAF1632" s="1"/>
      <c r="KAG1632" s="1"/>
      <c r="KAH1632" s="1"/>
      <c r="KAI1632" s="1"/>
      <c r="KAJ1632" s="1"/>
      <c r="KAK1632" s="1"/>
      <c r="KAL1632" s="1"/>
      <c r="KAM1632" s="1"/>
      <c r="KAN1632" s="1"/>
      <c r="KAO1632" s="1"/>
      <c r="KAP1632" s="1"/>
      <c r="KAQ1632" s="1"/>
      <c r="KAR1632" s="1"/>
      <c r="KAS1632" s="1"/>
      <c r="KAT1632" s="1"/>
      <c r="KAU1632" s="1"/>
      <c r="KAV1632" s="1"/>
      <c r="KAW1632" s="1"/>
      <c r="KAX1632" s="1"/>
      <c r="KAY1632" s="1"/>
      <c r="KAZ1632" s="1"/>
      <c r="KBA1632" s="1"/>
      <c r="KBB1632" s="1"/>
      <c r="KBC1632" s="1"/>
      <c r="KBD1632" s="1"/>
      <c r="KBE1632" s="1"/>
      <c r="KBF1632" s="1"/>
      <c r="KBG1632" s="1"/>
      <c r="KBH1632" s="1"/>
      <c r="KBI1632" s="1"/>
      <c r="KBJ1632" s="1"/>
      <c r="KBK1632" s="1"/>
      <c r="KBL1632" s="1"/>
      <c r="KBM1632" s="1"/>
      <c r="KBN1632" s="1"/>
      <c r="KBO1632" s="1"/>
      <c r="KBP1632" s="1"/>
      <c r="KBQ1632" s="1"/>
      <c r="KBR1632" s="1"/>
      <c r="KBS1632" s="1"/>
      <c r="KBT1632" s="1"/>
      <c r="KBU1632" s="1"/>
      <c r="KBV1632" s="1"/>
      <c r="KBW1632" s="1"/>
      <c r="KBX1632" s="1"/>
      <c r="KBY1632" s="1"/>
      <c r="KBZ1632" s="1"/>
      <c r="KCA1632" s="1"/>
      <c r="KCB1632" s="1"/>
      <c r="KCC1632" s="1"/>
      <c r="KCD1632" s="1"/>
      <c r="KCE1632" s="1"/>
      <c r="KCF1632" s="1"/>
      <c r="KCG1632" s="1"/>
      <c r="KCH1632" s="1"/>
      <c r="KCI1632" s="1"/>
      <c r="KCJ1632" s="1"/>
      <c r="KCK1632" s="1"/>
      <c r="KCL1632" s="1"/>
      <c r="KCM1632" s="1"/>
      <c r="KCN1632" s="1"/>
      <c r="KCO1632" s="1"/>
      <c r="KCP1632" s="1"/>
      <c r="KCQ1632" s="1"/>
      <c r="KCR1632" s="1"/>
      <c r="KCS1632" s="1"/>
      <c r="KCT1632" s="1"/>
      <c r="KCU1632" s="1"/>
      <c r="KCV1632" s="1"/>
      <c r="KCW1632" s="1"/>
      <c r="KCX1632" s="1"/>
      <c r="KCY1632" s="1"/>
      <c r="KCZ1632" s="1"/>
      <c r="KDA1632" s="1"/>
      <c r="KDB1632" s="1"/>
      <c r="KDC1632" s="1"/>
      <c r="KDD1632" s="1"/>
      <c r="KDE1632" s="1"/>
      <c r="KDF1632" s="1"/>
      <c r="KDG1632" s="1"/>
      <c r="KDH1632" s="1"/>
      <c r="KDI1632" s="1"/>
      <c r="KDJ1632" s="1"/>
      <c r="KDK1632" s="1"/>
      <c r="KDL1632" s="1"/>
      <c r="KDM1632" s="1"/>
      <c r="KDN1632" s="1"/>
      <c r="KDO1632" s="1"/>
      <c r="KDP1632" s="1"/>
      <c r="KDQ1632" s="1"/>
      <c r="KDR1632" s="1"/>
      <c r="KDS1632" s="1"/>
      <c r="KDT1632" s="1"/>
      <c r="KDU1632" s="1"/>
      <c r="KDV1632" s="1"/>
      <c r="KDW1632" s="1"/>
      <c r="KDX1632" s="1"/>
      <c r="KDY1632" s="1"/>
      <c r="KDZ1632" s="1"/>
      <c r="KEA1632" s="1"/>
      <c r="KEB1632" s="1"/>
      <c r="KEC1632" s="1"/>
      <c r="KED1632" s="1"/>
      <c r="KEE1632" s="1"/>
      <c r="KEF1632" s="1"/>
      <c r="KEG1632" s="1"/>
      <c r="KEH1632" s="1"/>
      <c r="KEI1632" s="1"/>
      <c r="KEJ1632" s="1"/>
      <c r="KEK1632" s="1"/>
      <c r="KEL1632" s="1"/>
      <c r="KEM1632" s="1"/>
      <c r="KEN1632" s="1"/>
      <c r="KEO1632" s="1"/>
      <c r="KEP1632" s="1"/>
      <c r="KEQ1632" s="1"/>
      <c r="KER1632" s="1"/>
      <c r="KES1632" s="1"/>
      <c r="KET1632" s="1"/>
      <c r="KEU1632" s="1"/>
      <c r="KEV1632" s="1"/>
      <c r="KEW1632" s="1"/>
      <c r="KEX1632" s="1"/>
      <c r="KEY1632" s="1"/>
      <c r="KEZ1632" s="1"/>
      <c r="KFA1632" s="1"/>
      <c r="KFB1632" s="1"/>
      <c r="KFC1632" s="1"/>
      <c r="KFD1632" s="1"/>
      <c r="KFE1632" s="1"/>
      <c r="KFF1632" s="1"/>
      <c r="KFG1632" s="1"/>
      <c r="KFH1632" s="1"/>
      <c r="KFI1632" s="1"/>
      <c r="KFJ1632" s="1"/>
      <c r="KFK1632" s="1"/>
      <c r="KFL1632" s="1"/>
      <c r="KFM1632" s="1"/>
      <c r="KFN1632" s="1"/>
      <c r="KFO1632" s="1"/>
      <c r="KFP1632" s="1"/>
      <c r="KFQ1632" s="1"/>
      <c r="KFR1632" s="1"/>
      <c r="KFS1632" s="1"/>
      <c r="KFT1632" s="1"/>
      <c r="KFU1632" s="1"/>
      <c r="KFV1632" s="1"/>
      <c r="KFW1632" s="1"/>
      <c r="KFX1632" s="1"/>
      <c r="KFY1632" s="1"/>
      <c r="KFZ1632" s="1"/>
      <c r="KGA1632" s="1"/>
      <c r="KGB1632" s="1"/>
      <c r="KGC1632" s="1"/>
      <c r="KGD1632" s="1"/>
      <c r="KGE1632" s="1"/>
      <c r="KGF1632" s="1"/>
      <c r="KGG1632" s="1"/>
      <c r="KGH1632" s="1"/>
      <c r="KGI1632" s="1"/>
      <c r="KGJ1632" s="1"/>
      <c r="KGK1632" s="1"/>
      <c r="KGL1632" s="1"/>
      <c r="KGM1632" s="1"/>
      <c r="KGN1632" s="1"/>
      <c r="KGO1632" s="1"/>
      <c r="KGP1632" s="1"/>
      <c r="KGQ1632" s="1"/>
      <c r="KGR1632" s="1"/>
      <c r="KGS1632" s="1"/>
      <c r="KGT1632" s="1"/>
      <c r="KGU1632" s="1"/>
      <c r="KGV1632" s="1"/>
      <c r="KGW1632" s="1"/>
      <c r="KGX1632" s="1"/>
      <c r="KGY1632" s="1"/>
      <c r="KGZ1632" s="1"/>
      <c r="KHA1632" s="1"/>
      <c r="KHB1632" s="1"/>
      <c r="KHC1632" s="1"/>
      <c r="KHD1632" s="1"/>
      <c r="KHE1632" s="1"/>
      <c r="KHF1632" s="1"/>
      <c r="KHG1632" s="1"/>
      <c r="KHH1632" s="1"/>
      <c r="KHI1632" s="1"/>
      <c r="KHJ1632" s="1"/>
      <c r="KHK1632" s="1"/>
      <c r="KHL1632" s="1"/>
      <c r="KHM1632" s="1"/>
      <c r="KHN1632" s="1"/>
      <c r="KHO1632" s="1"/>
      <c r="KHP1632" s="1"/>
      <c r="KHQ1632" s="1"/>
      <c r="KHR1632" s="1"/>
      <c r="KHS1632" s="1"/>
      <c r="KHT1632" s="1"/>
      <c r="KHU1632" s="1"/>
      <c r="KHV1632" s="1"/>
      <c r="KHW1632" s="1"/>
      <c r="KHX1632" s="1"/>
      <c r="KHY1632" s="1"/>
      <c r="KHZ1632" s="1"/>
      <c r="KIA1632" s="1"/>
      <c r="KIB1632" s="1"/>
      <c r="KIC1632" s="1"/>
      <c r="KID1632" s="1"/>
      <c r="KIE1632" s="1"/>
      <c r="KIF1632" s="1"/>
      <c r="KIG1632" s="1"/>
      <c r="KIH1632" s="1"/>
      <c r="KII1632" s="1"/>
      <c r="KIJ1632" s="1"/>
      <c r="KIK1632" s="1"/>
      <c r="KIL1632" s="1"/>
      <c r="KIM1632" s="1"/>
      <c r="KIN1632" s="1"/>
      <c r="KIO1632" s="1"/>
      <c r="KIP1632" s="1"/>
      <c r="KIQ1632" s="1"/>
      <c r="KIR1632" s="1"/>
      <c r="KIS1632" s="1"/>
      <c r="KIT1632" s="1"/>
      <c r="KIU1632" s="1"/>
      <c r="KIV1632" s="1"/>
      <c r="KIW1632" s="1"/>
      <c r="KIX1632" s="1"/>
      <c r="KIY1632" s="1"/>
      <c r="KIZ1632" s="1"/>
      <c r="KJA1632" s="1"/>
      <c r="KJB1632" s="1"/>
      <c r="KJC1632" s="1"/>
      <c r="KJD1632" s="1"/>
      <c r="KJE1632" s="1"/>
      <c r="KJF1632" s="1"/>
      <c r="KJG1632" s="1"/>
      <c r="KJH1632" s="1"/>
      <c r="KJI1632" s="1"/>
      <c r="KJJ1632" s="1"/>
      <c r="KJK1632" s="1"/>
      <c r="KJL1632" s="1"/>
      <c r="KJM1632" s="1"/>
      <c r="KJN1632" s="1"/>
      <c r="KJO1632" s="1"/>
      <c r="KJP1632" s="1"/>
      <c r="KJQ1632" s="1"/>
      <c r="KJR1632" s="1"/>
      <c r="KJS1632" s="1"/>
      <c r="KJT1632" s="1"/>
      <c r="KJU1632" s="1"/>
      <c r="KJV1632" s="1"/>
      <c r="KJW1632" s="1"/>
      <c r="KJX1632" s="1"/>
      <c r="KJY1632" s="1"/>
      <c r="KJZ1632" s="1"/>
      <c r="KKA1632" s="1"/>
      <c r="KKB1632" s="1"/>
      <c r="KKC1632" s="1"/>
      <c r="KKD1632" s="1"/>
      <c r="KKE1632" s="1"/>
      <c r="KKF1632" s="1"/>
      <c r="KKG1632" s="1"/>
      <c r="KKH1632" s="1"/>
      <c r="KKI1632" s="1"/>
      <c r="KKJ1632" s="1"/>
      <c r="KKK1632" s="1"/>
      <c r="KKL1632" s="1"/>
      <c r="KKM1632" s="1"/>
      <c r="KKN1632" s="1"/>
      <c r="KKO1632" s="1"/>
      <c r="KKP1632" s="1"/>
      <c r="KKQ1632" s="1"/>
      <c r="KKR1632" s="1"/>
      <c r="KKS1632" s="1"/>
      <c r="KKT1632" s="1"/>
      <c r="KKU1632" s="1"/>
      <c r="KKV1632" s="1"/>
      <c r="KKW1632" s="1"/>
      <c r="KKX1632" s="1"/>
      <c r="KKY1632" s="1"/>
      <c r="KKZ1632" s="1"/>
      <c r="KLA1632" s="1"/>
      <c r="KLB1632" s="1"/>
      <c r="KLC1632" s="1"/>
      <c r="KLD1632" s="1"/>
      <c r="KLE1632" s="1"/>
      <c r="KLF1632" s="1"/>
      <c r="KLG1632" s="1"/>
      <c r="KLH1632" s="1"/>
      <c r="KLI1632" s="1"/>
      <c r="KLJ1632" s="1"/>
      <c r="KLK1632" s="1"/>
      <c r="KLL1632" s="1"/>
      <c r="KLM1632" s="1"/>
      <c r="KLN1632" s="1"/>
      <c r="KLO1632" s="1"/>
      <c r="KLP1632" s="1"/>
      <c r="KLQ1632" s="1"/>
      <c r="KLR1632" s="1"/>
      <c r="KLS1632" s="1"/>
      <c r="KLT1632" s="1"/>
      <c r="KLU1632" s="1"/>
      <c r="KLV1632" s="1"/>
      <c r="KLW1632" s="1"/>
      <c r="KLX1632" s="1"/>
      <c r="KLY1632" s="1"/>
      <c r="KLZ1632" s="1"/>
      <c r="KMA1632" s="1"/>
      <c r="KMB1632" s="1"/>
      <c r="KMC1632" s="1"/>
      <c r="KMD1632" s="1"/>
      <c r="KME1632" s="1"/>
      <c r="KMF1632" s="1"/>
      <c r="KMG1632" s="1"/>
      <c r="KMH1632" s="1"/>
      <c r="KMI1632" s="1"/>
      <c r="KMJ1632" s="1"/>
      <c r="KMK1632" s="1"/>
      <c r="KML1632" s="1"/>
      <c r="KMM1632" s="1"/>
      <c r="KMN1632" s="1"/>
      <c r="KMO1632" s="1"/>
      <c r="KMP1632" s="1"/>
      <c r="KMQ1632" s="1"/>
      <c r="KMR1632" s="1"/>
      <c r="KMS1632" s="1"/>
      <c r="KMT1632" s="1"/>
      <c r="KMU1632" s="1"/>
      <c r="KMV1632" s="1"/>
      <c r="KMW1632" s="1"/>
      <c r="KMX1632" s="1"/>
      <c r="KMY1632" s="1"/>
      <c r="KMZ1632" s="1"/>
      <c r="KNA1632" s="1"/>
      <c r="KNB1632" s="1"/>
      <c r="KNC1632" s="1"/>
      <c r="KND1632" s="1"/>
      <c r="KNE1632" s="1"/>
      <c r="KNF1632" s="1"/>
      <c r="KNG1632" s="1"/>
      <c r="KNH1632" s="1"/>
      <c r="KNI1632" s="1"/>
      <c r="KNJ1632" s="1"/>
      <c r="KNK1632" s="1"/>
      <c r="KNL1632" s="1"/>
      <c r="KNM1632" s="1"/>
      <c r="KNN1632" s="1"/>
      <c r="KNO1632" s="1"/>
      <c r="KNP1632" s="1"/>
      <c r="KNQ1632" s="1"/>
      <c r="KNR1632" s="1"/>
      <c r="KNS1632" s="1"/>
      <c r="KNT1632" s="1"/>
      <c r="KNU1632" s="1"/>
      <c r="KNV1632" s="1"/>
      <c r="KNW1632" s="1"/>
      <c r="KNX1632" s="1"/>
      <c r="KNY1632" s="1"/>
      <c r="KNZ1632" s="1"/>
      <c r="KOA1632" s="1"/>
      <c r="KOB1632" s="1"/>
      <c r="KOC1632" s="1"/>
      <c r="KOD1632" s="1"/>
      <c r="KOE1632" s="1"/>
      <c r="KOF1632" s="1"/>
      <c r="KOG1632" s="1"/>
      <c r="KOH1632" s="1"/>
      <c r="KOI1632" s="1"/>
      <c r="KOJ1632" s="1"/>
      <c r="KOK1632" s="1"/>
      <c r="KOL1632" s="1"/>
      <c r="KOM1632" s="1"/>
      <c r="KON1632" s="1"/>
      <c r="KOO1632" s="1"/>
      <c r="KOP1632" s="1"/>
      <c r="KOQ1632" s="1"/>
      <c r="KOR1632" s="1"/>
      <c r="KOS1632" s="1"/>
      <c r="KOT1632" s="1"/>
      <c r="KOU1632" s="1"/>
      <c r="KOV1632" s="1"/>
      <c r="KOW1632" s="1"/>
      <c r="KOX1632" s="1"/>
      <c r="KOY1632" s="1"/>
      <c r="KOZ1632" s="1"/>
      <c r="KPA1632" s="1"/>
      <c r="KPB1632" s="1"/>
      <c r="KPC1632" s="1"/>
      <c r="KPD1632" s="1"/>
      <c r="KPE1632" s="1"/>
      <c r="KPF1632" s="1"/>
      <c r="KPG1632" s="1"/>
      <c r="KPH1632" s="1"/>
      <c r="KPI1632" s="1"/>
      <c r="KPJ1632" s="1"/>
      <c r="KPK1632" s="1"/>
      <c r="KPL1632" s="1"/>
      <c r="KPM1632" s="1"/>
      <c r="KPN1632" s="1"/>
      <c r="KPO1632" s="1"/>
      <c r="KPP1632" s="1"/>
      <c r="KPQ1632" s="1"/>
      <c r="KPR1632" s="1"/>
      <c r="KPS1632" s="1"/>
      <c r="KPT1632" s="1"/>
      <c r="KPU1632" s="1"/>
      <c r="KPV1632" s="1"/>
      <c r="KPW1632" s="1"/>
      <c r="KPX1632" s="1"/>
      <c r="KPY1632" s="1"/>
      <c r="KPZ1632" s="1"/>
      <c r="KQA1632" s="1"/>
      <c r="KQB1632" s="1"/>
      <c r="KQC1632" s="1"/>
      <c r="KQD1632" s="1"/>
      <c r="KQE1632" s="1"/>
      <c r="KQF1632" s="1"/>
      <c r="KQG1632" s="1"/>
      <c r="KQH1632" s="1"/>
      <c r="KQI1632" s="1"/>
      <c r="KQJ1632" s="1"/>
      <c r="KQK1632" s="1"/>
      <c r="KQL1632" s="1"/>
      <c r="KQM1632" s="1"/>
      <c r="KQN1632" s="1"/>
      <c r="KQO1632" s="1"/>
      <c r="KQP1632" s="1"/>
      <c r="KQQ1632" s="1"/>
      <c r="KQR1632" s="1"/>
      <c r="KQS1632" s="1"/>
      <c r="KQT1632" s="1"/>
      <c r="KQU1632" s="1"/>
      <c r="KQV1632" s="1"/>
      <c r="KQW1632" s="1"/>
      <c r="KQX1632" s="1"/>
      <c r="KQY1632" s="1"/>
      <c r="KQZ1632" s="1"/>
      <c r="KRA1632" s="1"/>
      <c r="KRB1632" s="1"/>
      <c r="KRC1632" s="1"/>
      <c r="KRD1632" s="1"/>
      <c r="KRE1632" s="1"/>
      <c r="KRF1632" s="1"/>
      <c r="KRG1632" s="1"/>
      <c r="KRH1632" s="1"/>
      <c r="KRI1632" s="1"/>
      <c r="KRJ1632" s="1"/>
      <c r="KRK1632" s="1"/>
      <c r="KRL1632" s="1"/>
      <c r="KRM1632" s="1"/>
      <c r="KRN1632" s="1"/>
      <c r="KRO1632" s="1"/>
      <c r="KRP1632" s="1"/>
      <c r="KRQ1632" s="1"/>
      <c r="KRR1632" s="1"/>
      <c r="KRS1632" s="1"/>
      <c r="KRT1632" s="1"/>
      <c r="KRU1632" s="1"/>
      <c r="KRV1632" s="1"/>
      <c r="KRW1632" s="1"/>
      <c r="KRX1632" s="1"/>
      <c r="KRY1632" s="1"/>
      <c r="KRZ1632" s="1"/>
      <c r="KSA1632" s="1"/>
      <c r="KSB1632" s="1"/>
      <c r="KSC1632" s="1"/>
      <c r="KSD1632" s="1"/>
      <c r="KSE1632" s="1"/>
      <c r="KSF1632" s="1"/>
      <c r="KSG1632" s="1"/>
      <c r="KSH1632" s="1"/>
      <c r="KSI1632" s="1"/>
      <c r="KSJ1632" s="1"/>
      <c r="KSK1632" s="1"/>
      <c r="KSL1632" s="1"/>
      <c r="KSM1632" s="1"/>
      <c r="KSN1632" s="1"/>
      <c r="KSO1632" s="1"/>
      <c r="KSP1632" s="1"/>
      <c r="KSQ1632" s="1"/>
      <c r="KSR1632" s="1"/>
      <c r="KSS1632" s="1"/>
      <c r="KST1632" s="1"/>
      <c r="KSU1632" s="1"/>
      <c r="KSV1632" s="1"/>
      <c r="KSW1632" s="1"/>
      <c r="KSX1632" s="1"/>
      <c r="KSY1632" s="1"/>
      <c r="KSZ1632" s="1"/>
      <c r="KTA1632" s="1"/>
      <c r="KTB1632" s="1"/>
      <c r="KTC1632" s="1"/>
      <c r="KTD1632" s="1"/>
      <c r="KTE1632" s="1"/>
      <c r="KTF1632" s="1"/>
      <c r="KTG1632" s="1"/>
      <c r="KTH1632" s="1"/>
      <c r="KTI1632" s="1"/>
      <c r="KTJ1632" s="1"/>
      <c r="KTK1632" s="1"/>
      <c r="KTL1632" s="1"/>
      <c r="KTM1632" s="1"/>
      <c r="KTN1632" s="1"/>
      <c r="KTO1632" s="1"/>
      <c r="KTP1632" s="1"/>
      <c r="KTQ1632" s="1"/>
      <c r="KTR1632" s="1"/>
      <c r="KTS1632" s="1"/>
      <c r="KTT1632" s="1"/>
      <c r="KTU1632" s="1"/>
      <c r="KTV1632" s="1"/>
      <c r="KTW1632" s="1"/>
      <c r="KTX1632" s="1"/>
      <c r="KTY1632" s="1"/>
      <c r="KTZ1632" s="1"/>
      <c r="KUA1632" s="1"/>
      <c r="KUB1632" s="1"/>
      <c r="KUC1632" s="1"/>
      <c r="KUD1632" s="1"/>
      <c r="KUE1632" s="1"/>
      <c r="KUF1632" s="1"/>
      <c r="KUG1632" s="1"/>
      <c r="KUH1632" s="1"/>
      <c r="KUI1632" s="1"/>
      <c r="KUJ1632" s="1"/>
      <c r="KUK1632" s="1"/>
      <c r="KUL1632" s="1"/>
      <c r="KUM1632" s="1"/>
      <c r="KUN1632" s="1"/>
      <c r="KUO1632" s="1"/>
      <c r="KUP1632" s="1"/>
      <c r="KUQ1632" s="1"/>
      <c r="KUR1632" s="1"/>
      <c r="KUS1632" s="1"/>
      <c r="KUT1632" s="1"/>
      <c r="KUU1632" s="1"/>
      <c r="KUV1632" s="1"/>
      <c r="KUW1632" s="1"/>
      <c r="KUX1632" s="1"/>
      <c r="KUY1632" s="1"/>
      <c r="KUZ1632" s="1"/>
      <c r="KVA1632" s="1"/>
      <c r="KVB1632" s="1"/>
      <c r="KVC1632" s="1"/>
      <c r="KVD1632" s="1"/>
      <c r="KVE1632" s="1"/>
      <c r="KVF1632" s="1"/>
      <c r="KVG1632" s="1"/>
      <c r="KVH1632" s="1"/>
      <c r="KVI1632" s="1"/>
      <c r="KVJ1632" s="1"/>
      <c r="KVK1632" s="1"/>
      <c r="KVL1632" s="1"/>
      <c r="KVM1632" s="1"/>
      <c r="KVN1632" s="1"/>
      <c r="KVO1632" s="1"/>
      <c r="KVP1632" s="1"/>
      <c r="KVQ1632" s="1"/>
      <c r="KVR1632" s="1"/>
      <c r="KVS1632" s="1"/>
      <c r="KVT1632" s="1"/>
      <c r="KVU1632" s="1"/>
      <c r="KVV1632" s="1"/>
      <c r="KVW1632" s="1"/>
      <c r="KVX1632" s="1"/>
      <c r="KVY1632" s="1"/>
      <c r="KVZ1632" s="1"/>
      <c r="KWA1632" s="1"/>
      <c r="KWB1632" s="1"/>
      <c r="KWC1632" s="1"/>
      <c r="KWD1632" s="1"/>
      <c r="KWE1632" s="1"/>
      <c r="KWF1632" s="1"/>
      <c r="KWG1632" s="1"/>
      <c r="KWH1632" s="1"/>
      <c r="KWI1632" s="1"/>
      <c r="KWJ1632" s="1"/>
      <c r="KWK1632" s="1"/>
      <c r="KWL1632" s="1"/>
      <c r="KWM1632" s="1"/>
      <c r="KWN1632" s="1"/>
      <c r="KWO1632" s="1"/>
      <c r="KWP1632" s="1"/>
      <c r="KWQ1632" s="1"/>
      <c r="KWR1632" s="1"/>
      <c r="KWS1632" s="1"/>
      <c r="KWT1632" s="1"/>
      <c r="KWU1632" s="1"/>
      <c r="KWV1632" s="1"/>
      <c r="KWW1632" s="1"/>
      <c r="KWX1632" s="1"/>
      <c r="KWY1632" s="1"/>
      <c r="KWZ1632" s="1"/>
      <c r="KXA1632" s="1"/>
      <c r="KXB1632" s="1"/>
      <c r="KXC1632" s="1"/>
      <c r="KXD1632" s="1"/>
      <c r="KXE1632" s="1"/>
      <c r="KXF1632" s="1"/>
      <c r="KXG1632" s="1"/>
      <c r="KXH1632" s="1"/>
      <c r="KXI1632" s="1"/>
      <c r="KXJ1632" s="1"/>
      <c r="KXK1632" s="1"/>
      <c r="KXL1632" s="1"/>
      <c r="KXM1632" s="1"/>
      <c r="KXN1632" s="1"/>
      <c r="KXO1632" s="1"/>
      <c r="KXP1632" s="1"/>
      <c r="KXQ1632" s="1"/>
      <c r="KXR1632" s="1"/>
      <c r="KXS1632" s="1"/>
      <c r="KXT1632" s="1"/>
      <c r="KXU1632" s="1"/>
      <c r="KXV1632" s="1"/>
      <c r="KXW1632" s="1"/>
      <c r="KXX1632" s="1"/>
      <c r="KXY1632" s="1"/>
      <c r="KXZ1632" s="1"/>
      <c r="KYA1632" s="1"/>
      <c r="KYB1632" s="1"/>
      <c r="KYC1632" s="1"/>
      <c r="KYD1632" s="1"/>
      <c r="KYE1632" s="1"/>
      <c r="KYF1632" s="1"/>
      <c r="KYG1632" s="1"/>
      <c r="KYH1632" s="1"/>
      <c r="KYI1632" s="1"/>
      <c r="KYJ1632" s="1"/>
      <c r="KYK1632" s="1"/>
      <c r="KYL1632" s="1"/>
      <c r="KYM1632" s="1"/>
      <c r="KYN1632" s="1"/>
      <c r="KYO1632" s="1"/>
      <c r="KYP1632" s="1"/>
      <c r="KYQ1632" s="1"/>
      <c r="KYR1632" s="1"/>
      <c r="KYS1632" s="1"/>
      <c r="KYT1632" s="1"/>
      <c r="KYU1632" s="1"/>
      <c r="KYV1632" s="1"/>
      <c r="KYW1632" s="1"/>
      <c r="KYX1632" s="1"/>
      <c r="KYY1632" s="1"/>
      <c r="KYZ1632" s="1"/>
      <c r="KZA1632" s="1"/>
      <c r="KZB1632" s="1"/>
      <c r="KZC1632" s="1"/>
      <c r="KZD1632" s="1"/>
      <c r="KZE1632" s="1"/>
      <c r="KZF1632" s="1"/>
      <c r="KZG1632" s="1"/>
      <c r="KZH1632" s="1"/>
      <c r="KZI1632" s="1"/>
      <c r="KZJ1632" s="1"/>
      <c r="KZK1632" s="1"/>
      <c r="KZL1632" s="1"/>
      <c r="KZM1632" s="1"/>
      <c r="KZN1632" s="1"/>
      <c r="KZO1632" s="1"/>
      <c r="KZP1632" s="1"/>
      <c r="KZQ1632" s="1"/>
      <c r="KZR1632" s="1"/>
      <c r="KZS1632" s="1"/>
      <c r="KZT1632" s="1"/>
      <c r="KZU1632" s="1"/>
      <c r="KZV1632" s="1"/>
      <c r="KZW1632" s="1"/>
      <c r="KZX1632" s="1"/>
      <c r="KZY1632" s="1"/>
      <c r="KZZ1632" s="1"/>
      <c r="LAA1632" s="1"/>
      <c r="LAB1632" s="1"/>
      <c r="LAC1632" s="1"/>
      <c r="LAD1632" s="1"/>
      <c r="LAE1632" s="1"/>
      <c r="LAF1632" s="1"/>
      <c r="LAG1632" s="1"/>
      <c r="LAH1632" s="1"/>
      <c r="LAI1632" s="1"/>
      <c r="LAJ1632" s="1"/>
      <c r="LAK1632" s="1"/>
      <c r="LAL1632" s="1"/>
      <c r="LAM1632" s="1"/>
      <c r="LAN1632" s="1"/>
      <c r="LAO1632" s="1"/>
      <c r="LAP1632" s="1"/>
      <c r="LAQ1632" s="1"/>
      <c r="LAR1632" s="1"/>
      <c r="LAS1632" s="1"/>
      <c r="LAT1632" s="1"/>
      <c r="LAU1632" s="1"/>
      <c r="LAV1632" s="1"/>
      <c r="LAW1632" s="1"/>
      <c r="LAX1632" s="1"/>
      <c r="LAY1632" s="1"/>
      <c r="LAZ1632" s="1"/>
      <c r="LBA1632" s="1"/>
      <c r="LBB1632" s="1"/>
      <c r="LBC1632" s="1"/>
      <c r="LBD1632" s="1"/>
      <c r="LBE1632" s="1"/>
      <c r="LBF1632" s="1"/>
      <c r="LBG1632" s="1"/>
      <c r="LBH1632" s="1"/>
      <c r="LBI1632" s="1"/>
      <c r="LBJ1632" s="1"/>
      <c r="LBK1632" s="1"/>
      <c r="LBL1632" s="1"/>
      <c r="LBM1632" s="1"/>
      <c r="LBN1632" s="1"/>
      <c r="LBO1632" s="1"/>
      <c r="LBP1632" s="1"/>
      <c r="LBQ1632" s="1"/>
      <c r="LBR1632" s="1"/>
      <c r="LBS1632" s="1"/>
      <c r="LBT1632" s="1"/>
      <c r="LBU1632" s="1"/>
      <c r="LBV1632" s="1"/>
      <c r="LBW1632" s="1"/>
      <c r="LBX1632" s="1"/>
      <c r="LBY1632" s="1"/>
      <c r="LBZ1632" s="1"/>
      <c r="LCA1632" s="1"/>
      <c r="LCB1632" s="1"/>
      <c r="LCC1632" s="1"/>
      <c r="LCD1632" s="1"/>
      <c r="LCE1632" s="1"/>
      <c r="LCF1632" s="1"/>
      <c r="LCG1632" s="1"/>
      <c r="LCH1632" s="1"/>
      <c r="LCI1632" s="1"/>
      <c r="LCJ1632" s="1"/>
      <c r="LCK1632" s="1"/>
      <c r="LCL1632" s="1"/>
      <c r="LCM1632" s="1"/>
      <c r="LCN1632" s="1"/>
      <c r="LCO1632" s="1"/>
      <c r="LCP1632" s="1"/>
      <c r="LCQ1632" s="1"/>
      <c r="LCR1632" s="1"/>
      <c r="LCS1632" s="1"/>
      <c r="LCT1632" s="1"/>
      <c r="LCU1632" s="1"/>
      <c r="LCV1632" s="1"/>
      <c r="LCW1632" s="1"/>
      <c r="LCX1632" s="1"/>
      <c r="LCY1632" s="1"/>
      <c r="LCZ1632" s="1"/>
      <c r="LDA1632" s="1"/>
      <c r="LDB1632" s="1"/>
      <c r="LDC1632" s="1"/>
      <c r="LDD1632" s="1"/>
      <c r="LDE1632" s="1"/>
      <c r="LDF1632" s="1"/>
      <c r="LDG1632" s="1"/>
      <c r="LDH1632" s="1"/>
      <c r="LDI1632" s="1"/>
      <c r="LDJ1632" s="1"/>
      <c r="LDK1632" s="1"/>
      <c r="LDL1632" s="1"/>
      <c r="LDM1632" s="1"/>
      <c r="LDN1632" s="1"/>
      <c r="LDO1632" s="1"/>
      <c r="LDP1632" s="1"/>
      <c r="LDQ1632" s="1"/>
      <c r="LDR1632" s="1"/>
      <c r="LDS1632" s="1"/>
      <c r="LDT1632" s="1"/>
      <c r="LDU1632" s="1"/>
      <c r="LDV1632" s="1"/>
      <c r="LDW1632" s="1"/>
      <c r="LDX1632" s="1"/>
      <c r="LDY1632" s="1"/>
      <c r="LDZ1632" s="1"/>
      <c r="LEA1632" s="1"/>
      <c r="LEB1632" s="1"/>
      <c r="LEC1632" s="1"/>
      <c r="LED1632" s="1"/>
      <c r="LEE1632" s="1"/>
      <c r="LEF1632" s="1"/>
      <c r="LEG1632" s="1"/>
      <c r="LEH1632" s="1"/>
      <c r="LEI1632" s="1"/>
      <c r="LEJ1632" s="1"/>
      <c r="LEK1632" s="1"/>
      <c r="LEL1632" s="1"/>
      <c r="LEM1632" s="1"/>
      <c r="LEN1632" s="1"/>
      <c r="LEO1632" s="1"/>
      <c r="LEP1632" s="1"/>
      <c r="LEQ1632" s="1"/>
      <c r="LER1632" s="1"/>
      <c r="LES1632" s="1"/>
      <c r="LET1632" s="1"/>
      <c r="LEU1632" s="1"/>
      <c r="LEV1632" s="1"/>
      <c r="LEW1632" s="1"/>
      <c r="LEX1632" s="1"/>
      <c r="LEY1632" s="1"/>
      <c r="LEZ1632" s="1"/>
      <c r="LFA1632" s="1"/>
      <c r="LFB1632" s="1"/>
      <c r="LFC1632" s="1"/>
      <c r="LFD1632" s="1"/>
      <c r="LFE1632" s="1"/>
      <c r="LFF1632" s="1"/>
      <c r="LFG1632" s="1"/>
      <c r="LFH1632" s="1"/>
      <c r="LFI1632" s="1"/>
      <c r="LFJ1632" s="1"/>
      <c r="LFK1632" s="1"/>
      <c r="LFL1632" s="1"/>
      <c r="LFM1632" s="1"/>
      <c r="LFN1632" s="1"/>
      <c r="LFO1632" s="1"/>
      <c r="LFP1632" s="1"/>
      <c r="LFQ1632" s="1"/>
      <c r="LFR1632" s="1"/>
      <c r="LFS1632" s="1"/>
      <c r="LFT1632" s="1"/>
      <c r="LFU1632" s="1"/>
      <c r="LFV1632" s="1"/>
      <c r="LFW1632" s="1"/>
      <c r="LFX1632" s="1"/>
      <c r="LFY1632" s="1"/>
      <c r="LFZ1632" s="1"/>
      <c r="LGA1632" s="1"/>
      <c r="LGB1632" s="1"/>
      <c r="LGC1632" s="1"/>
      <c r="LGD1632" s="1"/>
      <c r="LGE1632" s="1"/>
      <c r="LGF1632" s="1"/>
      <c r="LGG1632" s="1"/>
      <c r="LGH1632" s="1"/>
      <c r="LGI1632" s="1"/>
      <c r="LGJ1632" s="1"/>
      <c r="LGK1632" s="1"/>
      <c r="LGL1632" s="1"/>
      <c r="LGM1632" s="1"/>
      <c r="LGN1632" s="1"/>
      <c r="LGO1632" s="1"/>
      <c r="LGP1632" s="1"/>
      <c r="LGQ1632" s="1"/>
      <c r="LGR1632" s="1"/>
      <c r="LGS1632" s="1"/>
      <c r="LGT1632" s="1"/>
      <c r="LGU1632" s="1"/>
      <c r="LGV1632" s="1"/>
      <c r="LGW1632" s="1"/>
      <c r="LGX1632" s="1"/>
      <c r="LGY1632" s="1"/>
      <c r="LGZ1632" s="1"/>
      <c r="LHA1632" s="1"/>
      <c r="LHB1632" s="1"/>
      <c r="LHC1632" s="1"/>
      <c r="LHD1632" s="1"/>
      <c r="LHE1632" s="1"/>
      <c r="LHF1632" s="1"/>
      <c r="LHG1632" s="1"/>
      <c r="LHH1632" s="1"/>
      <c r="LHI1632" s="1"/>
      <c r="LHJ1632" s="1"/>
      <c r="LHK1632" s="1"/>
      <c r="LHL1632" s="1"/>
      <c r="LHM1632" s="1"/>
      <c r="LHN1632" s="1"/>
      <c r="LHO1632" s="1"/>
      <c r="LHP1632" s="1"/>
      <c r="LHQ1632" s="1"/>
      <c r="LHR1632" s="1"/>
      <c r="LHS1632" s="1"/>
      <c r="LHT1632" s="1"/>
      <c r="LHU1632" s="1"/>
      <c r="LHV1632" s="1"/>
      <c r="LHW1632" s="1"/>
      <c r="LHX1632" s="1"/>
      <c r="LHY1632" s="1"/>
      <c r="LHZ1632" s="1"/>
      <c r="LIA1632" s="1"/>
      <c r="LIB1632" s="1"/>
      <c r="LIC1632" s="1"/>
      <c r="LID1632" s="1"/>
      <c r="LIE1632" s="1"/>
      <c r="LIF1632" s="1"/>
      <c r="LIG1632" s="1"/>
      <c r="LIH1632" s="1"/>
      <c r="LII1632" s="1"/>
      <c r="LIJ1632" s="1"/>
      <c r="LIK1632" s="1"/>
      <c r="LIL1632" s="1"/>
      <c r="LIM1632" s="1"/>
      <c r="LIN1632" s="1"/>
      <c r="LIO1632" s="1"/>
      <c r="LIP1632" s="1"/>
      <c r="LIQ1632" s="1"/>
      <c r="LIR1632" s="1"/>
      <c r="LIS1632" s="1"/>
      <c r="LIT1632" s="1"/>
      <c r="LIU1632" s="1"/>
      <c r="LIV1632" s="1"/>
      <c r="LIW1632" s="1"/>
      <c r="LIX1632" s="1"/>
      <c r="LIY1632" s="1"/>
      <c r="LIZ1632" s="1"/>
      <c r="LJA1632" s="1"/>
      <c r="LJB1632" s="1"/>
      <c r="LJC1632" s="1"/>
      <c r="LJD1632" s="1"/>
      <c r="LJE1632" s="1"/>
      <c r="LJF1632" s="1"/>
      <c r="LJG1632" s="1"/>
      <c r="LJH1632" s="1"/>
      <c r="LJI1632" s="1"/>
      <c r="LJJ1632" s="1"/>
      <c r="LJK1632" s="1"/>
      <c r="LJL1632" s="1"/>
      <c r="LJM1632" s="1"/>
      <c r="LJN1632" s="1"/>
      <c r="LJO1632" s="1"/>
      <c r="LJP1632" s="1"/>
      <c r="LJQ1632" s="1"/>
      <c r="LJR1632" s="1"/>
      <c r="LJS1632" s="1"/>
      <c r="LJT1632" s="1"/>
      <c r="LJU1632" s="1"/>
      <c r="LJV1632" s="1"/>
      <c r="LJW1632" s="1"/>
      <c r="LJX1632" s="1"/>
      <c r="LJY1632" s="1"/>
      <c r="LJZ1632" s="1"/>
      <c r="LKA1632" s="1"/>
      <c r="LKB1632" s="1"/>
      <c r="LKC1632" s="1"/>
      <c r="LKD1632" s="1"/>
      <c r="LKE1632" s="1"/>
      <c r="LKF1632" s="1"/>
      <c r="LKG1632" s="1"/>
      <c r="LKH1632" s="1"/>
      <c r="LKI1632" s="1"/>
      <c r="LKJ1632" s="1"/>
      <c r="LKK1632" s="1"/>
      <c r="LKL1632" s="1"/>
      <c r="LKM1632" s="1"/>
      <c r="LKN1632" s="1"/>
      <c r="LKO1632" s="1"/>
      <c r="LKP1632" s="1"/>
      <c r="LKQ1632" s="1"/>
      <c r="LKR1632" s="1"/>
      <c r="LKS1632" s="1"/>
      <c r="LKT1632" s="1"/>
      <c r="LKU1632" s="1"/>
      <c r="LKV1632" s="1"/>
      <c r="LKW1632" s="1"/>
      <c r="LKX1632" s="1"/>
      <c r="LKY1632" s="1"/>
      <c r="LKZ1632" s="1"/>
      <c r="LLA1632" s="1"/>
      <c r="LLB1632" s="1"/>
      <c r="LLC1632" s="1"/>
      <c r="LLD1632" s="1"/>
      <c r="LLE1632" s="1"/>
      <c r="LLF1632" s="1"/>
      <c r="LLG1632" s="1"/>
      <c r="LLH1632" s="1"/>
      <c r="LLI1632" s="1"/>
      <c r="LLJ1632" s="1"/>
      <c r="LLK1632" s="1"/>
      <c r="LLL1632" s="1"/>
      <c r="LLM1632" s="1"/>
      <c r="LLN1632" s="1"/>
      <c r="LLO1632" s="1"/>
      <c r="LLP1632" s="1"/>
      <c r="LLQ1632" s="1"/>
      <c r="LLR1632" s="1"/>
      <c r="LLS1632" s="1"/>
      <c r="LLT1632" s="1"/>
      <c r="LLU1632" s="1"/>
      <c r="LLV1632" s="1"/>
      <c r="LLW1632" s="1"/>
      <c r="LLX1632" s="1"/>
      <c r="LLY1632" s="1"/>
      <c r="LLZ1632" s="1"/>
      <c r="LMA1632" s="1"/>
      <c r="LMB1632" s="1"/>
      <c r="LMC1632" s="1"/>
      <c r="LMD1632" s="1"/>
      <c r="LME1632" s="1"/>
      <c r="LMF1632" s="1"/>
      <c r="LMG1632" s="1"/>
      <c r="LMH1632" s="1"/>
      <c r="LMI1632" s="1"/>
      <c r="LMJ1632" s="1"/>
      <c r="LMK1632" s="1"/>
      <c r="LML1632" s="1"/>
      <c r="LMM1632" s="1"/>
      <c r="LMN1632" s="1"/>
      <c r="LMO1632" s="1"/>
      <c r="LMP1632" s="1"/>
      <c r="LMQ1632" s="1"/>
      <c r="LMR1632" s="1"/>
      <c r="LMS1632" s="1"/>
      <c r="LMT1632" s="1"/>
      <c r="LMU1632" s="1"/>
      <c r="LMV1632" s="1"/>
      <c r="LMW1632" s="1"/>
      <c r="LMX1632" s="1"/>
      <c r="LMY1632" s="1"/>
      <c r="LMZ1632" s="1"/>
      <c r="LNA1632" s="1"/>
      <c r="LNB1632" s="1"/>
      <c r="LNC1632" s="1"/>
      <c r="LND1632" s="1"/>
      <c r="LNE1632" s="1"/>
      <c r="LNF1632" s="1"/>
      <c r="LNG1632" s="1"/>
      <c r="LNH1632" s="1"/>
      <c r="LNI1632" s="1"/>
      <c r="LNJ1632" s="1"/>
      <c r="LNK1632" s="1"/>
      <c r="LNL1632" s="1"/>
      <c r="LNM1632" s="1"/>
      <c r="LNN1632" s="1"/>
      <c r="LNO1632" s="1"/>
      <c r="LNP1632" s="1"/>
      <c r="LNQ1632" s="1"/>
      <c r="LNR1632" s="1"/>
      <c r="LNS1632" s="1"/>
      <c r="LNT1632" s="1"/>
      <c r="LNU1632" s="1"/>
      <c r="LNV1632" s="1"/>
      <c r="LNW1632" s="1"/>
      <c r="LNX1632" s="1"/>
      <c r="LNY1632" s="1"/>
      <c r="LNZ1632" s="1"/>
      <c r="LOA1632" s="1"/>
      <c r="LOB1632" s="1"/>
      <c r="LOC1632" s="1"/>
      <c r="LOD1632" s="1"/>
      <c r="LOE1632" s="1"/>
      <c r="LOF1632" s="1"/>
      <c r="LOG1632" s="1"/>
      <c r="LOH1632" s="1"/>
      <c r="LOI1632" s="1"/>
      <c r="LOJ1632" s="1"/>
      <c r="LOK1632" s="1"/>
      <c r="LOL1632" s="1"/>
      <c r="LOM1632" s="1"/>
      <c r="LON1632" s="1"/>
      <c r="LOO1632" s="1"/>
      <c r="LOP1632" s="1"/>
      <c r="LOQ1632" s="1"/>
      <c r="LOR1632" s="1"/>
      <c r="LOS1632" s="1"/>
      <c r="LOT1632" s="1"/>
      <c r="LOU1632" s="1"/>
      <c r="LOV1632" s="1"/>
      <c r="LOW1632" s="1"/>
      <c r="LOX1632" s="1"/>
      <c r="LOY1632" s="1"/>
      <c r="LOZ1632" s="1"/>
      <c r="LPA1632" s="1"/>
      <c r="LPB1632" s="1"/>
      <c r="LPC1632" s="1"/>
      <c r="LPD1632" s="1"/>
      <c r="LPE1632" s="1"/>
      <c r="LPF1632" s="1"/>
      <c r="LPG1632" s="1"/>
      <c r="LPH1632" s="1"/>
      <c r="LPI1632" s="1"/>
      <c r="LPJ1632" s="1"/>
      <c r="LPK1632" s="1"/>
      <c r="LPL1632" s="1"/>
      <c r="LPM1632" s="1"/>
      <c r="LPN1632" s="1"/>
      <c r="LPO1632" s="1"/>
      <c r="LPP1632" s="1"/>
      <c r="LPQ1632" s="1"/>
      <c r="LPR1632" s="1"/>
      <c r="LPS1632" s="1"/>
      <c r="LPT1632" s="1"/>
      <c r="LPU1632" s="1"/>
      <c r="LPV1632" s="1"/>
      <c r="LPW1632" s="1"/>
      <c r="LPX1632" s="1"/>
      <c r="LPY1632" s="1"/>
      <c r="LPZ1632" s="1"/>
      <c r="LQA1632" s="1"/>
      <c r="LQB1632" s="1"/>
      <c r="LQC1632" s="1"/>
      <c r="LQD1632" s="1"/>
      <c r="LQE1632" s="1"/>
      <c r="LQF1632" s="1"/>
      <c r="LQG1632" s="1"/>
      <c r="LQH1632" s="1"/>
      <c r="LQI1632" s="1"/>
      <c r="LQJ1632" s="1"/>
      <c r="LQK1632" s="1"/>
      <c r="LQL1632" s="1"/>
      <c r="LQM1632" s="1"/>
      <c r="LQN1632" s="1"/>
      <c r="LQO1632" s="1"/>
      <c r="LQP1632" s="1"/>
      <c r="LQQ1632" s="1"/>
      <c r="LQR1632" s="1"/>
      <c r="LQS1632" s="1"/>
      <c r="LQT1632" s="1"/>
      <c r="LQU1632" s="1"/>
      <c r="LQV1632" s="1"/>
      <c r="LQW1632" s="1"/>
      <c r="LQX1632" s="1"/>
      <c r="LQY1632" s="1"/>
      <c r="LQZ1632" s="1"/>
      <c r="LRA1632" s="1"/>
      <c r="LRB1632" s="1"/>
      <c r="LRC1632" s="1"/>
      <c r="LRD1632" s="1"/>
      <c r="LRE1632" s="1"/>
      <c r="LRF1632" s="1"/>
      <c r="LRG1632" s="1"/>
      <c r="LRH1632" s="1"/>
      <c r="LRI1632" s="1"/>
      <c r="LRJ1632" s="1"/>
      <c r="LRK1632" s="1"/>
      <c r="LRL1632" s="1"/>
      <c r="LRM1632" s="1"/>
      <c r="LRN1632" s="1"/>
      <c r="LRO1632" s="1"/>
      <c r="LRP1632" s="1"/>
      <c r="LRQ1632" s="1"/>
      <c r="LRR1632" s="1"/>
      <c r="LRS1632" s="1"/>
      <c r="LRT1632" s="1"/>
      <c r="LRU1632" s="1"/>
      <c r="LRV1632" s="1"/>
      <c r="LRW1632" s="1"/>
      <c r="LRX1632" s="1"/>
      <c r="LRY1632" s="1"/>
      <c r="LRZ1632" s="1"/>
      <c r="LSA1632" s="1"/>
      <c r="LSB1632" s="1"/>
      <c r="LSC1632" s="1"/>
      <c r="LSD1632" s="1"/>
      <c r="LSE1632" s="1"/>
      <c r="LSF1632" s="1"/>
      <c r="LSG1632" s="1"/>
      <c r="LSH1632" s="1"/>
      <c r="LSI1632" s="1"/>
      <c r="LSJ1632" s="1"/>
      <c r="LSK1632" s="1"/>
      <c r="LSL1632" s="1"/>
      <c r="LSM1632" s="1"/>
      <c r="LSN1632" s="1"/>
      <c r="LSO1632" s="1"/>
      <c r="LSP1632" s="1"/>
      <c r="LSQ1632" s="1"/>
      <c r="LSR1632" s="1"/>
      <c r="LSS1632" s="1"/>
      <c r="LST1632" s="1"/>
      <c r="LSU1632" s="1"/>
      <c r="LSV1632" s="1"/>
      <c r="LSW1632" s="1"/>
      <c r="LSX1632" s="1"/>
      <c r="LSY1632" s="1"/>
      <c r="LSZ1632" s="1"/>
      <c r="LTA1632" s="1"/>
      <c r="LTB1632" s="1"/>
      <c r="LTC1632" s="1"/>
      <c r="LTD1632" s="1"/>
      <c r="LTE1632" s="1"/>
      <c r="LTF1632" s="1"/>
      <c r="LTG1632" s="1"/>
      <c r="LTH1632" s="1"/>
      <c r="LTI1632" s="1"/>
      <c r="LTJ1632" s="1"/>
      <c r="LTK1632" s="1"/>
      <c r="LTL1632" s="1"/>
      <c r="LTM1632" s="1"/>
      <c r="LTN1632" s="1"/>
      <c r="LTO1632" s="1"/>
      <c r="LTP1632" s="1"/>
      <c r="LTQ1632" s="1"/>
      <c r="LTR1632" s="1"/>
      <c r="LTS1632" s="1"/>
      <c r="LTT1632" s="1"/>
      <c r="LTU1632" s="1"/>
      <c r="LTV1632" s="1"/>
      <c r="LTW1632" s="1"/>
      <c r="LTX1632" s="1"/>
      <c r="LTY1632" s="1"/>
      <c r="LTZ1632" s="1"/>
      <c r="LUA1632" s="1"/>
      <c r="LUB1632" s="1"/>
      <c r="LUC1632" s="1"/>
      <c r="LUD1632" s="1"/>
      <c r="LUE1632" s="1"/>
      <c r="LUF1632" s="1"/>
      <c r="LUG1632" s="1"/>
      <c r="LUH1632" s="1"/>
      <c r="LUI1632" s="1"/>
      <c r="LUJ1632" s="1"/>
      <c r="LUK1632" s="1"/>
      <c r="LUL1632" s="1"/>
      <c r="LUM1632" s="1"/>
      <c r="LUN1632" s="1"/>
      <c r="LUO1632" s="1"/>
      <c r="LUP1632" s="1"/>
      <c r="LUQ1632" s="1"/>
      <c r="LUR1632" s="1"/>
      <c r="LUS1632" s="1"/>
      <c r="LUT1632" s="1"/>
      <c r="LUU1632" s="1"/>
      <c r="LUV1632" s="1"/>
      <c r="LUW1632" s="1"/>
      <c r="LUX1632" s="1"/>
      <c r="LUY1632" s="1"/>
      <c r="LUZ1632" s="1"/>
      <c r="LVA1632" s="1"/>
      <c r="LVB1632" s="1"/>
      <c r="LVC1632" s="1"/>
      <c r="LVD1632" s="1"/>
      <c r="LVE1632" s="1"/>
      <c r="LVF1632" s="1"/>
      <c r="LVG1632" s="1"/>
      <c r="LVH1632" s="1"/>
      <c r="LVI1632" s="1"/>
      <c r="LVJ1632" s="1"/>
      <c r="LVK1632" s="1"/>
      <c r="LVL1632" s="1"/>
      <c r="LVM1632" s="1"/>
      <c r="LVN1632" s="1"/>
      <c r="LVO1632" s="1"/>
      <c r="LVP1632" s="1"/>
      <c r="LVQ1632" s="1"/>
      <c r="LVR1632" s="1"/>
      <c r="LVS1632" s="1"/>
      <c r="LVT1632" s="1"/>
      <c r="LVU1632" s="1"/>
      <c r="LVV1632" s="1"/>
      <c r="LVW1632" s="1"/>
      <c r="LVX1632" s="1"/>
      <c r="LVY1632" s="1"/>
      <c r="LVZ1632" s="1"/>
      <c r="LWA1632" s="1"/>
      <c r="LWB1632" s="1"/>
      <c r="LWC1632" s="1"/>
      <c r="LWD1632" s="1"/>
      <c r="LWE1632" s="1"/>
      <c r="LWF1632" s="1"/>
      <c r="LWG1632" s="1"/>
      <c r="LWH1632" s="1"/>
      <c r="LWI1632" s="1"/>
      <c r="LWJ1632" s="1"/>
      <c r="LWK1632" s="1"/>
      <c r="LWL1632" s="1"/>
      <c r="LWM1632" s="1"/>
      <c r="LWN1632" s="1"/>
      <c r="LWO1632" s="1"/>
      <c r="LWP1632" s="1"/>
      <c r="LWQ1632" s="1"/>
      <c r="LWR1632" s="1"/>
      <c r="LWS1632" s="1"/>
      <c r="LWT1632" s="1"/>
      <c r="LWU1632" s="1"/>
      <c r="LWV1632" s="1"/>
      <c r="LWW1632" s="1"/>
      <c r="LWX1632" s="1"/>
      <c r="LWY1632" s="1"/>
      <c r="LWZ1632" s="1"/>
      <c r="LXA1632" s="1"/>
      <c r="LXB1632" s="1"/>
      <c r="LXC1632" s="1"/>
      <c r="LXD1632" s="1"/>
      <c r="LXE1632" s="1"/>
      <c r="LXF1632" s="1"/>
      <c r="LXG1632" s="1"/>
      <c r="LXH1632" s="1"/>
      <c r="LXI1632" s="1"/>
      <c r="LXJ1632" s="1"/>
      <c r="LXK1632" s="1"/>
      <c r="LXL1632" s="1"/>
      <c r="LXM1632" s="1"/>
      <c r="LXN1632" s="1"/>
      <c r="LXO1632" s="1"/>
      <c r="LXP1632" s="1"/>
      <c r="LXQ1632" s="1"/>
      <c r="LXR1632" s="1"/>
      <c r="LXS1632" s="1"/>
      <c r="LXT1632" s="1"/>
      <c r="LXU1632" s="1"/>
      <c r="LXV1632" s="1"/>
      <c r="LXW1632" s="1"/>
      <c r="LXX1632" s="1"/>
      <c r="LXY1632" s="1"/>
      <c r="LXZ1632" s="1"/>
      <c r="LYA1632" s="1"/>
      <c r="LYB1632" s="1"/>
      <c r="LYC1632" s="1"/>
      <c r="LYD1632" s="1"/>
      <c r="LYE1632" s="1"/>
      <c r="LYF1632" s="1"/>
      <c r="LYG1632" s="1"/>
      <c r="LYH1632" s="1"/>
      <c r="LYI1632" s="1"/>
      <c r="LYJ1632" s="1"/>
      <c r="LYK1632" s="1"/>
      <c r="LYL1632" s="1"/>
      <c r="LYM1632" s="1"/>
      <c r="LYN1632" s="1"/>
      <c r="LYO1632" s="1"/>
      <c r="LYP1632" s="1"/>
      <c r="LYQ1632" s="1"/>
      <c r="LYR1632" s="1"/>
      <c r="LYS1632" s="1"/>
      <c r="LYT1632" s="1"/>
      <c r="LYU1632" s="1"/>
      <c r="LYV1632" s="1"/>
      <c r="LYW1632" s="1"/>
      <c r="LYX1632" s="1"/>
      <c r="LYY1632" s="1"/>
      <c r="LYZ1632" s="1"/>
      <c r="LZA1632" s="1"/>
      <c r="LZB1632" s="1"/>
      <c r="LZC1632" s="1"/>
      <c r="LZD1632" s="1"/>
      <c r="LZE1632" s="1"/>
      <c r="LZF1632" s="1"/>
      <c r="LZG1632" s="1"/>
      <c r="LZH1632" s="1"/>
      <c r="LZI1632" s="1"/>
      <c r="LZJ1632" s="1"/>
      <c r="LZK1632" s="1"/>
      <c r="LZL1632" s="1"/>
      <c r="LZM1632" s="1"/>
      <c r="LZN1632" s="1"/>
      <c r="LZO1632" s="1"/>
      <c r="LZP1632" s="1"/>
      <c r="LZQ1632" s="1"/>
      <c r="LZR1632" s="1"/>
      <c r="LZS1632" s="1"/>
      <c r="LZT1632" s="1"/>
      <c r="LZU1632" s="1"/>
      <c r="LZV1632" s="1"/>
      <c r="LZW1632" s="1"/>
      <c r="LZX1632" s="1"/>
      <c r="LZY1632" s="1"/>
      <c r="LZZ1632" s="1"/>
      <c r="MAA1632" s="1"/>
      <c r="MAB1632" s="1"/>
      <c r="MAC1632" s="1"/>
      <c r="MAD1632" s="1"/>
      <c r="MAE1632" s="1"/>
      <c r="MAF1632" s="1"/>
      <c r="MAG1632" s="1"/>
      <c r="MAH1632" s="1"/>
      <c r="MAI1632" s="1"/>
      <c r="MAJ1632" s="1"/>
      <c r="MAK1632" s="1"/>
      <c r="MAL1632" s="1"/>
      <c r="MAM1632" s="1"/>
      <c r="MAN1632" s="1"/>
      <c r="MAO1632" s="1"/>
      <c r="MAP1632" s="1"/>
      <c r="MAQ1632" s="1"/>
      <c r="MAR1632" s="1"/>
      <c r="MAS1632" s="1"/>
      <c r="MAT1632" s="1"/>
      <c r="MAU1632" s="1"/>
      <c r="MAV1632" s="1"/>
      <c r="MAW1632" s="1"/>
      <c r="MAX1632" s="1"/>
      <c r="MAY1632" s="1"/>
      <c r="MAZ1632" s="1"/>
      <c r="MBA1632" s="1"/>
      <c r="MBB1632" s="1"/>
      <c r="MBC1632" s="1"/>
      <c r="MBD1632" s="1"/>
      <c r="MBE1632" s="1"/>
      <c r="MBF1632" s="1"/>
      <c r="MBG1632" s="1"/>
      <c r="MBH1632" s="1"/>
      <c r="MBI1632" s="1"/>
      <c r="MBJ1632" s="1"/>
      <c r="MBK1632" s="1"/>
      <c r="MBL1632" s="1"/>
      <c r="MBM1632" s="1"/>
      <c r="MBN1632" s="1"/>
      <c r="MBO1632" s="1"/>
      <c r="MBP1632" s="1"/>
      <c r="MBQ1632" s="1"/>
      <c r="MBR1632" s="1"/>
      <c r="MBS1632" s="1"/>
      <c r="MBT1632" s="1"/>
      <c r="MBU1632" s="1"/>
      <c r="MBV1632" s="1"/>
      <c r="MBW1632" s="1"/>
      <c r="MBX1632" s="1"/>
      <c r="MBY1632" s="1"/>
      <c r="MBZ1632" s="1"/>
      <c r="MCA1632" s="1"/>
      <c r="MCB1632" s="1"/>
      <c r="MCC1632" s="1"/>
      <c r="MCD1632" s="1"/>
      <c r="MCE1632" s="1"/>
      <c r="MCF1632" s="1"/>
      <c r="MCG1632" s="1"/>
      <c r="MCH1632" s="1"/>
      <c r="MCI1632" s="1"/>
      <c r="MCJ1632" s="1"/>
      <c r="MCK1632" s="1"/>
      <c r="MCL1632" s="1"/>
      <c r="MCM1632" s="1"/>
      <c r="MCN1632" s="1"/>
      <c r="MCO1632" s="1"/>
      <c r="MCP1632" s="1"/>
      <c r="MCQ1632" s="1"/>
      <c r="MCR1632" s="1"/>
      <c r="MCS1632" s="1"/>
      <c r="MCT1632" s="1"/>
      <c r="MCU1632" s="1"/>
      <c r="MCV1632" s="1"/>
      <c r="MCW1632" s="1"/>
      <c r="MCX1632" s="1"/>
      <c r="MCY1632" s="1"/>
      <c r="MCZ1632" s="1"/>
      <c r="MDA1632" s="1"/>
      <c r="MDB1632" s="1"/>
      <c r="MDC1632" s="1"/>
      <c r="MDD1632" s="1"/>
      <c r="MDE1632" s="1"/>
      <c r="MDF1632" s="1"/>
      <c r="MDG1632" s="1"/>
      <c r="MDH1632" s="1"/>
      <c r="MDI1632" s="1"/>
      <c r="MDJ1632" s="1"/>
      <c r="MDK1632" s="1"/>
      <c r="MDL1632" s="1"/>
      <c r="MDM1632" s="1"/>
      <c r="MDN1632" s="1"/>
      <c r="MDO1632" s="1"/>
      <c r="MDP1632" s="1"/>
      <c r="MDQ1632" s="1"/>
      <c r="MDR1632" s="1"/>
      <c r="MDS1632" s="1"/>
      <c r="MDT1632" s="1"/>
      <c r="MDU1632" s="1"/>
      <c r="MDV1632" s="1"/>
      <c r="MDW1632" s="1"/>
      <c r="MDX1632" s="1"/>
      <c r="MDY1632" s="1"/>
      <c r="MDZ1632" s="1"/>
      <c r="MEA1632" s="1"/>
      <c r="MEB1632" s="1"/>
      <c r="MEC1632" s="1"/>
      <c r="MED1632" s="1"/>
      <c r="MEE1632" s="1"/>
      <c r="MEF1632" s="1"/>
      <c r="MEG1632" s="1"/>
      <c r="MEH1632" s="1"/>
      <c r="MEI1632" s="1"/>
      <c r="MEJ1632" s="1"/>
      <c r="MEK1632" s="1"/>
      <c r="MEL1632" s="1"/>
      <c r="MEM1632" s="1"/>
      <c r="MEN1632" s="1"/>
      <c r="MEO1632" s="1"/>
      <c r="MEP1632" s="1"/>
      <c r="MEQ1632" s="1"/>
      <c r="MER1632" s="1"/>
      <c r="MES1632" s="1"/>
      <c r="MET1632" s="1"/>
      <c r="MEU1632" s="1"/>
      <c r="MEV1632" s="1"/>
      <c r="MEW1632" s="1"/>
      <c r="MEX1632" s="1"/>
      <c r="MEY1632" s="1"/>
      <c r="MEZ1632" s="1"/>
      <c r="MFA1632" s="1"/>
      <c r="MFB1632" s="1"/>
      <c r="MFC1632" s="1"/>
      <c r="MFD1632" s="1"/>
      <c r="MFE1632" s="1"/>
      <c r="MFF1632" s="1"/>
      <c r="MFG1632" s="1"/>
      <c r="MFH1632" s="1"/>
      <c r="MFI1632" s="1"/>
      <c r="MFJ1632" s="1"/>
      <c r="MFK1632" s="1"/>
      <c r="MFL1632" s="1"/>
      <c r="MFM1632" s="1"/>
      <c r="MFN1632" s="1"/>
      <c r="MFO1632" s="1"/>
      <c r="MFP1632" s="1"/>
      <c r="MFQ1632" s="1"/>
      <c r="MFR1632" s="1"/>
      <c r="MFS1632" s="1"/>
      <c r="MFT1632" s="1"/>
      <c r="MFU1632" s="1"/>
      <c r="MFV1632" s="1"/>
      <c r="MFW1632" s="1"/>
      <c r="MFX1632" s="1"/>
      <c r="MFY1632" s="1"/>
      <c r="MFZ1632" s="1"/>
      <c r="MGA1632" s="1"/>
      <c r="MGB1632" s="1"/>
      <c r="MGC1632" s="1"/>
      <c r="MGD1632" s="1"/>
      <c r="MGE1632" s="1"/>
      <c r="MGF1632" s="1"/>
      <c r="MGG1632" s="1"/>
      <c r="MGH1632" s="1"/>
      <c r="MGI1632" s="1"/>
      <c r="MGJ1632" s="1"/>
      <c r="MGK1632" s="1"/>
      <c r="MGL1632" s="1"/>
      <c r="MGM1632" s="1"/>
      <c r="MGN1632" s="1"/>
      <c r="MGO1632" s="1"/>
      <c r="MGP1632" s="1"/>
      <c r="MGQ1632" s="1"/>
      <c r="MGR1632" s="1"/>
      <c r="MGS1632" s="1"/>
      <c r="MGT1632" s="1"/>
      <c r="MGU1632" s="1"/>
      <c r="MGV1632" s="1"/>
      <c r="MGW1632" s="1"/>
      <c r="MGX1632" s="1"/>
      <c r="MGY1632" s="1"/>
      <c r="MGZ1632" s="1"/>
      <c r="MHA1632" s="1"/>
      <c r="MHB1632" s="1"/>
      <c r="MHC1632" s="1"/>
      <c r="MHD1632" s="1"/>
      <c r="MHE1632" s="1"/>
      <c r="MHF1632" s="1"/>
      <c r="MHG1632" s="1"/>
      <c r="MHH1632" s="1"/>
      <c r="MHI1632" s="1"/>
      <c r="MHJ1632" s="1"/>
      <c r="MHK1632" s="1"/>
      <c r="MHL1632" s="1"/>
      <c r="MHM1632" s="1"/>
      <c r="MHN1632" s="1"/>
      <c r="MHO1632" s="1"/>
      <c r="MHP1632" s="1"/>
      <c r="MHQ1632" s="1"/>
      <c r="MHR1632" s="1"/>
      <c r="MHS1632" s="1"/>
      <c r="MHT1632" s="1"/>
      <c r="MHU1632" s="1"/>
      <c r="MHV1632" s="1"/>
      <c r="MHW1632" s="1"/>
      <c r="MHX1632" s="1"/>
      <c r="MHY1632" s="1"/>
      <c r="MHZ1632" s="1"/>
      <c r="MIA1632" s="1"/>
      <c r="MIB1632" s="1"/>
      <c r="MIC1632" s="1"/>
      <c r="MID1632" s="1"/>
      <c r="MIE1632" s="1"/>
      <c r="MIF1632" s="1"/>
      <c r="MIG1632" s="1"/>
      <c r="MIH1632" s="1"/>
      <c r="MII1632" s="1"/>
      <c r="MIJ1632" s="1"/>
      <c r="MIK1632" s="1"/>
      <c r="MIL1632" s="1"/>
      <c r="MIM1632" s="1"/>
      <c r="MIN1632" s="1"/>
      <c r="MIO1632" s="1"/>
      <c r="MIP1632" s="1"/>
      <c r="MIQ1632" s="1"/>
      <c r="MIR1632" s="1"/>
      <c r="MIS1632" s="1"/>
      <c r="MIT1632" s="1"/>
      <c r="MIU1632" s="1"/>
      <c r="MIV1632" s="1"/>
      <c r="MIW1632" s="1"/>
      <c r="MIX1632" s="1"/>
      <c r="MIY1632" s="1"/>
      <c r="MIZ1632" s="1"/>
      <c r="MJA1632" s="1"/>
      <c r="MJB1632" s="1"/>
      <c r="MJC1632" s="1"/>
      <c r="MJD1632" s="1"/>
      <c r="MJE1632" s="1"/>
      <c r="MJF1632" s="1"/>
      <c r="MJG1632" s="1"/>
      <c r="MJH1632" s="1"/>
      <c r="MJI1632" s="1"/>
      <c r="MJJ1632" s="1"/>
      <c r="MJK1632" s="1"/>
      <c r="MJL1632" s="1"/>
      <c r="MJM1632" s="1"/>
      <c r="MJN1632" s="1"/>
      <c r="MJO1632" s="1"/>
      <c r="MJP1632" s="1"/>
      <c r="MJQ1632" s="1"/>
      <c r="MJR1632" s="1"/>
      <c r="MJS1632" s="1"/>
      <c r="MJT1632" s="1"/>
      <c r="MJU1632" s="1"/>
      <c r="MJV1632" s="1"/>
      <c r="MJW1632" s="1"/>
      <c r="MJX1632" s="1"/>
      <c r="MJY1632" s="1"/>
      <c r="MJZ1632" s="1"/>
      <c r="MKA1632" s="1"/>
      <c r="MKB1632" s="1"/>
      <c r="MKC1632" s="1"/>
      <c r="MKD1632" s="1"/>
      <c r="MKE1632" s="1"/>
      <c r="MKF1632" s="1"/>
      <c r="MKG1632" s="1"/>
      <c r="MKH1632" s="1"/>
      <c r="MKI1632" s="1"/>
      <c r="MKJ1632" s="1"/>
      <c r="MKK1632" s="1"/>
      <c r="MKL1632" s="1"/>
      <c r="MKM1632" s="1"/>
      <c r="MKN1632" s="1"/>
      <c r="MKO1632" s="1"/>
      <c r="MKP1632" s="1"/>
      <c r="MKQ1632" s="1"/>
      <c r="MKR1632" s="1"/>
      <c r="MKS1632" s="1"/>
      <c r="MKT1632" s="1"/>
      <c r="MKU1632" s="1"/>
      <c r="MKV1632" s="1"/>
      <c r="MKW1632" s="1"/>
      <c r="MKX1632" s="1"/>
      <c r="MKY1632" s="1"/>
      <c r="MKZ1632" s="1"/>
      <c r="MLA1632" s="1"/>
      <c r="MLB1632" s="1"/>
      <c r="MLC1632" s="1"/>
      <c r="MLD1632" s="1"/>
      <c r="MLE1632" s="1"/>
      <c r="MLF1632" s="1"/>
      <c r="MLG1632" s="1"/>
      <c r="MLH1632" s="1"/>
      <c r="MLI1632" s="1"/>
      <c r="MLJ1632" s="1"/>
      <c r="MLK1632" s="1"/>
      <c r="MLL1632" s="1"/>
      <c r="MLM1632" s="1"/>
      <c r="MLN1632" s="1"/>
      <c r="MLO1632" s="1"/>
      <c r="MLP1632" s="1"/>
      <c r="MLQ1632" s="1"/>
      <c r="MLR1632" s="1"/>
      <c r="MLS1632" s="1"/>
      <c r="MLT1632" s="1"/>
      <c r="MLU1632" s="1"/>
      <c r="MLV1632" s="1"/>
      <c r="MLW1632" s="1"/>
      <c r="MLX1632" s="1"/>
      <c r="MLY1632" s="1"/>
      <c r="MLZ1632" s="1"/>
      <c r="MMA1632" s="1"/>
      <c r="MMB1632" s="1"/>
      <c r="MMC1632" s="1"/>
      <c r="MMD1632" s="1"/>
      <c r="MME1632" s="1"/>
      <c r="MMF1632" s="1"/>
      <c r="MMG1632" s="1"/>
      <c r="MMH1632" s="1"/>
      <c r="MMI1632" s="1"/>
      <c r="MMJ1632" s="1"/>
      <c r="MMK1632" s="1"/>
      <c r="MML1632" s="1"/>
      <c r="MMM1632" s="1"/>
      <c r="MMN1632" s="1"/>
      <c r="MMO1632" s="1"/>
      <c r="MMP1632" s="1"/>
      <c r="MMQ1632" s="1"/>
      <c r="MMR1632" s="1"/>
      <c r="MMS1632" s="1"/>
      <c r="MMT1632" s="1"/>
      <c r="MMU1632" s="1"/>
      <c r="MMV1632" s="1"/>
      <c r="MMW1632" s="1"/>
      <c r="MMX1632" s="1"/>
      <c r="MMY1632" s="1"/>
      <c r="MMZ1632" s="1"/>
      <c r="MNA1632" s="1"/>
      <c r="MNB1632" s="1"/>
      <c r="MNC1632" s="1"/>
      <c r="MND1632" s="1"/>
      <c r="MNE1632" s="1"/>
      <c r="MNF1632" s="1"/>
      <c r="MNG1632" s="1"/>
      <c r="MNH1632" s="1"/>
      <c r="MNI1632" s="1"/>
      <c r="MNJ1632" s="1"/>
      <c r="MNK1632" s="1"/>
      <c r="MNL1632" s="1"/>
      <c r="MNM1632" s="1"/>
      <c r="MNN1632" s="1"/>
      <c r="MNO1632" s="1"/>
      <c r="MNP1632" s="1"/>
      <c r="MNQ1632" s="1"/>
      <c r="MNR1632" s="1"/>
      <c r="MNS1632" s="1"/>
      <c r="MNT1632" s="1"/>
      <c r="MNU1632" s="1"/>
      <c r="MNV1632" s="1"/>
      <c r="MNW1632" s="1"/>
      <c r="MNX1632" s="1"/>
      <c r="MNY1632" s="1"/>
      <c r="MNZ1632" s="1"/>
      <c r="MOA1632" s="1"/>
      <c r="MOB1632" s="1"/>
      <c r="MOC1632" s="1"/>
      <c r="MOD1632" s="1"/>
      <c r="MOE1632" s="1"/>
      <c r="MOF1632" s="1"/>
      <c r="MOG1632" s="1"/>
      <c r="MOH1632" s="1"/>
      <c r="MOI1632" s="1"/>
      <c r="MOJ1632" s="1"/>
      <c r="MOK1632" s="1"/>
      <c r="MOL1632" s="1"/>
      <c r="MOM1632" s="1"/>
      <c r="MON1632" s="1"/>
      <c r="MOO1632" s="1"/>
      <c r="MOP1632" s="1"/>
      <c r="MOQ1632" s="1"/>
      <c r="MOR1632" s="1"/>
      <c r="MOS1632" s="1"/>
      <c r="MOT1632" s="1"/>
      <c r="MOU1632" s="1"/>
      <c r="MOV1632" s="1"/>
      <c r="MOW1632" s="1"/>
      <c r="MOX1632" s="1"/>
      <c r="MOY1632" s="1"/>
      <c r="MOZ1632" s="1"/>
      <c r="MPA1632" s="1"/>
      <c r="MPB1632" s="1"/>
      <c r="MPC1632" s="1"/>
      <c r="MPD1632" s="1"/>
      <c r="MPE1632" s="1"/>
      <c r="MPF1632" s="1"/>
      <c r="MPG1632" s="1"/>
      <c r="MPH1632" s="1"/>
      <c r="MPI1632" s="1"/>
      <c r="MPJ1632" s="1"/>
      <c r="MPK1632" s="1"/>
      <c r="MPL1632" s="1"/>
      <c r="MPM1632" s="1"/>
      <c r="MPN1632" s="1"/>
      <c r="MPO1632" s="1"/>
      <c r="MPP1632" s="1"/>
      <c r="MPQ1632" s="1"/>
      <c r="MPR1632" s="1"/>
      <c r="MPS1632" s="1"/>
      <c r="MPT1632" s="1"/>
      <c r="MPU1632" s="1"/>
      <c r="MPV1632" s="1"/>
      <c r="MPW1632" s="1"/>
      <c r="MPX1632" s="1"/>
      <c r="MPY1632" s="1"/>
      <c r="MPZ1632" s="1"/>
      <c r="MQA1632" s="1"/>
      <c r="MQB1632" s="1"/>
      <c r="MQC1632" s="1"/>
      <c r="MQD1632" s="1"/>
      <c r="MQE1632" s="1"/>
      <c r="MQF1632" s="1"/>
      <c r="MQG1632" s="1"/>
      <c r="MQH1632" s="1"/>
      <c r="MQI1632" s="1"/>
      <c r="MQJ1632" s="1"/>
      <c r="MQK1632" s="1"/>
      <c r="MQL1632" s="1"/>
      <c r="MQM1632" s="1"/>
      <c r="MQN1632" s="1"/>
      <c r="MQO1632" s="1"/>
      <c r="MQP1632" s="1"/>
      <c r="MQQ1632" s="1"/>
      <c r="MQR1632" s="1"/>
      <c r="MQS1632" s="1"/>
      <c r="MQT1632" s="1"/>
      <c r="MQU1632" s="1"/>
      <c r="MQV1632" s="1"/>
      <c r="MQW1632" s="1"/>
      <c r="MQX1632" s="1"/>
      <c r="MQY1632" s="1"/>
      <c r="MQZ1632" s="1"/>
      <c r="MRA1632" s="1"/>
      <c r="MRB1632" s="1"/>
      <c r="MRC1632" s="1"/>
      <c r="MRD1632" s="1"/>
      <c r="MRE1632" s="1"/>
      <c r="MRF1632" s="1"/>
      <c r="MRG1632" s="1"/>
      <c r="MRH1632" s="1"/>
      <c r="MRI1632" s="1"/>
      <c r="MRJ1632" s="1"/>
      <c r="MRK1632" s="1"/>
      <c r="MRL1632" s="1"/>
      <c r="MRM1632" s="1"/>
      <c r="MRN1632" s="1"/>
      <c r="MRO1632" s="1"/>
      <c r="MRP1632" s="1"/>
      <c r="MRQ1632" s="1"/>
      <c r="MRR1632" s="1"/>
      <c r="MRS1632" s="1"/>
      <c r="MRT1632" s="1"/>
      <c r="MRU1632" s="1"/>
      <c r="MRV1632" s="1"/>
      <c r="MRW1632" s="1"/>
      <c r="MRX1632" s="1"/>
      <c r="MRY1632" s="1"/>
      <c r="MRZ1632" s="1"/>
      <c r="MSA1632" s="1"/>
      <c r="MSB1632" s="1"/>
      <c r="MSC1632" s="1"/>
      <c r="MSD1632" s="1"/>
      <c r="MSE1632" s="1"/>
      <c r="MSF1632" s="1"/>
      <c r="MSG1632" s="1"/>
      <c r="MSH1632" s="1"/>
      <c r="MSI1632" s="1"/>
      <c r="MSJ1632" s="1"/>
      <c r="MSK1632" s="1"/>
      <c r="MSL1632" s="1"/>
      <c r="MSM1632" s="1"/>
      <c r="MSN1632" s="1"/>
      <c r="MSO1632" s="1"/>
      <c r="MSP1632" s="1"/>
      <c r="MSQ1632" s="1"/>
      <c r="MSR1632" s="1"/>
      <c r="MSS1632" s="1"/>
      <c r="MST1632" s="1"/>
      <c r="MSU1632" s="1"/>
      <c r="MSV1632" s="1"/>
      <c r="MSW1632" s="1"/>
      <c r="MSX1632" s="1"/>
      <c r="MSY1632" s="1"/>
      <c r="MSZ1632" s="1"/>
      <c r="MTA1632" s="1"/>
      <c r="MTB1632" s="1"/>
      <c r="MTC1632" s="1"/>
      <c r="MTD1632" s="1"/>
      <c r="MTE1632" s="1"/>
      <c r="MTF1632" s="1"/>
      <c r="MTG1632" s="1"/>
      <c r="MTH1632" s="1"/>
      <c r="MTI1632" s="1"/>
      <c r="MTJ1632" s="1"/>
      <c r="MTK1632" s="1"/>
      <c r="MTL1632" s="1"/>
      <c r="MTM1632" s="1"/>
      <c r="MTN1632" s="1"/>
      <c r="MTO1632" s="1"/>
      <c r="MTP1632" s="1"/>
      <c r="MTQ1632" s="1"/>
      <c r="MTR1632" s="1"/>
      <c r="MTS1632" s="1"/>
      <c r="MTT1632" s="1"/>
      <c r="MTU1632" s="1"/>
      <c r="MTV1632" s="1"/>
      <c r="MTW1632" s="1"/>
      <c r="MTX1632" s="1"/>
      <c r="MTY1632" s="1"/>
      <c r="MTZ1632" s="1"/>
      <c r="MUA1632" s="1"/>
      <c r="MUB1632" s="1"/>
      <c r="MUC1632" s="1"/>
      <c r="MUD1632" s="1"/>
      <c r="MUE1632" s="1"/>
      <c r="MUF1632" s="1"/>
      <c r="MUG1632" s="1"/>
      <c r="MUH1632" s="1"/>
      <c r="MUI1632" s="1"/>
      <c r="MUJ1632" s="1"/>
      <c r="MUK1632" s="1"/>
      <c r="MUL1632" s="1"/>
      <c r="MUM1632" s="1"/>
      <c r="MUN1632" s="1"/>
      <c r="MUO1632" s="1"/>
      <c r="MUP1632" s="1"/>
      <c r="MUQ1632" s="1"/>
      <c r="MUR1632" s="1"/>
      <c r="MUS1632" s="1"/>
      <c r="MUT1632" s="1"/>
      <c r="MUU1632" s="1"/>
      <c r="MUV1632" s="1"/>
      <c r="MUW1632" s="1"/>
      <c r="MUX1632" s="1"/>
      <c r="MUY1632" s="1"/>
      <c r="MUZ1632" s="1"/>
      <c r="MVA1632" s="1"/>
      <c r="MVB1632" s="1"/>
      <c r="MVC1632" s="1"/>
      <c r="MVD1632" s="1"/>
      <c r="MVE1632" s="1"/>
      <c r="MVF1632" s="1"/>
      <c r="MVG1632" s="1"/>
      <c r="MVH1632" s="1"/>
      <c r="MVI1632" s="1"/>
      <c r="MVJ1632" s="1"/>
      <c r="MVK1632" s="1"/>
      <c r="MVL1632" s="1"/>
      <c r="MVM1632" s="1"/>
      <c r="MVN1632" s="1"/>
      <c r="MVO1632" s="1"/>
      <c r="MVP1632" s="1"/>
      <c r="MVQ1632" s="1"/>
      <c r="MVR1632" s="1"/>
      <c r="MVS1632" s="1"/>
      <c r="MVT1632" s="1"/>
      <c r="MVU1632" s="1"/>
      <c r="MVV1632" s="1"/>
      <c r="MVW1632" s="1"/>
      <c r="MVX1632" s="1"/>
      <c r="MVY1632" s="1"/>
      <c r="MVZ1632" s="1"/>
      <c r="MWA1632" s="1"/>
      <c r="MWB1632" s="1"/>
      <c r="MWC1632" s="1"/>
      <c r="MWD1632" s="1"/>
      <c r="MWE1632" s="1"/>
      <c r="MWF1632" s="1"/>
      <c r="MWG1632" s="1"/>
      <c r="MWH1632" s="1"/>
      <c r="MWI1632" s="1"/>
      <c r="MWJ1632" s="1"/>
      <c r="MWK1632" s="1"/>
      <c r="MWL1632" s="1"/>
      <c r="MWM1632" s="1"/>
      <c r="MWN1632" s="1"/>
      <c r="MWO1632" s="1"/>
      <c r="MWP1632" s="1"/>
      <c r="MWQ1632" s="1"/>
      <c r="MWR1632" s="1"/>
      <c r="MWS1632" s="1"/>
      <c r="MWT1632" s="1"/>
      <c r="MWU1632" s="1"/>
      <c r="MWV1632" s="1"/>
      <c r="MWW1632" s="1"/>
      <c r="MWX1632" s="1"/>
      <c r="MWY1632" s="1"/>
      <c r="MWZ1632" s="1"/>
      <c r="MXA1632" s="1"/>
      <c r="MXB1632" s="1"/>
      <c r="MXC1632" s="1"/>
      <c r="MXD1632" s="1"/>
      <c r="MXE1632" s="1"/>
      <c r="MXF1632" s="1"/>
      <c r="MXG1632" s="1"/>
      <c r="MXH1632" s="1"/>
      <c r="MXI1632" s="1"/>
      <c r="MXJ1632" s="1"/>
      <c r="MXK1632" s="1"/>
      <c r="MXL1632" s="1"/>
      <c r="MXM1632" s="1"/>
      <c r="MXN1632" s="1"/>
      <c r="MXO1632" s="1"/>
      <c r="MXP1632" s="1"/>
      <c r="MXQ1632" s="1"/>
      <c r="MXR1632" s="1"/>
      <c r="MXS1632" s="1"/>
      <c r="MXT1632" s="1"/>
      <c r="MXU1632" s="1"/>
      <c r="MXV1632" s="1"/>
      <c r="MXW1632" s="1"/>
      <c r="MXX1632" s="1"/>
      <c r="MXY1632" s="1"/>
      <c r="MXZ1632" s="1"/>
      <c r="MYA1632" s="1"/>
      <c r="MYB1632" s="1"/>
      <c r="MYC1632" s="1"/>
      <c r="MYD1632" s="1"/>
      <c r="MYE1632" s="1"/>
      <c r="MYF1632" s="1"/>
      <c r="MYG1632" s="1"/>
      <c r="MYH1632" s="1"/>
      <c r="MYI1632" s="1"/>
      <c r="MYJ1632" s="1"/>
      <c r="MYK1632" s="1"/>
      <c r="MYL1632" s="1"/>
      <c r="MYM1632" s="1"/>
      <c r="MYN1632" s="1"/>
      <c r="MYO1632" s="1"/>
      <c r="MYP1632" s="1"/>
      <c r="MYQ1632" s="1"/>
      <c r="MYR1632" s="1"/>
      <c r="MYS1632" s="1"/>
      <c r="MYT1632" s="1"/>
      <c r="MYU1632" s="1"/>
      <c r="MYV1632" s="1"/>
      <c r="MYW1632" s="1"/>
      <c r="MYX1632" s="1"/>
      <c r="MYY1632" s="1"/>
      <c r="MYZ1632" s="1"/>
      <c r="MZA1632" s="1"/>
      <c r="MZB1632" s="1"/>
      <c r="MZC1632" s="1"/>
      <c r="MZD1632" s="1"/>
      <c r="MZE1632" s="1"/>
      <c r="MZF1632" s="1"/>
      <c r="MZG1632" s="1"/>
      <c r="MZH1632" s="1"/>
      <c r="MZI1632" s="1"/>
      <c r="MZJ1632" s="1"/>
      <c r="MZK1632" s="1"/>
      <c r="MZL1632" s="1"/>
      <c r="MZM1632" s="1"/>
      <c r="MZN1632" s="1"/>
      <c r="MZO1632" s="1"/>
      <c r="MZP1632" s="1"/>
      <c r="MZQ1632" s="1"/>
      <c r="MZR1632" s="1"/>
      <c r="MZS1632" s="1"/>
      <c r="MZT1632" s="1"/>
      <c r="MZU1632" s="1"/>
      <c r="MZV1632" s="1"/>
      <c r="MZW1632" s="1"/>
      <c r="MZX1632" s="1"/>
      <c r="MZY1632" s="1"/>
      <c r="MZZ1632" s="1"/>
      <c r="NAA1632" s="1"/>
      <c r="NAB1632" s="1"/>
      <c r="NAC1632" s="1"/>
      <c r="NAD1632" s="1"/>
      <c r="NAE1632" s="1"/>
      <c r="NAF1632" s="1"/>
      <c r="NAG1632" s="1"/>
      <c r="NAH1632" s="1"/>
      <c r="NAI1632" s="1"/>
      <c r="NAJ1632" s="1"/>
      <c r="NAK1632" s="1"/>
      <c r="NAL1632" s="1"/>
      <c r="NAM1632" s="1"/>
      <c r="NAN1632" s="1"/>
      <c r="NAO1632" s="1"/>
      <c r="NAP1632" s="1"/>
      <c r="NAQ1632" s="1"/>
      <c r="NAR1632" s="1"/>
      <c r="NAS1632" s="1"/>
      <c r="NAT1632" s="1"/>
      <c r="NAU1632" s="1"/>
      <c r="NAV1632" s="1"/>
      <c r="NAW1632" s="1"/>
      <c r="NAX1632" s="1"/>
      <c r="NAY1632" s="1"/>
      <c r="NAZ1632" s="1"/>
      <c r="NBA1632" s="1"/>
      <c r="NBB1632" s="1"/>
      <c r="NBC1632" s="1"/>
      <c r="NBD1632" s="1"/>
      <c r="NBE1632" s="1"/>
      <c r="NBF1632" s="1"/>
      <c r="NBG1632" s="1"/>
      <c r="NBH1632" s="1"/>
      <c r="NBI1632" s="1"/>
      <c r="NBJ1632" s="1"/>
      <c r="NBK1632" s="1"/>
      <c r="NBL1632" s="1"/>
      <c r="NBM1632" s="1"/>
      <c r="NBN1632" s="1"/>
      <c r="NBO1632" s="1"/>
      <c r="NBP1632" s="1"/>
      <c r="NBQ1632" s="1"/>
      <c r="NBR1632" s="1"/>
      <c r="NBS1632" s="1"/>
      <c r="NBT1632" s="1"/>
      <c r="NBU1632" s="1"/>
      <c r="NBV1632" s="1"/>
      <c r="NBW1632" s="1"/>
      <c r="NBX1632" s="1"/>
      <c r="NBY1632" s="1"/>
      <c r="NBZ1632" s="1"/>
      <c r="NCA1632" s="1"/>
      <c r="NCB1632" s="1"/>
      <c r="NCC1632" s="1"/>
      <c r="NCD1632" s="1"/>
      <c r="NCE1632" s="1"/>
      <c r="NCF1632" s="1"/>
      <c r="NCG1632" s="1"/>
      <c r="NCH1632" s="1"/>
      <c r="NCI1632" s="1"/>
      <c r="NCJ1632" s="1"/>
      <c r="NCK1632" s="1"/>
      <c r="NCL1632" s="1"/>
      <c r="NCM1632" s="1"/>
      <c r="NCN1632" s="1"/>
      <c r="NCO1632" s="1"/>
      <c r="NCP1632" s="1"/>
      <c r="NCQ1632" s="1"/>
      <c r="NCR1632" s="1"/>
      <c r="NCS1632" s="1"/>
      <c r="NCT1632" s="1"/>
      <c r="NCU1632" s="1"/>
      <c r="NCV1632" s="1"/>
      <c r="NCW1632" s="1"/>
      <c r="NCX1632" s="1"/>
      <c r="NCY1632" s="1"/>
      <c r="NCZ1632" s="1"/>
      <c r="NDA1632" s="1"/>
      <c r="NDB1632" s="1"/>
      <c r="NDC1632" s="1"/>
      <c r="NDD1632" s="1"/>
      <c r="NDE1632" s="1"/>
      <c r="NDF1632" s="1"/>
      <c r="NDG1632" s="1"/>
      <c r="NDH1632" s="1"/>
      <c r="NDI1632" s="1"/>
      <c r="NDJ1632" s="1"/>
      <c r="NDK1632" s="1"/>
      <c r="NDL1632" s="1"/>
      <c r="NDM1632" s="1"/>
      <c r="NDN1632" s="1"/>
      <c r="NDO1632" s="1"/>
      <c r="NDP1632" s="1"/>
      <c r="NDQ1632" s="1"/>
      <c r="NDR1632" s="1"/>
      <c r="NDS1632" s="1"/>
      <c r="NDT1632" s="1"/>
      <c r="NDU1632" s="1"/>
      <c r="NDV1632" s="1"/>
      <c r="NDW1632" s="1"/>
      <c r="NDX1632" s="1"/>
      <c r="NDY1632" s="1"/>
      <c r="NDZ1632" s="1"/>
      <c r="NEA1632" s="1"/>
      <c r="NEB1632" s="1"/>
      <c r="NEC1632" s="1"/>
      <c r="NED1632" s="1"/>
      <c r="NEE1632" s="1"/>
      <c r="NEF1632" s="1"/>
      <c r="NEG1632" s="1"/>
      <c r="NEH1632" s="1"/>
      <c r="NEI1632" s="1"/>
      <c r="NEJ1632" s="1"/>
      <c r="NEK1632" s="1"/>
      <c r="NEL1632" s="1"/>
      <c r="NEM1632" s="1"/>
      <c r="NEN1632" s="1"/>
      <c r="NEO1632" s="1"/>
      <c r="NEP1632" s="1"/>
      <c r="NEQ1632" s="1"/>
      <c r="NER1632" s="1"/>
      <c r="NES1632" s="1"/>
      <c r="NET1632" s="1"/>
      <c r="NEU1632" s="1"/>
      <c r="NEV1632" s="1"/>
      <c r="NEW1632" s="1"/>
      <c r="NEX1632" s="1"/>
      <c r="NEY1632" s="1"/>
      <c r="NEZ1632" s="1"/>
      <c r="NFA1632" s="1"/>
      <c r="NFB1632" s="1"/>
      <c r="NFC1632" s="1"/>
      <c r="NFD1632" s="1"/>
      <c r="NFE1632" s="1"/>
      <c r="NFF1632" s="1"/>
      <c r="NFG1632" s="1"/>
      <c r="NFH1632" s="1"/>
      <c r="NFI1632" s="1"/>
      <c r="NFJ1632" s="1"/>
      <c r="NFK1632" s="1"/>
      <c r="NFL1632" s="1"/>
      <c r="NFM1632" s="1"/>
      <c r="NFN1632" s="1"/>
      <c r="NFO1632" s="1"/>
      <c r="NFP1632" s="1"/>
      <c r="NFQ1632" s="1"/>
      <c r="NFR1632" s="1"/>
      <c r="NFS1632" s="1"/>
      <c r="NFT1632" s="1"/>
      <c r="NFU1632" s="1"/>
      <c r="NFV1632" s="1"/>
      <c r="NFW1632" s="1"/>
      <c r="NFX1632" s="1"/>
      <c r="NFY1632" s="1"/>
      <c r="NFZ1632" s="1"/>
      <c r="NGA1632" s="1"/>
      <c r="NGB1632" s="1"/>
      <c r="NGC1632" s="1"/>
      <c r="NGD1632" s="1"/>
      <c r="NGE1632" s="1"/>
      <c r="NGF1632" s="1"/>
      <c r="NGG1632" s="1"/>
      <c r="NGH1632" s="1"/>
      <c r="NGI1632" s="1"/>
      <c r="NGJ1632" s="1"/>
      <c r="NGK1632" s="1"/>
      <c r="NGL1632" s="1"/>
      <c r="NGM1632" s="1"/>
      <c r="NGN1632" s="1"/>
      <c r="NGO1632" s="1"/>
      <c r="NGP1632" s="1"/>
      <c r="NGQ1632" s="1"/>
      <c r="NGR1632" s="1"/>
      <c r="NGS1632" s="1"/>
      <c r="NGT1632" s="1"/>
      <c r="NGU1632" s="1"/>
      <c r="NGV1632" s="1"/>
      <c r="NGW1632" s="1"/>
      <c r="NGX1632" s="1"/>
      <c r="NGY1632" s="1"/>
      <c r="NGZ1632" s="1"/>
      <c r="NHA1632" s="1"/>
      <c r="NHB1632" s="1"/>
      <c r="NHC1632" s="1"/>
      <c r="NHD1632" s="1"/>
      <c r="NHE1632" s="1"/>
      <c r="NHF1632" s="1"/>
      <c r="NHG1632" s="1"/>
      <c r="NHH1632" s="1"/>
      <c r="NHI1632" s="1"/>
      <c r="NHJ1632" s="1"/>
      <c r="NHK1632" s="1"/>
      <c r="NHL1632" s="1"/>
      <c r="NHM1632" s="1"/>
      <c r="NHN1632" s="1"/>
      <c r="NHO1632" s="1"/>
      <c r="NHP1632" s="1"/>
      <c r="NHQ1632" s="1"/>
      <c r="NHR1632" s="1"/>
      <c r="NHS1632" s="1"/>
      <c r="NHT1632" s="1"/>
      <c r="NHU1632" s="1"/>
      <c r="NHV1632" s="1"/>
      <c r="NHW1632" s="1"/>
      <c r="NHX1632" s="1"/>
      <c r="NHY1632" s="1"/>
      <c r="NHZ1632" s="1"/>
      <c r="NIA1632" s="1"/>
      <c r="NIB1632" s="1"/>
      <c r="NIC1632" s="1"/>
      <c r="NID1632" s="1"/>
      <c r="NIE1632" s="1"/>
      <c r="NIF1632" s="1"/>
      <c r="NIG1632" s="1"/>
      <c r="NIH1632" s="1"/>
      <c r="NII1632" s="1"/>
      <c r="NIJ1632" s="1"/>
      <c r="NIK1632" s="1"/>
      <c r="NIL1632" s="1"/>
      <c r="NIM1632" s="1"/>
      <c r="NIN1632" s="1"/>
      <c r="NIO1632" s="1"/>
      <c r="NIP1632" s="1"/>
      <c r="NIQ1632" s="1"/>
      <c r="NIR1632" s="1"/>
      <c r="NIS1632" s="1"/>
      <c r="NIT1632" s="1"/>
      <c r="NIU1632" s="1"/>
      <c r="NIV1632" s="1"/>
      <c r="NIW1632" s="1"/>
      <c r="NIX1632" s="1"/>
      <c r="NIY1632" s="1"/>
      <c r="NIZ1632" s="1"/>
      <c r="NJA1632" s="1"/>
      <c r="NJB1632" s="1"/>
      <c r="NJC1632" s="1"/>
      <c r="NJD1632" s="1"/>
      <c r="NJE1632" s="1"/>
      <c r="NJF1632" s="1"/>
      <c r="NJG1632" s="1"/>
      <c r="NJH1632" s="1"/>
      <c r="NJI1632" s="1"/>
      <c r="NJJ1632" s="1"/>
      <c r="NJK1632" s="1"/>
      <c r="NJL1632" s="1"/>
      <c r="NJM1632" s="1"/>
      <c r="NJN1632" s="1"/>
      <c r="NJO1632" s="1"/>
      <c r="NJP1632" s="1"/>
      <c r="NJQ1632" s="1"/>
      <c r="NJR1632" s="1"/>
      <c r="NJS1632" s="1"/>
      <c r="NJT1632" s="1"/>
      <c r="NJU1632" s="1"/>
      <c r="NJV1632" s="1"/>
      <c r="NJW1632" s="1"/>
      <c r="NJX1632" s="1"/>
      <c r="NJY1632" s="1"/>
      <c r="NJZ1632" s="1"/>
      <c r="NKA1632" s="1"/>
      <c r="NKB1632" s="1"/>
      <c r="NKC1632" s="1"/>
      <c r="NKD1632" s="1"/>
      <c r="NKE1632" s="1"/>
      <c r="NKF1632" s="1"/>
      <c r="NKG1632" s="1"/>
      <c r="NKH1632" s="1"/>
      <c r="NKI1632" s="1"/>
      <c r="NKJ1632" s="1"/>
      <c r="NKK1632" s="1"/>
      <c r="NKL1632" s="1"/>
      <c r="NKM1632" s="1"/>
      <c r="NKN1632" s="1"/>
      <c r="NKO1632" s="1"/>
      <c r="NKP1632" s="1"/>
      <c r="NKQ1632" s="1"/>
      <c r="NKR1632" s="1"/>
      <c r="NKS1632" s="1"/>
      <c r="NKT1632" s="1"/>
      <c r="NKU1632" s="1"/>
      <c r="NKV1632" s="1"/>
      <c r="NKW1632" s="1"/>
      <c r="NKX1632" s="1"/>
      <c r="NKY1632" s="1"/>
      <c r="NKZ1632" s="1"/>
      <c r="NLA1632" s="1"/>
      <c r="NLB1632" s="1"/>
      <c r="NLC1632" s="1"/>
      <c r="NLD1632" s="1"/>
      <c r="NLE1632" s="1"/>
      <c r="NLF1632" s="1"/>
      <c r="NLG1632" s="1"/>
      <c r="NLH1632" s="1"/>
      <c r="NLI1632" s="1"/>
      <c r="NLJ1632" s="1"/>
      <c r="NLK1632" s="1"/>
      <c r="NLL1632" s="1"/>
      <c r="NLM1632" s="1"/>
      <c r="NLN1632" s="1"/>
      <c r="NLO1632" s="1"/>
      <c r="NLP1632" s="1"/>
      <c r="NLQ1632" s="1"/>
      <c r="NLR1632" s="1"/>
      <c r="NLS1632" s="1"/>
      <c r="NLT1632" s="1"/>
      <c r="NLU1632" s="1"/>
      <c r="NLV1632" s="1"/>
      <c r="NLW1632" s="1"/>
      <c r="NLX1632" s="1"/>
      <c r="NLY1632" s="1"/>
      <c r="NLZ1632" s="1"/>
      <c r="NMA1632" s="1"/>
      <c r="NMB1632" s="1"/>
      <c r="NMC1632" s="1"/>
      <c r="NMD1632" s="1"/>
      <c r="NME1632" s="1"/>
      <c r="NMF1632" s="1"/>
      <c r="NMG1632" s="1"/>
      <c r="NMH1632" s="1"/>
      <c r="NMI1632" s="1"/>
      <c r="NMJ1632" s="1"/>
      <c r="NMK1632" s="1"/>
      <c r="NML1632" s="1"/>
      <c r="NMM1632" s="1"/>
      <c r="NMN1632" s="1"/>
      <c r="NMO1632" s="1"/>
      <c r="NMP1632" s="1"/>
      <c r="NMQ1632" s="1"/>
      <c r="NMR1632" s="1"/>
      <c r="NMS1632" s="1"/>
      <c r="NMT1632" s="1"/>
      <c r="NMU1632" s="1"/>
      <c r="NMV1632" s="1"/>
      <c r="NMW1632" s="1"/>
      <c r="NMX1632" s="1"/>
      <c r="NMY1632" s="1"/>
      <c r="NMZ1632" s="1"/>
      <c r="NNA1632" s="1"/>
      <c r="NNB1632" s="1"/>
      <c r="NNC1632" s="1"/>
      <c r="NND1632" s="1"/>
      <c r="NNE1632" s="1"/>
      <c r="NNF1632" s="1"/>
      <c r="NNG1632" s="1"/>
      <c r="NNH1632" s="1"/>
      <c r="NNI1632" s="1"/>
      <c r="NNJ1632" s="1"/>
      <c r="NNK1632" s="1"/>
      <c r="NNL1632" s="1"/>
      <c r="NNM1632" s="1"/>
      <c r="NNN1632" s="1"/>
      <c r="NNO1632" s="1"/>
      <c r="NNP1632" s="1"/>
      <c r="NNQ1632" s="1"/>
      <c r="NNR1632" s="1"/>
      <c r="NNS1632" s="1"/>
      <c r="NNT1632" s="1"/>
      <c r="NNU1632" s="1"/>
      <c r="NNV1632" s="1"/>
      <c r="NNW1632" s="1"/>
      <c r="NNX1632" s="1"/>
      <c r="NNY1632" s="1"/>
      <c r="NNZ1632" s="1"/>
      <c r="NOA1632" s="1"/>
      <c r="NOB1632" s="1"/>
      <c r="NOC1632" s="1"/>
      <c r="NOD1632" s="1"/>
      <c r="NOE1632" s="1"/>
      <c r="NOF1632" s="1"/>
      <c r="NOG1632" s="1"/>
      <c r="NOH1632" s="1"/>
      <c r="NOI1632" s="1"/>
      <c r="NOJ1632" s="1"/>
      <c r="NOK1632" s="1"/>
      <c r="NOL1632" s="1"/>
      <c r="NOM1632" s="1"/>
      <c r="NON1632" s="1"/>
      <c r="NOO1632" s="1"/>
      <c r="NOP1632" s="1"/>
      <c r="NOQ1632" s="1"/>
      <c r="NOR1632" s="1"/>
      <c r="NOS1632" s="1"/>
      <c r="NOT1632" s="1"/>
      <c r="NOU1632" s="1"/>
      <c r="NOV1632" s="1"/>
      <c r="NOW1632" s="1"/>
      <c r="NOX1632" s="1"/>
      <c r="NOY1632" s="1"/>
      <c r="NOZ1632" s="1"/>
      <c r="NPA1632" s="1"/>
      <c r="NPB1632" s="1"/>
      <c r="NPC1632" s="1"/>
      <c r="NPD1632" s="1"/>
      <c r="NPE1632" s="1"/>
      <c r="NPF1632" s="1"/>
      <c r="NPG1632" s="1"/>
      <c r="NPH1632" s="1"/>
      <c r="NPI1632" s="1"/>
      <c r="NPJ1632" s="1"/>
      <c r="NPK1632" s="1"/>
      <c r="NPL1632" s="1"/>
      <c r="NPM1632" s="1"/>
      <c r="NPN1632" s="1"/>
      <c r="NPO1632" s="1"/>
      <c r="NPP1632" s="1"/>
      <c r="NPQ1632" s="1"/>
      <c r="NPR1632" s="1"/>
      <c r="NPS1632" s="1"/>
      <c r="NPT1632" s="1"/>
      <c r="NPU1632" s="1"/>
      <c r="NPV1632" s="1"/>
      <c r="NPW1632" s="1"/>
      <c r="NPX1632" s="1"/>
      <c r="NPY1632" s="1"/>
      <c r="NPZ1632" s="1"/>
      <c r="NQA1632" s="1"/>
      <c r="NQB1632" s="1"/>
      <c r="NQC1632" s="1"/>
      <c r="NQD1632" s="1"/>
      <c r="NQE1632" s="1"/>
      <c r="NQF1632" s="1"/>
      <c r="NQG1632" s="1"/>
      <c r="NQH1632" s="1"/>
      <c r="NQI1632" s="1"/>
      <c r="NQJ1632" s="1"/>
      <c r="NQK1632" s="1"/>
      <c r="NQL1632" s="1"/>
      <c r="NQM1632" s="1"/>
      <c r="NQN1632" s="1"/>
      <c r="NQO1632" s="1"/>
      <c r="NQP1632" s="1"/>
      <c r="NQQ1632" s="1"/>
      <c r="NQR1632" s="1"/>
      <c r="NQS1632" s="1"/>
      <c r="NQT1632" s="1"/>
      <c r="NQU1632" s="1"/>
      <c r="NQV1632" s="1"/>
      <c r="NQW1632" s="1"/>
      <c r="NQX1632" s="1"/>
      <c r="NQY1632" s="1"/>
      <c r="NQZ1632" s="1"/>
      <c r="NRA1632" s="1"/>
      <c r="NRB1632" s="1"/>
      <c r="NRC1632" s="1"/>
      <c r="NRD1632" s="1"/>
      <c r="NRE1632" s="1"/>
      <c r="NRF1632" s="1"/>
      <c r="NRG1632" s="1"/>
      <c r="NRH1632" s="1"/>
      <c r="NRI1632" s="1"/>
      <c r="NRJ1632" s="1"/>
      <c r="NRK1632" s="1"/>
      <c r="NRL1632" s="1"/>
      <c r="NRM1632" s="1"/>
      <c r="NRN1632" s="1"/>
      <c r="NRO1632" s="1"/>
      <c r="NRP1632" s="1"/>
      <c r="NRQ1632" s="1"/>
      <c r="NRR1632" s="1"/>
      <c r="NRS1632" s="1"/>
      <c r="NRT1632" s="1"/>
      <c r="NRU1632" s="1"/>
      <c r="NRV1632" s="1"/>
      <c r="NRW1632" s="1"/>
      <c r="NRX1632" s="1"/>
      <c r="NRY1632" s="1"/>
      <c r="NRZ1632" s="1"/>
      <c r="NSA1632" s="1"/>
      <c r="NSB1632" s="1"/>
      <c r="NSC1632" s="1"/>
      <c r="NSD1632" s="1"/>
      <c r="NSE1632" s="1"/>
      <c r="NSF1632" s="1"/>
      <c r="NSG1632" s="1"/>
      <c r="NSH1632" s="1"/>
      <c r="NSI1632" s="1"/>
      <c r="NSJ1632" s="1"/>
      <c r="NSK1632" s="1"/>
      <c r="NSL1632" s="1"/>
      <c r="NSM1632" s="1"/>
      <c r="NSN1632" s="1"/>
      <c r="NSO1632" s="1"/>
      <c r="NSP1632" s="1"/>
      <c r="NSQ1632" s="1"/>
      <c r="NSR1632" s="1"/>
      <c r="NSS1632" s="1"/>
      <c r="NST1632" s="1"/>
      <c r="NSU1632" s="1"/>
      <c r="NSV1632" s="1"/>
      <c r="NSW1632" s="1"/>
      <c r="NSX1632" s="1"/>
      <c r="NSY1632" s="1"/>
      <c r="NSZ1632" s="1"/>
      <c r="NTA1632" s="1"/>
      <c r="NTB1632" s="1"/>
      <c r="NTC1632" s="1"/>
      <c r="NTD1632" s="1"/>
      <c r="NTE1632" s="1"/>
      <c r="NTF1632" s="1"/>
      <c r="NTG1632" s="1"/>
      <c r="NTH1632" s="1"/>
      <c r="NTI1632" s="1"/>
      <c r="NTJ1632" s="1"/>
      <c r="NTK1632" s="1"/>
      <c r="NTL1632" s="1"/>
      <c r="NTM1632" s="1"/>
      <c r="NTN1632" s="1"/>
      <c r="NTO1632" s="1"/>
      <c r="NTP1632" s="1"/>
      <c r="NTQ1632" s="1"/>
      <c r="NTR1632" s="1"/>
      <c r="NTS1632" s="1"/>
      <c r="NTT1632" s="1"/>
      <c r="NTU1632" s="1"/>
      <c r="NTV1632" s="1"/>
      <c r="NTW1632" s="1"/>
      <c r="NTX1632" s="1"/>
      <c r="NTY1632" s="1"/>
      <c r="NTZ1632" s="1"/>
      <c r="NUA1632" s="1"/>
      <c r="NUB1632" s="1"/>
      <c r="NUC1632" s="1"/>
      <c r="NUD1632" s="1"/>
      <c r="NUE1632" s="1"/>
      <c r="NUF1632" s="1"/>
      <c r="NUG1632" s="1"/>
      <c r="NUH1632" s="1"/>
      <c r="NUI1632" s="1"/>
      <c r="NUJ1632" s="1"/>
      <c r="NUK1632" s="1"/>
      <c r="NUL1632" s="1"/>
      <c r="NUM1632" s="1"/>
      <c r="NUN1632" s="1"/>
      <c r="NUO1632" s="1"/>
      <c r="NUP1632" s="1"/>
      <c r="NUQ1632" s="1"/>
      <c r="NUR1632" s="1"/>
      <c r="NUS1632" s="1"/>
      <c r="NUT1632" s="1"/>
      <c r="NUU1632" s="1"/>
      <c r="NUV1632" s="1"/>
      <c r="NUW1632" s="1"/>
      <c r="NUX1632" s="1"/>
      <c r="NUY1632" s="1"/>
      <c r="NUZ1632" s="1"/>
      <c r="NVA1632" s="1"/>
      <c r="NVB1632" s="1"/>
      <c r="NVC1632" s="1"/>
      <c r="NVD1632" s="1"/>
      <c r="NVE1632" s="1"/>
      <c r="NVF1632" s="1"/>
      <c r="NVG1632" s="1"/>
      <c r="NVH1632" s="1"/>
      <c r="NVI1632" s="1"/>
      <c r="NVJ1632" s="1"/>
      <c r="NVK1632" s="1"/>
      <c r="NVL1632" s="1"/>
      <c r="NVM1632" s="1"/>
      <c r="NVN1632" s="1"/>
      <c r="NVO1632" s="1"/>
      <c r="NVP1632" s="1"/>
      <c r="NVQ1632" s="1"/>
      <c r="NVR1632" s="1"/>
      <c r="NVS1632" s="1"/>
      <c r="NVT1632" s="1"/>
      <c r="NVU1632" s="1"/>
      <c r="NVV1632" s="1"/>
      <c r="NVW1632" s="1"/>
      <c r="NVX1632" s="1"/>
      <c r="NVY1632" s="1"/>
      <c r="NVZ1632" s="1"/>
      <c r="NWA1632" s="1"/>
      <c r="NWB1632" s="1"/>
      <c r="NWC1632" s="1"/>
      <c r="NWD1632" s="1"/>
      <c r="NWE1632" s="1"/>
      <c r="NWF1632" s="1"/>
      <c r="NWG1632" s="1"/>
      <c r="NWH1632" s="1"/>
      <c r="NWI1632" s="1"/>
      <c r="NWJ1632" s="1"/>
      <c r="NWK1632" s="1"/>
      <c r="NWL1632" s="1"/>
      <c r="NWM1632" s="1"/>
      <c r="NWN1632" s="1"/>
      <c r="NWO1632" s="1"/>
      <c r="NWP1632" s="1"/>
      <c r="NWQ1632" s="1"/>
      <c r="NWR1632" s="1"/>
      <c r="NWS1632" s="1"/>
      <c r="NWT1632" s="1"/>
      <c r="NWU1632" s="1"/>
      <c r="NWV1632" s="1"/>
      <c r="NWW1632" s="1"/>
      <c r="NWX1632" s="1"/>
      <c r="NWY1632" s="1"/>
      <c r="NWZ1632" s="1"/>
      <c r="NXA1632" s="1"/>
      <c r="NXB1632" s="1"/>
      <c r="NXC1632" s="1"/>
      <c r="NXD1632" s="1"/>
      <c r="NXE1632" s="1"/>
      <c r="NXF1632" s="1"/>
      <c r="NXG1632" s="1"/>
      <c r="NXH1632" s="1"/>
      <c r="NXI1632" s="1"/>
      <c r="NXJ1632" s="1"/>
      <c r="NXK1632" s="1"/>
      <c r="NXL1632" s="1"/>
      <c r="NXM1632" s="1"/>
      <c r="NXN1632" s="1"/>
      <c r="NXO1632" s="1"/>
      <c r="NXP1632" s="1"/>
      <c r="NXQ1632" s="1"/>
      <c r="NXR1632" s="1"/>
      <c r="NXS1632" s="1"/>
      <c r="NXT1632" s="1"/>
      <c r="NXU1632" s="1"/>
      <c r="NXV1632" s="1"/>
      <c r="NXW1632" s="1"/>
      <c r="NXX1632" s="1"/>
      <c r="NXY1632" s="1"/>
      <c r="NXZ1632" s="1"/>
      <c r="NYA1632" s="1"/>
      <c r="NYB1632" s="1"/>
      <c r="NYC1632" s="1"/>
      <c r="NYD1632" s="1"/>
      <c r="NYE1632" s="1"/>
      <c r="NYF1632" s="1"/>
      <c r="NYG1632" s="1"/>
      <c r="NYH1632" s="1"/>
      <c r="NYI1632" s="1"/>
      <c r="NYJ1632" s="1"/>
      <c r="NYK1632" s="1"/>
      <c r="NYL1632" s="1"/>
      <c r="NYM1632" s="1"/>
      <c r="NYN1632" s="1"/>
      <c r="NYO1632" s="1"/>
      <c r="NYP1632" s="1"/>
      <c r="NYQ1632" s="1"/>
      <c r="NYR1632" s="1"/>
      <c r="NYS1632" s="1"/>
      <c r="NYT1632" s="1"/>
      <c r="NYU1632" s="1"/>
      <c r="NYV1632" s="1"/>
      <c r="NYW1632" s="1"/>
      <c r="NYX1632" s="1"/>
      <c r="NYY1632" s="1"/>
      <c r="NYZ1632" s="1"/>
      <c r="NZA1632" s="1"/>
      <c r="NZB1632" s="1"/>
      <c r="NZC1632" s="1"/>
      <c r="NZD1632" s="1"/>
      <c r="NZE1632" s="1"/>
      <c r="NZF1632" s="1"/>
      <c r="NZG1632" s="1"/>
      <c r="NZH1632" s="1"/>
      <c r="NZI1632" s="1"/>
      <c r="NZJ1632" s="1"/>
      <c r="NZK1632" s="1"/>
      <c r="NZL1632" s="1"/>
      <c r="NZM1632" s="1"/>
      <c r="NZN1632" s="1"/>
      <c r="NZO1632" s="1"/>
      <c r="NZP1632" s="1"/>
      <c r="NZQ1632" s="1"/>
      <c r="NZR1632" s="1"/>
      <c r="NZS1632" s="1"/>
      <c r="NZT1632" s="1"/>
      <c r="NZU1632" s="1"/>
      <c r="NZV1632" s="1"/>
      <c r="NZW1632" s="1"/>
      <c r="NZX1632" s="1"/>
      <c r="NZY1632" s="1"/>
      <c r="NZZ1632" s="1"/>
      <c r="OAA1632" s="1"/>
      <c r="OAB1632" s="1"/>
      <c r="OAC1632" s="1"/>
      <c r="OAD1632" s="1"/>
      <c r="OAE1632" s="1"/>
      <c r="OAF1632" s="1"/>
      <c r="OAG1632" s="1"/>
      <c r="OAH1632" s="1"/>
      <c r="OAI1632" s="1"/>
      <c r="OAJ1632" s="1"/>
      <c r="OAK1632" s="1"/>
      <c r="OAL1632" s="1"/>
      <c r="OAM1632" s="1"/>
      <c r="OAN1632" s="1"/>
      <c r="OAO1632" s="1"/>
      <c r="OAP1632" s="1"/>
      <c r="OAQ1632" s="1"/>
      <c r="OAR1632" s="1"/>
      <c r="OAS1632" s="1"/>
      <c r="OAT1632" s="1"/>
      <c r="OAU1632" s="1"/>
      <c r="OAV1632" s="1"/>
      <c r="OAW1632" s="1"/>
      <c r="OAX1632" s="1"/>
      <c r="OAY1632" s="1"/>
      <c r="OAZ1632" s="1"/>
      <c r="OBA1632" s="1"/>
      <c r="OBB1632" s="1"/>
      <c r="OBC1632" s="1"/>
      <c r="OBD1632" s="1"/>
      <c r="OBE1632" s="1"/>
      <c r="OBF1632" s="1"/>
      <c r="OBG1632" s="1"/>
      <c r="OBH1632" s="1"/>
      <c r="OBI1632" s="1"/>
      <c r="OBJ1632" s="1"/>
      <c r="OBK1632" s="1"/>
      <c r="OBL1632" s="1"/>
      <c r="OBM1632" s="1"/>
      <c r="OBN1632" s="1"/>
      <c r="OBO1632" s="1"/>
      <c r="OBP1632" s="1"/>
      <c r="OBQ1632" s="1"/>
      <c r="OBR1632" s="1"/>
      <c r="OBS1632" s="1"/>
      <c r="OBT1632" s="1"/>
      <c r="OBU1632" s="1"/>
      <c r="OBV1632" s="1"/>
      <c r="OBW1632" s="1"/>
      <c r="OBX1632" s="1"/>
      <c r="OBY1632" s="1"/>
      <c r="OBZ1632" s="1"/>
      <c r="OCA1632" s="1"/>
      <c r="OCB1632" s="1"/>
      <c r="OCC1632" s="1"/>
      <c r="OCD1632" s="1"/>
      <c r="OCE1632" s="1"/>
      <c r="OCF1632" s="1"/>
      <c r="OCG1632" s="1"/>
      <c r="OCH1632" s="1"/>
      <c r="OCI1632" s="1"/>
      <c r="OCJ1632" s="1"/>
      <c r="OCK1632" s="1"/>
      <c r="OCL1632" s="1"/>
      <c r="OCM1632" s="1"/>
      <c r="OCN1632" s="1"/>
      <c r="OCO1632" s="1"/>
      <c r="OCP1632" s="1"/>
      <c r="OCQ1632" s="1"/>
      <c r="OCR1632" s="1"/>
      <c r="OCS1632" s="1"/>
      <c r="OCT1632" s="1"/>
      <c r="OCU1632" s="1"/>
      <c r="OCV1632" s="1"/>
      <c r="OCW1632" s="1"/>
      <c r="OCX1632" s="1"/>
      <c r="OCY1632" s="1"/>
      <c r="OCZ1632" s="1"/>
      <c r="ODA1632" s="1"/>
      <c r="ODB1632" s="1"/>
      <c r="ODC1632" s="1"/>
      <c r="ODD1632" s="1"/>
      <c r="ODE1632" s="1"/>
      <c r="ODF1632" s="1"/>
      <c r="ODG1632" s="1"/>
      <c r="ODH1632" s="1"/>
      <c r="ODI1632" s="1"/>
      <c r="ODJ1632" s="1"/>
      <c r="ODK1632" s="1"/>
      <c r="ODL1632" s="1"/>
      <c r="ODM1632" s="1"/>
      <c r="ODN1632" s="1"/>
      <c r="ODO1632" s="1"/>
      <c r="ODP1632" s="1"/>
      <c r="ODQ1632" s="1"/>
      <c r="ODR1632" s="1"/>
      <c r="ODS1632" s="1"/>
      <c r="ODT1632" s="1"/>
      <c r="ODU1632" s="1"/>
      <c r="ODV1632" s="1"/>
      <c r="ODW1632" s="1"/>
      <c r="ODX1632" s="1"/>
      <c r="ODY1632" s="1"/>
      <c r="ODZ1632" s="1"/>
      <c r="OEA1632" s="1"/>
      <c r="OEB1632" s="1"/>
      <c r="OEC1632" s="1"/>
      <c r="OED1632" s="1"/>
      <c r="OEE1632" s="1"/>
      <c r="OEF1632" s="1"/>
      <c r="OEG1632" s="1"/>
      <c r="OEH1632" s="1"/>
      <c r="OEI1632" s="1"/>
      <c r="OEJ1632" s="1"/>
      <c r="OEK1632" s="1"/>
      <c r="OEL1632" s="1"/>
      <c r="OEM1632" s="1"/>
      <c r="OEN1632" s="1"/>
      <c r="OEO1632" s="1"/>
      <c r="OEP1632" s="1"/>
      <c r="OEQ1632" s="1"/>
      <c r="OER1632" s="1"/>
      <c r="OES1632" s="1"/>
      <c r="OET1632" s="1"/>
      <c r="OEU1632" s="1"/>
      <c r="OEV1632" s="1"/>
      <c r="OEW1632" s="1"/>
      <c r="OEX1632" s="1"/>
      <c r="OEY1632" s="1"/>
      <c r="OEZ1632" s="1"/>
      <c r="OFA1632" s="1"/>
      <c r="OFB1632" s="1"/>
      <c r="OFC1632" s="1"/>
      <c r="OFD1632" s="1"/>
      <c r="OFE1632" s="1"/>
      <c r="OFF1632" s="1"/>
      <c r="OFG1632" s="1"/>
      <c r="OFH1632" s="1"/>
      <c r="OFI1632" s="1"/>
      <c r="OFJ1632" s="1"/>
      <c r="OFK1632" s="1"/>
      <c r="OFL1632" s="1"/>
      <c r="OFM1632" s="1"/>
      <c r="OFN1632" s="1"/>
      <c r="OFO1632" s="1"/>
      <c r="OFP1632" s="1"/>
      <c r="OFQ1632" s="1"/>
      <c r="OFR1632" s="1"/>
      <c r="OFS1632" s="1"/>
      <c r="OFT1632" s="1"/>
      <c r="OFU1632" s="1"/>
      <c r="OFV1632" s="1"/>
      <c r="OFW1632" s="1"/>
      <c r="OFX1632" s="1"/>
      <c r="OFY1632" s="1"/>
      <c r="OFZ1632" s="1"/>
      <c r="OGA1632" s="1"/>
      <c r="OGB1632" s="1"/>
      <c r="OGC1632" s="1"/>
      <c r="OGD1632" s="1"/>
      <c r="OGE1632" s="1"/>
      <c r="OGF1632" s="1"/>
      <c r="OGG1632" s="1"/>
      <c r="OGH1632" s="1"/>
      <c r="OGI1632" s="1"/>
      <c r="OGJ1632" s="1"/>
      <c r="OGK1632" s="1"/>
      <c r="OGL1632" s="1"/>
      <c r="OGM1632" s="1"/>
      <c r="OGN1632" s="1"/>
      <c r="OGO1632" s="1"/>
      <c r="OGP1632" s="1"/>
      <c r="OGQ1632" s="1"/>
      <c r="OGR1632" s="1"/>
      <c r="OGS1632" s="1"/>
      <c r="OGT1632" s="1"/>
      <c r="OGU1632" s="1"/>
      <c r="OGV1632" s="1"/>
      <c r="OGW1632" s="1"/>
      <c r="OGX1632" s="1"/>
      <c r="OGY1632" s="1"/>
      <c r="OGZ1632" s="1"/>
      <c r="OHA1632" s="1"/>
      <c r="OHB1632" s="1"/>
      <c r="OHC1632" s="1"/>
      <c r="OHD1632" s="1"/>
      <c r="OHE1632" s="1"/>
      <c r="OHF1632" s="1"/>
      <c r="OHG1632" s="1"/>
      <c r="OHH1632" s="1"/>
      <c r="OHI1632" s="1"/>
      <c r="OHJ1632" s="1"/>
      <c r="OHK1632" s="1"/>
      <c r="OHL1632" s="1"/>
      <c r="OHM1632" s="1"/>
      <c r="OHN1632" s="1"/>
      <c r="OHO1632" s="1"/>
      <c r="OHP1632" s="1"/>
      <c r="OHQ1632" s="1"/>
      <c r="OHR1632" s="1"/>
      <c r="OHS1632" s="1"/>
      <c r="OHT1632" s="1"/>
      <c r="OHU1632" s="1"/>
      <c r="OHV1632" s="1"/>
      <c r="OHW1632" s="1"/>
      <c r="OHX1632" s="1"/>
      <c r="OHY1632" s="1"/>
      <c r="OHZ1632" s="1"/>
      <c r="OIA1632" s="1"/>
      <c r="OIB1632" s="1"/>
      <c r="OIC1632" s="1"/>
      <c r="OID1632" s="1"/>
      <c r="OIE1632" s="1"/>
      <c r="OIF1632" s="1"/>
      <c r="OIG1632" s="1"/>
      <c r="OIH1632" s="1"/>
      <c r="OII1632" s="1"/>
      <c r="OIJ1632" s="1"/>
      <c r="OIK1632" s="1"/>
      <c r="OIL1632" s="1"/>
      <c r="OIM1632" s="1"/>
      <c r="OIN1632" s="1"/>
      <c r="OIO1632" s="1"/>
      <c r="OIP1632" s="1"/>
      <c r="OIQ1632" s="1"/>
      <c r="OIR1632" s="1"/>
      <c r="OIS1632" s="1"/>
      <c r="OIT1632" s="1"/>
      <c r="OIU1632" s="1"/>
      <c r="OIV1632" s="1"/>
      <c r="OIW1632" s="1"/>
      <c r="OIX1632" s="1"/>
      <c r="OIY1632" s="1"/>
      <c r="OIZ1632" s="1"/>
      <c r="OJA1632" s="1"/>
      <c r="OJB1632" s="1"/>
      <c r="OJC1632" s="1"/>
      <c r="OJD1632" s="1"/>
      <c r="OJE1632" s="1"/>
      <c r="OJF1632" s="1"/>
      <c r="OJG1632" s="1"/>
      <c r="OJH1632" s="1"/>
      <c r="OJI1632" s="1"/>
      <c r="OJJ1632" s="1"/>
      <c r="OJK1632" s="1"/>
      <c r="OJL1632" s="1"/>
      <c r="OJM1632" s="1"/>
      <c r="OJN1632" s="1"/>
      <c r="OJO1632" s="1"/>
      <c r="OJP1632" s="1"/>
      <c r="OJQ1632" s="1"/>
      <c r="OJR1632" s="1"/>
      <c r="OJS1632" s="1"/>
      <c r="OJT1632" s="1"/>
      <c r="OJU1632" s="1"/>
      <c r="OJV1632" s="1"/>
      <c r="OJW1632" s="1"/>
      <c r="OJX1632" s="1"/>
      <c r="OJY1632" s="1"/>
      <c r="OJZ1632" s="1"/>
      <c r="OKA1632" s="1"/>
      <c r="OKB1632" s="1"/>
      <c r="OKC1632" s="1"/>
      <c r="OKD1632" s="1"/>
      <c r="OKE1632" s="1"/>
      <c r="OKF1632" s="1"/>
      <c r="OKG1632" s="1"/>
      <c r="OKH1632" s="1"/>
      <c r="OKI1632" s="1"/>
      <c r="OKJ1632" s="1"/>
      <c r="OKK1632" s="1"/>
      <c r="OKL1632" s="1"/>
      <c r="OKM1632" s="1"/>
      <c r="OKN1632" s="1"/>
      <c r="OKO1632" s="1"/>
      <c r="OKP1632" s="1"/>
      <c r="OKQ1632" s="1"/>
      <c r="OKR1632" s="1"/>
      <c r="OKS1632" s="1"/>
      <c r="OKT1632" s="1"/>
      <c r="OKU1632" s="1"/>
      <c r="OKV1632" s="1"/>
      <c r="OKW1632" s="1"/>
      <c r="OKX1632" s="1"/>
      <c r="OKY1632" s="1"/>
      <c r="OKZ1632" s="1"/>
      <c r="OLA1632" s="1"/>
      <c r="OLB1632" s="1"/>
      <c r="OLC1632" s="1"/>
      <c r="OLD1632" s="1"/>
      <c r="OLE1632" s="1"/>
      <c r="OLF1632" s="1"/>
      <c r="OLG1632" s="1"/>
      <c r="OLH1632" s="1"/>
      <c r="OLI1632" s="1"/>
      <c r="OLJ1632" s="1"/>
      <c r="OLK1632" s="1"/>
      <c r="OLL1632" s="1"/>
      <c r="OLM1632" s="1"/>
      <c r="OLN1632" s="1"/>
      <c r="OLO1632" s="1"/>
      <c r="OLP1632" s="1"/>
      <c r="OLQ1632" s="1"/>
      <c r="OLR1632" s="1"/>
      <c r="OLS1632" s="1"/>
      <c r="OLT1632" s="1"/>
      <c r="OLU1632" s="1"/>
      <c r="OLV1632" s="1"/>
      <c r="OLW1632" s="1"/>
      <c r="OLX1632" s="1"/>
      <c r="OLY1632" s="1"/>
      <c r="OLZ1632" s="1"/>
      <c r="OMA1632" s="1"/>
      <c r="OMB1632" s="1"/>
      <c r="OMC1632" s="1"/>
      <c r="OMD1632" s="1"/>
      <c r="OME1632" s="1"/>
      <c r="OMF1632" s="1"/>
      <c r="OMG1632" s="1"/>
      <c r="OMH1632" s="1"/>
      <c r="OMI1632" s="1"/>
      <c r="OMJ1632" s="1"/>
      <c r="OMK1632" s="1"/>
      <c r="OML1632" s="1"/>
      <c r="OMM1632" s="1"/>
      <c r="OMN1632" s="1"/>
      <c r="OMO1632" s="1"/>
      <c r="OMP1632" s="1"/>
      <c r="OMQ1632" s="1"/>
      <c r="OMR1632" s="1"/>
      <c r="OMS1632" s="1"/>
      <c r="OMT1632" s="1"/>
      <c r="OMU1632" s="1"/>
      <c r="OMV1632" s="1"/>
      <c r="OMW1632" s="1"/>
      <c r="OMX1632" s="1"/>
      <c r="OMY1632" s="1"/>
      <c r="OMZ1632" s="1"/>
      <c r="ONA1632" s="1"/>
      <c r="ONB1632" s="1"/>
      <c r="ONC1632" s="1"/>
      <c r="OND1632" s="1"/>
      <c r="ONE1632" s="1"/>
      <c r="ONF1632" s="1"/>
      <c r="ONG1632" s="1"/>
      <c r="ONH1632" s="1"/>
      <c r="ONI1632" s="1"/>
      <c r="ONJ1632" s="1"/>
      <c r="ONK1632" s="1"/>
      <c r="ONL1632" s="1"/>
      <c r="ONM1632" s="1"/>
      <c r="ONN1632" s="1"/>
      <c r="ONO1632" s="1"/>
      <c r="ONP1632" s="1"/>
      <c r="ONQ1632" s="1"/>
      <c r="ONR1632" s="1"/>
      <c r="ONS1632" s="1"/>
      <c r="ONT1632" s="1"/>
      <c r="ONU1632" s="1"/>
      <c r="ONV1632" s="1"/>
      <c r="ONW1632" s="1"/>
      <c r="ONX1632" s="1"/>
      <c r="ONY1632" s="1"/>
      <c r="ONZ1632" s="1"/>
      <c r="OOA1632" s="1"/>
      <c r="OOB1632" s="1"/>
      <c r="OOC1632" s="1"/>
      <c r="OOD1632" s="1"/>
      <c r="OOE1632" s="1"/>
      <c r="OOF1632" s="1"/>
      <c r="OOG1632" s="1"/>
      <c r="OOH1632" s="1"/>
      <c r="OOI1632" s="1"/>
      <c r="OOJ1632" s="1"/>
      <c r="OOK1632" s="1"/>
      <c r="OOL1632" s="1"/>
      <c r="OOM1632" s="1"/>
      <c r="OON1632" s="1"/>
      <c r="OOO1632" s="1"/>
      <c r="OOP1632" s="1"/>
      <c r="OOQ1632" s="1"/>
      <c r="OOR1632" s="1"/>
      <c r="OOS1632" s="1"/>
      <c r="OOT1632" s="1"/>
      <c r="OOU1632" s="1"/>
      <c r="OOV1632" s="1"/>
      <c r="OOW1632" s="1"/>
      <c r="OOX1632" s="1"/>
      <c r="OOY1632" s="1"/>
      <c r="OOZ1632" s="1"/>
      <c r="OPA1632" s="1"/>
      <c r="OPB1632" s="1"/>
      <c r="OPC1632" s="1"/>
      <c r="OPD1632" s="1"/>
      <c r="OPE1632" s="1"/>
      <c r="OPF1632" s="1"/>
      <c r="OPG1632" s="1"/>
      <c r="OPH1632" s="1"/>
      <c r="OPI1632" s="1"/>
      <c r="OPJ1632" s="1"/>
      <c r="OPK1632" s="1"/>
      <c r="OPL1632" s="1"/>
      <c r="OPM1632" s="1"/>
      <c r="OPN1632" s="1"/>
      <c r="OPO1632" s="1"/>
      <c r="OPP1632" s="1"/>
      <c r="OPQ1632" s="1"/>
      <c r="OPR1632" s="1"/>
      <c r="OPS1632" s="1"/>
      <c r="OPT1632" s="1"/>
      <c r="OPU1632" s="1"/>
      <c r="OPV1632" s="1"/>
      <c r="OPW1632" s="1"/>
      <c r="OPX1632" s="1"/>
      <c r="OPY1632" s="1"/>
      <c r="OPZ1632" s="1"/>
      <c r="OQA1632" s="1"/>
      <c r="OQB1632" s="1"/>
      <c r="OQC1632" s="1"/>
      <c r="OQD1632" s="1"/>
      <c r="OQE1632" s="1"/>
      <c r="OQF1632" s="1"/>
      <c r="OQG1632" s="1"/>
      <c r="OQH1632" s="1"/>
      <c r="OQI1632" s="1"/>
      <c r="OQJ1632" s="1"/>
      <c r="OQK1632" s="1"/>
      <c r="OQL1632" s="1"/>
      <c r="OQM1632" s="1"/>
      <c r="OQN1632" s="1"/>
      <c r="OQO1632" s="1"/>
      <c r="OQP1632" s="1"/>
      <c r="OQQ1632" s="1"/>
      <c r="OQR1632" s="1"/>
      <c r="OQS1632" s="1"/>
      <c r="OQT1632" s="1"/>
      <c r="OQU1632" s="1"/>
      <c r="OQV1632" s="1"/>
      <c r="OQW1632" s="1"/>
      <c r="OQX1632" s="1"/>
      <c r="OQY1632" s="1"/>
      <c r="OQZ1632" s="1"/>
      <c r="ORA1632" s="1"/>
      <c r="ORB1632" s="1"/>
      <c r="ORC1632" s="1"/>
      <c r="ORD1632" s="1"/>
      <c r="ORE1632" s="1"/>
      <c r="ORF1632" s="1"/>
      <c r="ORG1632" s="1"/>
      <c r="ORH1632" s="1"/>
      <c r="ORI1632" s="1"/>
      <c r="ORJ1632" s="1"/>
      <c r="ORK1632" s="1"/>
      <c r="ORL1632" s="1"/>
      <c r="ORM1632" s="1"/>
      <c r="ORN1632" s="1"/>
      <c r="ORO1632" s="1"/>
      <c r="ORP1632" s="1"/>
      <c r="ORQ1632" s="1"/>
      <c r="ORR1632" s="1"/>
      <c r="ORS1632" s="1"/>
      <c r="ORT1632" s="1"/>
      <c r="ORU1632" s="1"/>
      <c r="ORV1632" s="1"/>
      <c r="ORW1632" s="1"/>
      <c r="ORX1632" s="1"/>
      <c r="ORY1632" s="1"/>
      <c r="ORZ1632" s="1"/>
      <c r="OSA1632" s="1"/>
      <c r="OSB1632" s="1"/>
      <c r="OSC1632" s="1"/>
      <c r="OSD1632" s="1"/>
      <c r="OSE1632" s="1"/>
      <c r="OSF1632" s="1"/>
      <c r="OSG1632" s="1"/>
      <c r="OSH1632" s="1"/>
      <c r="OSI1632" s="1"/>
      <c r="OSJ1632" s="1"/>
      <c r="OSK1632" s="1"/>
      <c r="OSL1632" s="1"/>
      <c r="OSM1632" s="1"/>
      <c r="OSN1632" s="1"/>
      <c r="OSO1632" s="1"/>
      <c r="OSP1632" s="1"/>
      <c r="OSQ1632" s="1"/>
      <c r="OSR1632" s="1"/>
      <c r="OSS1632" s="1"/>
      <c r="OST1632" s="1"/>
      <c r="OSU1632" s="1"/>
      <c r="OSV1632" s="1"/>
      <c r="OSW1632" s="1"/>
      <c r="OSX1632" s="1"/>
      <c r="OSY1632" s="1"/>
      <c r="OSZ1632" s="1"/>
      <c r="OTA1632" s="1"/>
      <c r="OTB1632" s="1"/>
      <c r="OTC1632" s="1"/>
      <c r="OTD1632" s="1"/>
      <c r="OTE1632" s="1"/>
      <c r="OTF1632" s="1"/>
      <c r="OTG1632" s="1"/>
      <c r="OTH1632" s="1"/>
      <c r="OTI1632" s="1"/>
      <c r="OTJ1632" s="1"/>
      <c r="OTK1632" s="1"/>
      <c r="OTL1632" s="1"/>
      <c r="OTM1632" s="1"/>
      <c r="OTN1632" s="1"/>
      <c r="OTO1632" s="1"/>
      <c r="OTP1632" s="1"/>
      <c r="OTQ1632" s="1"/>
      <c r="OTR1632" s="1"/>
      <c r="OTS1632" s="1"/>
      <c r="OTT1632" s="1"/>
      <c r="OTU1632" s="1"/>
      <c r="OTV1632" s="1"/>
      <c r="OTW1632" s="1"/>
      <c r="OTX1632" s="1"/>
      <c r="OTY1632" s="1"/>
      <c r="OTZ1632" s="1"/>
      <c r="OUA1632" s="1"/>
      <c r="OUB1632" s="1"/>
      <c r="OUC1632" s="1"/>
      <c r="OUD1632" s="1"/>
      <c r="OUE1632" s="1"/>
      <c r="OUF1632" s="1"/>
      <c r="OUG1632" s="1"/>
      <c r="OUH1632" s="1"/>
      <c r="OUI1632" s="1"/>
      <c r="OUJ1632" s="1"/>
      <c r="OUK1632" s="1"/>
      <c r="OUL1632" s="1"/>
      <c r="OUM1632" s="1"/>
      <c r="OUN1632" s="1"/>
      <c r="OUO1632" s="1"/>
      <c r="OUP1632" s="1"/>
      <c r="OUQ1632" s="1"/>
      <c r="OUR1632" s="1"/>
      <c r="OUS1632" s="1"/>
      <c r="OUT1632" s="1"/>
      <c r="OUU1632" s="1"/>
      <c r="OUV1632" s="1"/>
      <c r="OUW1632" s="1"/>
      <c r="OUX1632" s="1"/>
      <c r="OUY1632" s="1"/>
      <c r="OUZ1632" s="1"/>
      <c r="OVA1632" s="1"/>
      <c r="OVB1632" s="1"/>
      <c r="OVC1632" s="1"/>
      <c r="OVD1632" s="1"/>
      <c r="OVE1632" s="1"/>
      <c r="OVF1632" s="1"/>
      <c r="OVG1632" s="1"/>
      <c r="OVH1632" s="1"/>
      <c r="OVI1632" s="1"/>
      <c r="OVJ1632" s="1"/>
      <c r="OVK1632" s="1"/>
      <c r="OVL1632" s="1"/>
      <c r="OVM1632" s="1"/>
      <c r="OVN1632" s="1"/>
      <c r="OVO1632" s="1"/>
      <c r="OVP1632" s="1"/>
      <c r="OVQ1632" s="1"/>
      <c r="OVR1632" s="1"/>
      <c r="OVS1632" s="1"/>
      <c r="OVT1632" s="1"/>
      <c r="OVU1632" s="1"/>
      <c r="OVV1632" s="1"/>
      <c r="OVW1632" s="1"/>
      <c r="OVX1632" s="1"/>
      <c r="OVY1632" s="1"/>
      <c r="OVZ1632" s="1"/>
      <c r="OWA1632" s="1"/>
      <c r="OWB1632" s="1"/>
      <c r="OWC1632" s="1"/>
      <c r="OWD1632" s="1"/>
      <c r="OWE1632" s="1"/>
      <c r="OWF1632" s="1"/>
      <c r="OWG1632" s="1"/>
      <c r="OWH1632" s="1"/>
      <c r="OWI1632" s="1"/>
      <c r="OWJ1632" s="1"/>
      <c r="OWK1632" s="1"/>
      <c r="OWL1632" s="1"/>
      <c r="OWM1632" s="1"/>
      <c r="OWN1632" s="1"/>
      <c r="OWO1632" s="1"/>
      <c r="OWP1632" s="1"/>
      <c r="OWQ1632" s="1"/>
      <c r="OWR1632" s="1"/>
      <c r="OWS1632" s="1"/>
      <c r="OWT1632" s="1"/>
      <c r="OWU1632" s="1"/>
      <c r="OWV1632" s="1"/>
      <c r="OWW1632" s="1"/>
      <c r="OWX1632" s="1"/>
      <c r="OWY1632" s="1"/>
      <c r="OWZ1632" s="1"/>
      <c r="OXA1632" s="1"/>
      <c r="OXB1632" s="1"/>
      <c r="OXC1632" s="1"/>
      <c r="OXD1632" s="1"/>
      <c r="OXE1632" s="1"/>
      <c r="OXF1632" s="1"/>
      <c r="OXG1632" s="1"/>
      <c r="OXH1632" s="1"/>
      <c r="OXI1632" s="1"/>
      <c r="OXJ1632" s="1"/>
      <c r="OXK1632" s="1"/>
      <c r="OXL1632" s="1"/>
      <c r="OXM1632" s="1"/>
      <c r="OXN1632" s="1"/>
      <c r="OXO1632" s="1"/>
      <c r="OXP1632" s="1"/>
      <c r="OXQ1632" s="1"/>
      <c r="OXR1632" s="1"/>
      <c r="OXS1632" s="1"/>
      <c r="OXT1632" s="1"/>
      <c r="OXU1632" s="1"/>
      <c r="OXV1632" s="1"/>
      <c r="OXW1632" s="1"/>
      <c r="OXX1632" s="1"/>
      <c r="OXY1632" s="1"/>
      <c r="OXZ1632" s="1"/>
      <c r="OYA1632" s="1"/>
      <c r="OYB1632" s="1"/>
      <c r="OYC1632" s="1"/>
      <c r="OYD1632" s="1"/>
      <c r="OYE1632" s="1"/>
      <c r="OYF1632" s="1"/>
      <c r="OYG1632" s="1"/>
      <c r="OYH1632" s="1"/>
      <c r="OYI1632" s="1"/>
      <c r="OYJ1632" s="1"/>
      <c r="OYK1632" s="1"/>
      <c r="OYL1632" s="1"/>
      <c r="OYM1632" s="1"/>
      <c r="OYN1632" s="1"/>
      <c r="OYO1632" s="1"/>
      <c r="OYP1632" s="1"/>
      <c r="OYQ1632" s="1"/>
      <c r="OYR1632" s="1"/>
      <c r="OYS1632" s="1"/>
      <c r="OYT1632" s="1"/>
      <c r="OYU1632" s="1"/>
      <c r="OYV1632" s="1"/>
      <c r="OYW1632" s="1"/>
      <c r="OYX1632" s="1"/>
      <c r="OYY1632" s="1"/>
      <c r="OYZ1632" s="1"/>
      <c r="OZA1632" s="1"/>
      <c r="OZB1632" s="1"/>
      <c r="OZC1632" s="1"/>
      <c r="OZD1632" s="1"/>
      <c r="OZE1632" s="1"/>
      <c r="OZF1632" s="1"/>
      <c r="OZG1632" s="1"/>
      <c r="OZH1632" s="1"/>
      <c r="OZI1632" s="1"/>
      <c r="OZJ1632" s="1"/>
      <c r="OZK1632" s="1"/>
      <c r="OZL1632" s="1"/>
      <c r="OZM1632" s="1"/>
      <c r="OZN1632" s="1"/>
      <c r="OZO1632" s="1"/>
      <c r="OZP1632" s="1"/>
      <c r="OZQ1632" s="1"/>
      <c r="OZR1632" s="1"/>
      <c r="OZS1632" s="1"/>
      <c r="OZT1632" s="1"/>
      <c r="OZU1632" s="1"/>
      <c r="OZV1632" s="1"/>
      <c r="OZW1632" s="1"/>
      <c r="OZX1632" s="1"/>
      <c r="OZY1632" s="1"/>
      <c r="OZZ1632" s="1"/>
      <c r="PAA1632" s="1"/>
      <c r="PAB1632" s="1"/>
      <c r="PAC1632" s="1"/>
      <c r="PAD1632" s="1"/>
      <c r="PAE1632" s="1"/>
      <c r="PAF1632" s="1"/>
      <c r="PAG1632" s="1"/>
      <c r="PAH1632" s="1"/>
      <c r="PAI1632" s="1"/>
      <c r="PAJ1632" s="1"/>
      <c r="PAK1632" s="1"/>
      <c r="PAL1632" s="1"/>
      <c r="PAM1632" s="1"/>
      <c r="PAN1632" s="1"/>
      <c r="PAO1632" s="1"/>
      <c r="PAP1632" s="1"/>
      <c r="PAQ1632" s="1"/>
      <c r="PAR1632" s="1"/>
      <c r="PAS1632" s="1"/>
      <c r="PAT1632" s="1"/>
      <c r="PAU1632" s="1"/>
      <c r="PAV1632" s="1"/>
      <c r="PAW1632" s="1"/>
      <c r="PAX1632" s="1"/>
      <c r="PAY1632" s="1"/>
      <c r="PAZ1632" s="1"/>
      <c r="PBA1632" s="1"/>
      <c r="PBB1632" s="1"/>
      <c r="PBC1632" s="1"/>
      <c r="PBD1632" s="1"/>
      <c r="PBE1632" s="1"/>
      <c r="PBF1632" s="1"/>
      <c r="PBG1632" s="1"/>
      <c r="PBH1632" s="1"/>
      <c r="PBI1632" s="1"/>
      <c r="PBJ1632" s="1"/>
      <c r="PBK1632" s="1"/>
      <c r="PBL1632" s="1"/>
      <c r="PBM1632" s="1"/>
      <c r="PBN1632" s="1"/>
      <c r="PBO1632" s="1"/>
      <c r="PBP1632" s="1"/>
      <c r="PBQ1632" s="1"/>
      <c r="PBR1632" s="1"/>
      <c r="PBS1632" s="1"/>
      <c r="PBT1632" s="1"/>
      <c r="PBU1632" s="1"/>
      <c r="PBV1632" s="1"/>
      <c r="PBW1632" s="1"/>
      <c r="PBX1632" s="1"/>
      <c r="PBY1632" s="1"/>
      <c r="PBZ1632" s="1"/>
      <c r="PCA1632" s="1"/>
      <c r="PCB1632" s="1"/>
      <c r="PCC1632" s="1"/>
      <c r="PCD1632" s="1"/>
      <c r="PCE1632" s="1"/>
      <c r="PCF1632" s="1"/>
      <c r="PCG1632" s="1"/>
      <c r="PCH1632" s="1"/>
      <c r="PCI1632" s="1"/>
      <c r="PCJ1632" s="1"/>
      <c r="PCK1632" s="1"/>
      <c r="PCL1632" s="1"/>
      <c r="PCM1632" s="1"/>
      <c r="PCN1632" s="1"/>
      <c r="PCO1632" s="1"/>
      <c r="PCP1632" s="1"/>
      <c r="PCQ1632" s="1"/>
      <c r="PCR1632" s="1"/>
      <c r="PCS1632" s="1"/>
      <c r="PCT1632" s="1"/>
      <c r="PCU1632" s="1"/>
      <c r="PCV1632" s="1"/>
      <c r="PCW1632" s="1"/>
      <c r="PCX1632" s="1"/>
      <c r="PCY1632" s="1"/>
      <c r="PCZ1632" s="1"/>
      <c r="PDA1632" s="1"/>
      <c r="PDB1632" s="1"/>
      <c r="PDC1632" s="1"/>
      <c r="PDD1632" s="1"/>
      <c r="PDE1632" s="1"/>
      <c r="PDF1632" s="1"/>
      <c r="PDG1632" s="1"/>
      <c r="PDH1632" s="1"/>
      <c r="PDI1632" s="1"/>
      <c r="PDJ1632" s="1"/>
      <c r="PDK1632" s="1"/>
      <c r="PDL1632" s="1"/>
      <c r="PDM1632" s="1"/>
      <c r="PDN1632" s="1"/>
      <c r="PDO1632" s="1"/>
      <c r="PDP1632" s="1"/>
      <c r="PDQ1632" s="1"/>
      <c r="PDR1632" s="1"/>
      <c r="PDS1632" s="1"/>
      <c r="PDT1632" s="1"/>
      <c r="PDU1632" s="1"/>
      <c r="PDV1632" s="1"/>
      <c r="PDW1632" s="1"/>
      <c r="PDX1632" s="1"/>
      <c r="PDY1632" s="1"/>
      <c r="PDZ1632" s="1"/>
      <c r="PEA1632" s="1"/>
      <c r="PEB1632" s="1"/>
      <c r="PEC1632" s="1"/>
      <c r="PED1632" s="1"/>
      <c r="PEE1632" s="1"/>
      <c r="PEF1632" s="1"/>
      <c r="PEG1632" s="1"/>
      <c r="PEH1632" s="1"/>
      <c r="PEI1632" s="1"/>
      <c r="PEJ1632" s="1"/>
      <c r="PEK1632" s="1"/>
      <c r="PEL1632" s="1"/>
      <c r="PEM1632" s="1"/>
      <c r="PEN1632" s="1"/>
      <c r="PEO1632" s="1"/>
      <c r="PEP1632" s="1"/>
      <c r="PEQ1632" s="1"/>
      <c r="PER1632" s="1"/>
      <c r="PES1632" s="1"/>
      <c r="PET1632" s="1"/>
      <c r="PEU1632" s="1"/>
      <c r="PEV1632" s="1"/>
      <c r="PEW1632" s="1"/>
      <c r="PEX1632" s="1"/>
      <c r="PEY1632" s="1"/>
      <c r="PEZ1632" s="1"/>
      <c r="PFA1632" s="1"/>
      <c r="PFB1632" s="1"/>
      <c r="PFC1632" s="1"/>
      <c r="PFD1632" s="1"/>
      <c r="PFE1632" s="1"/>
      <c r="PFF1632" s="1"/>
      <c r="PFG1632" s="1"/>
      <c r="PFH1632" s="1"/>
      <c r="PFI1632" s="1"/>
      <c r="PFJ1632" s="1"/>
      <c r="PFK1632" s="1"/>
      <c r="PFL1632" s="1"/>
      <c r="PFM1632" s="1"/>
      <c r="PFN1632" s="1"/>
      <c r="PFO1632" s="1"/>
      <c r="PFP1632" s="1"/>
      <c r="PFQ1632" s="1"/>
      <c r="PFR1632" s="1"/>
      <c r="PFS1632" s="1"/>
      <c r="PFT1632" s="1"/>
      <c r="PFU1632" s="1"/>
      <c r="PFV1632" s="1"/>
      <c r="PFW1632" s="1"/>
      <c r="PFX1632" s="1"/>
      <c r="PFY1632" s="1"/>
      <c r="PFZ1632" s="1"/>
      <c r="PGA1632" s="1"/>
      <c r="PGB1632" s="1"/>
      <c r="PGC1632" s="1"/>
      <c r="PGD1632" s="1"/>
      <c r="PGE1632" s="1"/>
      <c r="PGF1632" s="1"/>
      <c r="PGG1632" s="1"/>
      <c r="PGH1632" s="1"/>
      <c r="PGI1632" s="1"/>
      <c r="PGJ1632" s="1"/>
      <c r="PGK1632" s="1"/>
      <c r="PGL1632" s="1"/>
      <c r="PGM1632" s="1"/>
      <c r="PGN1632" s="1"/>
      <c r="PGO1632" s="1"/>
      <c r="PGP1632" s="1"/>
      <c r="PGQ1632" s="1"/>
      <c r="PGR1632" s="1"/>
      <c r="PGS1632" s="1"/>
      <c r="PGT1632" s="1"/>
      <c r="PGU1632" s="1"/>
      <c r="PGV1632" s="1"/>
      <c r="PGW1632" s="1"/>
      <c r="PGX1632" s="1"/>
      <c r="PGY1632" s="1"/>
      <c r="PGZ1632" s="1"/>
      <c r="PHA1632" s="1"/>
      <c r="PHB1632" s="1"/>
      <c r="PHC1632" s="1"/>
      <c r="PHD1632" s="1"/>
      <c r="PHE1632" s="1"/>
      <c r="PHF1632" s="1"/>
      <c r="PHG1632" s="1"/>
      <c r="PHH1632" s="1"/>
      <c r="PHI1632" s="1"/>
      <c r="PHJ1632" s="1"/>
      <c r="PHK1632" s="1"/>
      <c r="PHL1632" s="1"/>
      <c r="PHM1632" s="1"/>
      <c r="PHN1632" s="1"/>
      <c r="PHO1632" s="1"/>
      <c r="PHP1632" s="1"/>
      <c r="PHQ1632" s="1"/>
      <c r="PHR1632" s="1"/>
      <c r="PHS1632" s="1"/>
      <c r="PHT1632" s="1"/>
      <c r="PHU1632" s="1"/>
      <c r="PHV1632" s="1"/>
      <c r="PHW1632" s="1"/>
      <c r="PHX1632" s="1"/>
      <c r="PHY1632" s="1"/>
      <c r="PHZ1632" s="1"/>
      <c r="PIA1632" s="1"/>
      <c r="PIB1632" s="1"/>
      <c r="PIC1632" s="1"/>
      <c r="PID1632" s="1"/>
      <c r="PIE1632" s="1"/>
      <c r="PIF1632" s="1"/>
      <c r="PIG1632" s="1"/>
      <c r="PIH1632" s="1"/>
      <c r="PII1632" s="1"/>
      <c r="PIJ1632" s="1"/>
      <c r="PIK1632" s="1"/>
      <c r="PIL1632" s="1"/>
      <c r="PIM1632" s="1"/>
      <c r="PIN1632" s="1"/>
      <c r="PIO1632" s="1"/>
      <c r="PIP1632" s="1"/>
      <c r="PIQ1632" s="1"/>
      <c r="PIR1632" s="1"/>
      <c r="PIS1632" s="1"/>
      <c r="PIT1632" s="1"/>
      <c r="PIU1632" s="1"/>
      <c r="PIV1632" s="1"/>
      <c r="PIW1632" s="1"/>
      <c r="PIX1632" s="1"/>
      <c r="PIY1632" s="1"/>
      <c r="PIZ1632" s="1"/>
      <c r="PJA1632" s="1"/>
      <c r="PJB1632" s="1"/>
      <c r="PJC1632" s="1"/>
      <c r="PJD1632" s="1"/>
      <c r="PJE1632" s="1"/>
      <c r="PJF1632" s="1"/>
      <c r="PJG1632" s="1"/>
      <c r="PJH1632" s="1"/>
      <c r="PJI1632" s="1"/>
      <c r="PJJ1632" s="1"/>
      <c r="PJK1632" s="1"/>
      <c r="PJL1632" s="1"/>
      <c r="PJM1632" s="1"/>
      <c r="PJN1632" s="1"/>
      <c r="PJO1632" s="1"/>
      <c r="PJP1632" s="1"/>
      <c r="PJQ1632" s="1"/>
      <c r="PJR1632" s="1"/>
      <c r="PJS1632" s="1"/>
      <c r="PJT1632" s="1"/>
      <c r="PJU1632" s="1"/>
      <c r="PJV1632" s="1"/>
      <c r="PJW1632" s="1"/>
      <c r="PJX1632" s="1"/>
      <c r="PJY1632" s="1"/>
      <c r="PJZ1632" s="1"/>
      <c r="PKA1632" s="1"/>
      <c r="PKB1632" s="1"/>
      <c r="PKC1632" s="1"/>
      <c r="PKD1632" s="1"/>
      <c r="PKE1632" s="1"/>
      <c r="PKF1632" s="1"/>
      <c r="PKG1632" s="1"/>
      <c r="PKH1632" s="1"/>
      <c r="PKI1632" s="1"/>
      <c r="PKJ1632" s="1"/>
      <c r="PKK1632" s="1"/>
      <c r="PKL1632" s="1"/>
      <c r="PKM1632" s="1"/>
      <c r="PKN1632" s="1"/>
      <c r="PKO1632" s="1"/>
      <c r="PKP1632" s="1"/>
      <c r="PKQ1632" s="1"/>
      <c r="PKR1632" s="1"/>
      <c r="PKS1632" s="1"/>
      <c r="PKT1632" s="1"/>
      <c r="PKU1632" s="1"/>
      <c r="PKV1632" s="1"/>
      <c r="PKW1632" s="1"/>
      <c r="PKX1632" s="1"/>
      <c r="PKY1632" s="1"/>
      <c r="PKZ1632" s="1"/>
      <c r="PLA1632" s="1"/>
      <c r="PLB1632" s="1"/>
      <c r="PLC1632" s="1"/>
      <c r="PLD1632" s="1"/>
      <c r="PLE1632" s="1"/>
      <c r="PLF1632" s="1"/>
      <c r="PLG1632" s="1"/>
      <c r="PLH1632" s="1"/>
      <c r="PLI1632" s="1"/>
      <c r="PLJ1632" s="1"/>
      <c r="PLK1632" s="1"/>
      <c r="PLL1632" s="1"/>
      <c r="PLM1632" s="1"/>
      <c r="PLN1632" s="1"/>
      <c r="PLO1632" s="1"/>
      <c r="PLP1632" s="1"/>
      <c r="PLQ1632" s="1"/>
      <c r="PLR1632" s="1"/>
      <c r="PLS1632" s="1"/>
      <c r="PLT1632" s="1"/>
      <c r="PLU1632" s="1"/>
      <c r="PLV1632" s="1"/>
      <c r="PLW1632" s="1"/>
      <c r="PLX1632" s="1"/>
      <c r="PLY1632" s="1"/>
      <c r="PLZ1632" s="1"/>
      <c r="PMA1632" s="1"/>
      <c r="PMB1632" s="1"/>
      <c r="PMC1632" s="1"/>
      <c r="PMD1632" s="1"/>
      <c r="PME1632" s="1"/>
      <c r="PMF1632" s="1"/>
      <c r="PMG1632" s="1"/>
      <c r="PMH1632" s="1"/>
      <c r="PMI1632" s="1"/>
      <c r="PMJ1632" s="1"/>
      <c r="PMK1632" s="1"/>
      <c r="PML1632" s="1"/>
      <c r="PMM1632" s="1"/>
      <c r="PMN1632" s="1"/>
      <c r="PMO1632" s="1"/>
      <c r="PMP1632" s="1"/>
      <c r="PMQ1632" s="1"/>
      <c r="PMR1632" s="1"/>
      <c r="PMS1632" s="1"/>
      <c r="PMT1632" s="1"/>
      <c r="PMU1632" s="1"/>
      <c r="PMV1632" s="1"/>
      <c r="PMW1632" s="1"/>
      <c r="PMX1632" s="1"/>
      <c r="PMY1632" s="1"/>
      <c r="PMZ1632" s="1"/>
      <c r="PNA1632" s="1"/>
      <c r="PNB1632" s="1"/>
      <c r="PNC1632" s="1"/>
      <c r="PND1632" s="1"/>
      <c r="PNE1632" s="1"/>
      <c r="PNF1632" s="1"/>
      <c r="PNG1632" s="1"/>
      <c r="PNH1632" s="1"/>
      <c r="PNI1632" s="1"/>
      <c r="PNJ1632" s="1"/>
      <c r="PNK1632" s="1"/>
      <c r="PNL1632" s="1"/>
      <c r="PNM1632" s="1"/>
      <c r="PNN1632" s="1"/>
      <c r="PNO1632" s="1"/>
      <c r="PNP1632" s="1"/>
      <c r="PNQ1632" s="1"/>
      <c r="PNR1632" s="1"/>
      <c r="PNS1632" s="1"/>
      <c r="PNT1632" s="1"/>
      <c r="PNU1632" s="1"/>
      <c r="PNV1632" s="1"/>
      <c r="PNW1632" s="1"/>
      <c r="PNX1632" s="1"/>
      <c r="PNY1632" s="1"/>
      <c r="PNZ1632" s="1"/>
      <c r="POA1632" s="1"/>
      <c r="POB1632" s="1"/>
      <c r="POC1632" s="1"/>
      <c r="POD1632" s="1"/>
      <c r="POE1632" s="1"/>
      <c r="POF1632" s="1"/>
      <c r="POG1632" s="1"/>
      <c r="POH1632" s="1"/>
      <c r="POI1632" s="1"/>
      <c r="POJ1632" s="1"/>
      <c r="POK1632" s="1"/>
      <c r="POL1632" s="1"/>
      <c r="POM1632" s="1"/>
      <c r="PON1632" s="1"/>
      <c r="POO1632" s="1"/>
      <c r="POP1632" s="1"/>
      <c r="POQ1632" s="1"/>
      <c r="POR1632" s="1"/>
      <c r="POS1632" s="1"/>
      <c r="POT1632" s="1"/>
      <c r="POU1632" s="1"/>
      <c r="POV1632" s="1"/>
      <c r="POW1632" s="1"/>
      <c r="POX1632" s="1"/>
      <c r="POY1632" s="1"/>
      <c r="POZ1632" s="1"/>
      <c r="PPA1632" s="1"/>
      <c r="PPB1632" s="1"/>
      <c r="PPC1632" s="1"/>
      <c r="PPD1632" s="1"/>
      <c r="PPE1632" s="1"/>
      <c r="PPF1632" s="1"/>
      <c r="PPG1632" s="1"/>
      <c r="PPH1632" s="1"/>
      <c r="PPI1632" s="1"/>
      <c r="PPJ1632" s="1"/>
      <c r="PPK1632" s="1"/>
      <c r="PPL1632" s="1"/>
      <c r="PPM1632" s="1"/>
      <c r="PPN1632" s="1"/>
      <c r="PPO1632" s="1"/>
      <c r="PPP1632" s="1"/>
      <c r="PPQ1632" s="1"/>
      <c r="PPR1632" s="1"/>
      <c r="PPS1632" s="1"/>
      <c r="PPT1632" s="1"/>
      <c r="PPU1632" s="1"/>
      <c r="PPV1632" s="1"/>
      <c r="PPW1632" s="1"/>
      <c r="PPX1632" s="1"/>
      <c r="PPY1632" s="1"/>
      <c r="PPZ1632" s="1"/>
      <c r="PQA1632" s="1"/>
      <c r="PQB1632" s="1"/>
      <c r="PQC1632" s="1"/>
      <c r="PQD1632" s="1"/>
      <c r="PQE1632" s="1"/>
      <c r="PQF1632" s="1"/>
      <c r="PQG1632" s="1"/>
      <c r="PQH1632" s="1"/>
      <c r="PQI1632" s="1"/>
      <c r="PQJ1632" s="1"/>
      <c r="PQK1632" s="1"/>
      <c r="PQL1632" s="1"/>
      <c r="PQM1632" s="1"/>
      <c r="PQN1632" s="1"/>
      <c r="PQO1632" s="1"/>
      <c r="PQP1632" s="1"/>
      <c r="PQQ1632" s="1"/>
      <c r="PQR1632" s="1"/>
      <c r="PQS1632" s="1"/>
      <c r="PQT1632" s="1"/>
      <c r="PQU1632" s="1"/>
      <c r="PQV1632" s="1"/>
      <c r="PQW1632" s="1"/>
      <c r="PQX1632" s="1"/>
      <c r="PQY1632" s="1"/>
      <c r="PQZ1632" s="1"/>
      <c r="PRA1632" s="1"/>
      <c r="PRB1632" s="1"/>
      <c r="PRC1632" s="1"/>
      <c r="PRD1632" s="1"/>
      <c r="PRE1632" s="1"/>
      <c r="PRF1632" s="1"/>
      <c r="PRG1632" s="1"/>
      <c r="PRH1632" s="1"/>
      <c r="PRI1632" s="1"/>
      <c r="PRJ1632" s="1"/>
      <c r="PRK1632" s="1"/>
      <c r="PRL1632" s="1"/>
      <c r="PRM1632" s="1"/>
      <c r="PRN1632" s="1"/>
      <c r="PRO1632" s="1"/>
      <c r="PRP1632" s="1"/>
      <c r="PRQ1632" s="1"/>
      <c r="PRR1632" s="1"/>
      <c r="PRS1632" s="1"/>
      <c r="PRT1632" s="1"/>
      <c r="PRU1632" s="1"/>
      <c r="PRV1632" s="1"/>
      <c r="PRW1632" s="1"/>
      <c r="PRX1632" s="1"/>
      <c r="PRY1632" s="1"/>
      <c r="PRZ1632" s="1"/>
      <c r="PSA1632" s="1"/>
      <c r="PSB1632" s="1"/>
      <c r="PSC1632" s="1"/>
      <c r="PSD1632" s="1"/>
      <c r="PSE1632" s="1"/>
      <c r="PSF1632" s="1"/>
      <c r="PSG1632" s="1"/>
      <c r="PSH1632" s="1"/>
      <c r="PSI1632" s="1"/>
      <c r="PSJ1632" s="1"/>
      <c r="PSK1632" s="1"/>
      <c r="PSL1632" s="1"/>
      <c r="PSM1632" s="1"/>
      <c r="PSN1632" s="1"/>
      <c r="PSO1632" s="1"/>
      <c r="PSP1632" s="1"/>
      <c r="PSQ1632" s="1"/>
      <c r="PSR1632" s="1"/>
      <c r="PSS1632" s="1"/>
      <c r="PST1632" s="1"/>
      <c r="PSU1632" s="1"/>
      <c r="PSV1632" s="1"/>
      <c r="PSW1632" s="1"/>
      <c r="PSX1632" s="1"/>
      <c r="PSY1632" s="1"/>
      <c r="PSZ1632" s="1"/>
      <c r="PTA1632" s="1"/>
      <c r="PTB1632" s="1"/>
      <c r="PTC1632" s="1"/>
      <c r="PTD1632" s="1"/>
      <c r="PTE1632" s="1"/>
      <c r="PTF1632" s="1"/>
      <c r="PTG1632" s="1"/>
      <c r="PTH1632" s="1"/>
      <c r="PTI1632" s="1"/>
      <c r="PTJ1632" s="1"/>
      <c r="PTK1632" s="1"/>
      <c r="PTL1632" s="1"/>
      <c r="PTM1632" s="1"/>
      <c r="PTN1632" s="1"/>
      <c r="PTO1632" s="1"/>
      <c r="PTP1632" s="1"/>
      <c r="PTQ1632" s="1"/>
      <c r="PTR1632" s="1"/>
      <c r="PTS1632" s="1"/>
      <c r="PTT1632" s="1"/>
      <c r="PTU1632" s="1"/>
      <c r="PTV1632" s="1"/>
      <c r="PTW1632" s="1"/>
      <c r="PTX1632" s="1"/>
      <c r="PTY1632" s="1"/>
      <c r="PTZ1632" s="1"/>
      <c r="PUA1632" s="1"/>
      <c r="PUB1632" s="1"/>
      <c r="PUC1632" s="1"/>
      <c r="PUD1632" s="1"/>
      <c r="PUE1632" s="1"/>
      <c r="PUF1632" s="1"/>
      <c r="PUG1632" s="1"/>
      <c r="PUH1632" s="1"/>
      <c r="PUI1632" s="1"/>
      <c r="PUJ1632" s="1"/>
      <c r="PUK1632" s="1"/>
      <c r="PUL1632" s="1"/>
      <c r="PUM1632" s="1"/>
      <c r="PUN1632" s="1"/>
      <c r="PUO1632" s="1"/>
      <c r="PUP1632" s="1"/>
      <c r="PUQ1632" s="1"/>
      <c r="PUR1632" s="1"/>
      <c r="PUS1632" s="1"/>
      <c r="PUT1632" s="1"/>
      <c r="PUU1632" s="1"/>
      <c r="PUV1632" s="1"/>
      <c r="PUW1632" s="1"/>
      <c r="PUX1632" s="1"/>
      <c r="PUY1632" s="1"/>
      <c r="PUZ1632" s="1"/>
      <c r="PVA1632" s="1"/>
      <c r="PVB1632" s="1"/>
      <c r="PVC1632" s="1"/>
      <c r="PVD1632" s="1"/>
      <c r="PVE1632" s="1"/>
      <c r="PVF1632" s="1"/>
      <c r="PVG1632" s="1"/>
      <c r="PVH1632" s="1"/>
      <c r="PVI1632" s="1"/>
      <c r="PVJ1632" s="1"/>
      <c r="PVK1632" s="1"/>
      <c r="PVL1632" s="1"/>
      <c r="PVM1632" s="1"/>
      <c r="PVN1632" s="1"/>
      <c r="PVO1632" s="1"/>
      <c r="PVP1632" s="1"/>
      <c r="PVQ1632" s="1"/>
      <c r="PVR1632" s="1"/>
      <c r="PVS1632" s="1"/>
      <c r="PVT1632" s="1"/>
      <c r="PVU1632" s="1"/>
      <c r="PVV1632" s="1"/>
      <c r="PVW1632" s="1"/>
      <c r="PVX1632" s="1"/>
      <c r="PVY1632" s="1"/>
      <c r="PVZ1632" s="1"/>
      <c r="PWA1632" s="1"/>
      <c r="PWB1632" s="1"/>
      <c r="PWC1632" s="1"/>
      <c r="PWD1632" s="1"/>
      <c r="PWE1632" s="1"/>
      <c r="PWF1632" s="1"/>
      <c r="PWG1632" s="1"/>
      <c r="PWH1632" s="1"/>
      <c r="PWI1632" s="1"/>
      <c r="PWJ1632" s="1"/>
      <c r="PWK1632" s="1"/>
      <c r="PWL1632" s="1"/>
      <c r="PWM1632" s="1"/>
      <c r="PWN1632" s="1"/>
      <c r="PWO1632" s="1"/>
      <c r="PWP1632" s="1"/>
      <c r="PWQ1632" s="1"/>
      <c r="PWR1632" s="1"/>
      <c r="PWS1632" s="1"/>
      <c r="PWT1632" s="1"/>
      <c r="PWU1632" s="1"/>
      <c r="PWV1632" s="1"/>
      <c r="PWW1632" s="1"/>
      <c r="PWX1632" s="1"/>
      <c r="PWY1632" s="1"/>
      <c r="PWZ1632" s="1"/>
      <c r="PXA1632" s="1"/>
      <c r="PXB1632" s="1"/>
      <c r="PXC1632" s="1"/>
      <c r="PXD1632" s="1"/>
      <c r="PXE1632" s="1"/>
      <c r="PXF1632" s="1"/>
      <c r="PXG1632" s="1"/>
      <c r="PXH1632" s="1"/>
      <c r="PXI1632" s="1"/>
      <c r="PXJ1632" s="1"/>
      <c r="PXK1632" s="1"/>
      <c r="PXL1632" s="1"/>
      <c r="PXM1632" s="1"/>
      <c r="PXN1632" s="1"/>
      <c r="PXO1632" s="1"/>
      <c r="PXP1632" s="1"/>
      <c r="PXQ1632" s="1"/>
      <c r="PXR1632" s="1"/>
      <c r="PXS1632" s="1"/>
      <c r="PXT1632" s="1"/>
      <c r="PXU1632" s="1"/>
      <c r="PXV1632" s="1"/>
      <c r="PXW1632" s="1"/>
      <c r="PXX1632" s="1"/>
      <c r="PXY1632" s="1"/>
      <c r="PXZ1632" s="1"/>
      <c r="PYA1632" s="1"/>
      <c r="PYB1632" s="1"/>
      <c r="PYC1632" s="1"/>
      <c r="PYD1632" s="1"/>
      <c r="PYE1632" s="1"/>
      <c r="PYF1632" s="1"/>
      <c r="PYG1632" s="1"/>
      <c r="PYH1632" s="1"/>
      <c r="PYI1632" s="1"/>
      <c r="PYJ1632" s="1"/>
      <c r="PYK1632" s="1"/>
      <c r="PYL1632" s="1"/>
      <c r="PYM1632" s="1"/>
      <c r="PYN1632" s="1"/>
      <c r="PYO1632" s="1"/>
      <c r="PYP1632" s="1"/>
      <c r="PYQ1632" s="1"/>
      <c r="PYR1632" s="1"/>
      <c r="PYS1632" s="1"/>
      <c r="PYT1632" s="1"/>
      <c r="PYU1632" s="1"/>
      <c r="PYV1632" s="1"/>
      <c r="PYW1632" s="1"/>
      <c r="PYX1632" s="1"/>
      <c r="PYY1632" s="1"/>
      <c r="PYZ1632" s="1"/>
      <c r="PZA1632" s="1"/>
      <c r="PZB1632" s="1"/>
      <c r="PZC1632" s="1"/>
      <c r="PZD1632" s="1"/>
      <c r="PZE1632" s="1"/>
      <c r="PZF1632" s="1"/>
      <c r="PZG1632" s="1"/>
      <c r="PZH1632" s="1"/>
      <c r="PZI1632" s="1"/>
      <c r="PZJ1632" s="1"/>
      <c r="PZK1632" s="1"/>
      <c r="PZL1632" s="1"/>
      <c r="PZM1632" s="1"/>
      <c r="PZN1632" s="1"/>
      <c r="PZO1632" s="1"/>
      <c r="PZP1632" s="1"/>
      <c r="PZQ1632" s="1"/>
      <c r="PZR1632" s="1"/>
      <c r="PZS1632" s="1"/>
      <c r="PZT1632" s="1"/>
      <c r="PZU1632" s="1"/>
      <c r="PZV1632" s="1"/>
      <c r="PZW1632" s="1"/>
      <c r="PZX1632" s="1"/>
      <c r="PZY1632" s="1"/>
      <c r="PZZ1632" s="1"/>
      <c r="QAA1632" s="1"/>
      <c r="QAB1632" s="1"/>
      <c r="QAC1632" s="1"/>
      <c r="QAD1632" s="1"/>
      <c r="QAE1632" s="1"/>
      <c r="QAF1632" s="1"/>
      <c r="QAG1632" s="1"/>
      <c r="QAH1632" s="1"/>
      <c r="QAI1632" s="1"/>
      <c r="QAJ1632" s="1"/>
      <c r="QAK1632" s="1"/>
      <c r="QAL1632" s="1"/>
      <c r="QAM1632" s="1"/>
      <c r="QAN1632" s="1"/>
      <c r="QAO1632" s="1"/>
      <c r="QAP1632" s="1"/>
      <c r="QAQ1632" s="1"/>
      <c r="QAR1632" s="1"/>
      <c r="QAS1632" s="1"/>
      <c r="QAT1632" s="1"/>
      <c r="QAU1632" s="1"/>
      <c r="QAV1632" s="1"/>
      <c r="QAW1632" s="1"/>
      <c r="QAX1632" s="1"/>
      <c r="QAY1632" s="1"/>
      <c r="QAZ1632" s="1"/>
      <c r="QBA1632" s="1"/>
      <c r="QBB1632" s="1"/>
      <c r="QBC1632" s="1"/>
      <c r="QBD1632" s="1"/>
      <c r="QBE1632" s="1"/>
      <c r="QBF1632" s="1"/>
      <c r="QBG1632" s="1"/>
      <c r="QBH1632" s="1"/>
      <c r="QBI1632" s="1"/>
      <c r="QBJ1632" s="1"/>
      <c r="QBK1632" s="1"/>
      <c r="QBL1632" s="1"/>
      <c r="QBM1632" s="1"/>
      <c r="QBN1632" s="1"/>
      <c r="QBO1632" s="1"/>
      <c r="QBP1632" s="1"/>
      <c r="QBQ1632" s="1"/>
      <c r="QBR1632" s="1"/>
      <c r="QBS1632" s="1"/>
      <c r="QBT1632" s="1"/>
      <c r="QBU1632" s="1"/>
      <c r="QBV1632" s="1"/>
      <c r="QBW1632" s="1"/>
      <c r="QBX1632" s="1"/>
      <c r="QBY1632" s="1"/>
      <c r="QBZ1632" s="1"/>
      <c r="QCA1632" s="1"/>
      <c r="QCB1632" s="1"/>
      <c r="QCC1632" s="1"/>
      <c r="QCD1632" s="1"/>
      <c r="QCE1632" s="1"/>
      <c r="QCF1632" s="1"/>
      <c r="QCG1632" s="1"/>
      <c r="QCH1632" s="1"/>
      <c r="QCI1632" s="1"/>
      <c r="QCJ1632" s="1"/>
      <c r="QCK1632" s="1"/>
      <c r="QCL1632" s="1"/>
      <c r="QCM1632" s="1"/>
      <c r="QCN1632" s="1"/>
      <c r="QCO1632" s="1"/>
      <c r="QCP1632" s="1"/>
      <c r="QCQ1632" s="1"/>
      <c r="QCR1632" s="1"/>
      <c r="QCS1632" s="1"/>
      <c r="QCT1632" s="1"/>
      <c r="QCU1632" s="1"/>
      <c r="QCV1632" s="1"/>
      <c r="QCW1632" s="1"/>
      <c r="QCX1632" s="1"/>
      <c r="QCY1632" s="1"/>
      <c r="QCZ1632" s="1"/>
      <c r="QDA1632" s="1"/>
      <c r="QDB1632" s="1"/>
      <c r="QDC1632" s="1"/>
      <c r="QDD1632" s="1"/>
      <c r="QDE1632" s="1"/>
      <c r="QDF1632" s="1"/>
      <c r="QDG1632" s="1"/>
      <c r="QDH1632" s="1"/>
      <c r="QDI1632" s="1"/>
      <c r="QDJ1632" s="1"/>
      <c r="QDK1632" s="1"/>
      <c r="QDL1632" s="1"/>
      <c r="QDM1632" s="1"/>
      <c r="QDN1632" s="1"/>
      <c r="QDO1632" s="1"/>
      <c r="QDP1632" s="1"/>
      <c r="QDQ1632" s="1"/>
      <c r="QDR1632" s="1"/>
      <c r="QDS1632" s="1"/>
      <c r="QDT1632" s="1"/>
      <c r="QDU1632" s="1"/>
      <c r="QDV1632" s="1"/>
      <c r="QDW1632" s="1"/>
      <c r="QDX1632" s="1"/>
      <c r="QDY1632" s="1"/>
      <c r="QDZ1632" s="1"/>
      <c r="QEA1632" s="1"/>
      <c r="QEB1632" s="1"/>
      <c r="QEC1632" s="1"/>
      <c r="QED1632" s="1"/>
      <c r="QEE1632" s="1"/>
      <c r="QEF1632" s="1"/>
      <c r="QEG1632" s="1"/>
      <c r="QEH1632" s="1"/>
      <c r="QEI1632" s="1"/>
      <c r="QEJ1632" s="1"/>
      <c r="QEK1632" s="1"/>
      <c r="QEL1632" s="1"/>
      <c r="QEM1632" s="1"/>
      <c r="QEN1632" s="1"/>
      <c r="QEO1632" s="1"/>
      <c r="QEP1632" s="1"/>
      <c r="QEQ1632" s="1"/>
      <c r="QER1632" s="1"/>
      <c r="QES1632" s="1"/>
      <c r="QET1632" s="1"/>
      <c r="QEU1632" s="1"/>
      <c r="QEV1632" s="1"/>
      <c r="QEW1632" s="1"/>
      <c r="QEX1632" s="1"/>
      <c r="QEY1632" s="1"/>
      <c r="QEZ1632" s="1"/>
      <c r="QFA1632" s="1"/>
      <c r="QFB1632" s="1"/>
      <c r="QFC1632" s="1"/>
      <c r="QFD1632" s="1"/>
      <c r="QFE1632" s="1"/>
      <c r="QFF1632" s="1"/>
      <c r="QFG1632" s="1"/>
      <c r="QFH1632" s="1"/>
      <c r="QFI1632" s="1"/>
      <c r="QFJ1632" s="1"/>
      <c r="QFK1632" s="1"/>
      <c r="QFL1632" s="1"/>
      <c r="QFM1632" s="1"/>
      <c r="QFN1632" s="1"/>
      <c r="QFO1632" s="1"/>
      <c r="QFP1632" s="1"/>
      <c r="QFQ1632" s="1"/>
      <c r="QFR1632" s="1"/>
      <c r="QFS1632" s="1"/>
      <c r="QFT1632" s="1"/>
      <c r="QFU1632" s="1"/>
      <c r="QFV1632" s="1"/>
      <c r="QFW1632" s="1"/>
      <c r="QFX1632" s="1"/>
      <c r="QFY1632" s="1"/>
      <c r="QFZ1632" s="1"/>
      <c r="QGA1632" s="1"/>
      <c r="QGB1632" s="1"/>
      <c r="QGC1632" s="1"/>
      <c r="QGD1632" s="1"/>
      <c r="QGE1632" s="1"/>
      <c r="QGF1632" s="1"/>
      <c r="QGG1632" s="1"/>
      <c r="QGH1632" s="1"/>
      <c r="QGI1632" s="1"/>
      <c r="QGJ1632" s="1"/>
      <c r="QGK1632" s="1"/>
      <c r="QGL1632" s="1"/>
      <c r="QGM1632" s="1"/>
      <c r="QGN1632" s="1"/>
      <c r="QGO1632" s="1"/>
      <c r="QGP1632" s="1"/>
      <c r="QGQ1632" s="1"/>
      <c r="QGR1632" s="1"/>
      <c r="QGS1632" s="1"/>
      <c r="QGT1632" s="1"/>
      <c r="QGU1632" s="1"/>
      <c r="QGV1632" s="1"/>
      <c r="QGW1632" s="1"/>
      <c r="QGX1632" s="1"/>
      <c r="QGY1632" s="1"/>
      <c r="QGZ1632" s="1"/>
      <c r="QHA1632" s="1"/>
      <c r="QHB1632" s="1"/>
      <c r="QHC1632" s="1"/>
      <c r="QHD1632" s="1"/>
      <c r="QHE1632" s="1"/>
      <c r="QHF1632" s="1"/>
      <c r="QHG1632" s="1"/>
      <c r="QHH1632" s="1"/>
      <c r="QHI1632" s="1"/>
      <c r="QHJ1632" s="1"/>
      <c r="QHK1632" s="1"/>
      <c r="QHL1632" s="1"/>
      <c r="QHM1632" s="1"/>
      <c r="QHN1632" s="1"/>
      <c r="QHO1632" s="1"/>
      <c r="QHP1632" s="1"/>
      <c r="QHQ1632" s="1"/>
      <c r="QHR1632" s="1"/>
      <c r="QHS1632" s="1"/>
      <c r="QHT1632" s="1"/>
      <c r="QHU1632" s="1"/>
      <c r="QHV1632" s="1"/>
      <c r="QHW1632" s="1"/>
      <c r="QHX1632" s="1"/>
      <c r="QHY1632" s="1"/>
      <c r="QHZ1632" s="1"/>
      <c r="QIA1632" s="1"/>
      <c r="QIB1632" s="1"/>
      <c r="QIC1632" s="1"/>
      <c r="QID1632" s="1"/>
      <c r="QIE1632" s="1"/>
      <c r="QIF1632" s="1"/>
      <c r="QIG1632" s="1"/>
      <c r="QIH1632" s="1"/>
      <c r="QII1632" s="1"/>
      <c r="QIJ1632" s="1"/>
      <c r="QIK1632" s="1"/>
      <c r="QIL1632" s="1"/>
      <c r="QIM1632" s="1"/>
      <c r="QIN1632" s="1"/>
      <c r="QIO1632" s="1"/>
      <c r="QIP1632" s="1"/>
      <c r="QIQ1632" s="1"/>
      <c r="QIR1632" s="1"/>
      <c r="QIS1632" s="1"/>
      <c r="QIT1632" s="1"/>
      <c r="QIU1632" s="1"/>
      <c r="QIV1632" s="1"/>
      <c r="QIW1632" s="1"/>
      <c r="QIX1632" s="1"/>
      <c r="QIY1632" s="1"/>
      <c r="QIZ1632" s="1"/>
      <c r="QJA1632" s="1"/>
      <c r="QJB1632" s="1"/>
      <c r="QJC1632" s="1"/>
      <c r="QJD1632" s="1"/>
      <c r="QJE1632" s="1"/>
      <c r="QJF1632" s="1"/>
      <c r="QJG1632" s="1"/>
      <c r="QJH1632" s="1"/>
      <c r="QJI1632" s="1"/>
      <c r="QJJ1632" s="1"/>
      <c r="QJK1632" s="1"/>
      <c r="QJL1632" s="1"/>
      <c r="QJM1632" s="1"/>
      <c r="QJN1632" s="1"/>
      <c r="QJO1632" s="1"/>
      <c r="QJP1632" s="1"/>
      <c r="QJQ1632" s="1"/>
      <c r="QJR1632" s="1"/>
      <c r="QJS1632" s="1"/>
      <c r="QJT1632" s="1"/>
      <c r="QJU1632" s="1"/>
      <c r="QJV1632" s="1"/>
      <c r="QJW1632" s="1"/>
      <c r="QJX1632" s="1"/>
      <c r="QJY1632" s="1"/>
      <c r="QJZ1632" s="1"/>
      <c r="QKA1632" s="1"/>
      <c r="QKB1632" s="1"/>
      <c r="QKC1632" s="1"/>
      <c r="QKD1632" s="1"/>
      <c r="QKE1632" s="1"/>
      <c r="QKF1632" s="1"/>
      <c r="QKG1632" s="1"/>
      <c r="QKH1632" s="1"/>
      <c r="QKI1632" s="1"/>
      <c r="QKJ1632" s="1"/>
      <c r="QKK1632" s="1"/>
      <c r="QKL1632" s="1"/>
      <c r="QKM1632" s="1"/>
      <c r="QKN1632" s="1"/>
      <c r="QKO1632" s="1"/>
      <c r="QKP1632" s="1"/>
      <c r="QKQ1632" s="1"/>
      <c r="QKR1632" s="1"/>
      <c r="QKS1632" s="1"/>
      <c r="QKT1632" s="1"/>
      <c r="QKU1632" s="1"/>
      <c r="QKV1632" s="1"/>
      <c r="QKW1632" s="1"/>
      <c r="QKX1632" s="1"/>
      <c r="QKY1632" s="1"/>
      <c r="QKZ1632" s="1"/>
      <c r="QLA1632" s="1"/>
      <c r="QLB1632" s="1"/>
      <c r="QLC1632" s="1"/>
      <c r="QLD1632" s="1"/>
      <c r="QLE1632" s="1"/>
      <c r="QLF1632" s="1"/>
      <c r="QLG1632" s="1"/>
      <c r="QLH1632" s="1"/>
      <c r="QLI1632" s="1"/>
      <c r="QLJ1632" s="1"/>
      <c r="QLK1632" s="1"/>
      <c r="QLL1632" s="1"/>
      <c r="QLM1632" s="1"/>
      <c r="QLN1632" s="1"/>
      <c r="QLO1632" s="1"/>
      <c r="QLP1632" s="1"/>
      <c r="QLQ1632" s="1"/>
      <c r="QLR1632" s="1"/>
      <c r="QLS1632" s="1"/>
      <c r="QLT1632" s="1"/>
      <c r="QLU1632" s="1"/>
      <c r="QLV1632" s="1"/>
      <c r="QLW1632" s="1"/>
      <c r="QLX1632" s="1"/>
      <c r="QLY1632" s="1"/>
      <c r="QLZ1632" s="1"/>
      <c r="QMA1632" s="1"/>
      <c r="QMB1632" s="1"/>
      <c r="QMC1632" s="1"/>
      <c r="QMD1632" s="1"/>
      <c r="QME1632" s="1"/>
      <c r="QMF1632" s="1"/>
      <c r="QMG1632" s="1"/>
      <c r="QMH1632" s="1"/>
      <c r="QMI1632" s="1"/>
      <c r="QMJ1632" s="1"/>
      <c r="QMK1632" s="1"/>
      <c r="QML1632" s="1"/>
      <c r="QMM1632" s="1"/>
      <c r="QMN1632" s="1"/>
      <c r="QMO1632" s="1"/>
      <c r="QMP1632" s="1"/>
      <c r="QMQ1632" s="1"/>
      <c r="QMR1632" s="1"/>
      <c r="QMS1632" s="1"/>
      <c r="QMT1632" s="1"/>
      <c r="QMU1632" s="1"/>
      <c r="QMV1632" s="1"/>
      <c r="QMW1632" s="1"/>
      <c r="QMX1632" s="1"/>
      <c r="QMY1632" s="1"/>
      <c r="QMZ1632" s="1"/>
      <c r="QNA1632" s="1"/>
      <c r="QNB1632" s="1"/>
      <c r="QNC1632" s="1"/>
      <c r="QND1632" s="1"/>
      <c r="QNE1632" s="1"/>
      <c r="QNF1632" s="1"/>
      <c r="QNG1632" s="1"/>
      <c r="QNH1632" s="1"/>
      <c r="QNI1632" s="1"/>
      <c r="QNJ1632" s="1"/>
      <c r="QNK1632" s="1"/>
      <c r="QNL1632" s="1"/>
      <c r="QNM1632" s="1"/>
      <c r="QNN1632" s="1"/>
      <c r="QNO1632" s="1"/>
      <c r="QNP1632" s="1"/>
      <c r="QNQ1632" s="1"/>
      <c r="QNR1632" s="1"/>
      <c r="QNS1632" s="1"/>
      <c r="QNT1632" s="1"/>
      <c r="QNU1632" s="1"/>
      <c r="QNV1632" s="1"/>
      <c r="QNW1632" s="1"/>
      <c r="QNX1632" s="1"/>
      <c r="QNY1632" s="1"/>
      <c r="QNZ1632" s="1"/>
      <c r="QOA1632" s="1"/>
      <c r="QOB1632" s="1"/>
      <c r="QOC1632" s="1"/>
      <c r="QOD1632" s="1"/>
      <c r="QOE1632" s="1"/>
      <c r="QOF1632" s="1"/>
      <c r="QOG1632" s="1"/>
      <c r="QOH1632" s="1"/>
      <c r="QOI1632" s="1"/>
      <c r="QOJ1632" s="1"/>
      <c r="QOK1632" s="1"/>
      <c r="QOL1632" s="1"/>
      <c r="QOM1632" s="1"/>
      <c r="QON1632" s="1"/>
      <c r="QOO1632" s="1"/>
      <c r="QOP1632" s="1"/>
      <c r="QOQ1632" s="1"/>
      <c r="QOR1632" s="1"/>
      <c r="QOS1632" s="1"/>
      <c r="QOT1632" s="1"/>
      <c r="QOU1632" s="1"/>
      <c r="QOV1632" s="1"/>
      <c r="QOW1632" s="1"/>
      <c r="QOX1632" s="1"/>
      <c r="QOY1632" s="1"/>
      <c r="QOZ1632" s="1"/>
      <c r="QPA1632" s="1"/>
      <c r="QPB1632" s="1"/>
      <c r="QPC1632" s="1"/>
      <c r="QPD1632" s="1"/>
      <c r="QPE1632" s="1"/>
      <c r="QPF1632" s="1"/>
      <c r="QPG1632" s="1"/>
      <c r="QPH1632" s="1"/>
      <c r="QPI1632" s="1"/>
      <c r="QPJ1632" s="1"/>
      <c r="QPK1632" s="1"/>
      <c r="QPL1632" s="1"/>
      <c r="QPM1632" s="1"/>
      <c r="QPN1632" s="1"/>
      <c r="QPO1632" s="1"/>
      <c r="QPP1632" s="1"/>
      <c r="QPQ1632" s="1"/>
      <c r="QPR1632" s="1"/>
      <c r="QPS1632" s="1"/>
      <c r="QPT1632" s="1"/>
      <c r="QPU1632" s="1"/>
      <c r="QPV1632" s="1"/>
      <c r="QPW1632" s="1"/>
      <c r="QPX1632" s="1"/>
      <c r="QPY1632" s="1"/>
      <c r="QPZ1632" s="1"/>
      <c r="QQA1632" s="1"/>
      <c r="QQB1632" s="1"/>
      <c r="QQC1632" s="1"/>
      <c r="QQD1632" s="1"/>
      <c r="QQE1632" s="1"/>
      <c r="QQF1632" s="1"/>
      <c r="QQG1632" s="1"/>
      <c r="QQH1632" s="1"/>
      <c r="QQI1632" s="1"/>
      <c r="QQJ1632" s="1"/>
      <c r="QQK1632" s="1"/>
      <c r="QQL1632" s="1"/>
      <c r="QQM1632" s="1"/>
      <c r="QQN1632" s="1"/>
      <c r="QQO1632" s="1"/>
      <c r="QQP1632" s="1"/>
      <c r="QQQ1632" s="1"/>
      <c r="QQR1632" s="1"/>
      <c r="QQS1632" s="1"/>
      <c r="QQT1632" s="1"/>
      <c r="QQU1632" s="1"/>
      <c r="QQV1632" s="1"/>
      <c r="QQW1632" s="1"/>
      <c r="QQX1632" s="1"/>
      <c r="QQY1632" s="1"/>
      <c r="QQZ1632" s="1"/>
      <c r="QRA1632" s="1"/>
      <c r="QRB1632" s="1"/>
      <c r="QRC1632" s="1"/>
      <c r="QRD1632" s="1"/>
      <c r="QRE1632" s="1"/>
      <c r="QRF1632" s="1"/>
      <c r="QRG1632" s="1"/>
      <c r="QRH1632" s="1"/>
      <c r="QRI1632" s="1"/>
      <c r="QRJ1632" s="1"/>
      <c r="QRK1632" s="1"/>
      <c r="QRL1632" s="1"/>
      <c r="QRM1632" s="1"/>
      <c r="QRN1632" s="1"/>
      <c r="QRO1632" s="1"/>
      <c r="QRP1632" s="1"/>
      <c r="QRQ1632" s="1"/>
      <c r="QRR1632" s="1"/>
      <c r="QRS1632" s="1"/>
      <c r="QRT1632" s="1"/>
      <c r="QRU1632" s="1"/>
      <c r="QRV1632" s="1"/>
      <c r="QRW1632" s="1"/>
      <c r="QRX1632" s="1"/>
      <c r="QRY1632" s="1"/>
      <c r="QRZ1632" s="1"/>
      <c r="QSA1632" s="1"/>
      <c r="QSB1632" s="1"/>
      <c r="QSC1632" s="1"/>
      <c r="QSD1632" s="1"/>
      <c r="QSE1632" s="1"/>
      <c r="QSF1632" s="1"/>
      <c r="QSG1632" s="1"/>
      <c r="QSH1632" s="1"/>
      <c r="QSI1632" s="1"/>
      <c r="QSJ1632" s="1"/>
      <c r="QSK1632" s="1"/>
      <c r="QSL1632" s="1"/>
      <c r="QSM1632" s="1"/>
      <c r="QSN1632" s="1"/>
      <c r="QSO1632" s="1"/>
      <c r="QSP1632" s="1"/>
      <c r="QSQ1632" s="1"/>
      <c r="QSR1632" s="1"/>
      <c r="QSS1632" s="1"/>
      <c r="QST1632" s="1"/>
      <c r="QSU1632" s="1"/>
      <c r="QSV1632" s="1"/>
      <c r="QSW1632" s="1"/>
      <c r="QSX1632" s="1"/>
      <c r="QSY1632" s="1"/>
      <c r="QSZ1632" s="1"/>
      <c r="QTA1632" s="1"/>
      <c r="QTB1632" s="1"/>
      <c r="QTC1632" s="1"/>
      <c r="QTD1632" s="1"/>
      <c r="QTE1632" s="1"/>
      <c r="QTF1632" s="1"/>
      <c r="QTG1632" s="1"/>
      <c r="QTH1632" s="1"/>
      <c r="QTI1632" s="1"/>
      <c r="QTJ1632" s="1"/>
      <c r="QTK1632" s="1"/>
      <c r="QTL1632" s="1"/>
      <c r="QTM1632" s="1"/>
      <c r="QTN1632" s="1"/>
      <c r="QTO1632" s="1"/>
      <c r="QTP1632" s="1"/>
      <c r="QTQ1632" s="1"/>
      <c r="QTR1632" s="1"/>
      <c r="QTS1632" s="1"/>
      <c r="QTT1632" s="1"/>
      <c r="QTU1632" s="1"/>
      <c r="QTV1632" s="1"/>
      <c r="QTW1632" s="1"/>
      <c r="QTX1632" s="1"/>
      <c r="QTY1632" s="1"/>
      <c r="QTZ1632" s="1"/>
      <c r="QUA1632" s="1"/>
      <c r="QUB1632" s="1"/>
      <c r="QUC1632" s="1"/>
      <c r="QUD1632" s="1"/>
      <c r="QUE1632" s="1"/>
      <c r="QUF1632" s="1"/>
      <c r="QUG1632" s="1"/>
      <c r="QUH1632" s="1"/>
      <c r="QUI1632" s="1"/>
      <c r="QUJ1632" s="1"/>
      <c r="QUK1632" s="1"/>
      <c r="QUL1632" s="1"/>
      <c r="QUM1632" s="1"/>
      <c r="QUN1632" s="1"/>
      <c r="QUO1632" s="1"/>
      <c r="QUP1632" s="1"/>
      <c r="QUQ1632" s="1"/>
      <c r="QUR1632" s="1"/>
      <c r="QUS1632" s="1"/>
      <c r="QUT1632" s="1"/>
      <c r="QUU1632" s="1"/>
      <c r="QUV1632" s="1"/>
      <c r="QUW1632" s="1"/>
      <c r="QUX1632" s="1"/>
      <c r="QUY1632" s="1"/>
      <c r="QUZ1632" s="1"/>
      <c r="QVA1632" s="1"/>
      <c r="QVB1632" s="1"/>
      <c r="QVC1632" s="1"/>
      <c r="QVD1632" s="1"/>
      <c r="QVE1632" s="1"/>
      <c r="QVF1632" s="1"/>
      <c r="QVG1632" s="1"/>
      <c r="QVH1632" s="1"/>
      <c r="QVI1632" s="1"/>
      <c r="QVJ1632" s="1"/>
      <c r="QVK1632" s="1"/>
      <c r="QVL1632" s="1"/>
      <c r="QVM1632" s="1"/>
      <c r="QVN1632" s="1"/>
      <c r="QVO1632" s="1"/>
      <c r="QVP1632" s="1"/>
      <c r="QVQ1632" s="1"/>
      <c r="QVR1632" s="1"/>
      <c r="QVS1632" s="1"/>
      <c r="QVT1632" s="1"/>
      <c r="QVU1632" s="1"/>
      <c r="QVV1632" s="1"/>
      <c r="QVW1632" s="1"/>
      <c r="QVX1632" s="1"/>
      <c r="QVY1632" s="1"/>
      <c r="QVZ1632" s="1"/>
      <c r="QWA1632" s="1"/>
      <c r="QWB1632" s="1"/>
      <c r="QWC1632" s="1"/>
      <c r="QWD1632" s="1"/>
      <c r="QWE1632" s="1"/>
      <c r="QWF1632" s="1"/>
      <c r="QWG1632" s="1"/>
      <c r="QWH1632" s="1"/>
      <c r="QWI1632" s="1"/>
      <c r="QWJ1632" s="1"/>
      <c r="QWK1632" s="1"/>
      <c r="QWL1632" s="1"/>
      <c r="QWM1632" s="1"/>
      <c r="QWN1632" s="1"/>
      <c r="QWO1632" s="1"/>
      <c r="QWP1632" s="1"/>
      <c r="QWQ1632" s="1"/>
      <c r="QWR1632" s="1"/>
      <c r="QWS1632" s="1"/>
      <c r="QWT1632" s="1"/>
      <c r="QWU1632" s="1"/>
      <c r="QWV1632" s="1"/>
      <c r="QWW1632" s="1"/>
      <c r="QWX1632" s="1"/>
      <c r="QWY1632" s="1"/>
      <c r="QWZ1632" s="1"/>
      <c r="QXA1632" s="1"/>
      <c r="QXB1632" s="1"/>
      <c r="QXC1632" s="1"/>
      <c r="QXD1632" s="1"/>
      <c r="QXE1632" s="1"/>
      <c r="QXF1632" s="1"/>
      <c r="QXG1632" s="1"/>
      <c r="QXH1632" s="1"/>
      <c r="QXI1632" s="1"/>
      <c r="QXJ1632" s="1"/>
      <c r="QXK1632" s="1"/>
      <c r="QXL1632" s="1"/>
      <c r="QXM1632" s="1"/>
      <c r="QXN1632" s="1"/>
      <c r="QXO1632" s="1"/>
      <c r="QXP1632" s="1"/>
      <c r="QXQ1632" s="1"/>
      <c r="QXR1632" s="1"/>
      <c r="QXS1632" s="1"/>
      <c r="QXT1632" s="1"/>
      <c r="QXU1632" s="1"/>
      <c r="QXV1632" s="1"/>
      <c r="QXW1632" s="1"/>
      <c r="QXX1632" s="1"/>
      <c r="QXY1632" s="1"/>
      <c r="QXZ1632" s="1"/>
      <c r="QYA1632" s="1"/>
      <c r="QYB1632" s="1"/>
      <c r="QYC1632" s="1"/>
      <c r="QYD1632" s="1"/>
      <c r="QYE1632" s="1"/>
      <c r="QYF1632" s="1"/>
      <c r="QYG1632" s="1"/>
      <c r="QYH1632" s="1"/>
      <c r="QYI1632" s="1"/>
      <c r="QYJ1632" s="1"/>
      <c r="QYK1632" s="1"/>
      <c r="QYL1632" s="1"/>
      <c r="QYM1632" s="1"/>
      <c r="QYN1632" s="1"/>
      <c r="QYO1632" s="1"/>
      <c r="QYP1632" s="1"/>
      <c r="QYQ1632" s="1"/>
      <c r="QYR1632" s="1"/>
      <c r="QYS1632" s="1"/>
      <c r="QYT1632" s="1"/>
      <c r="QYU1632" s="1"/>
      <c r="QYV1632" s="1"/>
      <c r="QYW1632" s="1"/>
      <c r="QYX1632" s="1"/>
      <c r="QYY1632" s="1"/>
      <c r="QYZ1632" s="1"/>
      <c r="QZA1632" s="1"/>
      <c r="QZB1632" s="1"/>
      <c r="QZC1632" s="1"/>
      <c r="QZD1632" s="1"/>
      <c r="QZE1632" s="1"/>
      <c r="QZF1632" s="1"/>
      <c r="QZG1632" s="1"/>
      <c r="QZH1632" s="1"/>
      <c r="QZI1632" s="1"/>
      <c r="QZJ1632" s="1"/>
      <c r="QZK1632" s="1"/>
      <c r="QZL1632" s="1"/>
      <c r="QZM1632" s="1"/>
      <c r="QZN1632" s="1"/>
      <c r="QZO1632" s="1"/>
      <c r="QZP1632" s="1"/>
      <c r="QZQ1632" s="1"/>
      <c r="QZR1632" s="1"/>
      <c r="QZS1632" s="1"/>
      <c r="QZT1632" s="1"/>
      <c r="QZU1632" s="1"/>
      <c r="QZV1632" s="1"/>
      <c r="QZW1632" s="1"/>
      <c r="QZX1632" s="1"/>
      <c r="QZY1632" s="1"/>
      <c r="QZZ1632" s="1"/>
      <c r="RAA1632" s="1"/>
      <c r="RAB1632" s="1"/>
      <c r="RAC1632" s="1"/>
      <c r="RAD1632" s="1"/>
      <c r="RAE1632" s="1"/>
      <c r="RAF1632" s="1"/>
      <c r="RAG1632" s="1"/>
      <c r="RAH1632" s="1"/>
      <c r="RAI1632" s="1"/>
      <c r="RAJ1632" s="1"/>
      <c r="RAK1632" s="1"/>
      <c r="RAL1632" s="1"/>
      <c r="RAM1632" s="1"/>
      <c r="RAN1632" s="1"/>
      <c r="RAO1632" s="1"/>
      <c r="RAP1632" s="1"/>
      <c r="RAQ1632" s="1"/>
      <c r="RAR1632" s="1"/>
      <c r="RAS1632" s="1"/>
      <c r="RAT1632" s="1"/>
      <c r="RAU1632" s="1"/>
      <c r="RAV1632" s="1"/>
      <c r="RAW1632" s="1"/>
      <c r="RAX1632" s="1"/>
      <c r="RAY1632" s="1"/>
      <c r="RAZ1632" s="1"/>
      <c r="RBA1632" s="1"/>
      <c r="RBB1632" s="1"/>
      <c r="RBC1632" s="1"/>
      <c r="RBD1632" s="1"/>
      <c r="RBE1632" s="1"/>
      <c r="RBF1632" s="1"/>
      <c r="RBG1632" s="1"/>
      <c r="RBH1632" s="1"/>
      <c r="RBI1632" s="1"/>
      <c r="RBJ1632" s="1"/>
      <c r="RBK1632" s="1"/>
      <c r="RBL1632" s="1"/>
      <c r="RBM1632" s="1"/>
      <c r="RBN1632" s="1"/>
      <c r="RBO1632" s="1"/>
      <c r="RBP1632" s="1"/>
      <c r="RBQ1632" s="1"/>
      <c r="RBR1632" s="1"/>
      <c r="RBS1632" s="1"/>
      <c r="RBT1632" s="1"/>
      <c r="RBU1632" s="1"/>
      <c r="RBV1632" s="1"/>
      <c r="RBW1632" s="1"/>
      <c r="RBX1632" s="1"/>
      <c r="RBY1632" s="1"/>
      <c r="RBZ1632" s="1"/>
      <c r="RCA1632" s="1"/>
      <c r="RCB1632" s="1"/>
      <c r="RCC1632" s="1"/>
      <c r="RCD1632" s="1"/>
      <c r="RCE1632" s="1"/>
      <c r="RCF1632" s="1"/>
      <c r="RCG1632" s="1"/>
      <c r="RCH1632" s="1"/>
      <c r="RCI1632" s="1"/>
      <c r="RCJ1632" s="1"/>
      <c r="RCK1632" s="1"/>
      <c r="RCL1632" s="1"/>
      <c r="RCM1632" s="1"/>
      <c r="RCN1632" s="1"/>
      <c r="RCO1632" s="1"/>
      <c r="RCP1632" s="1"/>
      <c r="RCQ1632" s="1"/>
      <c r="RCR1632" s="1"/>
      <c r="RCS1632" s="1"/>
      <c r="RCT1632" s="1"/>
      <c r="RCU1632" s="1"/>
      <c r="RCV1632" s="1"/>
      <c r="RCW1632" s="1"/>
      <c r="RCX1632" s="1"/>
      <c r="RCY1632" s="1"/>
      <c r="RCZ1632" s="1"/>
      <c r="RDA1632" s="1"/>
      <c r="RDB1632" s="1"/>
      <c r="RDC1632" s="1"/>
      <c r="RDD1632" s="1"/>
      <c r="RDE1632" s="1"/>
      <c r="RDF1632" s="1"/>
      <c r="RDG1632" s="1"/>
      <c r="RDH1632" s="1"/>
      <c r="RDI1632" s="1"/>
      <c r="RDJ1632" s="1"/>
      <c r="RDK1632" s="1"/>
      <c r="RDL1632" s="1"/>
      <c r="RDM1632" s="1"/>
      <c r="RDN1632" s="1"/>
      <c r="RDO1632" s="1"/>
      <c r="RDP1632" s="1"/>
      <c r="RDQ1632" s="1"/>
      <c r="RDR1632" s="1"/>
      <c r="RDS1632" s="1"/>
      <c r="RDT1632" s="1"/>
      <c r="RDU1632" s="1"/>
      <c r="RDV1632" s="1"/>
      <c r="RDW1632" s="1"/>
      <c r="RDX1632" s="1"/>
      <c r="RDY1632" s="1"/>
      <c r="RDZ1632" s="1"/>
      <c r="REA1632" s="1"/>
      <c r="REB1632" s="1"/>
      <c r="REC1632" s="1"/>
      <c r="RED1632" s="1"/>
      <c r="REE1632" s="1"/>
      <c r="REF1632" s="1"/>
      <c r="REG1632" s="1"/>
      <c r="REH1632" s="1"/>
      <c r="REI1632" s="1"/>
      <c r="REJ1632" s="1"/>
      <c r="REK1632" s="1"/>
      <c r="REL1632" s="1"/>
      <c r="REM1632" s="1"/>
      <c r="REN1632" s="1"/>
      <c r="REO1632" s="1"/>
      <c r="REP1632" s="1"/>
      <c r="REQ1632" s="1"/>
      <c r="RER1632" s="1"/>
      <c r="RES1632" s="1"/>
      <c r="RET1632" s="1"/>
      <c r="REU1632" s="1"/>
      <c r="REV1632" s="1"/>
      <c r="REW1632" s="1"/>
      <c r="REX1632" s="1"/>
      <c r="REY1632" s="1"/>
      <c r="REZ1632" s="1"/>
      <c r="RFA1632" s="1"/>
      <c r="RFB1632" s="1"/>
      <c r="RFC1632" s="1"/>
      <c r="RFD1632" s="1"/>
      <c r="RFE1632" s="1"/>
      <c r="RFF1632" s="1"/>
      <c r="RFG1632" s="1"/>
      <c r="RFH1632" s="1"/>
      <c r="RFI1632" s="1"/>
      <c r="RFJ1632" s="1"/>
      <c r="RFK1632" s="1"/>
      <c r="RFL1632" s="1"/>
      <c r="RFM1632" s="1"/>
      <c r="RFN1632" s="1"/>
      <c r="RFO1632" s="1"/>
      <c r="RFP1632" s="1"/>
      <c r="RFQ1632" s="1"/>
      <c r="RFR1632" s="1"/>
      <c r="RFS1632" s="1"/>
      <c r="RFT1632" s="1"/>
      <c r="RFU1632" s="1"/>
      <c r="RFV1632" s="1"/>
      <c r="RFW1632" s="1"/>
      <c r="RFX1632" s="1"/>
      <c r="RFY1632" s="1"/>
      <c r="RFZ1632" s="1"/>
      <c r="RGA1632" s="1"/>
      <c r="RGB1632" s="1"/>
      <c r="RGC1632" s="1"/>
      <c r="RGD1632" s="1"/>
      <c r="RGE1632" s="1"/>
      <c r="RGF1632" s="1"/>
      <c r="RGG1632" s="1"/>
      <c r="RGH1632" s="1"/>
      <c r="RGI1632" s="1"/>
      <c r="RGJ1632" s="1"/>
      <c r="RGK1632" s="1"/>
      <c r="RGL1632" s="1"/>
      <c r="RGM1632" s="1"/>
      <c r="RGN1632" s="1"/>
      <c r="RGO1632" s="1"/>
      <c r="RGP1632" s="1"/>
      <c r="RGQ1632" s="1"/>
      <c r="RGR1632" s="1"/>
      <c r="RGS1632" s="1"/>
      <c r="RGT1632" s="1"/>
      <c r="RGU1632" s="1"/>
      <c r="RGV1632" s="1"/>
      <c r="RGW1632" s="1"/>
      <c r="RGX1632" s="1"/>
      <c r="RGY1632" s="1"/>
      <c r="RGZ1632" s="1"/>
      <c r="RHA1632" s="1"/>
      <c r="RHB1632" s="1"/>
      <c r="RHC1632" s="1"/>
      <c r="RHD1632" s="1"/>
      <c r="RHE1632" s="1"/>
      <c r="RHF1632" s="1"/>
      <c r="RHG1632" s="1"/>
      <c r="RHH1632" s="1"/>
      <c r="RHI1632" s="1"/>
      <c r="RHJ1632" s="1"/>
      <c r="RHK1632" s="1"/>
      <c r="RHL1632" s="1"/>
      <c r="RHM1632" s="1"/>
      <c r="RHN1632" s="1"/>
      <c r="RHO1632" s="1"/>
      <c r="RHP1632" s="1"/>
      <c r="RHQ1632" s="1"/>
      <c r="RHR1632" s="1"/>
      <c r="RHS1632" s="1"/>
      <c r="RHT1632" s="1"/>
      <c r="RHU1632" s="1"/>
      <c r="RHV1632" s="1"/>
      <c r="RHW1632" s="1"/>
      <c r="RHX1632" s="1"/>
      <c r="RHY1632" s="1"/>
      <c r="RHZ1632" s="1"/>
      <c r="RIA1632" s="1"/>
      <c r="RIB1632" s="1"/>
      <c r="RIC1632" s="1"/>
      <c r="RID1632" s="1"/>
      <c r="RIE1632" s="1"/>
      <c r="RIF1632" s="1"/>
      <c r="RIG1632" s="1"/>
      <c r="RIH1632" s="1"/>
      <c r="RII1632" s="1"/>
      <c r="RIJ1632" s="1"/>
      <c r="RIK1632" s="1"/>
      <c r="RIL1632" s="1"/>
      <c r="RIM1632" s="1"/>
      <c r="RIN1632" s="1"/>
      <c r="RIO1632" s="1"/>
      <c r="RIP1632" s="1"/>
      <c r="RIQ1632" s="1"/>
      <c r="RIR1632" s="1"/>
      <c r="RIS1632" s="1"/>
      <c r="RIT1632" s="1"/>
      <c r="RIU1632" s="1"/>
      <c r="RIV1632" s="1"/>
      <c r="RIW1632" s="1"/>
      <c r="RIX1632" s="1"/>
      <c r="RIY1632" s="1"/>
      <c r="RIZ1632" s="1"/>
      <c r="RJA1632" s="1"/>
      <c r="RJB1632" s="1"/>
      <c r="RJC1632" s="1"/>
      <c r="RJD1632" s="1"/>
      <c r="RJE1632" s="1"/>
      <c r="RJF1632" s="1"/>
      <c r="RJG1632" s="1"/>
      <c r="RJH1632" s="1"/>
      <c r="RJI1632" s="1"/>
      <c r="RJJ1632" s="1"/>
      <c r="RJK1632" s="1"/>
      <c r="RJL1632" s="1"/>
      <c r="RJM1632" s="1"/>
      <c r="RJN1632" s="1"/>
      <c r="RJO1632" s="1"/>
      <c r="RJP1632" s="1"/>
      <c r="RJQ1632" s="1"/>
      <c r="RJR1632" s="1"/>
      <c r="RJS1632" s="1"/>
      <c r="RJT1632" s="1"/>
      <c r="RJU1632" s="1"/>
      <c r="RJV1632" s="1"/>
      <c r="RJW1632" s="1"/>
      <c r="RJX1632" s="1"/>
      <c r="RJY1632" s="1"/>
      <c r="RJZ1632" s="1"/>
      <c r="RKA1632" s="1"/>
      <c r="RKB1632" s="1"/>
      <c r="RKC1632" s="1"/>
      <c r="RKD1632" s="1"/>
      <c r="RKE1632" s="1"/>
      <c r="RKF1632" s="1"/>
      <c r="RKG1632" s="1"/>
      <c r="RKH1632" s="1"/>
      <c r="RKI1632" s="1"/>
      <c r="RKJ1632" s="1"/>
      <c r="RKK1632" s="1"/>
      <c r="RKL1632" s="1"/>
      <c r="RKM1632" s="1"/>
      <c r="RKN1632" s="1"/>
      <c r="RKO1632" s="1"/>
      <c r="RKP1632" s="1"/>
      <c r="RKQ1632" s="1"/>
      <c r="RKR1632" s="1"/>
      <c r="RKS1632" s="1"/>
      <c r="RKT1632" s="1"/>
      <c r="RKU1632" s="1"/>
      <c r="RKV1632" s="1"/>
      <c r="RKW1632" s="1"/>
      <c r="RKX1632" s="1"/>
      <c r="RKY1632" s="1"/>
      <c r="RKZ1632" s="1"/>
      <c r="RLA1632" s="1"/>
      <c r="RLB1632" s="1"/>
      <c r="RLC1632" s="1"/>
      <c r="RLD1632" s="1"/>
      <c r="RLE1632" s="1"/>
      <c r="RLF1632" s="1"/>
      <c r="RLG1632" s="1"/>
      <c r="RLH1632" s="1"/>
      <c r="RLI1632" s="1"/>
      <c r="RLJ1632" s="1"/>
      <c r="RLK1632" s="1"/>
      <c r="RLL1632" s="1"/>
      <c r="RLM1632" s="1"/>
      <c r="RLN1632" s="1"/>
      <c r="RLO1632" s="1"/>
      <c r="RLP1632" s="1"/>
      <c r="RLQ1632" s="1"/>
      <c r="RLR1632" s="1"/>
      <c r="RLS1632" s="1"/>
      <c r="RLT1632" s="1"/>
      <c r="RLU1632" s="1"/>
      <c r="RLV1632" s="1"/>
      <c r="RLW1632" s="1"/>
      <c r="RLX1632" s="1"/>
      <c r="RLY1632" s="1"/>
      <c r="RLZ1632" s="1"/>
      <c r="RMA1632" s="1"/>
      <c r="RMB1632" s="1"/>
      <c r="RMC1632" s="1"/>
      <c r="RMD1632" s="1"/>
      <c r="RME1632" s="1"/>
      <c r="RMF1632" s="1"/>
      <c r="RMG1632" s="1"/>
      <c r="RMH1632" s="1"/>
      <c r="RMI1632" s="1"/>
      <c r="RMJ1632" s="1"/>
      <c r="RMK1632" s="1"/>
      <c r="RML1632" s="1"/>
      <c r="RMM1632" s="1"/>
      <c r="RMN1632" s="1"/>
      <c r="RMO1632" s="1"/>
      <c r="RMP1632" s="1"/>
      <c r="RMQ1632" s="1"/>
      <c r="RMR1632" s="1"/>
      <c r="RMS1632" s="1"/>
      <c r="RMT1632" s="1"/>
      <c r="RMU1632" s="1"/>
      <c r="RMV1632" s="1"/>
      <c r="RMW1632" s="1"/>
      <c r="RMX1632" s="1"/>
      <c r="RMY1632" s="1"/>
      <c r="RMZ1632" s="1"/>
      <c r="RNA1632" s="1"/>
      <c r="RNB1632" s="1"/>
      <c r="RNC1632" s="1"/>
      <c r="RND1632" s="1"/>
      <c r="RNE1632" s="1"/>
      <c r="RNF1632" s="1"/>
      <c r="RNG1632" s="1"/>
      <c r="RNH1632" s="1"/>
      <c r="RNI1632" s="1"/>
      <c r="RNJ1632" s="1"/>
      <c r="RNK1632" s="1"/>
      <c r="RNL1632" s="1"/>
      <c r="RNM1632" s="1"/>
      <c r="RNN1632" s="1"/>
      <c r="RNO1632" s="1"/>
      <c r="RNP1632" s="1"/>
      <c r="RNQ1632" s="1"/>
      <c r="RNR1632" s="1"/>
      <c r="RNS1632" s="1"/>
      <c r="RNT1632" s="1"/>
      <c r="RNU1632" s="1"/>
      <c r="RNV1632" s="1"/>
      <c r="RNW1632" s="1"/>
      <c r="RNX1632" s="1"/>
      <c r="RNY1632" s="1"/>
      <c r="RNZ1632" s="1"/>
      <c r="ROA1632" s="1"/>
      <c r="ROB1632" s="1"/>
      <c r="ROC1632" s="1"/>
      <c r="ROD1632" s="1"/>
      <c r="ROE1632" s="1"/>
      <c r="ROF1632" s="1"/>
      <c r="ROG1632" s="1"/>
      <c r="ROH1632" s="1"/>
      <c r="ROI1632" s="1"/>
      <c r="ROJ1632" s="1"/>
      <c r="ROK1632" s="1"/>
      <c r="ROL1632" s="1"/>
      <c r="ROM1632" s="1"/>
      <c r="RON1632" s="1"/>
      <c r="ROO1632" s="1"/>
      <c r="ROP1632" s="1"/>
      <c r="ROQ1632" s="1"/>
      <c r="ROR1632" s="1"/>
      <c r="ROS1632" s="1"/>
      <c r="ROT1632" s="1"/>
      <c r="ROU1632" s="1"/>
      <c r="ROV1632" s="1"/>
      <c r="ROW1632" s="1"/>
      <c r="ROX1632" s="1"/>
      <c r="ROY1632" s="1"/>
      <c r="ROZ1632" s="1"/>
      <c r="RPA1632" s="1"/>
      <c r="RPB1632" s="1"/>
      <c r="RPC1632" s="1"/>
      <c r="RPD1632" s="1"/>
      <c r="RPE1632" s="1"/>
      <c r="RPF1632" s="1"/>
      <c r="RPG1632" s="1"/>
      <c r="RPH1632" s="1"/>
      <c r="RPI1632" s="1"/>
      <c r="RPJ1632" s="1"/>
      <c r="RPK1632" s="1"/>
      <c r="RPL1632" s="1"/>
      <c r="RPM1632" s="1"/>
      <c r="RPN1632" s="1"/>
      <c r="RPO1632" s="1"/>
      <c r="RPP1632" s="1"/>
      <c r="RPQ1632" s="1"/>
      <c r="RPR1632" s="1"/>
      <c r="RPS1632" s="1"/>
      <c r="RPT1632" s="1"/>
      <c r="RPU1632" s="1"/>
      <c r="RPV1632" s="1"/>
      <c r="RPW1632" s="1"/>
      <c r="RPX1632" s="1"/>
      <c r="RPY1632" s="1"/>
      <c r="RPZ1632" s="1"/>
      <c r="RQA1632" s="1"/>
      <c r="RQB1632" s="1"/>
      <c r="RQC1632" s="1"/>
      <c r="RQD1632" s="1"/>
      <c r="RQE1632" s="1"/>
      <c r="RQF1632" s="1"/>
      <c r="RQG1632" s="1"/>
      <c r="RQH1632" s="1"/>
      <c r="RQI1632" s="1"/>
      <c r="RQJ1632" s="1"/>
      <c r="RQK1632" s="1"/>
      <c r="RQL1632" s="1"/>
      <c r="RQM1632" s="1"/>
      <c r="RQN1632" s="1"/>
      <c r="RQO1632" s="1"/>
      <c r="RQP1632" s="1"/>
      <c r="RQQ1632" s="1"/>
      <c r="RQR1632" s="1"/>
      <c r="RQS1632" s="1"/>
      <c r="RQT1632" s="1"/>
      <c r="RQU1632" s="1"/>
      <c r="RQV1632" s="1"/>
      <c r="RQW1632" s="1"/>
      <c r="RQX1632" s="1"/>
      <c r="RQY1632" s="1"/>
      <c r="RQZ1632" s="1"/>
      <c r="RRA1632" s="1"/>
      <c r="RRB1632" s="1"/>
      <c r="RRC1632" s="1"/>
      <c r="RRD1632" s="1"/>
      <c r="RRE1632" s="1"/>
      <c r="RRF1632" s="1"/>
      <c r="RRG1632" s="1"/>
      <c r="RRH1632" s="1"/>
      <c r="RRI1632" s="1"/>
      <c r="RRJ1632" s="1"/>
      <c r="RRK1632" s="1"/>
      <c r="RRL1632" s="1"/>
      <c r="RRM1632" s="1"/>
      <c r="RRN1632" s="1"/>
      <c r="RRO1632" s="1"/>
      <c r="RRP1632" s="1"/>
      <c r="RRQ1632" s="1"/>
      <c r="RRR1632" s="1"/>
      <c r="RRS1632" s="1"/>
      <c r="RRT1632" s="1"/>
      <c r="RRU1632" s="1"/>
      <c r="RRV1632" s="1"/>
      <c r="RRW1632" s="1"/>
      <c r="RRX1632" s="1"/>
      <c r="RRY1632" s="1"/>
      <c r="RRZ1632" s="1"/>
      <c r="RSA1632" s="1"/>
      <c r="RSB1632" s="1"/>
      <c r="RSC1632" s="1"/>
      <c r="RSD1632" s="1"/>
      <c r="RSE1632" s="1"/>
      <c r="RSF1632" s="1"/>
      <c r="RSG1632" s="1"/>
      <c r="RSH1632" s="1"/>
      <c r="RSI1632" s="1"/>
      <c r="RSJ1632" s="1"/>
      <c r="RSK1632" s="1"/>
      <c r="RSL1632" s="1"/>
      <c r="RSM1632" s="1"/>
      <c r="RSN1632" s="1"/>
      <c r="RSO1632" s="1"/>
      <c r="RSP1632" s="1"/>
      <c r="RSQ1632" s="1"/>
      <c r="RSR1632" s="1"/>
      <c r="RSS1632" s="1"/>
      <c r="RST1632" s="1"/>
      <c r="RSU1632" s="1"/>
      <c r="RSV1632" s="1"/>
      <c r="RSW1632" s="1"/>
      <c r="RSX1632" s="1"/>
      <c r="RSY1632" s="1"/>
      <c r="RSZ1632" s="1"/>
      <c r="RTA1632" s="1"/>
      <c r="RTB1632" s="1"/>
      <c r="RTC1632" s="1"/>
      <c r="RTD1632" s="1"/>
      <c r="RTE1632" s="1"/>
      <c r="RTF1632" s="1"/>
      <c r="RTG1632" s="1"/>
      <c r="RTH1632" s="1"/>
      <c r="RTI1632" s="1"/>
      <c r="RTJ1632" s="1"/>
      <c r="RTK1632" s="1"/>
      <c r="RTL1632" s="1"/>
      <c r="RTM1632" s="1"/>
      <c r="RTN1632" s="1"/>
      <c r="RTO1632" s="1"/>
      <c r="RTP1632" s="1"/>
      <c r="RTQ1632" s="1"/>
      <c r="RTR1632" s="1"/>
      <c r="RTS1632" s="1"/>
      <c r="RTT1632" s="1"/>
      <c r="RTU1632" s="1"/>
      <c r="RTV1632" s="1"/>
      <c r="RTW1632" s="1"/>
      <c r="RTX1632" s="1"/>
      <c r="RTY1632" s="1"/>
      <c r="RTZ1632" s="1"/>
      <c r="RUA1632" s="1"/>
      <c r="RUB1632" s="1"/>
      <c r="RUC1632" s="1"/>
      <c r="RUD1632" s="1"/>
      <c r="RUE1632" s="1"/>
      <c r="RUF1632" s="1"/>
      <c r="RUG1632" s="1"/>
      <c r="RUH1632" s="1"/>
      <c r="RUI1632" s="1"/>
      <c r="RUJ1632" s="1"/>
      <c r="RUK1632" s="1"/>
      <c r="RUL1632" s="1"/>
      <c r="RUM1632" s="1"/>
      <c r="RUN1632" s="1"/>
      <c r="RUO1632" s="1"/>
      <c r="RUP1632" s="1"/>
      <c r="RUQ1632" s="1"/>
      <c r="RUR1632" s="1"/>
      <c r="RUS1632" s="1"/>
      <c r="RUT1632" s="1"/>
      <c r="RUU1632" s="1"/>
      <c r="RUV1632" s="1"/>
      <c r="RUW1632" s="1"/>
      <c r="RUX1632" s="1"/>
      <c r="RUY1632" s="1"/>
      <c r="RUZ1632" s="1"/>
      <c r="RVA1632" s="1"/>
      <c r="RVB1632" s="1"/>
      <c r="RVC1632" s="1"/>
      <c r="RVD1632" s="1"/>
      <c r="RVE1632" s="1"/>
      <c r="RVF1632" s="1"/>
      <c r="RVG1632" s="1"/>
      <c r="RVH1632" s="1"/>
      <c r="RVI1632" s="1"/>
      <c r="RVJ1632" s="1"/>
      <c r="RVK1632" s="1"/>
      <c r="RVL1632" s="1"/>
      <c r="RVM1632" s="1"/>
      <c r="RVN1632" s="1"/>
      <c r="RVO1632" s="1"/>
      <c r="RVP1632" s="1"/>
      <c r="RVQ1632" s="1"/>
      <c r="RVR1632" s="1"/>
      <c r="RVS1632" s="1"/>
      <c r="RVT1632" s="1"/>
      <c r="RVU1632" s="1"/>
      <c r="RVV1632" s="1"/>
      <c r="RVW1632" s="1"/>
      <c r="RVX1632" s="1"/>
      <c r="RVY1632" s="1"/>
      <c r="RVZ1632" s="1"/>
      <c r="RWA1632" s="1"/>
      <c r="RWB1632" s="1"/>
      <c r="RWC1632" s="1"/>
      <c r="RWD1632" s="1"/>
      <c r="RWE1632" s="1"/>
      <c r="RWF1632" s="1"/>
      <c r="RWG1632" s="1"/>
      <c r="RWH1632" s="1"/>
      <c r="RWI1632" s="1"/>
      <c r="RWJ1632" s="1"/>
      <c r="RWK1632" s="1"/>
      <c r="RWL1632" s="1"/>
      <c r="RWM1632" s="1"/>
      <c r="RWN1632" s="1"/>
      <c r="RWO1632" s="1"/>
      <c r="RWP1632" s="1"/>
      <c r="RWQ1632" s="1"/>
      <c r="RWR1632" s="1"/>
      <c r="RWS1632" s="1"/>
      <c r="RWT1632" s="1"/>
      <c r="RWU1632" s="1"/>
      <c r="RWV1632" s="1"/>
      <c r="RWW1632" s="1"/>
      <c r="RWX1632" s="1"/>
      <c r="RWY1632" s="1"/>
      <c r="RWZ1632" s="1"/>
      <c r="RXA1632" s="1"/>
      <c r="RXB1632" s="1"/>
      <c r="RXC1632" s="1"/>
      <c r="RXD1632" s="1"/>
      <c r="RXE1632" s="1"/>
      <c r="RXF1632" s="1"/>
      <c r="RXG1632" s="1"/>
      <c r="RXH1632" s="1"/>
      <c r="RXI1632" s="1"/>
      <c r="RXJ1632" s="1"/>
      <c r="RXK1632" s="1"/>
      <c r="RXL1632" s="1"/>
      <c r="RXM1632" s="1"/>
      <c r="RXN1632" s="1"/>
      <c r="RXO1632" s="1"/>
      <c r="RXP1632" s="1"/>
      <c r="RXQ1632" s="1"/>
      <c r="RXR1632" s="1"/>
      <c r="RXS1632" s="1"/>
      <c r="RXT1632" s="1"/>
      <c r="RXU1632" s="1"/>
      <c r="RXV1632" s="1"/>
      <c r="RXW1632" s="1"/>
      <c r="RXX1632" s="1"/>
      <c r="RXY1632" s="1"/>
      <c r="RXZ1632" s="1"/>
      <c r="RYA1632" s="1"/>
      <c r="RYB1632" s="1"/>
      <c r="RYC1632" s="1"/>
      <c r="RYD1632" s="1"/>
      <c r="RYE1632" s="1"/>
      <c r="RYF1632" s="1"/>
      <c r="RYG1632" s="1"/>
      <c r="RYH1632" s="1"/>
      <c r="RYI1632" s="1"/>
      <c r="RYJ1632" s="1"/>
      <c r="RYK1632" s="1"/>
      <c r="RYL1632" s="1"/>
      <c r="RYM1632" s="1"/>
      <c r="RYN1632" s="1"/>
      <c r="RYO1632" s="1"/>
      <c r="RYP1632" s="1"/>
      <c r="RYQ1632" s="1"/>
      <c r="RYR1632" s="1"/>
      <c r="RYS1632" s="1"/>
      <c r="RYT1632" s="1"/>
      <c r="RYU1632" s="1"/>
      <c r="RYV1632" s="1"/>
      <c r="RYW1632" s="1"/>
      <c r="RYX1632" s="1"/>
      <c r="RYY1632" s="1"/>
      <c r="RYZ1632" s="1"/>
      <c r="RZA1632" s="1"/>
      <c r="RZB1632" s="1"/>
      <c r="RZC1632" s="1"/>
      <c r="RZD1632" s="1"/>
      <c r="RZE1632" s="1"/>
      <c r="RZF1632" s="1"/>
      <c r="RZG1632" s="1"/>
      <c r="RZH1632" s="1"/>
      <c r="RZI1632" s="1"/>
      <c r="RZJ1632" s="1"/>
      <c r="RZK1632" s="1"/>
      <c r="RZL1632" s="1"/>
      <c r="RZM1632" s="1"/>
      <c r="RZN1632" s="1"/>
      <c r="RZO1632" s="1"/>
      <c r="RZP1632" s="1"/>
      <c r="RZQ1632" s="1"/>
      <c r="RZR1632" s="1"/>
      <c r="RZS1632" s="1"/>
      <c r="RZT1632" s="1"/>
      <c r="RZU1632" s="1"/>
      <c r="RZV1632" s="1"/>
      <c r="RZW1632" s="1"/>
      <c r="RZX1632" s="1"/>
      <c r="RZY1632" s="1"/>
      <c r="RZZ1632" s="1"/>
      <c r="SAA1632" s="1"/>
      <c r="SAB1632" s="1"/>
      <c r="SAC1632" s="1"/>
      <c r="SAD1632" s="1"/>
      <c r="SAE1632" s="1"/>
      <c r="SAF1632" s="1"/>
      <c r="SAG1632" s="1"/>
      <c r="SAH1632" s="1"/>
      <c r="SAI1632" s="1"/>
      <c r="SAJ1632" s="1"/>
      <c r="SAK1632" s="1"/>
      <c r="SAL1632" s="1"/>
      <c r="SAM1632" s="1"/>
      <c r="SAN1632" s="1"/>
      <c r="SAO1632" s="1"/>
      <c r="SAP1632" s="1"/>
      <c r="SAQ1632" s="1"/>
      <c r="SAR1632" s="1"/>
      <c r="SAS1632" s="1"/>
      <c r="SAT1632" s="1"/>
      <c r="SAU1632" s="1"/>
      <c r="SAV1632" s="1"/>
      <c r="SAW1632" s="1"/>
      <c r="SAX1632" s="1"/>
      <c r="SAY1632" s="1"/>
      <c r="SAZ1632" s="1"/>
      <c r="SBA1632" s="1"/>
      <c r="SBB1632" s="1"/>
      <c r="SBC1632" s="1"/>
      <c r="SBD1632" s="1"/>
      <c r="SBE1632" s="1"/>
      <c r="SBF1632" s="1"/>
      <c r="SBG1632" s="1"/>
      <c r="SBH1632" s="1"/>
      <c r="SBI1632" s="1"/>
      <c r="SBJ1632" s="1"/>
      <c r="SBK1632" s="1"/>
      <c r="SBL1632" s="1"/>
      <c r="SBM1632" s="1"/>
      <c r="SBN1632" s="1"/>
      <c r="SBO1632" s="1"/>
      <c r="SBP1632" s="1"/>
      <c r="SBQ1632" s="1"/>
      <c r="SBR1632" s="1"/>
      <c r="SBS1632" s="1"/>
      <c r="SBT1632" s="1"/>
      <c r="SBU1632" s="1"/>
      <c r="SBV1632" s="1"/>
      <c r="SBW1632" s="1"/>
      <c r="SBX1632" s="1"/>
      <c r="SBY1632" s="1"/>
      <c r="SBZ1632" s="1"/>
      <c r="SCA1632" s="1"/>
      <c r="SCB1632" s="1"/>
      <c r="SCC1632" s="1"/>
      <c r="SCD1632" s="1"/>
      <c r="SCE1632" s="1"/>
      <c r="SCF1632" s="1"/>
      <c r="SCG1632" s="1"/>
      <c r="SCH1632" s="1"/>
      <c r="SCI1632" s="1"/>
      <c r="SCJ1632" s="1"/>
      <c r="SCK1632" s="1"/>
      <c r="SCL1632" s="1"/>
      <c r="SCM1632" s="1"/>
      <c r="SCN1632" s="1"/>
      <c r="SCO1632" s="1"/>
      <c r="SCP1632" s="1"/>
      <c r="SCQ1632" s="1"/>
      <c r="SCR1632" s="1"/>
      <c r="SCS1632" s="1"/>
      <c r="SCT1632" s="1"/>
      <c r="SCU1632" s="1"/>
      <c r="SCV1632" s="1"/>
      <c r="SCW1632" s="1"/>
      <c r="SCX1632" s="1"/>
      <c r="SCY1632" s="1"/>
      <c r="SCZ1632" s="1"/>
      <c r="SDA1632" s="1"/>
      <c r="SDB1632" s="1"/>
      <c r="SDC1632" s="1"/>
      <c r="SDD1632" s="1"/>
      <c r="SDE1632" s="1"/>
      <c r="SDF1632" s="1"/>
      <c r="SDG1632" s="1"/>
      <c r="SDH1632" s="1"/>
      <c r="SDI1632" s="1"/>
      <c r="SDJ1632" s="1"/>
      <c r="SDK1632" s="1"/>
      <c r="SDL1632" s="1"/>
      <c r="SDM1632" s="1"/>
      <c r="SDN1632" s="1"/>
      <c r="SDO1632" s="1"/>
      <c r="SDP1632" s="1"/>
      <c r="SDQ1632" s="1"/>
      <c r="SDR1632" s="1"/>
      <c r="SDS1632" s="1"/>
      <c r="SDT1632" s="1"/>
      <c r="SDU1632" s="1"/>
      <c r="SDV1632" s="1"/>
      <c r="SDW1632" s="1"/>
      <c r="SDX1632" s="1"/>
      <c r="SDY1632" s="1"/>
      <c r="SDZ1632" s="1"/>
      <c r="SEA1632" s="1"/>
      <c r="SEB1632" s="1"/>
      <c r="SEC1632" s="1"/>
      <c r="SED1632" s="1"/>
      <c r="SEE1632" s="1"/>
      <c r="SEF1632" s="1"/>
      <c r="SEG1632" s="1"/>
      <c r="SEH1632" s="1"/>
      <c r="SEI1632" s="1"/>
      <c r="SEJ1632" s="1"/>
      <c r="SEK1632" s="1"/>
      <c r="SEL1632" s="1"/>
      <c r="SEM1632" s="1"/>
      <c r="SEN1632" s="1"/>
      <c r="SEO1632" s="1"/>
      <c r="SEP1632" s="1"/>
      <c r="SEQ1632" s="1"/>
      <c r="SER1632" s="1"/>
      <c r="SES1632" s="1"/>
      <c r="SET1632" s="1"/>
      <c r="SEU1632" s="1"/>
      <c r="SEV1632" s="1"/>
      <c r="SEW1632" s="1"/>
      <c r="SEX1632" s="1"/>
      <c r="SEY1632" s="1"/>
      <c r="SEZ1632" s="1"/>
      <c r="SFA1632" s="1"/>
      <c r="SFB1632" s="1"/>
      <c r="SFC1632" s="1"/>
      <c r="SFD1632" s="1"/>
      <c r="SFE1632" s="1"/>
      <c r="SFF1632" s="1"/>
      <c r="SFG1632" s="1"/>
      <c r="SFH1632" s="1"/>
      <c r="SFI1632" s="1"/>
      <c r="SFJ1632" s="1"/>
      <c r="SFK1632" s="1"/>
      <c r="SFL1632" s="1"/>
      <c r="SFM1632" s="1"/>
      <c r="SFN1632" s="1"/>
      <c r="SFO1632" s="1"/>
      <c r="SFP1632" s="1"/>
      <c r="SFQ1632" s="1"/>
      <c r="SFR1632" s="1"/>
      <c r="SFS1632" s="1"/>
      <c r="SFT1632" s="1"/>
      <c r="SFU1632" s="1"/>
      <c r="SFV1632" s="1"/>
      <c r="SFW1632" s="1"/>
      <c r="SFX1632" s="1"/>
      <c r="SFY1632" s="1"/>
      <c r="SFZ1632" s="1"/>
      <c r="SGA1632" s="1"/>
      <c r="SGB1632" s="1"/>
      <c r="SGC1632" s="1"/>
      <c r="SGD1632" s="1"/>
      <c r="SGE1632" s="1"/>
      <c r="SGF1632" s="1"/>
      <c r="SGG1632" s="1"/>
      <c r="SGH1632" s="1"/>
      <c r="SGI1632" s="1"/>
      <c r="SGJ1632" s="1"/>
      <c r="SGK1632" s="1"/>
      <c r="SGL1632" s="1"/>
      <c r="SGM1632" s="1"/>
      <c r="SGN1632" s="1"/>
      <c r="SGO1632" s="1"/>
      <c r="SGP1632" s="1"/>
      <c r="SGQ1632" s="1"/>
      <c r="SGR1632" s="1"/>
      <c r="SGS1632" s="1"/>
      <c r="SGT1632" s="1"/>
      <c r="SGU1632" s="1"/>
      <c r="SGV1632" s="1"/>
      <c r="SGW1632" s="1"/>
      <c r="SGX1632" s="1"/>
      <c r="SGY1632" s="1"/>
      <c r="SGZ1632" s="1"/>
      <c r="SHA1632" s="1"/>
      <c r="SHB1632" s="1"/>
      <c r="SHC1632" s="1"/>
      <c r="SHD1632" s="1"/>
      <c r="SHE1632" s="1"/>
      <c r="SHF1632" s="1"/>
      <c r="SHG1632" s="1"/>
      <c r="SHH1632" s="1"/>
      <c r="SHI1632" s="1"/>
      <c r="SHJ1632" s="1"/>
      <c r="SHK1632" s="1"/>
      <c r="SHL1632" s="1"/>
      <c r="SHM1632" s="1"/>
      <c r="SHN1632" s="1"/>
      <c r="SHO1632" s="1"/>
      <c r="SHP1632" s="1"/>
      <c r="SHQ1632" s="1"/>
      <c r="SHR1632" s="1"/>
      <c r="SHS1632" s="1"/>
      <c r="SHT1632" s="1"/>
      <c r="SHU1632" s="1"/>
      <c r="SHV1632" s="1"/>
      <c r="SHW1632" s="1"/>
      <c r="SHX1632" s="1"/>
      <c r="SHY1632" s="1"/>
      <c r="SHZ1632" s="1"/>
      <c r="SIA1632" s="1"/>
      <c r="SIB1632" s="1"/>
      <c r="SIC1632" s="1"/>
      <c r="SID1632" s="1"/>
      <c r="SIE1632" s="1"/>
      <c r="SIF1632" s="1"/>
      <c r="SIG1632" s="1"/>
      <c r="SIH1632" s="1"/>
      <c r="SII1632" s="1"/>
      <c r="SIJ1632" s="1"/>
      <c r="SIK1632" s="1"/>
      <c r="SIL1632" s="1"/>
      <c r="SIM1632" s="1"/>
      <c r="SIN1632" s="1"/>
      <c r="SIO1632" s="1"/>
      <c r="SIP1632" s="1"/>
      <c r="SIQ1632" s="1"/>
      <c r="SIR1632" s="1"/>
      <c r="SIS1632" s="1"/>
      <c r="SIT1632" s="1"/>
      <c r="SIU1632" s="1"/>
      <c r="SIV1632" s="1"/>
      <c r="SIW1632" s="1"/>
      <c r="SIX1632" s="1"/>
      <c r="SIY1632" s="1"/>
      <c r="SIZ1632" s="1"/>
      <c r="SJA1632" s="1"/>
      <c r="SJB1632" s="1"/>
      <c r="SJC1632" s="1"/>
      <c r="SJD1632" s="1"/>
      <c r="SJE1632" s="1"/>
      <c r="SJF1632" s="1"/>
      <c r="SJG1632" s="1"/>
      <c r="SJH1632" s="1"/>
      <c r="SJI1632" s="1"/>
      <c r="SJJ1632" s="1"/>
      <c r="SJK1632" s="1"/>
      <c r="SJL1632" s="1"/>
      <c r="SJM1632" s="1"/>
      <c r="SJN1632" s="1"/>
      <c r="SJO1632" s="1"/>
      <c r="SJP1632" s="1"/>
      <c r="SJQ1632" s="1"/>
      <c r="SJR1632" s="1"/>
      <c r="SJS1632" s="1"/>
      <c r="SJT1632" s="1"/>
      <c r="SJU1632" s="1"/>
      <c r="SJV1632" s="1"/>
      <c r="SJW1632" s="1"/>
      <c r="SJX1632" s="1"/>
      <c r="SJY1632" s="1"/>
      <c r="SJZ1632" s="1"/>
      <c r="SKA1632" s="1"/>
      <c r="SKB1632" s="1"/>
      <c r="SKC1632" s="1"/>
      <c r="SKD1632" s="1"/>
      <c r="SKE1632" s="1"/>
      <c r="SKF1632" s="1"/>
      <c r="SKG1632" s="1"/>
      <c r="SKH1632" s="1"/>
      <c r="SKI1632" s="1"/>
      <c r="SKJ1632" s="1"/>
      <c r="SKK1632" s="1"/>
      <c r="SKL1632" s="1"/>
      <c r="SKM1632" s="1"/>
      <c r="SKN1632" s="1"/>
      <c r="SKO1632" s="1"/>
      <c r="SKP1632" s="1"/>
      <c r="SKQ1632" s="1"/>
      <c r="SKR1632" s="1"/>
      <c r="SKS1632" s="1"/>
      <c r="SKT1632" s="1"/>
      <c r="SKU1632" s="1"/>
      <c r="SKV1632" s="1"/>
      <c r="SKW1632" s="1"/>
      <c r="SKX1632" s="1"/>
      <c r="SKY1632" s="1"/>
      <c r="SKZ1632" s="1"/>
      <c r="SLA1632" s="1"/>
      <c r="SLB1632" s="1"/>
      <c r="SLC1632" s="1"/>
      <c r="SLD1632" s="1"/>
      <c r="SLE1632" s="1"/>
      <c r="SLF1632" s="1"/>
      <c r="SLG1632" s="1"/>
      <c r="SLH1632" s="1"/>
      <c r="SLI1632" s="1"/>
      <c r="SLJ1632" s="1"/>
      <c r="SLK1632" s="1"/>
      <c r="SLL1632" s="1"/>
      <c r="SLM1632" s="1"/>
      <c r="SLN1632" s="1"/>
      <c r="SLO1632" s="1"/>
      <c r="SLP1632" s="1"/>
      <c r="SLQ1632" s="1"/>
      <c r="SLR1632" s="1"/>
      <c r="SLS1632" s="1"/>
      <c r="SLT1632" s="1"/>
      <c r="SLU1632" s="1"/>
      <c r="SLV1632" s="1"/>
      <c r="SLW1632" s="1"/>
      <c r="SLX1632" s="1"/>
      <c r="SLY1632" s="1"/>
      <c r="SLZ1632" s="1"/>
      <c r="SMA1632" s="1"/>
      <c r="SMB1632" s="1"/>
      <c r="SMC1632" s="1"/>
      <c r="SMD1632" s="1"/>
      <c r="SME1632" s="1"/>
      <c r="SMF1632" s="1"/>
      <c r="SMG1632" s="1"/>
      <c r="SMH1632" s="1"/>
      <c r="SMI1632" s="1"/>
      <c r="SMJ1632" s="1"/>
      <c r="SMK1632" s="1"/>
      <c r="SML1632" s="1"/>
      <c r="SMM1632" s="1"/>
      <c r="SMN1632" s="1"/>
      <c r="SMO1632" s="1"/>
      <c r="SMP1632" s="1"/>
      <c r="SMQ1632" s="1"/>
      <c r="SMR1632" s="1"/>
      <c r="SMS1632" s="1"/>
      <c r="SMT1632" s="1"/>
      <c r="SMU1632" s="1"/>
      <c r="SMV1632" s="1"/>
      <c r="SMW1632" s="1"/>
      <c r="SMX1632" s="1"/>
      <c r="SMY1632" s="1"/>
      <c r="SMZ1632" s="1"/>
      <c r="SNA1632" s="1"/>
      <c r="SNB1632" s="1"/>
      <c r="SNC1632" s="1"/>
      <c r="SND1632" s="1"/>
      <c r="SNE1632" s="1"/>
      <c r="SNF1632" s="1"/>
      <c r="SNG1632" s="1"/>
      <c r="SNH1632" s="1"/>
      <c r="SNI1632" s="1"/>
      <c r="SNJ1632" s="1"/>
      <c r="SNK1632" s="1"/>
      <c r="SNL1632" s="1"/>
      <c r="SNM1632" s="1"/>
      <c r="SNN1632" s="1"/>
      <c r="SNO1632" s="1"/>
      <c r="SNP1632" s="1"/>
      <c r="SNQ1632" s="1"/>
      <c r="SNR1632" s="1"/>
      <c r="SNS1632" s="1"/>
      <c r="SNT1632" s="1"/>
      <c r="SNU1632" s="1"/>
      <c r="SNV1632" s="1"/>
      <c r="SNW1632" s="1"/>
      <c r="SNX1632" s="1"/>
      <c r="SNY1632" s="1"/>
      <c r="SNZ1632" s="1"/>
      <c r="SOA1632" s="1"/>
      <c r="SOB1632" s="1"/>
      <c r="SOC1632" s="1"/>
      <c r="SOD1632" s="1"/>
      <c r="SOE1632" s="1"/>
      <c r="SOF1632" s="1"/>
      <c r="SOG1632" s="1"/>
      <c r="SOH1632" s="1"/>
      <c r="SOI1632" s="1"/>
      <c r="SOJ1632" s="1"/>
      <c r="SOK1632" s="1"/>
      <c r="SOL1632" s="1"/>
      <c r="SOM1632" s="1"/>
      <c r="SON1632" s="1"/>
      <c r="SOO1632" s="1"/>
      <c r="SOP1632" s="1"/>
      <c r="SOQ1632" s="1"/>
      <c r="SOR1632" s="1"/>
      <c r="SOS1632" s="1"/>
      <c r="SOT1632" s="1"/>
      <c r="SOU1632" s="1"/>
      <c r="SOV1632" s="1"/>
      <c r="SOW1632" s="1"/>
      <c r="SOX1632" s="1"/>
      <c r="SOY1632" s="1"/>
      <c r="SOZ1632" s="1"/>
      <c r="SPA1632" s="1"/>
      <c r="SPB1632" s="1"/>
      <c r="SPC1632" s="1"/>
      <c r="SPD1632" s="1"/>
      <c r="SPE1632" s="1"/>
      <c r="SPF1632" s="1"/>
      <c r="SPG1632" s="1"/>
      <c r="SPH1632" s="1"/>
      <c r="SPI1632" s="1"/>
      <c r="SPJ1632" s="1"/>
      <c r="SPK1632" s="1"/>
      <c r="SPL1632" s="1"/>
      <c r="SPM1632" s="1"/>
      <c r="SPN1632" s="1"/>
      <c r="SPO1632" s="1"/>
      <c r="SPP1632" s="1"/>
      <c r="SPQ1632" s="1"/>
      <c r="SPR1632" s="1"/>
      <c r="SPS1632" s="1"/>
      <c r="SPT1632" s="1"/>
      <c r="SPU1632" s="1"/>
      <c r="SPV1632" s="1"/>
      <c r="SPW1632" s="1"/>
      <c r="SPX1632" s="1"/>
      <c r="SPY1632" s="1"/>
      <c r="SPZ1632" s="1"/>
      <c r="SQA1632" s="1"/>
      <c r="SQB1632" s="1"/>
      <c r="SQC1632" s="1"/>
      <c r="SQD1632" s="1"/>
      <c r="SQE1632" s="1"/>
      <c r="SQF1632" s="1"/>
      <c r="SQG1632" s="1"/>
      <c r="SQH1632" s="1"/>
      <c r="SQI1632" s="1"/>
      <c r="SQJ1632" s="1"/>
      <c r="SQK1632" s="1"/>
      <c r="SQL1632" s="1"/>
      <c r="SQM1632" s="1"/>
      <c r="SQN1632" s="1"/>
      <c r="SQO1632" s="1"/>
      <c r="SQP1632" s="1"/>
      <c r="SQQ1632" s="1"/>
      <c r="SQR1632" s="1"/>
      <c r="SQS1632" s="1"/>
      <c r="SQT1632" s="1"/>
      <c r="SQU1632" s="1"/>
      <c r="SQV1632" s="1"/>
      <c r="SQW1632" s="1"/>
      <c r="SQX1632" s="1"/>
      <c r="SQY1632" s="1"/>
      <c r="SQZ1632" s="1"/>
      <c r="SRA1632" s="1"/>
      <c r="SRB1632" s="1"/>
      <c r="SRC1632" s="1"/>
      <c r="SRD1632" s="1"/>
      <c r="SRE1632" s="1"/>
      <c r="SRF1632" s="1"/>
      <c r="SRG1632" s="1"/>
      <c r="SRH1632" s="1"/>
      <c r="SRI1632" s="1"/>
      <c r="SRJ1632" s="1"/>
      <c r="SRK1632" s="1"/>
      <c r="SRL1632" s="1"/>
      <c r="SRM1632" s="1"/>
      <c r="SRN1632" s="1"/>
      <c r="SRO1632" s="1"/>
      <c r="SRP1632" s="1"/>
      <c r="SRQ1632" s="1"/>
      <c r="SRR1632" s="1"/>
      <c r="SRS1632" s="1"/>
      <c r="SRT1632" s="1"/>
      <c r="SRU1632" s="1"/>
      <c r="SRV1632" s="1"/>
      <c r="SRW1632" s="1"/>
      <c r="SRX1632" s="1"/>
      <c r="SRY1632" s="1"/>
      <c r="SRZ1632" s="1"/>
      <c r="SSA1632" s="1"/>
      <c r="SSB1632" s="1"/>
      <c r="SSC1632" s="1"/>
      <c r="SSD1632" s="1"/>
      <c r="SSE1632" s="1"/>
      <c r="SSF1632" s="1"/>
      <c r="SSG1632" s="1"/>
      <c r="SSH1632" s="1"/>
      <c r="SSI1632" s="1"/>
      <c r="SSJ1632" s="1"/>
      <c r="SSK1632" s="1"/>
      <c r="SSL1632" s="1"/>
      <c r="SSM1632" s="1"/>
      <c r="SSN1632" s="1"/>
      <c r="SSO1632" s="1"/>
      <c r="SSP1632" s="1"/>
      <c r="SSQ1632" s="1"/>
      <c r="SSR1632" s="1"/>
      <c r="SSS1632" s="1"/>
      <c r="SST1632" s="1"/>
      <c r="SSU1632" s="1"/>
      <c r="SSV1632" s="1"/>
      <c r="SSW1632" s="1"/>
      <c r="SSX1632" s="1"/>
      <c r="SSY1632" s="1"/>
      <c r="SSZ1632" s="1"/>
      <c r="STA1632" s="1"/>
      <c r="STB1632" s="1"/>
      <c r="STC1632" s="1"/>
      <c r="STD1632" s="1"/>
      <c r="STE1632" s="1"/>
      <c r="STF1632" s="1"/>
      <c r="STG1632" s="1"/>
      <c r="STH1632" s="1"/>
      <c r="STI1632" s="1"/>
      <c r="STJ1632" s="1"/>
      <c r="STK1632" s="1"/>
      <c r="STL1632" s="1"/>
      <c r="STM1632" s="1"/>
      <c r="STN1632" s="1"/>
      <c r="STO1632" s="1"/>
      <c r="STP1632" s="1"/>
      <c r="STQ1632" s="1"/>
      <c r="STR1632" s="1"/>
      <c r="STS1632" s="1"/>
      <c r="STT1632" s="1"/>
      <c r="STU1632" s="1"/>
      <c r="STV1632" s="1"/>
      <c r="STW1632" s="1"/>
      <c r="STX1632" s="1"/>
      <c r="STY1632" s="1"/>
      <c r="STZ1632" s="1"/>
      <c r="SUA1632" s="1"/>
      <c r="SUB1632" s="1"/>
      <c r="SUC1632" s="1"/>
      <c r="SUD1632" s="1"/>
      <c r="SUE1632" s="1"/>
      <c r="SUF1632" s="1"/>
      <c r="SUG1632" s="1"/>
      <c r="SUH1632" s="1"/>
      <c r="SUI1632" s="1"/>
      <c r="SUJ1632" s="1"/>
      <c r="SUK1632" s="1"/>
      <c r="SUL1632" s="1"/>
      <c r="SUM1632" s="1"/>
      <c r="SUN1632" s="1"/>
      <c r="SUO1632" s="1"/>
      <c r="SUP1632" s="1"/>
      <c r="SUQ1632" s="1"/>
      <c r="SUR1632" s="1"/>
      <c r="SUS1632" s="1"/>
      <c r="SUT1632" s="1"/>
      <c r="SUU1632" s="1"/>
      <c r="SUV1632" s="1"/>
      <c r="SUW1632" s="1"/>
      <c r="SUX1632" s="1"/>
      <c r="SUY1632" s="1"/>
      <c r="SUZ1632" s="1"/>
      <c r="SVA1632" s="1"/>
      <c r="SVB1632" s="1"/>
      <c r="SVC1632" s="1"/>
      <c r="SVD1632" s="1"/>
      <c r="SVE1632" s="1"/>
      <c r="SVF1632" s="1"/>
      <c r="SVG1632" s="1"/>
      <c r="SVH1632" s="1"/>
      <c r="SVI1632" s="1"/>
      <c r="SVJ1632" s="1"/>
      <c r="SVK1632" s="1"/>
      <c r="SVL1632" s="1"/>
      <c r="SVM1632" s="1"/>
      <c r="SVN1632" s="1"/>
      <c r="SVO1632" s="1"/>
      <c r="SVP1632" s="1"/>
      <c r="SVQ1632" s="1"/>
      <c r="SVR1632" s="1"/>
      <c r="SVS1632" s="1"/>
      <c r="SVT1632" s="1"/>
      <c r="SVU1632" s="1"/>
      <c r="SVV1632" s="1"/>
      <c r="SVW1632" s="1"/>
      <c r="SVX1632" s="1"/>
      <c r="SVY1632" s="1"/>
      <c r="SVZ1632" s="1"/>
      <c r="SWA1632" s="1"/>
      <c r="SWB1632" s="1"/>
      <c r="SWC1632" s="1"/>
      <c r="SWD1632" s="1"/>
      <c r="SWE1632" s="1"/>
      <c r="SWF1632" s="1"/>
      <c r="SWG1632" s="1"/>
      <c r="SWH1632" s="1"/>
      <c r="SWI1632" s="1"/>
      <c r="SWJ1632" s="1"/>
      <c r="SWK1632" s="1"/>
      <c r="SWL1632" s="1"/>
      <c r="SWM1632" s="1"/>
      <c r="SWN1632" s="1"/>
      <c r="SWO1632" s="1"/>
      <c r="SWP1632" s="1"/>
      <c r="SWQ1632" s="1"/>
      <c r="SWR1632" s="1"/>
      <c r="SWS1632" s="1"/>
      <c r="SWT1632" s="1"/>
      <c r="SWU1632" s="1"/>
      <c r="SWV1632" s="1"/>
      <c r="SWW1632" s="1"/>
      <c r="SWX1632" s="1"/>
      <c r="SWY1632" s="1"/>
      <c r="SWZ1632" s="1"/>
      <c r="SXA1632" s="1"/>
      <c r="SXB1632" s="1"/>
      <c r="SXC1632" s="1"/>
      <c r="SXD1632" s="1"/>
      <c r="SXE1632" s="1"/>
      <c r="SXF1632" s="1"/>
      <c r="SXG1632" s="1"/>
      <c r="SXH1632" s="1"/>
      <c r="SXI1632" s="1"/>
      <c r="SXJ1632" s="1"/>
      <c r="SXK1632" s="1"/>
      <c r="SXL1632" s="1"/>
      <c r="SXM1632" s="1"/>
      <c r="SXN1632" s="1"/>
      <c r="SXO1632" s="1"/>
      <c r="SXP1632" s="1"/>
      <c r="SXQ1632" s="1"/>
      <c r="SXR1632" s="1"/>
      <c r="SXS1632" s="1"/>
      <c r="SXT1632" s="1"/>
      <c r="SXU1632" s="1"/>
      <c r="SXV1632" s="1"/>
      <c r="SXW1632" s="1"/>
      <c r="SXX1632" s="1"/>
      <c r="SXY1632" s="1"/>
      <c r="SXZ1632" s="1"/>
      <c r="SYA1632" s="1"/>
      <c r="SYB1632" s="1"/>
      <c r="SYC1632" s="1"/>
      <c r="SYD1632" s="1"/>
      <c r="SYE1632" s="1"/>
      <c r="SYF1632" s="1"/>
      <c r="SYG1632" s="1"/>
      <c r="SYH1632" s="1"/>
      <c r="SYI1632" s="1"/>
      <c r="SYJ1632" s="1"/>
      <c r="SYK1632" s="1"/>
      <c r="SYL1632" s="1"/>
      <c r="SYM1632" s="1"/>
      <c r="SYN1632" s="1"/>
      <c r="SYO1632" s="1"/>
      <c r="SYP1632" s="1"/>
      <c r="SYQ1632" s="1"/>
      <c r="SYR1632" s="1"/>
      <c r="SYS1632" s="1"/>
      <c r="SYT1632" s="1"/>
      <c r="SYU1632" s="1"/>
      <c r="SYV1632" s="1"/>
      <c r="SYW1632" s="1"/>
      <c r="SYX1632" s="1"/>
      <c r="SYY1632" s="1"/>
      <c r="SYZ1632" s="1"/>
      <c r="SZA1632" s="1"/>
      <c r="SZB1632" s="1"/>
      <c r="SZC1632" s="1"/>
      <c r="SZD1632" s="1"/>
      <c r="SZE1632" s="1"/>
      <c r="SZF1632" s="1"/>
      <c r="SZG1632" s="1"/>
      <c r="SZH1632" s="1"/>
      <c r="SZI1632" s="1"/>
      <c r="SZJ1632" s="1"/>
      <c r="SZK1632" s="1"/>
      <c r="SZL1632" s="1"/>
      <c r="SZM1632" s="1"/>
      <c r="SZN1632" s="1"/>
      <c r="SZO1632" s="1"/>
      <c r="SZP1632" s="1"/>
      <c r="SZQ1632" s="1"/>
      <c r="SZR1632" s="1"/>
      <c r="SZS1632" s="1"/>
      <c r="SZT1632" s="1"/>
      <c r="SZU1632" s="1"/>
      <c r="SZV1632" s="1"/>
      <c r="SZW1632" s="1"/>
      <c r="SZX1632" s="1"/>
      <c r="SZY1632" s="1"/>
      <c r="SZZ1632" s="1"/>
      <c r="TAA1632" s="1"/>
      <c r="TAB1632" s="1"/>
      <c r="TAC1632" s="1"/>
      <c r="TAD1632" s="1"/>
      <c r="TAE1632" s="1"/>
      <c r="TAF1632" s="1"/>
      <c r="TAG1632" s="1"/>
      <c r="TAH1632" s="1"/>
      <c r="TAI1632" s="1"/>
      <c r="TAJ1632" s="1"/>
      <c r="TAK1632" s="1"/>
      <c r="TAL1632" s="1"/>
      <c r="TAM1632" s="1"/>
      <c r="TAN1632" s="1"/>
      <c r="TAO1632" s="1"/>
      <c r="TAP1632" s="1"/>
      <c r="TAQ1632" s="1"/>
      <c r="TAR1632" s="1"/>
      <c r="TAS1632" s="1"/>
      <c r="TAT1632" s="1"/>
      <c r="TAU1632" s="1"/>
      <c r="TAV1632" s="1"/>
      <c r="TAW1632" s="1"/>
      <c r="TAX1632" s="1"/>
      <c r="TAY1632" s="1"/>
      <c r="TAZ1632" s="1"/>
      <c r="TBA1632" s="1"/>
      <c r="TBB1632" s="1"/>
      <c r="TBC1632" s="1"/>
      <c r="TBD1632" s="1"/>
      <c r="TBE1632" s="1"/>
      <c r="TBF1632" s="1"/>
      <c r="TBG1632" s="1"/>
      <c r="TBH1632" s="1"/>
      <c r="TBI1632" s="1"/>
      <c r="TBJ1632" s="1"/>
      <c r="TBK1632" s="1"/>
      <c r="TBL1632" s="1"/>
      <c r="TBM1632" s="1"/>
      <c r="TBN1632" s="1"/>
      <c r="TBO1632" s="1"/>
      <c r="TBP1632" s="1"/>
      <c r="TBQ1632" s="1"/>
      <c r="TBR1632" s="1"/>
      <c r="TBS1632" s="1"/>
      <c r="TBT1632" s="1"/>
      <c r="TBU1632" s="1"/>
      <c r="TBV1632" s="1"/>
      <c r="TBW1632" s="1"/>
      <c r="TBX1632" s="1"/>
      <c r="TBY1632" s="1"/>
      <c r="TBZ1632" s="1"/>
      <c r="TCA1632" s="1"/>
      <c r="TCB1632" s="1"/>
      <c r="TCC1632" s="1"/>
      <c r="TCD1632" s="1"/>
      <c r="TCE1632" s="1"/>
      <c r="TCF1632" s="1"/>
      <c r="TCG1632" s="1"/>
      <c r="TCH1632" s="1"/>
      <c r="TCI1632" s="1"/>
      <c r="TCJ1632" s="1"/>
      <c r="TCK1632" s="1"/>
      <c r="TCL1632" s="1"/>
      <c r="TCM1632" s="1"/>
      <c r="TCN1632" s="1"/>
      <c r="TCO1632" s="1"/>
      <c r="TCP1632" s="1"/>
      <c r="TCQ1632" s="1"/>
      <c r="TCR1632" s="1"/>
      <c r="TCS1632" s="1"/>
      <c r="TCT1632" s="1"/>
      <c r="TCU1632" s="1"/>
      <c r="TCV1632" s="1"/>
      <c r="TCW1632" s="1"/>
      <c r="TCX1632" s="1"/>
      <c r="TCY1632" s="1"/>
      <c r="TCZ1632" s="1"/>
      <c r="TDA1632" s="1"/>
      <c r="TDB1632" s="1"/>
      <c r="TDC1632" s="1"/>
      <c r="TDD1632" s="1"/>
      <c r="TDE1632" s="1"/>
      <c r="TDF1632" s="1"/>
      <c r="TDG1632" s="1"/>
      <c r="TDH1632" s="1"/>
      <c r="TDI1632" s="1"/>
      <c r="TDJ1632" s="1"/>
      <c r="TDK1632" s="1"/>
      <c r="TDL1632" s="1"/>
      <c r="TDM1632" s="1"/>
      <c r="TDN1632" s="1"/>
      <c r="TDO1632" s="1"/>
      <c r="TDP1632" s="1"/>
      <c r="TDQ1632" s="1"/>
      <c r="TDR1632" s="1"/>
      <c r="TDS1632" s="1"/>
      <c r="TDT1632" s="1"/>
      <c r="TDU1632" s="1"/>
      <c r="TDV1632" s="1"/>
      <c r="TDW1632" s="1"/>
      <c r="TDX1632" s="1"/>
      <c r="TDY1632" s="1"/>
      <c r="TDZ1632" s="1"/>
      <c r="TEA1632" s="1"/>
      <c r="TEB1632" s="1"/>
      <c r="TEC1632" s="1"/>
      <c r="TED1632" s="1"/>
      <c r="TEE1632" s="1"/>
      <c r="TEF1632" s="1"/>
      <c r="TEG1632" s="1"/>
      <c r="TEH1632" s="1"/>
      <c r="TEI1632" s="1"/>
      <c r="TEJ1632" s="1"/>
      <c r="TEK1632" s="1"/>
      <c r="TEL1632" s="1"/>
      <c r="TEM1632" s="1"/>
      <c r="TEN1632" s="1"/>
      <c r="TEO1632" s="1"/>
      <c r="TEP1632" s="1"/>
      <c r="TEQ1632" s="1"/>
      <c r="TER1632" s="1"/>
      <c r="TES1632" s="1"/>
      <c r="TET1632" s="1"/>
      <c r="TEU1632" s="1"/>
      <c r="TEV1632" s="1"/>
      <c r="TEW1632" s="1"/>
      <c r="TEX1632" s="1"/>
      <c r="TEY1632" s="1"/>
      <c r="TEZ1632" s="1"/>
      <c r="TFA1632" s="1"/>
      <c r="TFB1632" s="1"/>
      <c r="TFC1632" s="1"/>
      <c r="TFD1632" s="1"/>
      <c r="TFE1632" s="1"/>
      <c r="TFF1632" s="1"/>
      <c r="TFG1632" s="1"/>
      <c r="TFH1632" s="1"/>
      <c r="TFI1632" s="1"/>
      <c r="TFJ1632" s="1"/>
      <c r="TFK1632" s="1"/>
      <c r="TFL1632" s="1"/>
      <c r="TFM1632" s="1"/>
      <c r="TFN1632" s="1"/>
      <c r="TFO1632" s="1"/>
      <c r="TFP1632" s="1"/>
      <c r="TFQ1632" s="1"/>
      <c r="TFR1632" s="1"/>
      <c r="TFS1632" s="1"/>
      <c r="TFT1632" s="1"/>
      <c r="TFU1632" s="1"/>
      <c r="TFV1632" s="1"/>
      <c r="TFW1632" s="1"/>
      <c r="TFX1632" s="1"/>
      <c r="TFY1632" s="1"/>
      <c r="TFZ1632" s="1"/>
      <c r="TGA1632" s="1"/>
      <c r="TGB1632" s="1"/>
      <c r="TGC1632" s="1"/>
      <c r="TGD1632" s="1"/>
      <c r="TGE1632" s="1"/>
      <c r="TGF1632" s="1"/>
      <c r="TGG1632" s="1"/>
      <c r="TGH1632" s="1"/>
      <c r="TGI1632" s="1"/>
      <c r="TGJ1632" s="1"/>
      <c r="TGK1632" s="1"/>
      <c r="TGL1632" s="1"/>
      <c r="TGM1632" s="1"/>
      <c r="TGN1632" s="1"/>
      <c r="TGO1632" s="1"/>
      <c r="TGP1632" s="1"/>
      <c r="TGQ1632" s="1"/>
      <c r="TGR1632" s="1"/>
      <c r="TGS1632" s="1"/>
      <c r="TGT1632" s="1"/>
      <c r="TGU1632" s="1"/>
      <c r="TGV1632" s="1"/>
      <c r="TGW1632" s="1"/>
      <c r="TGX1632" s="1"/>
      <c r="TGY1632" s="1"/>
      <c r="TGZ1632" s="1"/>
      <c r="THA1632" s="1"/>
      <c r="THB1632" s="1"/>
      <c r="THC1632" s="1"/>
      <c r="THD1632" s="1"/>
      <c r="THE1632" s="1"/>
      <c r="THF1632" s="1"/>
      <c r="THG1632" s="1"/>
      <c r="THH1632" s="1"/>
      <c r="THI1632" s="1"/>
      <c r="THJ1632" s="1"/>
      <c r="THK1632" s="1"/>
      <c r="THL1632" s="1"/>
      <c r="THM1632" s="1"/>
      <c r="THN1632" s="1"/>
      <c r="THO1632" s="1"/>
      <c r="THP1632" s="1"/>
      <c r="THQ1632" s="1"/>
      <c r="THR1632" s="1"/>
      <c r="THS1632" s="1"/>
      <c r="THT1632" s="1"/>
      <c r="THU1632" s="1"/>
      <c r="THV1632" s="1"/>
      <c r="THW1632" s="1"/>
      <c r="THX1632" s="1"/>
      <c r="THY1632" s="1"/>
      <c r="THZ1632" s="1"/>
      <c r="TIA1632" s="1"/>
      <c r="TIB1632" s="1"/>
      <c r="TIC1632" s="1"/>
      <c r="TID1632" s="1"/>
      <c r="TIE1632" s="1"/>
      <c r="TIF1632" s="1"/>
      <c r="TIG1632" s="1"/>
      <c r="TIH1632" s="1"/>
      <c r="TII1632" s="1"/>
      <c r="TIJ1632" s="1"/>
      <c r="TIK1632" s="1"/>
      <c r="TIL1632" s="1"/>
      <c r="TIM1632" s="1"/>
      <c r="TIN1632" s="1"/>
      <c r="TIO1632" s="1"/>
      <c r="TIP1632" s="1"/>
      <c r="TIQ1632" s="1"/>
      <c r="TIR1632" s="1"/>
      <c r="TIS1632" s="1"/>
      <c r="TIT1632" s="1"/>
      <c r="TIU1632" s="1"/>
      <c r="TIV1632" s="1"/>
      <c r="TIW1632" s="1"/>
      <c r="TIX1632" s="1"/>
      <c r="TIY1632" s="1"/>
      <c r="TIZ1632" s="1"/>
      <c r="TJA1632" s="1"/>
      <c r="TJB1632" s="1"/>
      <c r="TJC1632" s="1"/>
      <c r="TJD1632" s="1"/>
      <c r="TJE1632" s="1"/>
      <c r="TJF1632" s="1"/>
      <c r="TJG1632" s="1"/>
      <c r="TJH1632" s="1"/>
      <c r="TJI1632" s="1"/>
      <c r="TJJ1632" s="1"/>
      <c r="TJK1632" s="1"/>
      <c r="TJL1632" s="1"/>
      <c r="TJM1632" s="1"/>
      <c r="TJN1632" s="1"/>
      <c r="TJO1632" s="1"/>
      <c r="TJP1632" s="1"/>
      <c r="TJQ1632" s="1"/>
      <c r="TJR1632" s="1"/>
      <c r="TJS1632" s="1"/>
      <c r="TJT1632" s="1"/>
      <c r="TJU1632" s="1"/>
      <c r="TJV1632" s="1"/>
      <c r="TJW1632" s="1"/>
      <c r="TJX1632" s="1"/>
      <c r="TJY1632" s="1"/>
      <c r="TJZ1632" s="1"/>
      <c r="TKA1632" s="1"/>
      <c r="TKB1632" s="1"/>
      <c r="TKC1632" s="1"/>
      <c r="TKD1632" s="1"/>
      <c r="TKE1632" s="1"/>
      <c r="TKF1632" s="1"/>
      <c r="TKG1632" s="1"/>
      <c r="TKH1632" s="1"/>
      <c r="TKI1632" s="1"/>
      <c r="TKJ1632" s="1"/>
      <c r="TKK1632" s="1"/>
      <c r="TKL1632" s="1"/>
      <c r="TKM1632" s="1"/>
      <c r="TKN1632" s="1"/>
      <c r="TKO1632" s="1"/>
      <c r="TKP1632" s="1"/>
      <c r="TKQ1632" s="1"/>
      <c r="TKR1632" s="1"/>
      <c r="TKS1632" s="1"/>
      <c r="TKT1632" s="1"/>
      <c r="TKU1632" s="1"/>
      <c r="TKV1632" s="1"/>
      <c r="TKW1632" s="1"/>
      <c r="TKX1632" s="1"/>
      <c r="TKY1632" s="1"/>
      <c r="TKZ1632" s="1"/>
      <c r="TLA1632" s="1"/>
      <c r="TLB1632" s="1"/>
      <c r="TLC1632" s="1"/>
      <c r="TLD1632" s="1"/>
      <c r="TLE1632" s="1"/>
      <c r="TLF1632" s="1"/>
      <c r="TLG1632" s="1"/>
      <c r="TLH1632" s="1"/>
      <c r="TLI1632" s="1"/>
      <c r="TLJ1632" s="1"/>
      <c r="TLK1632" s="1"/>
      <c r="TLL1632" s="1"/>
      <c r="TLM1632" s="1"/>
      <c r="TLN1632" s="1"/>
      <c r="TLO1632" s="1"/>
      <c r="TLP1632" s="1"/>
      <c r="TLQ1632" s="1"/>
      <c r="TLR1632" s="1"/>
      <c r="TLS1632" s="1"/>
      <c r="TLT1632" s="1"/>
      <c r="TLU1632" s="1"/>
      <c r="TLV1632" s="1"/>
      <c r="TLW1632" s="1"/>
      <c r="TLX1632" s="1"/>
      <c r="TLY1632" s="1"/>
      <c r="TLZ1632" s="1"/>
      <c r="TMA1632" s="1"/>
      <c r="TMB1632" s="1"/>
      <c r="TMC1632" s="1"/>
      <c r="TMD1632" s="1"/>
      <c r="TME1632" s="1"/>
      <c r="TMF1632" s="1"/>
      <c r="TMG1632" s="1"/>
      <c r="TMH1632" s="1"/>
      <c r="TMI1632" s="1"/>
      <c r="TMJ1632" s="1"/>
      <c r="TMK1632" s="1"/>
      <c r="TML1632" s="1"/>
      <c r="TMM1632" s="1"/>
      <c r="TMN1632" s="1"/>
      <c r="TMO1632" s="1"/>
      <c r="TMP1632" s="1"/>
      <c r="TMQ1632" s="1"/>
      <c r="TMR1632" s="1"/>
      <c r="TMS1632" s="1"/>
      <c r="TMT1632" s="1"/>
      <c r="TMU1632" s="1"/>
      <c r="TMV1632" s="1"/>
      <c r="TMW1632" s="1"/>
      <c r="TMX1632" s="1"/>
      <c r="TMY1632" s="1"/>
      <c r="TMZ1632" s="1"/>
      <c r="TNA1632" s="1"/>
      <c r="TNB1632" s="1"/>
      <c r="TNC1632" s="1"/>
      <c r="TND1632" s="1"/>
      <c r="TNE1632" s="1"/>
      <c r="TNF1632" s="1"/>
      <c r="TNG1632" s="1"/>
      <c r="TNH1632" s="1"/>
      <c r="TNI1632" s="1"/>
      <c r="TNJ1632" s="1"/>
      <c r="TNK1632" s="1"/>
      <c r="TNL1632" s="1"/>
      <c r="TNM1632" s="1"/>
      <c r="TNN1632" s="1"/>
      <c r="TNO1632" s="1"/>
      <c r="TNP1632" s="1"/>
      <c r="TNQ1632" s="1"/>
      <c r="TNR1632" s="1"/>
      <c r="TNS1632" s="1"/>
      <c r="TNT1632" s="1"/>
      <c r="TNU1632" s="1"/>
      <c r="TNV1632" s="1"/>
      <c r="TNW1632" s="1"/>
      <c r="TNX1632" s="1"/>
      <c r="TNY1632" s="1"/>
      <c r="TNZ1632" s="1"/>
      <c r="TOA1632" s="1"/>
      <c r="TOB1632" s="1"/>
      <c r="TOC1632" s="1"/>
      <c r="TOD1632" s="1"/>
      <c r="TOE1632" s="1"/>
      <c r="TOF1632" s="1"/>
      <c r="TOG1632" s="1"/>
      <c r="TOH1632" s="1"/>
      <c r="TOI1632" s="1"/>
      <c r="TOJ1632" s="1"/>
      <c r="TOK1632" s="1"/>
      <c r="TOL1632" s="1"/>
      <c r="TOM1632" s="1"/>
      <c r="TON1632" s="1"/>
      <c r="TOO1632" s="1"/>
      <c r="TOP1632" s="1"/>
      <c r="TOQ1632" s="1"/>
      <c r="TOR1632" s="1"/>
      <c r="TOS1632" s="1"/>
      <c r="TOT1632" s="1"/>
      <c r="TOU1632" s="1"/>
      <c r="TOV1632" s="1"/>
      <c r="TOW1632" s="1"/>
      <c r="TOX1632" s="1"/>
      <c r="TOY1632" s="1"/>
      <c r="TOZ1632" s="1"/>
      <c r="TPA1632" s="1"/>
      <c r="TPB1632" s="1"/>
      <c r="TPC1632" s="1"/>
      <c r="TPD1632" s="1"/>
      <c r="TPE1632" s="1"/>
      <c r="TPF1632" s="1"/>
      <c r="TPG1632" s="1"/>
      <c r="TPH1632" s="1"/>
      <c r="TPI1632" s="1"/>
      <c r="TPJ1632" s="1"/>
      <c r="TPK1632" s="1"/>
      <c r="TPL1632" s="1"/>
      <c r="TPM1632" s="1"/>
      <c r="TPN1632" s="1"/>
      <c r="TPO1632" s="1"/>
      <c r="TPP1632" s="1"/>
      <c r="TPQ1632" s="1"/>
      <c r="TPR1632" s="1"/>
      <c r="TPS1632" s="1"/>
      <c r="TPT1632" s="1"/>
      <c r="TPU1632" s="1"/>
      <c r="TPV1632" s="1"/>
      <c r="TPW1632" s="1"/>
      <c r="TPX1632" s="1"/>
      <c r="TPY1632" s="1"/>
      <c r="TPZ1632" s="1"/>
      <c r="TQA1632" s="1"/>
      <c r="TQB1632" s="1"/>
      <c r="TQC1632" s="1"/>
      <c r="TQD1632" s="1"/>
      <c r="TQE1632" s="1"/>
      <c r="TQF1632" s="1"/>
      <c r="TQG1632" s="1"/>
      <c r="TQH1632" s="1"/>
      <c r="TQI1632" s="1"/>
      <c r="TQJ1632" s="1"/>
      <c r="TQK1632" s="1"/>
      <c r="TQL1632" s="1"/>
      <c r="TQM1632" s="1"/>
      <c r="TQN1632" s="1"/>
      <c r="TQO1632" s="1"/>
      <c r="TQP1632" s="1"/>
      <c r="TQQ1632" s="1"/>
      <c r="TQR1632" s="1"/>
      <c r="TQS1632" s="1"/>
      <c r="TQT1632" s="1"/>
      <c r="TQU1632" s="1"/>
      <c r="TQV1632" s="1"/>
      <c r="TQW1632" s="1"/>
      <c r="TQX1632" s="1"/>
      <c r="TQY1632" s="1"/>
      <c r="TQZ1632" s="1"/>
      <c r="TRA1632" s="1"/>
      <c r="TRB1632" s="1"/>
      <c r="TRC1632" s="1"/>
      <c r="TRD1632" s="1"/>
      <c r="TRE1632" s="1"/>
      <c r="TRF1632" s="1"/>
      <c r="TRG1632" s="1"/>
      <c r="TRH1632" s="1"/>
      <c r="TRI1632" s="1"/>
      <c r="TRJ1632" s="1"/>
      <c r="TRK1632" s="1"/>
      <c r="TRL1632" s="1"/>
      <c r="TRM1632" s="1"/>
      <c r="TRN1632" s="1"/>
      <c r="TRO1632" s="1"/>
      <c r="TRP1632" s="1"/>
      <c r="TRQ1632" s="1"/>
      <c r="TRR1632" s="1"/>
      <c r="TRS1632" s="1"/>
      <c r="TRT1632" s="1"/>
      <c r="TRU1632" s="1"/>
      <c r="TRV1632" s="1"/>
      <c r="TRW1632" s="1"/>
      <c r="TRX1632" s="1"/>
      <c r="TRY1632" s="1"/>
      <c r="TRZ1632" s="1"/>
      <c r="TSA1632" s="1"/>
      <c r="TSB1632" s="1"/>
      <c r="TSC1632" s="1"/>
      <c r="TSD1632" s="1"/>
      <c r="TSE1632" s="1"/>
      <c r="TSF1632" s="1"/>
      <c r="TSG1632" s="1"/>
      <c r="TSH1632" s="1"/>
      <c r="TSI1632" s="1"/>
      <c r="TSJ1632" s="1"/>
      <c r="TSK1632" s="1"/>
      <c r="TSL1632" s="1"/>
      <c r="TSM1632" s="1"/>
      <c r="TSN1632" s="1"/>
      <c r="TSO1632" s="1"/>
      <c r="TSP1632" s="1"/>
      <c r="TSQ1632" s="1"/>
      <c r="TSR1632" s="1"/>
      <c r="TSS1632" s="1"/>
      <c r="TST1632" s="1"/>
      <c r="TSU1632" s="1"/>
      <c r="TSV1632" s="1"/>
      <c r="TSW1632" s="1"/>
      <c r="TSX1632" s="1"/>
      <c r="TSY1632" s="1"/>
      <c r="TSZ1632" s="1"/>
      <c r="TTA1632" s="1"/>
      <c r="TTB1632" s="1"/>
      <c r="TTC1632" s="1"/>
      <c r="TTD1632" s="1"/>
      <c r="TTE1632" s="1"/>
      <c r="TTF1632" s="1"/>
      <c r="TTG1632" s="1"/>
      <c r="TTH1632" s="1"/>
      <c r="TTI1632" s="1"/>
      <c r="TTJ1632" s="1"/>
      <c r="TTK1632" s="1"/>
      <c r="TTL1632" s="1"/>
      <c r="TTM1632" s="1"/>
      <c r="TTN1632" s="1"/>
      <c r="TTO1632" s="1"/>
      <c r="TTP1632" s="1"/>
      <c r="TTQ1632" s="1"/>
      <c r="TTR1632" s="1"/>
      <c r="TTS1632" s="1"/>
      <c r="TTT1632" s="1"/>
      <c r="TTU1632" s="1"/>
      <c r="TTV1632" s="1"/>
      <c r="TTW1632" s="1"/>
      <c r="TTX1632" s="1"/>
      <c r="TTY1632" s="1"/>
      <c r="TTZ1632" s="1"/>
      <c r="TUA1632" s="1"/>
      <c r="TUB1632" s="1"/>
      <c r="TUC1632" s="1"/>
      <c r="TUD1632" s="1"/>
      <c r="TUE1632" s="1"/>
      <c r="TUF1632" s="1"/>
      <c r="TUG1632" s="1"/>
      <c r="TUH1632" s="1"/>
      <c r="TUI1632" s="1"/>
      <c r="TUJ1632" s="1"/>
      <c r="TUK1632" s="1"/>
      <c r="TUL1632" s="1"/>
      <c r="TUM1632" s="1"/>
      <c r="TUN1632" s="1"/>
      <c r="TUO1632" s="1"/>
      <c r="TUP1632" s="1"/>
      <c r="TUQ1632" s="1"/>
      <c r="TUR1632" s="1"/>
      <c r="TUS1632" s="1"/>
      <c r="TUT1632" s="1"/>
      <c r="TUU1632" s="1"/>
      <c r="TUV1632" s="1"/>
      <c r="TUW1632" s="1"/>
      <c r="TUX1632" s="1"/>
      <c r="TUY1632" s="1"/>
      <c r="TUZ1632" s="1"/>
      <c r="TVA1632" s="1"/>
      <c r="TVB1632" s="1"/>
      <c r="TVC1632" s="1"/>
      <c r="TVD1632" s="1"/>
      <c r="TVE1632" s="1"/>
      <c r="TVF1632" s="1"/>
      <c r="TVG1632" s="1"/>
      <c r="TVH1632" s="1"/>
      <c r="TVI1632" s="1"/>
      <c r="TVJ1632" s="1"/>
      <c r="TVK1632" s="1"/>
      <c r="TVL1632" s="1"/>
      <c r="TVM1632" s="1"/>
      <c r="TVN1632" s="1"/>
      <c r="TVO1632" s="1"/>
      <c r="TVP1632" s="1"/>
      <c r="TVQ1632" s="1"/>
      <c r="TVR1632" s="1"/>
      <c r="TVS1632" s="1"/>
      <c r="TVT1632" s="1"/>
      <c r="TVU1632" s="1"/>
      <c r="TVV1632" s="1"/>
      <c r="TVW1632" s="1"/>
      <c r="TVX1632" s="1"/>
      <c r="TVY1632" s="1"/>
      <c r="TVZ1632" s="1"/>
      <c r="TWA1632" s="1"/>
      <c r="TWB1632" s="1"/>
      <c r="TWC1632" s="1"/>
      <c r="TWD1632" s="1"/>
      <c r="TWE1632" s="1"/>
      <c r="TWF1632" s="1"/>
      <c r="TWG1632" s="1"/>
      <c r="TWH1632" s="1"/>
      <c r="TWI1632" s="1"/>
      <c r="TWJ1632" s="1"/>
      <c r="TWK1632" s="1"/>
      <c r="TWL1632" s="1"/>
      <c r="TWM1632" s="1"/>
      <c r="TWN1632" s="1"/>
      <c r="TWO1632" s="1"/>
      <c r="TWP1632" s="1"/>
      <c r="TWQ1632" s="1"/>
      <c r="TWR1632" s="1"/>
      <c r="TWS1632" s="1"/>
      <c r="TWT1632" s="1"/>
      <c r="TWU1632" s="1"/>
      <c r="TWV1632" s="1"/>
      <c r="TWW1632" s="1"/>
      <c r="TWX1632" s="1"/>
      <c r="TWY1632" s="1"/>
      <c r="TWZ1632" s="1"/>
      <c r="TXA1632" s="1"/>
      <c r="TXB1632" s="1"/>
      <c r="TXC1632" s="1"/>
      <c r="TXD1632" s="1"/>
      <c r="TXE1632" s="1"/>
      <c r="TXF1632" s="1"/>
      <c r="TXG1632" s="1"/>
      <c r="TXH1632" s="1"/>
      <c r="TXI1632" s="1"/>
      <c r="TXJ1632" s="1"/>
      <c r="TXK1632" s="1"/>
      <c r="TXL1632" s="1"/>
      <c r="TXM1632" s="1"/>
      <c r="TXN1632" s="1"/>
      <c r="TXO1632" s="1"/>
      <c r="TXP1632" s="1"/>
      <c r="TXQ1632" s="1"/>
      <c r="TXR1632" s="1"/>
      <c r="TXS1632" s="1"/>
      <c r="TXT1632" s="1"/>
      <c r="TXU1632" s="1"/>
      <c r="TXV1632" s="1"/>
      <c r="TXW1632" s="1"/>
      <c r="TXX1632" s="1"/>
      <c r="TXY1632" s="1"/>
      <c r="TXZ1632" s="1"/>
      <c r="TYA1632" s="1"/>
      <c r="TYB1632" s="1"/>
      <c r="TYC1632" s="1"/>
      <c r="TYD1632" s="1"/>
      <c r="TYE1632" s="1"/>
      <c r="TYF1632" s="1"/>
      <c r="TYG1632" s="1"/>
      <c r="TYH1632" s="1"/>
      <c r="TYI1632" s="1"/>
      <c r="TYJ1632" s="1"/>
      <c r="TYK1632" s="1"/>
      <c r="TYL1632" s="1"/>
      <c r="TYM1632" s="1"/>
      <c r="TYN1632" s="1"/>
      <c r="TYO1632" s="1"/>
      <c r="TYP1632" s="1"/>
      <c r="TYQ1632" s="1"/>
      <c r="TYR1632" s="1"/>
      <c r="TYS1632" s="1"/>
      <c r="TYT1632" s="1"/>
      <c r="TYU1632" s="1"/>
      <c r="TYV1632" s="1"/>
      <c r="TYW1632" s="1"/>
      <c r="TYX1632" s="1"/>
      <c r="TYY1632" s="1"/>
      <c r="TYZ1632" s="1"/>
      <c r="TZA1632" s="1"/>
      <c r="TZB1632" s="1"/>
      <c r="TZC1632" s="1"/>
      <c r="TZD1632" s="1"/>
      <c r="TZE1632" s="1"/>
      <c r="TZF1632" s="1"/>
      <c r="TZG1632" s="1"/>
      <c r="TZH1632" s="1"/>
      <c r="TZI1632" s="1"/>
      <c r="TZJ1632" s="1"/>
      <c r="TZK1632" s="1"/>
      <c r="TZL1632" s="1"/>
      <c r="TZM1632" s="1"/>
      <c r="TZN1632" s="1"/>
      <c r="TZO1632" s="1"/>
      <c r="TZP1632" s="1"/>
      <c r="TZQ1632" s="1"/>
      <c r="TZR1632" s="1"/>
      <c r="TZS1632" s="1"/>
      <c r="TZT1632" s="1"/>
      <c r="TZU1632" s="1"/>
      <c r="TZV1632" s="1"/>
      <c r="TZW1632" s="1"/>
      <c r="TZX1632" s="1"/>
      <c r="TZY1632" s="1"/>
      <c r="TZZ1632" s="1"/>
      <c r="UAA1632" s="1"/>
      <c r="UAB1632" s="1"/>
      <c r="UAC1632" s="1"/>
      <c r="UAD1632" s="1"/>
      <c r="UAE1632" s="1"/>
      <c r="UAF1632" s="1"/>
      <c r="UAG1632" s="1"/>
      <c r="UAH1632" s="1"/>
      <c r="UAI1632" s="1"/>
      <c r="UAJ1632" s="1"/>
      <c r="UAK1632" s="1"/>
      <c r="UAL1632" s="1"/>
      <c r="UAM1632" s="1"/>
      <c r="UAN1632" s="1"/>
      <c r="UAO1632" s="1"/>
      <c r="UAP1632" s="1"/>
      <c r="UAQ1632" s="1"/>
      <c r="UAR1632" s="1"/>
      <c r="UAS1632" s="1"/>
      <c r="UAT1632" s="1"/>
      <c r="UAU1632" s="1"/>
      <c r="UAV1632" s="1"/>
      <c r="UAW1632" s="1"/>
      <c r="UAX1632" s="1"/>
      <c r="UAY1632" s="1"/>
      <c r="UAZ1632" s="1"/>
      <c r="UBA1632" s="1"/>
      <c r="UBB1632" s="1"/>
      <c r="UBC1632" s="1"/>
      <c r="UBD1632" s="1"/>
      <c r="UBE1632" s="1"/>
      <c r="UBF1632" s="1"/>
      <c r="UBG1632" s="1"/>
      <c r="UBH1632" s="1"/>
      <c r="UBI1632" s="1"/>
      <c r="UBJ1632" s="1"/>
      <c r="UBK1632" s="1"/>
      <c r="UBL1632" s="1"/>
      <c r="UBM1632" s="1"/>
      <c r="UBN1632" s="1"/>
      <c r="UBO1632" s="1"/>
      <c r="UBP1632" s="1"/>
      <c r="UBQ1632" s="1"/>
      <c r="UBR1632" s="1"/>
      <c r="UBS1632" s="1"/>
      <c r="UBT1632" s="1"/>
      <c r="UBU1632" s="1"/>
      <c r="UBV1632" s="1"/>
      <c r="UBW1632" s="1"/>
      <c r="UBX1632" s="1"/>
      <c r="UBY1632" s="1"/>
      <c r="UBZ1632" s="1"/>
      <c r="UCA1632" s="1"/>
      <c r="UCB1632" s="1"/>
      <c r="UCC1632" s="1"/>
      <c r="UCD1632" s="1"/>
      <c r="UCE1632" s="1"/>
      <c r="UCF1632" s="1"/>
      <c r="UCG1632" s="1"/>
      <c r="UCH1632" s="1"/>
      <c r="UCI1632" s="1"/>
      <c r="UCJ1632" s="1"/>
      <c r="UCK1632" s="1"/>
      <c r="UCL1632" s="1"/>
      <c r="UCM1632" s="1"/>
      <c r="UCN1632" s="1"/>
      <c r="UCO1632" s="1"/>
      <c r="UCP1632" s="1"/>
      <c r="UCQ1632" s="1"/>
      <c r="UCR1632" s="1"/>
      <c r="UCS1632" s="1"/>
      <c r="UCT1632" s="1"/>
      <c r="UCU1632" s="1"/>
      <c r="UCV1632" s="1"/>
      <c r="UCW1632" s="1"/>
      <c r="UCX1632" s="1"/>
      <c r="UCY1632" s="1"/>
      <c r="UCZ1632" s="1"/>
      <c r="UDA1632" s="1"/>
      <c r="UDB1632" s="1"/>
      <c r="UDC1632" s="1"/>
      <c r="UDD1632" s="1"/>
      <c r="UDE1632" s="1"/>
      <c r="UDF1632" s="1"/>
      <c r="UDG1632" s="1"/>
      <c r="UDH1632" s="1"/>
      <c r="UDI1632" s="1"/>
      <c r="UDJ1632" s="1"/>
      <c r="UDK1632" s="1"/>
      <c r="UDL1632" s="1"/>
      <c r="UDM1632" s="1"/>
      <c r="UDN1632" s="1"/>
      <c r="UDO1632" s="1"/>
      <c r="UDP1632" s="1"/>
      <c r="UDQ1632" s="1"/>
      <c r="UDR1632" s="1"/>
      <c r="UDS1632" s="1"/>
      <c r="UDT1632" s="1"/>
      <c r="UDU1632" s="1"/>
      <c r="UDV1632" s="1"/>
      <c r="UDW1632" s="1"/>
      <c r="UDX1632" s="1"/>
      <c r="UDY1632" s="1"/>
      <c r="UDZ1632" s="1"/>
      <c r="UEA1632" s="1"/>
      <c r="UEB1632" s="1"/>
      <c r="UEC1632" s="1"/>
      <c r="UED1632" s="1"/>
      <c r="UEE1632" s="1"/>
      <c r="UEF1632" s="1"/>
      <c r="UEG1632" s="1"/>
      <c r="UEH1632" s="1"/>
      <c r="UEI1632" s="1"/>
      <c r="UEJ1632" s="1"/>
      <c r="UEK1632" s="1"/>
      <c r="UEL1632" s="1"/>
      <c r="UEM1632" s="1"/>
      <c r="UEN1632" s="1"/>
      <c r="UEO1632" s="1"/>
      <c r="UEP1632" s="1"/>
      <c r="UEQ1632" s="1"/>
      <c r="UER1632" s="1"/>
      <c r="UES1632" s="1"/>
      <c r="UET1632" s="1"/>
      <c r="UEU1632" s="1"/>
      <c r="UEV1632" s="1"/>
      <c r="UEW1632" s="1"/>
      <c r="UEX1632" s="1"/>
      <c r="UEY1632" s="1"/>
      <c r="UEZ1632" s="1"/>
      <c r="UFA1632" s="1"/>
      <c r="UFB1632" s="1"/>
      <c r="UFC1632" s="1"/>
      <c r="UFD1632" s="1"/>
      <c r="UFE1632" s="1"/>
      <c r="UFF1632" s="1"/>
      <c r="UFG1632" s="1"/>
      <c r="UFH1632" s="1"/>
      <c r="UFI1632" s="1"/>
      <c r="UFJ1632" s="1"/>
      <c r="UFK1632" s="1"/>
      <c r="UFL1632" s="1"/>
      <c r="UFM1632" s="1"/>
      <c r="UFN1632" s="1"/>
      <c r="UFO1632" s="1"/>
      <c r="UFP1632" s="1"/>
      <c r="UFQ1632" s="1"/>
      <c r="UFR1632" s="1"/>
      <c r="UFS1632" s="1"/>
      <c r="UFT1632" s="1"/>
      <c r="UFU1632" s="1"/>
      <c r="UFV1632" s="1"/>
      <c r="UFW1632" s="1"/>
      <c r="UFX1632" s="1"/>
      <c r="UFY1632" s="1"/>
      <c r="UFZ1632" s="1"/>
      <c r="UGA1632" s="1"/>
      <c r="UGB1632" s="1"/>
      <c r="UGC1632" s="1"/>
      <c r="UGD1632" s="1"/>
      <c r="UGE1632" s="1"/>
      <c r="UGF1632" s="1"/>
      <c r="UGG1632" s="1"/>
      <c r="UGH1632" s="1"/>
      <c r="UGI1632" s="1"/>
      <c r="UGJ1632" s="1"/>
      <c r="UGK1632" s="1"/>
      <c r="UGL1632" s="1"/>
      <c r="UGM1632" s="1"/>
      <c r="UGN1632" s="1"/>
      <c r="UGO1632" s="1"/>
      <c r="UGP1632" s="1"/>
      <c r="UGQ1632" s="1"/>
      <c r="UGR1632" s="1"/>
      <c r="UGS1632" s="1"/>
      <c r="UGT1632" s="1"/>
      <c r="UGU1632" s="1"/>
      <c r="UGV1632" s="1"/>
      <c r="UGW1632" s="1"/>
      <c r="UGX1632" s="1"/>
      <c r="UGY1632" s="1"/>
      <c r="UGZ1632" s="1"/>
      <c r="UHA1632" s="1"/>
      <c r="UHB1632" s="1"/>
      <c r="UHC1632" s="1"/>
      <c r="UHD1632" s="1"/>
      <c r="UHE1632" s="1"/>
      <c r="UHF1632" s="1"/>
      <c r="UHG1632" s="1"/>
      <c r="UHH1632" s="1"/>
      <c r="UHI1632" s="1"/>
      <c r="UHJ1632" s="1"/>
      <c r="UHK1632" s="1"/>
      <c r="UHL1632" s="1"/>
      <c r="UHM1632" s="1"/>
      <c r="UHN1632" s="1"/>
      <c r="UHO1632" s="1"/>
      <c r="UHP1632" s="1"/>
      <c r="UHQ1632" s="1"/>
      <c r="UHR1632" s="1"/>
      <c r="UHS1632" s="1"/>
      <c r="UHT1632" s="1"/>
      <c r="UHU1632" s="1"/>
      <c r="UHV1632" s="1"/>
      <c r="UHW1632" s="1"/>
      <c r="UHX1632" s="1"/>
      <c r="UHY1632" s="1"/>
      <c r="UHZ1632" s="1"/>
      <c r="UIA1632" s="1"/>
      <c r="UIB1632" s="1"/>
      <c r="UIC1632" s="1"/>
      <c r="UID1632" s="1"/>
      <c r="UIE1632" s="1"/>
      <c r="UIF1632" s="1"/>
      <c r="UIG1632" s="1"/>
      <c r="UIH1632" s="1"/>
      <c r="UII1632" s="1"/>
      <c r="UIJ1632" s="1"/>
      <c r="UIK1632" s="1"/>
      <c r="UIL1632" s="1"/>
      <c r="UIM1632" s="1"/>
      <c r="UIN1632" s="1"/>
      <c r="UIO1632" s="1"/>
      <c r="UIP1632" s="1"/>
      <c r="UIQ1632" s="1"/>
      <c r="UIR1632" s="1"/>
      <c r="UIS1632" s="1"/>
      <c r="UIT1632" s="1"/>
      <c r="UIU1632" s="1"/>
      <c r="UIV1632" s="1"/>
      <c r="UIW1632" s="1"/>
      <c r="UIX1632" s="1"/>
      <c r="UIY1632" s="1"/>
      <c r="UIZ1632" s="1"/>
      <c r="UJA1632" s="1"/>
      <c r="UJB1632" s="1"/>
      <c r="UJC1632" s="1"/>
      <c r="UJD1632" s="1"/>
      <c r="UJE1632" s="1"/>
      <c r="UJF1632" s="1"/>
      <c r="UJG1632" s="1"/>
      <c r="UJH1632" s="1"/>
      <c r="UJI1632" s="1"/>
      <c r="UJJ1632" s="1"/>
      <c r="UJK1632" s="1"/>
      <c r="UJL1632" s="1"/>
      <c r="UJM1632" s="1"/>
      <c r="UJN1632" s="1"/>
      <c r="UJO1632" s="1"/>
      <c r="UJP1632" s="1"/>
      <c r="UJQ1632" s="1"/>
      <c r="UJR1632" s="1"/>
      <c r="UJS1632" s="1"/>
      <c r="UJT1632" s="1"/>
      <c r="UJU1632" s="1"/>
      <c r="UJV1632" s="1"/>
      <c r="UJW1632" s="1"/>
      <c r="UJX1632" s="1"/>
      <c r="UJY1632" s="1"/>
      <c r="UJZ1632" s="1"/>
      <c r="UKA1632" s="1"/>
      <c r="UKB1632" s="1"/>
      <c r="UKC1632" s="1"/>
      <c r="UKD1632" s="1"/>
      <c r="UKE1632" s="1"/>
      <c r="UKF1632" s="1"/>
      <c r="UKG1632" s="1"/>
      <c r="UKH1632" s="1"/>
      <c r="UKI1632" s="1"/>
      <c r="UKJ1632" s="1"/>
      <c r="UKK1632" s="1"/>
      <c r="UKL1632" s="1"/>
      <c r="UKM1632" s="1"/>
      <c r="UKN1632" s="1"/>
      <c r="UKO1632" s="1"/>
      <c r="UKP1632" s="1"/>
      <c r="UKQ1632" s="1"/>
      <c r="UKR1632" s="1"/>
      <c r="UKS1632" s="1"/>
      <c r="UKT1632" s="1"/>
      <c r="UKU1632" s="1"/>
      <c r="UKV1632" s="1"/>
      <c r="UKW1632" s="1"/>
      <c r="UKX1632" s="1"/>
      <c r="UKY1632" s="1"/>
      <c r="UKZ1632" s="1"/>
      <c r="ULA1632" s="1"/>
      <c r="ULB1632" s="1"/>
      <c r="ULC1632" s="1"/>
      <c r="ULD1632" s="1"/>
      <c r="ULE1632" s="1"/>
      <c r="ULF1632" s="1"/>
      <c r="ULG1632" s="1"/>
      <c r="ULH1632" s="1"/>
      <c r="ULI1632" s="1"/>
      <c r="ULJ1632" s="1"/>
      <c r="ULK1632" s="1"/>
      <c r="ULL1632" s="1"/>
      <c r="ULM1632" s="1"/>
      <c r="ULN1632" s="1"/>
      <c r="ULO1632" s="1"/>
      <c r="ULP1632" s="1"/>
      <c r="ULQ1632" s="1"/>
      <c r="ULR1632" s="1"/>
      <c r="ULS1632" s="1"/>
      <c r="ULT1632" s="1"/>
      <c r="ULU1632" s="1"/>
      <c r="ULV1632" s="1"/>
      <c r="ULW1632" s="1"/>
      <c r="ULX1632" s="1"/>
      <c r="ULY1632" s="1"/>
      <c r="ULZ1632" s="1"/>
      <c r="UMA1632" s="1"/>
      <c r="UMB1632" s="1"/>
      <c r="UMC1632" s="1"/>
      <c r="UMD1632" s="1"/>
      <c r="UME1632" s="1"/>
      <c r="UMF1632" s="1"/>
      <c r="UMG1632" s="1"/>
      <c r="UMH1632" s="1"/>
      <c r="UMI1632" s="1"/>
      <c r="UMJ1632" s="1"/>
      <c r="UMK1632" s="1"/>
      <c r="UML1632" s="1"/>
      <c r="UMM1632" s="1"/>
      <c r="UMN1632" s="1"/>
      <c r="UMO1632" s="1"/>
      <c r="UMP1632" s="1"/>
      <c r="UMQ1632" s="1"/>
      <c r="UMR1632" s="1"/>
      <c r="UMS1632" s="1"/>
      <c r="UMT1632" s="1"/>
      <c r="UMU1632" s="1"/>
      <c r="UMV1632" s="1"/>
      <c r="UMW1632" s="1"/>
      <c r="UMX1632" s="1"/>
      <c r="UMY1632" s="1"/>
      <c r="UMZ1632" s="1"/>
      <c r="UNA1632" s="1"/>
      <c r="UNB1632" s="1"/>
      <c r="UNC1632" s="1"/>
      <c r="UND1632" s="1"/>
      <c r="UNE1632" s="1"/>
      <c r="UNF1632" s="1"/>
      <c r="UNG1632" s="1"/>
      <c r="UNH1632" s="1"/>
      <c r="UNI1632" s="1"/>
      <c r="UNJ1632" s="1"/>
      <c r="UNK1632" s="1"/>
      <c r="UNL1632" s="1"/>
      <c r="UNM1632" s="1"/>
      <c r="UNN1632" s="1"/>
      <c r="UNO1632" s="1"/>
      <c r="UNP1632" s="1"/>
      <c r="UNQ1632" s="1"/>
      <c r="UNR1632" s="1"/>
      <c r="UNS1632" s="1"/>
      <c r="UNT1632" s="1"/>
      <c r="UNU1632" s="1"/>
      <c r="UNV1632" s="1"/>
      <c r="UNW1632" s="1"/>
      <c r="UNX1632" s="1"/>
      <c r="UNY1632" s="1"/>
      <c r="UNZ1632" s="1"/>
      <c r="UOA1632" s="1"/>
      <c r="UOB1632" s="1"/>
      <c r="UOC1632" s="1"/>
      <c r="UOD1632" s="1"/>
      <c r="UOE1632" s="1"/>
      <c r="UOF1632" s="1"/>
      <c r="UOG1632" s="1"/>
      <c r="UOH1632" s="1"/>
      <c r="UOI1632" s="1"/>
      <c r="UOJ1632" s="1"/>
      <c r="UOK1632" s="1"/>
      <c r="UOL1632" s="1"/>
      <c r="UOM1632" s="1"/>
      <c r="UON1632" s="1"/>
      <c r="UOO1632" s="1"/>
      <c r="UOP1632" s="1"/>
      <c r="UOQ1632" s="1"/>
      <c r="UOR1632" s="1"/>
      <c r="UOS1632" s="1"/>
      <c r="UOT1632" s="1"/>
      <c r="UOU1632" s="1"/>
      <c r="UOV1632" s="1"/>
      <c r="UOW1632" s="1"/>
      <c r="UOX1632" s="1"/>
      <c r="UOY1632" s="1"/>
      <c r="UOZ1632" s="1"/>
      <c r="UPA1632" s="1"/>
      <c r="UPB1632" s="1"/>
      <c r="UPC1632" s="1"/>
      <c r="UPD1632" s="1"/>
      <c r="UPE1632" s="1"/>
      <c r="UPF1632" s="1"/>
      <c r="UPG1632" s="1"/>
      <c r="UPH1632" s="1"/>
      <c r="UPI1632" s="1"/>
      <c r="UPJ1632" s="1"/>
      <c r="UPK1632" s="1"/>
      <c r="UPL1632" s="1"/>
      <c r="UPM1632" s="1"/>
      <c r="UPN1632" s="1"/>
      <c r="UPO1632" s="1"/>
      <c r="UPP1632" s="1"/>
      <c r="UPQ1632" s="1"/>
      <c r="UPR1632" s="1"/>
      <c r="UPS1632" s="1"/>
      <c r="UPT1632" s="1"/>
      <c r="UPU1632" s="1"/>
      <c r="UPV1632" s="1"/>
      <c r="UPW1632" s="1"/>
      <c r="UPX1632" s="1"/>
      <c r="UPY1632" s="1"/>
      <c r="UPZ1632" s="1"/>
      <c r="UQA1632" s="1"/>
      <c r="UQB1632" s="1"/>
      <c r="UQC1632" s="1"/>
      <c r="UQD1632" s="1"/>
      <c r="UQE1632" s="1"/>
      <c r="UQF1632" s="1"/>
      <c r="UQG1632" s="1"/>
      <c r="UQH1632" s="1"/>
      <c r="UQI1632" s="1"/>
      <c r="UQJ1632" s="1"/>
      <c r="UQK1632" s="1"/>
      <c r="UQL1632" s="1"/>
      <c r="UQM1632" s="1"/>
      <c r="UQN1632" s="1"/>
      <c r="UQO1632" s="1"/>
      <c r="UQP1632" s="1"/>
      <c r="UQQ1632" s="1"/>
      <c r="UQR1632" s="1"/>
      <c r="UQS1632" s="1"/>
      <c r="UQT1632" s="1"/>
      <c r="UQU1632" s="1"/>
      <c r="UQV1632" s="1"/>
      <c r="UQW1632" s="1"/>
      <c r="UQX1632" s="1"/>
      <c r="UQY1632" s="1"/>
      <c r="UQZ1632" s="1"/>
      <c r="URA1632" s="1"/>
      <c r="URB1632" s="1"/>
      <c r="URC1632" s="1"/>
      <c r="URD1632" s="1"/>
      <c r="URE1632" s="1"/>
      <c r="URF1632" s="1"/>
      <c r="URG1632" s="1"/>
      <c r="URH1632" s="1"/>
      <c r="URI1632" s="1"/>
      <c r="URJ1632" s="1"/>
      <c r="URK1632" s="1"/>
      <c r="URL1632" s="1"/>
      <c r="URM1632" s="1"/>
      <c r="URN1632" s="1"/>
      <c r="URO1632" s="1"/>
      <c r="URP1632" s="1"/>
      <c r="URQ1632" s="1"/>
      <c r="URR1632" s="1"/>
      <c r="URS1632" s="1"/>
      <c r="URT1632" s="1"/>
      <c r="URU1632" s="1"/>
      <c r="URV1632" s="1"/>
      <c r="URW1632" s="1"/>
      <c r="URX1632" s="1"/>
      <c r="URY1632" s="1"/>
      <c r="URZ1632" s="1"/>
      <c r="USA1632" s="1"/>
      <c r="USB1632" s="1"/>
      <c r="USC1632" s="1"/>
      <c r="USD1632" s="1"/>
      <c r="USE1632" s="1"/>
      <c r="USF1632" s="1"/>
      <c r="USG1632" s="1"/>
      <c r="USH1632" s="1"/>
      <c r="USI1632" s="1"/>
      <c r="USJ1632" s="1"/>
      <c r="USK1632" s="1"/>
      <c r="USL1632" s="1"/>
      <c r="USM1632" s="1"/>
      <c r="USN1632" s="1"/>
      <c r="USO1632" s="1"/>
      <c r="USP1632" s="1"/>
      <c r="USQ1632" s="1"/>
      <c r="USR1632" s="1"/>
      <c r="USS1632" s="1"/>
      <c r="UST1632" s="1"/>
      <c r="USU1632" s="1"/>
      <c r="USV1632" s="1"/>
      <c r="USW1632" s="1"/>
      <c r="USX1632" s="1"/>
      <c r="USY1632" s="1"/>
      <c r="USZ1632" s="1"/>
      <c r="UTA1632" s="1"/>
      <c r="UTB1632" s="1"/>
      <c r="UTC1632" s="1"/>
      <c r="UTD1632" s="1"/>
      <c r="UTE1632" s="1"/>
      <c r="UTF1632" s="1"/>
      <c r="UTG1632" s="1"/>
      <c r="UTH1632" s="1"/>
      <c r="UTI1632" s="1"/>
      <c r="UTJ1632" s="1"/>
      <c r="UTK1632" s="1"/>
      <c r="UTL1632" s="1"/>
      <c r="UTM1632" s="1"/>
      <c r="UTN1632" s="1"/>
      <c r="UTO1632" s="1"/>
      <c r="UTP1632" s="1"/>
      <c r="UTQ1632" s="1"/>
      <c r="UTR1632" s="1"/>
      <c r="UTS1632" s="1"/>
      <c r="UTT1632" s="1"/>
      <c r="UTU1632" s="1"/>
      <c r="UTV1632" s="1"/>
      <c r="UTW1632" s="1"/>
      <c r="UTX1632" s="1"/>
      <c r="UTY1632" s="1"/>
      <c r="UTZ1632" s="1"/>
      <c r="UUA1632" s="1"/>
      <c r="UUB1632" s="1"/>
      <c r="UUC1632" s="1"/>
      <c r="UUD1632" s="1"/>
      <c r="UUE1632" s="1"/>
      <c r="UUF1632" s="1"/>
      <c r="UUG1632" s="1"/>
      <c r="UUH1632" s="1"/>
      <c r="UUI1632" s="1"/>
      <c r="UUJ1632" s="1"/>
      <c r="UUK1632" s="1"/>
      <c r="UUL1632" s="1"/>
      <c r="UUM1632" s="1"/>
      <c r="UUN1632" s="1"/>
      <c r="UUO1632" s="1"/>
      <c r="UUP1632" s="1"/>
      <c r="UUQ1632" s="1"/>
      <c r="UUR1632" s="1"/>
      <c r="UUS1632" s="1"/>
      <c r="UUT1632" s="1"/>
      <c r="UUU1632" s="1"/>
      <c r="UUV1632" s="1"/>
      <c r="UUW1632" s="1"/>
      <c r="UUX1632" s="1"/>
      <c r="UUY1632" s="1"/>
      <c r="UUZ1632" s="1"/>
      <c r="UVA1632" s="1"/>
      <c r="UVB1632" s="1"/>
      <c r="UVC1632" s="1"/>
      <c r="UVD1632" s="1"/>
      <c r="UVE1632" s="1"/>
      <c r="UVF1632" s="1"/>
      <c r="UVG1632" s="1"/>
      <c r="UVH1632" s="1"/>
      <c r="UVI1632" s="1"/>
      <c r="UVJ1632" s="1"/>
      <c r="UVK1632" s="1"/>
      <c r="UVL1632" s="1"/>
      <c r="UVM1632" s="1"/>
      <c r="UVN1632" s="1"/>
      <c r="UVO1632" s="1"/>
      <c r="UVP1632" s="1"/>
      <c r="UVQ1632" s="1"/>
      <c r="UVR1632" s="1"/>
      <c r="UVS1632" s="1"/>
      <c r="UVT1632" s="1"/>
      <c r="UVU1632" s="1"/>
      <c r="UVV1632" s="1"/>
      <c r="UVW1632" s="1"/>
      <c r="UVX1632" s="1"/>
      <c r="UVY1632" s="1"/>
      <c r="UVZ1632" s="1"/>
      <c r="UWA1632" s="1"/>
      <c r="UWB1632" s="1"/>
      <c r="UWC1632" s="1"/>
      <c r="UWD1632" s="1"/>
      <c r="UWE1632" s="1"/>
      <c r="UWF1632" s="1"/>
      <c r="UWG1632" s="1"/>
      <c r="UWH1632" s="1"/>
      <c r="UWI1632" s="1"/>
      <c r="UWJ1632" s="1"/>
      <c r="UWK1632" s="1"/>
      <c r="UWL1632" s="1"/>
      <c r="UWM1632" s="1"/>
      <c r="UWN1632" s="1"/>
      <c r="UWO1632" s="1"/>
      <c r="UWP1632" s="1"/>
      <c r="UWQ1632" s="1"/>
      <c r="UWR1632" s="1"/>
      <c r="UWS1632" s="1"/>
      <c r="UWT1632" s="1"/>
      <c r="UWU1632" s="1"/>
      <c r="UWV1632" s="1"/>
      <c r="UWW1632" s="1"/>
      <c r="UWX1632" s="1"/>
      <c r="UWY1632" s="1"/>
      <c r="UWZ1632" s="1"/>
      <c r="UXA1632" s="1"/>
      <c r="UXB1632" s="1"/>
      <c r="UXC1632" s="1"/>
      <c r="UXD1632" s="1"/>
      <c r="UXE1632" s="1"/>
      <c r="UXF1632" s="1"/>
      <c r="UXG1632" s="1"/>
      <c r="UXH1632" s="1"/>
      <c r="UXI1632" s="1"/>
      <c r="UXJ1632" s="1"/>
      <c r="UXK1632" s="1"/>
      <c r="UXL1632" s="1"/>
      <c r="UXM1632" s="1"/>
      <c r="UXN1632" s="1"/>
      <c r="UXO1632" s="1"/>
      <c r="UXP1632" s="1"/>
      <c r="UXQ1632" s="1"/>
      <c r="UXR1632" s="1"/>
      <c r="UXS1632" s="1"/>
      <c r="UXT1632" s="1"/>
      <c r="UXU1632" s="1"/>
      <c r="UXV1632" s="1"/>
      <c r="UXW1632" s="1"/>
      <c r="UXX1632" s="1"/>
      <c r="UXY1632" s="1"/>
      <c r="UXZ1632" s="1"/>
      <c r="UYA1632" s="1"/>
      <c r="UYB1632" s="1"/>
      <c r="UYC1632" s="1"/>
      <c r="UYD1632" s="1"/>
      <c r="UYE1632" s="1"/>
      <c r="UYF1632" s="1"/>
      <c r="UYG1632" s="1"/>
      <c r="UYH1632" s="1"/>
      <c r="UYI1632" s="1"/>
      <c r="UYJ1632" s="1"/>
      <c r="UYK1632" s="1"/>
      <c r="UYL1632" s="1"/>
      <c r="UYM1632" s="1"/>
      <c r="UYN1632" s="1"/>
      <c r="UYO1632" s="1"/>
      <c r="UYP1632" s="1"/>
      <c r="UYQ1632" s="1"/>
      <c r="UYR1632" s="1"/>
      <c r="UYS1632" s="1"/>
      <c r="UYT1632" s="1"/>
      <c r="UYU1632" s="1"/>
      <c r="UYV1632" s="1"/>
      <c r="UYW1632" s="1"/>
      <c r="UYX1632" s="1"/>
      <c r="UYY1632" s="1"/>
      <c r="UYZ1632" s="1"/>
      <c r="UZA1632" s="1"/>
      <c r="UZB1632" s="1"/>
      <c r="UZC1632" s="1"/>
      <c r="UZD1632" s="1"/>
      <c r="UZE1632" s="1"/>
      <c r="UZF1632" s="1"/>
      <c r="UZG1632" s="1"/>
      <c r="UZH1632" s="1"/>
      <c r="UZI1632" s="1"/>
      <c r="UZJ1632" s="1"/>
      <c r="UZK1632" s="1"/>
      <c r="UZL1632" s="1"/>
      <c r="UZM1632" s="1"/>
      <c r="UZN1632" s="1"/>
      <c r="UZO1632" s="1"/>
      <c r="UZP1632" s="1"/>
      <c r="UZQ1632" s="1"/>
      <c r="UZR1632" s="1"/>
      <c r="UZS1632" s="1"/>
      <c r="UZT1632" s="1"/>
      <c r="UZU1632" s="1"/>
      <c r="UZV1632" s="1"/>
      <c r="UZW1632" s="1"/>
      <c r="UZX1632" s="1"/>
      <c r="UZY1632" s="1"/>
      <c r="UZZ1632" s="1"/>
      <c r="VAA1632" s="1"/>
      <c r="VAB1632" s="1"/>
      <c r="VAC1632" s="1"/>
      <c r="VAD1632" s="1"/>
      <c r="VAE1632" s="1"/>
      <c r="VAF1632" s="1"/>
      <c r="VAG1632" s="1"/>
      <c r="VAH1632" s="1"/>
      <c r="VAI1632" s="1"/>
      <c r="VAJ1632" s="1"/>
      <c r="VAK1632" s="1"/>
      <c r="VAL1632" s="1"/>
      <c r="VAM1632" s="1"/>
      <c r="VAN1632" s="1"/>
      <c r="VAO1632" s="1"/>
      <c r="VAP1632" s="1"/>
      <c r="VAQ1632" s="1"/>
      <c r="VAR1632" s="1"/>
      <c r="VAS1632" s="1"/>
      <c r="VAT1632" s="1"/>
      <c r="VAU1632" s="1"/>
      <c r="VAV1632" s="1"/>
      <c r="VAW1632" s="1"/>
      <c r="VAX1632" s="1"/>
      <c r="VAY1632" s="1"/>
      <c r="VAZ1632" s="1"/>
      <c r="VBA1632" s="1"/>
      <c r="VBB1632" s="1"/>
      <c r="VBC1632" s="1"/>
      <c r="VBD1632" s="1"/>
      <c r="VBE1632" s="1"/>
      <c r="VBF1632" s="1"/>
      <c r="VBG1632" s="1"/>
      <c r="VBH1632" s="1"/>
      <c r="VBI1632" s="1"/>
      <c r="VBJ1632" s="1"/>
      <c r="VBK1632" s="1"/>
      <c r="VBL1632" s="1"/>
      <c r="VBM1632" s="1"/>
      <c r="VBN1632" s="1"/>
      <c r="VBO1632" s="1"/>
      <c r="VBP1632" s="1"/>
      <c r="VBQ1632" s="1"/>
      <c r="VBR1632" s="1"/>
      <c r="VBS1632" s="1"/>
      <c r="VBT1632" s="1"/>
      <c r="VBU1632" s="1"/>
      <c r="VBV1632" s="1"/>
      <c r="VBW1632" s="1"/>
      <c r="VBX1632" s="1"/>
      <c r="VBY1632" s="1"/>
      <c r="VBZ1632" s="1"/>
      <c r="VCA1632" s="1"/>
      <c r="VCB1632" s="1"/>
      <c r="VCC1632" s="1"/>
      <c r="VCD1632" s="1"/>
      <c r="VCE1632" s="1"/>
      <c r="VCF1632" s="1"/>
      <c r="VCG1632" s="1"/>
      <c r="VCH1632" s="1"/>
      <c r="VCI1632" s="1"/>
      <c r="VCJ1632" s="1"/>
      <c r="VCK1632" s="1"/>
      <c r="VCL1632" s="1"/>
      <c r="VCM1632" s="1"/>
      <c r="VCN1632" s="1"/>
      <c r="VCO1632" s="1"/>
      <c r="VCP1632" s="1"/>
      <c r="VCQ1632" s="1"/>
      <c r="VCR1632" s="1"/>
      <c r="VCS1632" s="1"/>
      <c r="VCT1632" s="1"/>
      <c r="VCU1632" s="1"/>
      <c r="VCV1632" s="1"/>
      <c r="VCW1632" s="1"/>
      <c r="VCX1632" s="1"/>
      <c r="VCY1632" s="1"/>
      <c r="VCZ1632" s="1"/>
      <c r="VDA1632" s="1"/>
      <c r="VDB1632" s="1"/>
      <c r="VDC1632" s="1"/>
      <c r="VDD1632" s="1"/>
      <c r="VDE1632" s="1"/>
      <c r="VDF1632" s="1"/>
      <c r="VDG1632" s="1"/>
      <c r="VDH1632" s="1"/>
      <c r="VDI1632" s="1"/>
      <c r="VDJ1632" s="1"/>
      <c r="VDK1632" s="1"/>
      <c r="VDL1632" s="1"/>
      <c r="VDM1632" s="1"/>
      <c r="VDN1632" s="1"/>
      <c r="VDO1632" s="1"/>
      <c r="VDP1632" s="1"/>
      <c r="VDQ1632" s="1"/>
      <c r="VDR1632" s="1"/>
      <c r="VDS1632" s="1"/>
      <c r="VDT1632" s="1"/>
      <c r="VDU1632" s="1"/>
      <c r="VDV1632" s="1"/>
      <c r="VDW1632" s="1"/>
      <c r="VDX1632" s="1"/>
      <c r="VDY1632" s="1"/>
      <c r="VDZ1632" s="1"/>
      <c r="VEA1632" s="1"/>
      <c r="VEB1632" s="1"/>
      <c r="VEC1632" s="1"/>
      <c r="VED1632" s="1"/>
      <c r="VEE1632" s="1"/>
      <c r="VEF1632" s="1"/>
      <c r="VEG1632" s="1"/>
      <c r="VEH1632" s="1"/>
      <c r="VEI1632" s="1"/>
      <c r="VEJ1632" s="1"/>
      <c r="VEK1632" s="1"/>
      <c r="VEL1632" s="1"/>
      <c r="VEM1632" s="1"/>
      <c r="VEN1632" s="1"/>
      <c r="VEO1632" s="1"/>
      <c r="VEP1632" s="1"/>
      <c r="VEQ1632" s="1"/>
      <c r="VER1632" s="1"/>
      <c r="VES1632" s="1"/>
      <c r="VET1632" s="1"/>
      <c r="VEU1632" s="1"/>
      <c r="VEV1632" s="1"/>
      <c r="VEW1632" s="1"/>
      <c r="VEX1632" s="1"/>
      <c r="VEY1632" s="1"/>
      <c r="VEZ1632" s="1"/>
      <c r="VFA1632" s="1"/>
      <c r="VFB1632" s="1"/>
      <c r="VFC1632" s="1"/>
      <c r="VFD1632" s="1"/>
      <c r="VFE1632" s="1"/>
      <c r="VFF1632" s="1"/>
      <c r="VFG1632" s="1"/>
      <c r="VFH1632" s="1"/>
      <c r="VFI1632" s="1"/>
      <c r="VFJ1632" s="1"/>
      <c r="VFK1632" s="1"/>
      <c r="VFL1632" s="1"/>
      <c r="VFM1632" s="1"/>
      <c r="VFN1632" s="1"/>
      <c r="VFO1632" s="1"/>
      <c r="VFP1632" s="1"/>
      <c r="VFQ1632" s="1"/>
      <c r="VFR1632" s="1"/>
      <c r="VFS1632" s="1"/>
      <c r="VFT1632" s="1"/>
      <c r="VFU1632" s="1"/>
      <c r="VFV1632" s="1"/>
      <c r="VFW1632" s="1"/>
      <c r="VFX1632" s="1"/>
      <c r="VFY1632" s="1"/>
      <c r="VFZ1632" s="1"/>
      <c r="VGA1632" s="1"/>
      <c r="VGB1632" s="1"/>
      <c r="VGC1632" s="1"/>
      <c r="VGD1632" s="1"/>
      <c r="VGE1632" s="1"/>
      <c r="VGF1632" s="1"/>
      <c r="VGG1632" s="1"/>
      <c r="VGH1632" s="1"/>
      <c r="VGI1632" s="1"/>
      <c r="VGJ1632" s="1"/>
      <c r="VGK1632" s="1"/>
      <c r="VGL1632" s="1"/>
      <c r="VGM1632" s="1"/>
      <c r="VGN1632" s="1"/>
      <c r="VGO1632" s="1"/>
      <c r="VGP1632" s="1"/>
      <c r="VGQ1632" s="1"/>
      <c r="VGR1632" s="1"/>
      <c r="VGS1632" s="1"/>
      <c r="VGT1632" s="1"/>
      <c r="VGU1632" s="1"/>
      <c r="VGV1632" s="1"/>
      <c r="VGW1632" s="1"/>
      <c r="VGX1632" s="1"/>
      <c r="VGY1632" s="1"/>
      <c r="VGZ1632" s="1"/>
      <c r="VHA1632" s="1"/>
      <c r="VHB1632" s="1"/>
      <c r="VHC1632" s="1"/>
      <c r="VHD1632" s="1"/>
      <c r="VHE1632" s="1"/>
      <c r="VHF1632" s="1"/>
      <c r="VHG1632" s="1"/>
      <c r="VHH1632" s="1"/>
      <c r="VHI1632" s="1"/>
      <c r="VHJ1632" s="1"/>
      <c r="VHK1632" s="1"/>
      <c r="VHL1632" s="1"/>
      <c r="VHM1632" s="1"/>
      <c r="VHN1632" s="1"/>
      <c r="VHO1632" s="1"/>
      <c r="VHP1632" s="1"/>
      <c r="VHQ1632" s="1"/>
      <c r="VHR1632" s="1"/>
      <c r="VHS1632" s="1"/>
      <c r="VHT1632" s="1"/>
      <c r="VHU1632" s="1"/>
      <c r="VHV1632" s="1"/>
      <c r="VHW1632" s="1"/>
      <c r="VHX1632" s="1"/>
      <c r="VHY1632" s="1"/>
      <c r="VHZ1632" s="1"/>
      <c r="VIA1632" s="1"/>
      <c r="VIB1632" s="1"/>
      <c r="VIC1632" s="1"/>
      <c r="VID1632" s="1"/>
      <c r="VIE1632" s="1"/>
      <c r="VIF1632" s="1"/>
      <c r="VIG1632" s="1"/>
      <c r="VIH1632" s="1"/>
      <c r="VII1632" s="1"/>
      <c r="VIJ1632" s="1"/>
      <c r="VIK1632" s="1"/>
      <c r="VIL1632" s="1"/>
      <c r="VIM1632" s="1"/>
      <c r="VIN1632" s="1"/>
      <c r="VIO1632" s="1"/>
      <c r="VIP1632" s="1"/>
      <c r="VIQ1632" s="1"/>
      <c r="VIR1632" s="1"/>
      <c r="VIS1632" s="1"/>
      <c r="VIT1632" s="1"/>
      <c r="VIU1632" s="1"/>
      <c r="VIV1632" s="1"/>
      <c r="VIW1632" s="1"/>
      <c r="VIX1632" s="1"/>
      <c r="VIY1632" s="1"/>
      <c r="VIZ1632" s="1"/>
      <c r="VJA1632" s="1"/>
      <c r="VJB1632" s="1"/>
      <c r="VJC1632" s="1"/>
      <c r="VJD1632" s="1"/>
      <c r="VJE1632" s="1"/>
      <c r="VJF1632" s="1"/>
      <c r="VJG1632" s="1"/>
      <c r="VJH1632" s="1"/>
      <c r="VJI1632" s="1"/>
      <c r="VJJ1632" s="1"/>
      <c r="VJK1632" s="1"/>
      <c r="VJL1632" s="1"/>
      <c r="VJM1632" s="1"/>
      <c r="VJN1632" s="1"/>
      <c r="VJO1632" s="1"/>
      <c r="VJP1632" s="1"/>
      <c r="VJQ1632" s="1"/>
      <c r="VJR1632" s="1"/>
      <c r="VJS1632" s="1"/>
      <c r="VJT1632" s="1"/>
      <c r="VJU1632" s="1"/>
      <c r="VJV1632" s="1"/>
      <c r="VJW1632" s="1"/>
      <c r="VJX1632" s="1"/>
      <c r="VJY1632" s="1"/>
      <c r="VJZ1632" s="1"/>
      <c r="VKA1632" s="1"/>
      <c r="VKB1632" s="1"/>
      <c r="VKC1632" s="1"/>
      <c r="VKD1632" s="1"/>
      <c r="VKE1632" s="1"/>
      <c r="VKF1632" s="1"/>
      <c r="VKG1632" s="1"/>
      <c r="VKH1632" s="1"/>
      <c r="VKI1632" s="1"/>
      <c r="VKJ1632" s="1"/>
      <c r="VKK1632" s="1"/>
      <c r="VKL1632" s="1"/>
      <c r="VKM1632" s="1"/>
      <c r="VKN1632" s="1"/>
      <c r="VKO1632" s="1"/>
      <c r="VKP1632" s="1"/>
      <c r="VKQ1632" s="1"/>
      <c r="VKR1632" s="1"/>
      <c r="VKS1632" s="1"/>
      <c r="VKT1632" s="1"/>
      <c r="VKU1632" s="1"/>
      <c r="VKV1632" s="1"/>
      <c r="VKW1632" s="1"/>
      <c r="VKX1632" s="1"/>
      <c r="VKY1632" s="1"/>
      <c r="VKZ1632" s="1"/>
      <c r="VLA1632" s="1"/>
      <c r="VLB1632" s="1"/>
      <c r="VLC1632" s="1"/>
      <c r="VLD1632" s="1"/>
      <c r="VLE1632" s="1"/>
      <c r="VLF1632" s="1"/>
      <c r="VLG1632" s="1"/>
      <c r="VLH1632" s="1"/>
      <c r="VLI1632" s="1"/>
      <c r="VLJ1632" s="1"/>
      <c r="VLK1632" s="1"/>
      <c r="VLL1632" s="1"/>
      <c r="VLM1632" s="1"/>
      <c r="VLN1632" s="1"/>
      <c r="VLO1632" s="1"/>
      <c r="VLP1632" s="1"/>
      <c r="VLQ1632" s="1"/>
      <c r="VLR1632" s="1"/>
      <c r="VLS1632" s="1"/>
      <c r="VLT1632" s="1"/>
      <c r="VLU1632" s="1"/>
      <c r="VLV1632" s="1"/>
      <c r="VLW1632" s="1"/>
      <c r="VLX1632" s="1"/>
      <c r="VLY1632" s="1"/>
      <c r="VLZ1632" s="1"/>
      <c r="VMA1632" s="1"/>
      <c r="VMB1632" s="1"/>
      <c r="VMC1632" s="1"/>
      <c r="VMD1632" s="1"/>
      <c r="VME1632" s="1"/>
      <c r="VMF1632" s="1"/>
      <c r="VMG1632" s="1"/>
      <c r="VMH1632" s="1"/>
      <c r="VMI1632" s="1"/>
      <c r="VMJ1632" s="1"/>
      <c r="VMK1632" s="1"/>
      <c r="VML1632" s="1"/>
      <c r="VMM1632" s="1"/>
      <c r="VMN1632" s="1"/>
      <c r="VMO1632" s="1"/>
      <c r="VMP1632" s="1"/>
      <c r="VMQ1632" s="1"/>
      <c r="VMR1632" s="1"/>
      <c r="VMS1632" s="1"/>
      <c r="VMT1632" s="1"/>
      <c r="VMU1632" s="1"/>
      <c r="VMV1632" s="1"/>
      <c r="VMW1632" s="1"/>
      <c r="VMX1632" s="1"/>
      <c r="VMY1632" s="1"/>
      <c r="VMZ1632" s="1"/>
      <c r="VNA1632" s="1"/>
      <c r="VNB1632" s="1"/>
      <c r="VNC1632" s="1"/>
      <c r="VND1632" s="1"/>
      <c r="VNE1632" s="1"/>
      <c r="VNF1632" s="1"/>
      <c r="VNG1632" s="1"/>
      <c r="VNH1632" s="1"/>
      <c r="VNI1632" s="1"/>
      <c r="VNJ1632" s="1"/>
      <c r="VNK1632" s="1"/>
      <c r="VNL1632" s="1"/>
      <c r="VNM1632" s="1"/>
      <c r="VNN1632" s="1"/>
      <c r="VNO1632" s="1"/>
      <c r="VNP1632" s="1"/>
      <c r="VNQ1632" s="1"/>
      <c r="VNR1632" s="1"/>
      <c r="VNS1632" s="1"/>
      <c r="VNT1632" s="1"/>
      <c r="VNU1632" s="1"/>
      <c r="VNV1632" s="1"/>
      <c r="VNW1632" s="1"/>
      <c r="VNX1632" s="1"/>
      <c r="VNY1632" s="1"/>
      <c r="VNZ1632" s="1"/>
      <c r="VOA1632" s="1"/>
      <c r="VOB1632" s="1"/>
      <c r="VOC1632" s="1"/>
      <c r="VOD1632" s="1"/>
      <c r="VOE1632" s="1"/>
      <c r="VOF1632" s="1"/>
      <c r="VOG1632" s="1"/>
      <c r="VOH1632" s="1"/>
      <c r="VOI1632" s="1"/>
      <c r="VOJ1632" s="1"/>
      <c r="VOK1632" s="1"/>
      <c r="VOL1632" s="1"/>
      <c r="VOM1632" s="1"/>
      <c r="VON1632" s="1"/>
      <c r="VOO1632" s="1"/>
      <c r="VOP1632" s="1"/>
      <c r="VOQ1632" s="1"/>
      <c r="VOR1632" s="1"/>
      <c r="VOS1632" s="1"/>
      <c r="VOT1632" s="1"/>
      <c r="VOU1632" s="1"/>
      <c r="VOV1632" s="1"/>
      <c r="VOW1632" s="1"/>
      <c r="VOX1632" s="1"/>
      <c r="VOY1632" s="1"/>
      <c r="VOZ1632" s="1"/>
      <c r="VPA1632" s="1"/>
      <c r="VPB1632" s="1"/>
      <c r="VPC1632" s="1"/>
      <c r="VPD1632" s="1"/>
      <c r="VPE1632" s="1"/>
      <c r="VPF1632" s="1"/>
      <c r="VPG1632" s="1"/>
      <c r="VPH1632" s="1"/>
      <c r="VPI1632" s="1"/>
      <c r="VPJ1632" s="1"/>
      <c r="VPK1632" s="1"/>
      <c r="VPL1632" s="1"/>
      <c r="VPM1632" s="1"/>
      <c r="VPN1632" s="1"/>
      <c r="VPO1632" s="1"/>
      <c r="VPP1632" s="1"/>
      <c r="VPQ1632" s="1"/>
      <c r="VPR1632" s="1"/>
      <c r="VPS1632" s="1"/>
      <c r="VPT1632" s="1"/>
      <c r="VPU1632" s="1"/>
      <c r="VPV1632" s="1"/>
      <c r="VPW1632" s="1"/>
      <c r="VPX1632" s="1"/>
      <c r="VPY1632" s="1"/>
      <c r="VPZ1632" s="1"/>
      <c r="VQA1632" s="1"/>
      <c r="VQB1632" s="1"/>
      <c r="VQC1632" s="1"/>
      <c r="VQD1632" s="1"/>
      <c r="VQE1632" s="1"/>
      <c r="VQF1632" s="1"/>
      <c r="VQG1632" s="1"/>
      <c r="VQH1632" s="1"/>
      <c r="VQI1632" s="1"/>
      <c r="VQJ1632" s="1"/>
      <c r="VQK1632" s="1"/>
      <c r="VQL1632" s="1"/>
      <c r="VQM1632" s="1"/>
      <c r="VQN1632" s="1"/>
      <c r="VQO1632" s="1"/>
      <c r="VQP1632" s="1"/>
      <c r="VQQ1632" s="1"/>
      <c r="VQR1632" s="1"/>
      <c r="VQS1632" s="1"/>
      <c r="VQT1632" s="1"/>
      <c r="VQU1632" s="1"/>
      <c r="VQV1632" s="1"/>
      <c r="VQW1632" s="1"/>
      <c r="VQX1632" s="1"/>
      <c r="VQY1632" s="1"/>
      <c r="VQZ1632" s="1"/>
      <c r="VRA1632" s="1"/>
      <c r="VRB1632" s="1"/>
      <c r="VRC1632" s="1"/>
      <c r="VRD1632" s="1"/>
      <c r="VRE1632" s="1"/>
      <c r="VRF1632" s="1"/>
      <c r="VRG1632" s="1"/>
      <c r="VRH1632" s="1"/>
      <c r="VRI1632" s="1"/>
      <c r="VRJ1632" s="1"/>
      <c r="VRK1632" s="1"/>
      <c r="VRL1632" s="1"/>
      <c r="VRM1632" s="1"/>
      <c r="VRN1632" s="1"/>
      <c r="VRO1632" s="1"/>
      <c r="VRP1632" s="1"/>
      <c r="VRQ1632" s="1"/>
      <c r="VRR1632" s="1"/>
      <c r="VRS1632" s="1"/>
      <c r="VRT1632" s="1"/>
      <c r="VRU1632" s="1"/>
      <c r="VRV1632" s="1"/>
      <c r="VRW1632" s="1"/>
      <c r="VRX1632" s="1"/>
      <c r="VRY1632" s="1"/>
      <c r="VRZ1632" s="1"/>
      <c r="VSA1632" s="1"/>
      <c r="VSB1632" s="1"/>
      <c r="VSC1632" s="1"/>
      <c r="VSD1632" s="1"/>
      <c r="VSE1632" s="1"/>
      <c r="VSF1632" s="1"/>
      <c r="VSG1632" s="1"/>
      <c r="VSH1632" s="1"/>
      <c r="VSI1632" s="1"/>
      <c r="VSJ1632" s="1"/>
      <c r="VSK1632" s="1"/>
      <c r="VSL1632" s="1"/>
      <c r="VSM1632" s="1"/>
      <c r="VSN1632" s="1"/>
      <c r="VSO1632" s="1"/>
      <c r="VSP1632" s="1"/>
      <c r="VSQ1632" s="1"/>
      <c r="VSR1632" s="1"/>
      <c r="VSS1632" s="1"/>
      <c r="VST1632" s="1"/>
      <c r="VSU1632" s="1"/>
      <c r="VSV1632" s="1"/>
      <c r="VSW1632" s="1"/>
      <c r="VSX1632" s="1"/>
      <c r="VSY1632" s="1"/>
      <c r="VSZ1632" s="1"/>
      <c r="VTA1632" s="1"/>
      <c r="VTB1632" s="1"/>
      <c r="VTC1632" s="1"/>
      <c r="VTD1632" s="1"/>
      <c r="VTE1632" s="1"/>
      <c r="VTF1632" s="1"/>
      <c r="VTG1632" s="1"/>
      <c r="VTH1632" s="1"/>
      <c r="VTI1632" s="1"/>
      <c r="VTJ1632" s="1"/>
      <c r="VTK1632" s="1"/>
      <c r="VTL1632" s="1"/>
      <c r="VTM1632" s="1"/>
      <c r="VTN1632" s="1"/>
      <c r="VTO1632" s="1"/>
      <c r="VTP1632" s="1"/>
      <c r="VTQ1632" s="1"/>
      <c r="VTR1632" s="1"/>
      <c r="VTS1632" s="1"/>
      <c r="VTT1632" s="1"/>
      <c r="VTU1632" s="1"/>
      <c r="VTV1632" s="1"/>
      <c r="VTW1632" s="1"/>
      <c r="VTX1632" s="1"/>
      <c r="VTY1632" s="1"/>
      <c r="VTZ1632" s="1"/>
      <c r="VUA1632" s="1"/>
      <c r="VUB1632" s="1"/>
      <c r="VUC1632" s="1"/>
      <c r="VUD1632" s="1"/>
      <c r="VUE1632" s="1"/>
      <c r="VUF1632" s="1"/>
      <c r="VUG1632" s="1"/>
      <c r="VUH1632" s="1"/>
      <c r="VUI1632" s="1"/>
      <c r="VUJ1632" s="1"/>
      <c r="VUK1632" s="1"/>
      <c r="VUL1632" s="1"/>
      <c r="VUM1632" s="1"/>
      <c r="VUN1632" s="1"/>
      <c r="VUO1632" s="1"/>
      <c r="VUP1632" s="1"/>
      <c r="VUQ1632" s="1"/>
      <c r="VUR1632" s="1"/>
      <c r="VUS1632" s="1"/>
      <c r="VUT1632" s="1"/>
      <c r="VUU1632" s="1"/>
      <c r="VUV1632" s="1"/>
      <c r="VUW1632" s="1"/>
      <c r="VUX1632" s="1"/>
      <c r="VUY1632" s="1"/>
      <c r="VUZ1632" s="1"/>
      <c r="VVA1632" s="1"/>
      <c r="VVB1632" s="1"/>
      <c r="VVC1632" s="1"/>
      <c r="VVD1632" s="1"/>
      <c r="VVE1632" s="1"/>
      <c r="VVF1632" s="1"/>
      <c r="VVG1632" s="1"/>
      <c r="VVH1632" s="1"/>
      <c r="VVI1632" s="1"/>
      <c r="VVJ1632" s="1"/>
      <c r="VVK1632" s="1"/>
      <c r="VVL1632" s="1"/>
      <c r="VVM1632" s="1"/>
      <c r="VVN1632" s="1"/>
      <c r="VVO1632" s="1"/>
      <c r="VVP1632" s="1"/>
      <c r="VVQ1632" s="1"/>
      <c r="VVR1632" s="1"/>
      <c r="VVS1632" s="1"/>
      <c r="VVT1632" s="1"/>
      <c r="VVU1632" s="1"/>
      <c r="VVV1632" s="1"/>
      <c r="VVW1632" s="1"/>
      <c r="VVX1632" s="1"/>
      <c r="VVY1632" s="1"/>
      <c r="VVZ1632" s="1"/>
      <c r="VWA1632" s="1"/>
      <c r="VWB1632" s="1"/>
      <c r="VWC1632" s="1"/>
      <c r="VWD1632" s="1"/>
      <c r="VWE1632" s="1"/>
      <c r="VWF1632" s="1"/>
      <c r="VWG1632" s="1"/>
      <c r="VWH1632" s="1"/>
      <c r="VWI1632" s="1"/>
      <c r="VWJ1632" s="1"/>
      <c r="VWK1632" s="1"/>
      <c r="VWL1632" s="1"/>
      <c r="VWM1632" s="1"/>
      <c r="VWN1632" s="1"/>
      <c r="VWO1632" s="1"/>
      <c r="VWP1632" s="1"/>
      <c r="VWQ1632" s="1"/>
      <c r="VWR1632" s="1"/>
      <c r="VWS1632" s="1"/>
      <c r="VWT1632" s="1"/>
      <c r="VWU1632" s="1"/>
      <c r="VWV1632" s="1"/>
      <c r="VWW1632" s="1"/>
      <c r="VWX1632" s="1"/>
      <c r="VWY1632" s="1"/>
      <c r="VWZ1632" s="1"/>
      <c r="VXA1632" s="1"/>
      <c r="VXB1632" s="1"/>
      <c r="VXC1632" s="1"/>
      <c r="VXD1632" s="1"/>
      <c r="VXE1632" s="1"/>
      <c r="VXF1632" s="1"/>
      <c r="VXG1632" s="1"/>
      <c r="VXH1632" s="1"/>
      <c r="VXI1632" s="1"/>
      <c r="VXJ1632" s="1"/>
      <c r="VXK1632" s="1"/>
      <c r="VXL1632" s="1"/>
      <c r="VXM1632" s="1"/>
      <c r="VXN1632" s="1"/>
      <c r="VXO1632" s="1"/>
      <c r="VXP1632" s="1"/>
      <c r="VXQ1632" s="1"/>
      <c r="VXR1632" s="1"/>
      <c r="VXS1632" s="1"/>
      <c r="VXT1632" s="1"/>
      <c r="VXU1632" s="1"/>
      <c r="VXV1632" s="1"/>
      <c r="VXW1632" s="1"/>
      <c r="VXX1632" s="1"/>
      <c r="VXY1632" s="1"/>
      <c r="VXZ1632" s="1"/>
      <c r="VYA1632" s="1"/>
      <c r="VYB1632" s="1"/>
      <c r="VYC1632" s="1"/>
      <c r="VYD1632" s="1"/>
      <c r="VYE1632" s="1"/>
      <c r="VYF1632" s="1"/>
      <c r="VYG1632" s="1"/>
      <c r="VYH1632" s="1"/>
      <c r="VYI1632" s="1"/>
      <c r="VYJ1632" s="1"/>
      <c r="VYK1632" s="1"/>
      <c r="VYL1632" s="1"/>
      <c r="VYM1632" s="1"/>
      <c r="VYN1632" s="1"/>
      <c r="VYO1632" s="1"/>
      <c r="VYP1632" s="1"/>
      <c r="VYQ1632" s="1"/>
      <c r="VYR1632" s="1"/>
      <c r="VYS1632" s="1"/>
      <c r="VYT1632" s="1"/>
      <c r="VYU1632" s="1"/>
      <c r="VYV1632" s="1"/>
      <c r="VYW1632" s="1"/>
      <c r="VYX1632" s="1"/>
      <c r="VYY1632" s="1"/>
      <c r="VYZ1632" s="1"/>
      <c r="VZA1632" s="1"/>
      <c r="VZB1632" s="1"/>
      <c r="VZC1632" s="1"/>
      <c r="VZD1632" s="1"/>
      <c r="VZE1632" s="1"/>
      <c r="VZF1632" s="1"/>
      <c r="VZG1632" s="1"/>
      <c r="VZH1632" s="1"/>
      <c r="VZI1632" s="1"/>
      <c r="VZJ1632" s="1"/>
      <c r="VZK1632" s="1"/>
      <c r="VZL1632" s="1"/>
      <c r="VZM1632" s="1"/>
      <c r="VZN1632" s="1"/>
      <c r="VZO1632" s="1"/>
      <c r="VZP1632" s="1"/>
      <c r="VZQ1632" s="1"/>
      <c r="VZR1632" s="1"/>
      <c r="VZS1632" s="1"/>
      <c r="VZT1632" s="1"/>
      <c r="VZU1632" s="1"/>
      <c r="VZV1632" s="1"/>
      <c r="VZW1632" s="1"/>
      <c r="VZX1632" s="1"/>
      <c r="VZY1632" s="1"/>
      <c r="VZZ1632" s="1"/>
      <c r="WAA1632" s="1"/>
      <c r="WAB1632" s="1"/>
      <c r="WAC1632" s="1"/>
      <c r="WAD1632" s="1"/>
      <c r="WAE1632" s="1"/>
      <c r="WAF1632" s="1"/>
      <c r="WAG1632" s="1"/>
      <c r="WAH1632" s="1"/>
      <c r="WAI1632" s="1"/>
      <c r="WAJ1632" s="1"/>
      <c r="WAK1632" s="1"/>
      <c r="WAL1632" s="1"/>
      <c r="WAM1632" s="1"/>
      <c r="WAN1632" s="1"/>
      <c r="WAO1632" s="1"/>
      <c r="WAP1632" s="1"/>
      <c r="WAQ1632" s="1"/>
      <c r="WAR1632" s="1"/>
      <c r="WAS1632" s="1"/>
      <c r="WAT1632" s="1"/>
      <c r="WAU1632" s="1"/>
      <c r="WAV1632" s="1"/>
      <c r="WAW1632" s="1"/>
      <c r="WAX1632" s="1"/>
      <c r="WAY1632" s="1"/>
      <c r="WAZ1632" s="1"/>
      <c r="WBA1632" s="1"/>
      <c r="WBB1632" s="1"/>
      <c r="WBC1632" s="1"/>
      <c r="WBD1632" s="1"/>
      <c r="WBE1632" s="1"/>
      <c r="WBF1632" s="1"/>
      <c r="WBG1632" s="1"/>
      <c r="WBH1632" s="1"/>
      <c r="WBI1632" s="1"/>
      <c r="WBJ1632" s="1"/>
      <c r="WBK1632" s="1"/>
      <c r="WBL1632" s="1"/>
      <c r="WBM1632" s="1"/>
      <c r="WBN1632" s="1"/>
      <c r="WBO1632" s="1"/>
      <c r="WBP1632" s="1"/>
      <c r="WBQ1632" s="1"/>
      <c r="WBR1632" s="1"/>
      <c r="WBS1632" s="1"/>
      <c r="WBT1632" s="1"/>
      <c r="WBU1632" s="1"/>
      <c r="WBV1632" s="1"/>
      <c r="WBW1632" s="1"/>
      <c r="WBX1632" s="1"/>
      <c r="WBY1632" s="1"/>
      <c r="WBZ1632" s="1"/>
      <c r="WCA1632" s="1"/>
      <c r="WCB1632" s="1"/>
      <c r="WCC1632" s="1"/>
      <c r="WCD1632" s="1"/>
      <c r="WCE1632" s="1"/>
      <c r="WCF1632" s="1"/>
      <c r="WCG1632" s="1"/>
      <c r="WCH1632" s="1"/>
      <c r="WCI1632" s="1"/>
      <c r="WCJ1632" s="1"/>
      <c r="WCK1632" s="1"/>
      <c r="WCL1632" s="1"/>
      <c r="WCM1632" s="1"/>
      <c r="WCN1632" s="1"/>
      <c r="WCO1632" s="1"/>
      <c r="WCP1632" s="1"/>
      <c r="WCQ1632" s="1"/>
      <c r="WCR1632" s="1"/>
      <c r="WCS1632" s="1"/>
      <c r="WCT1632" s="1"/>
      <c r="WCU1632" s="1"/>
      <c r="WCV1632" s="1"/>
      <c r="WCW1632" s="1"/>
      <c r="WCX1632" s="1"/>
      <c r="WCY1632" s="1"/>
      <c r="WCZ1632" s="1"/>
      <c r="WDA1632" s="1"/>
      <c r="WDB1632" s="1"/>
      <c r="WDC1632" s="1"/>
      <c r="WDD1632" s="1"/>
      <c r="WDE1632" s="1"/>
      <c r="WDF1632" s="1"/>
      <c r="WDG1632" s="1"/>
      <c r="WDH1632" s="1"/>
      <c r="WDI1632" s="1"/>
      <c r="WDJ1632" s="1"/>
      <c r="WDK1632" s="1"/>
      <c r="WDL1632" s="1"/>
      <c r="WDM1632" s="1"/>
      <c r="WDN1632" s="1"/>
      <c r="WDO1632" s="1"/>
      <c r="WDP1632" s="1"/>
      <c r="WDQ1632" s="1"/>
      <c r="WDR1632" s="1"/>
      <c r="WDS1632" s="1"/>
      <c r="WDT1632" s="1"/>
      <c r="WDU1632" s="1"/>
      <c r="WDV1632" s="1"/>
      <c r="WDW1632" s="1"/>
      <c r="WDX1632" s="1"/>
      <c r="WDY1632" s="1"/>
      <c r="WDZ1632" s="1"/>
      <c r="WEA1632" s="1"/>
      <c r="WEB1632" s="1"/>
      <c r="WEC1632" s="1"/>
      <c r="WED1632" s="1"/>
      <c r="WEE1632" s="1"/>
      <c r="WEF1632" s="1"/>
      <c r="WEG1632" s="1"/>
      <c r="WEH1632" s="1"/>
      <c r="WEI1632" s="1"/>
      <c r="WEJ1632" s="1"/>
      <c r="WEK1632" s="1"/>
      <c r="WEL1632" s="1"/>
      <c r="WEM1632" s="1"/>
      <c r="WEN1632" s="1"/>
      <c r="WEO1632" s="1"/>
      <c r="WEP1632" s="1"/>
      <c r="WEQ1632" s="1"/>
      <c r="WER1632" s="1"/>
      <c r="WES1632" s="1"/>
      <c r="WET1632" s="1"/>
      <c r="WEU1632" s="1"/>
      <c r="WEV1632" s="1"/>
      <c r="WEW1632" s="1"/>
      <c r="WEX1632" s="1"/>
      <c r="WEY1632" s="1"/>
      <c r="WEZ1632" s="1"/>
      <c r="WFA1632" s="1"/>
      <c r="WFB1632" s="1"/>
      <c r="WFC1632" s="1"/>
      <c r="WFD1632" s="1"/>
      <c r="WFE1632" s="1"/>
      <c r="WFF1632" s="1"/>
      <c r="WFG1632" s="1"/>
      <c r="WFH1632" s="1"/>
      <c r="WFI1632" s="1"/>
      <c r="WFJ1632" s="1"/>
      <c r="WFK1632" s="1"/>
      <c r="WFL1632" s="1"/>
      <c r="WFM1632" s="1"/>
      <c r="WFN1632" s="1"/>
      <c r="WFO1632" s="1"/>
      <c r="WFP1632" s="1"/>
      <c r="WFQ1632" s="1"/>
      <c r="WFR1632" s="1"/>
      <c r="WFS1632" s="1"/>
      <c r="WFT1632" s="1"/>
      <c r="WFU1632" s="1"/>
      <c r="WFV1632" s="1"/>
      <c r="WFW1632" s="1"/>
      <c r="WFX1632" s="1"/>
      <c r="WFY1632" s="1"/>
      <c r="WFZ1632" s="1"/>
      <c r="WGA1632" s="1"/>
      <c r="WGB1632" s="1"/>
      <c r="WGC1632" s="1"/>
      <c r="WGD1632" s="1"/>
      <c r="WGE1632" s="1"/>
      <c r="WGF1632" s="1"/>
      <c r="WGG1632" s="1"/>
      <c r="WGH1632" s="1"/>
      <c r="WGI1632" s="1"/>
      <c r="WGJ1632" s="1"/>
      <c r="WGK1632" s="1"/>
      <c r="WGL1632" s="1"/>
      <c r="WGM1632" s="1"/>
      <c r="WGN1632" s="1"/>
      <c r="WGO1632" s="1"/>
      <c r="WGP1632" s="1"/>
      <c r="WGQ1632" s="1"/>
      <c r="WGR1632" s="1"/>
      <c r="WGS1632" s="1"/>
      <c r="WGT1632" s="1"/>
      <c r="WGU1632" s="1"/>
      <c r="WGV1632" s="1"/>
      <c r="WGW1632" s="1"/>
      <c r="WGX1632" s="1"/>
      <c r="WGY1632" s="1"/>
      <c r="WGZ1632" s="1"/>
      <c r="WHA1632" s="1"/>
      <c r="WHB1632" s="1"/>
      <c r="WHC1632" s="1"/>
      <c r="WHD1632" s="1"/>
      <c r="WHE1632" s="1"/>
      <c r="WHF1632" s="1"/>
      <c r="WHG1632" s="1"/>
      <c r="WHH1632" s="1"/>
      <c r="WHI1632" s="1"/>
      <c r="WHJ1632" s="1"/>
      <c r="WHK1632" s="1"/>
      <c r="WHL1632" s="1"/>
      <c r="WHM1632" s="1"/>
      <c r="WHN1632" s="1"/>
      <c r="WHO1632" s="1"/>
      <c r="WHP1632" s="1"/>
      <c r="WHQ1632" s="1"/>
      <c r="WHR1632" s="1"/>
      <c r="WHS1632" s="1"/>
      <c r="WHT1632" s="1"/>
      <c r="WHU1632" s="1"/>
      <c r="WHV1632" s="1"/>
      <c r="WHW1632" s="1"/>
      <c r="WHX1632" s="1"/>
      <c r="WHY1632" s="1"/>
      <c r="WHZ1632" s="1"/>
      <c r="WIA1632" s="1"/>
      <c r="WIB1632" s="1"/>
      <c r="WIC1632" s="1"/>
      <c r="WID1632" s="1"/>
      <c r="WIE1632" s="1"/>
      <c r="WIF1632" s="1"/>
      <c r="WIG1632" s="1"/>
      <c r="WIH1632" s="1"/>
      <c r="WII1632" s="1"/>
      <c r="WIJ1632" s="1"/>
      <c r="WIK1632" s="1"/>
      <c r="WIL1632" s="1"/>
      <c r="WIM1632" s="1"/>
      <c r="WIN1632" s="1"/>
      <c r="WIO1632" s="1"/>
      <c r="WIP1632" s="1"/>
      <c r="WIQ1632" s="1"/>
      <c r="WIR1632" s="1"/>
      <c r="WIS1632" s="1"/>
      <c r="WIT1632" s="1"/>
      <c r="WIU1632" s="1"/>
      <c r="WIV1632" s="1"/>
      <c r="WIW1632" s="1"/>
      <c r="WIX1632" s="1"/>
      <c r="WIY1632" s="1"/>
      <c r="WIZ1632" s="1"/>
      <c r="WJA1632" s="1"/>
      <c r="WJB1632" s="1"/>
      <c r="WJC1632" s="1"/>
      <c r="WJD1632" s="1"/>
      <c r="WJE1632" s="1"/>
      <c r="WJF1632" s="1"/>
      <c r="WJG1632" s="1"/>
      <c r="WJH1632" s="1"/>
      <c r="WJI1632" s="1"/>
      <c r="WJJ1632" s="1"/>
      <c r="WJK1632" s="1"/>
      <c r="WJL1632" s="1"/>
      <c r="WJM1632" s="1"/>
      <c r="WJN1632" s="1"/>
      <c r="WJO1632" s="1"/>
      <c r="WJP1632" s="1"/>
      <c r="WJQ1632" s="1"/>
      <c r="WJR1632" s="1"/>
      <c r="WJS1632" s="1"/>
      <c r="WJT1632" s="1"/>
      <c r="WJU1632" s="1"/>
      <c r="WJV1632" s="1"/>
      <c r="WJW1632" s="1"/>
      <c r="WJX1632" s="1"/>
      <c r="WJY1632" s="1"/>
      <c r="WJZ1632" s="1"/>
      <c r="WKA1632" s="1"/>
      <c r="WKB1632" s="1"/>
      <c r="WKC1632" s="1"/>
      <c r="WKD1632" s="1"/>
      <c r="WKE1632" s="1"/>
      <c r="WKF1632" s="1"/>
      <c r="WKG1632" s="1"/>
      <c r="WKH1632" s="1"/>
      <c r="WKI1632" s="1"/>
      <c r="WKJ1632" s="1"/>
      <c r="WKK1632" s="1"/>
      <c r="WKL1632" s="1"/>
      <c r="WKM1632" s="1"/>
      <c r="WKN1632" s="1"/>
      <c r="WKO1632" s="1"/>
      <c r="WKP1632" s="1"/>
      <c r="WKQ1632" s="1"/>
      <c r="WKR1632" s="1"/>
      <c r="WKS1632" s="1"/>
      <c r="WKT1632" s="1"/>
      <c r="WKU1632" s="1"/>
      <c r="WKV1632" s="1"/>
      <c r="WKW1632" s="1"/>
      <c r="WKX1632" s="1"/>
      <c r="WKY1632" s="1"/>
      <c r="WKZ1632" s="1"/>
      <c r="WLA1632" s="1"/>
      <c r="WLB1632" s="1"/>
      <c r="WLC1632" s="1"/>
      <c r="WLD1632" s="1"/>
      <c r="WLE1632" s="1"/>
      <c r="WLF1632" s="1"/>
      <c r="WLG1632" s="1"/>
      <c r="WLH1632" s="1"/>
      <c r="WLI1632" s="1"/>
      <c r="WLJ1632" s="1"/>
      <c r="WLK1632" s="1"/>
      <c r="WLL1632" s="1"/>
      <c r="WLM1632" s="1"/>
      <c r="WLN1632" s="1"/>
      <c r="WLO1632" s="1"/>
      <c r="WLP1632" s="1"/>
      <c r="WLQ1632" s="1"/>
      <c r="WLR1632" s="1"/>
      <c r="WLS1632" s="1"/>
      <c r="WLT1632" s="1"/>
      <c r="WLU1632" s="1"/>
      <c r="WLV1632" s="1"/>
      <c r="WLW1632" s="1"/>
      <c r="WLX1632" s="1"/>
      <c r="WLY1632" s="1"/>
      <c r="WLZ1632" s="1"/>
      <c r="WMA1632" s="1"/>
      <c r="WMB1632" s="1"/>
      <c r="WMC1632" s="1"/>
      <c r="WMD1632" s="1"/>
      <c r="WME1632" s="1"/>
      <c r="WMF1632" s="1"/>
      <c r="WMG1632" s="1"/>
      <c r="WMH1632" s="1"/>
      <c r="WMI1632" s="1"/>
      <c r="WMJ1632" s="1"/>
      <c r="WMK1632" s="1"/>
      <c r="WML1632" s="1"/>
      <c r="WMM1632" s="1"/>
      <c r="WMN1632" s="1"/>
      <c r="WMO1632" s="1"/>
      <c r="WMP1632" s="1"/>
      <c r="WMQ1632" s="1"/>
      <c r="WMR1632" s="1"/>
      <c r="WMS1632" s="1"/>
      <c r="WMT1632" s="1"/>
      <c r="WMU1632" s="1"/>
      <c r="WMV1632" s="1"/>
      <c r="WMW1632" s="1"/>
      <c r="WMX1632" s="1"/>
      <c r="WMY1632" s="1"/>
      <c r="WMZ1632" s="1"/>
      <c r="WNA1632" s="1"/>
      <c r="WNB1632" s="1"/>
      <c r="WNC1632" s="1"/>
      <c r="WND1632" s="1"/>
      <c r="WNE1632" s="1"/>
      <c r="WNF1632" s="1"/>
      <c r="WNG1632" s="1"/>
      <c r="WNH1632" s="1"/>
      <c r="WNI1632" s="1"/>
      <c r="WNJ1632" s="1"/>
      <c r="WNK1632" s="1"/>
      <c r="WNL1632" s="1"/>
      <c r="WNM1632" s="1"/>
      <c r="WNN1632" s="1"/>
      <c r="WNO1632" s="1"/>
      <c r="WNP1632" s="1"/>
      <c r="WNQ1632" s="1"/>
      <c r="WNR1632" s="1"/>
      <c r="WNS1632" s="1"/>
      <c r="WNT1632" s="1"/>
      <c r="WNU1632" s="1"/>
      <c r="WNV1632" s="1"/>
      <c r="WNW1632" s="1"/>
      <c r="WNX1632" s="1"/>
      <c r="WNY1632" s="1"/>
      <c r="WNZ1632" s="1"/>
      <c r="WOA1632" s="1"/>
      <c r="WOB1632" s="1"/>
      <c r="WOC1632" s="1"/>
      <c r="WOD1632" s="1"/>
      <c r="WOE1632" s="1"/>
      <c r="WOF1632" s="1"/>
      <c r="WOG1632" s="1"/>
      <c r="WOH1632" s="1"/>
      <c r="WOI1632" s="1"/>
      <c r="WOJ1632" s="1"/>
      <c r="WOK1632" s="1"/>
      <c r="WOL1632" s="1"/>
      <c r="WOM1632" s="1"/>
      <c r="WON1632" s="1"/>
      <c r="WOO1632" s="1"/>
      <c r="WOP1632" s="1"/>
      <c r="WOQ1632" s="1"/>
      <c r="WOR1632" s="1"/>
      <c r="WOS1632" s="1"/>
      <c r="WOT1632" s="1"/>
      <c r="WOU1632" s="1"/>
      <c r="WOV1632" s="1"/>
      <c r="WOW1632" s="1"/>
      <c r="WOX1632" s="1"/>
      <c r="WOY1632" s="1"/>
      <c r="WOZ1632" s="1"/>
      <c r="WPA1632" s="1"/>
      <c r="WPB1632" s="1"/>
      <c r="WPC1632" s="1"/>
      <c r="WPD1632" s="1"/>
      <c r="WPE1632" s="1"/>
      <c r="WPF1632" s="1"/>
      <c r="WPG1632" s="1"/>
      <c r="WPH1632" s="1"/>
      <c r="WPI1632" s="1"/>
      <c r="WPJ1632" s="1"/>
      <c r="WPK1632" s="1"/>
      <c r="WPL1632" s="1"/>
      <c r="WPM1632" s="1"/>
      <c r="WPN1632" s="1"/>
      <c r="WPO1632" s="1"/>
      <c r="WPP1632" s="1"/>
      <c r="WPQ1632" s="1"/>
      <c r="WPR1632" s="1"/>
      <c r="WPS1632" s="1"/>
      <c r="WPT1632" s="1"/>
      <c r="WPU1632" s="1"/>
      <c r="WPV1632" s="1"/>
      <c r="WPW1632" s="1"/>
      <c r="WPX1632" s="1"/>
      <c r="WPY1632" s="1"/>
      <c r="WPZ1632" s="1"/>
      <c r="WQA1632" s="1"/>
      <c r="WQB1632" s="1"/>
      <c r="WQC1632" s="1"/>
      <c r="WQD1632" s="1"/>
      <c r="WQE1632" s="1"/>
      <c r="WQF1632" s="1"/>
      <c r="WQG1632" s="1"/>
      <c r="WQH1632" s="1"/>
      <c r="WQI1632" s="1"/>
      <c r="WQJ1632" s="1"/>
      <c r="WQK1632" s="1"/>
      <c r="WQL1632" s="1"/>
      <c r="WQM1632" s="1"/>
      <c r="WQN1632" s="1"/>
      <c r="WQO1632" s="1"/>
      <c r="WQP1632" s="1"/>
      <c r="WQQ1632" s="1"/>
      <c r="WQR1632" s="1"/>
      <c r="WQS1632" s="1"/>
      <c r="WQT1632" s="1"/>
      <c r="WQU1632" s="1"/>
      <c r="WQV1632" s="1"/>
      <c r="WQW1632" s="1"/>
      <c r="WQX1632" s="1"/>
      <c r="WQY1632" s="1"/>
      <c r="WQZ1632" s="1"/>
      <c r="WRA1632" s="1"/>
      <c r="WRB1632" s="1"/>
      <c r="WRC1632" s="1"/>
      <c r="WRD1632" s="1"/>
      <c r="WRE1632" s="1"/>
      <c r="WRF1632" s="1"/>
      <c r="WRG1632" s="1"/>
      <c r="WRH1632" s="1"/>
      <c r="WRI1632" s="1"/>
      <c r="WRJ1632" s="1"/>
      <c r="WRK1632" s="1"/>
      <c r="WRL1632" s="1"/>
      <c r="WRM1632" s="1"/>
      <c r="WRN1632" s="1"/>
      <c r="WRO1632" s="1"/>
      <c r="WRP1632" s="1"/>
      <c r="WRQ1632" s="1"/>
      <c r="WRR1632" s="1"/>
      <c r="WRS1632" s="1"/>
      <c r="WRT1632" s="1"/>
      <c r="WRU1632" s="1"/>
      <c r="WRV1632" s="1"/>
      <c r="WRW1632" s="1"/>
      <c r="WRX1632" s="1"/>
      <c r="WRY1632" s="1"/>
      <c r="WRZ1632" s="1"/>
      <c r="WSA1632" s="1"/>
      <c r="WSB1632" s="1"/>
      <c r="WSC1632" s="1"/>
      <c r="WSD1632" s="1"/>
      <c r="WSE1632" s="1"/>
      <c r="WSF1632" s="1"/>
      <c r="WSG1632" s="1"/>
      <c r="WSH1632" s="1"/>
      <c r="WSI1632" s="1"/>
      <c r="WSJ1632" s="1"/>
      <c r="WSK1632" s="1"/>
      <c r="WSL1632" s="1"/>
      <c r="WSM1632" s="1"/>
      <c r="WSN1632" s="1"/>
      <c r="WSO1632" s="1"/>
      <c r="WSP1632" s="1"/>
      <c r="WSQ1632" s="1"/>
      <c r="WSR1632" s="1"/>
      <c r="WSS1632" s="1"/>
      <c r="WST1632" s="1"/>
      <c r="WSU1632" s="1"/>
      <c r="WSV1632" s="1"/>
      <c r="WSW1632" s="1"/>
      <c r="WSX1632" s="1"/>
      <c r="WSY1632" s="1"/>
      <c r="WSZ1632" s="1"/>
      <c r="WTA1632" s="1"/>
      <c r="WTB1632" s="1"/>
      <c r="WTC1632" s="1"/>
      <c r="WTD1632" s="1"/>
      <c r="WTE1632" s="1"/>
      <c r="WTF1632" s="1"/>
      <c r="WTG1632" s="1"/>
      <c r="WTH1632" s="1"/>
      <c r="WTI1632" s="1"/>
      <c r="WTJ1632" s="1"/>
      <c r="WTK1632" s="1"/>
      <c r="WTL1632" s="1"/>
      <c r="WTM1632" s="1"/>
      <c r="WTN1632" s="1"/>
      <c r="WTO1632" s="1"/>
      <c r="WTP1632" s="1"/>
      <c r="WTQ1632" s="1"/>
      <c r="WTR1632" s="1"/>
      <c r="WTS1632" s="1"/>
      <c r="WTT1632" s="1"/>
      <c r="WTU1632" s="1"/>
      <c r="WTV1632" s="1"/>
      <c r="WTW1632" s="1"/>
      <c r="WTX1632" s="1"/>
      <c r="WTY1632" s="1"/>
      <c r="WTZ1632" s="1"/>
      <c r="WUA1632" s="1"/>
      <c r="WUB1632" s="1"/>
      <c r="WUC1632" s="1"/>
      <c r="WUD1632" s="1"/>
      <c r="WUE1632" s="1"/>
      <c r="WUF1632" s="1"/>
      <c r="WUG1632" s="1"/>
      <c r="WUH1632" s="1"/>
      <c r="WUI1632" s="1"/>
      <c r="WUJ1632" s="1"/>
      <c r="WUK1632" s="1"/>
      <c r="WUL1632" s="1"/>
      <c r="WUM1632" s="1"/>
      <c r="WUN1632" s="1"/>
      <c r="WUO1632" s="1"/>
      <c r="WUP1632" s="1"/>
      <c r="WUQ1632" s="1"/>
      <c r="WUR1632" s="1"/>
      <c r="WUS1632" s="1"/>
      <c r="WUT1632" s="1"/>
      <c r="WUU1632" s="1"/>
      <c r="WUV1632" s="1"/>
      <c r="WUW1632" s="1"/>
      <c r="WUX1632" s="1"/>
      <c r="WUY1632" s="1"/>
      <c r="WUZ1632" s="1"/>
      <c r="WVA1632" s="1"/>
      <c r="WVB1632" s="1"/>
      <c r="WVC1632" s="1"/>
      <c r="WVD1632" s="1"/>
      <c r="WVE1632" s="1"/>
      <c r="WVF1632" s="1"/>
      <c r="WVG1632" s="1"/>
      <c r="WVH1632" s="1"/>
      <c r="WVI1632" s="1"/>
      <c r="WVJ1632" s="1"/>
      <c r="WVK1632" s="1"/>
      <c r="WVL1632" s="1"/>
      <c r="WVM1632" s="1"/>
      <c r="WVN1632" s="1"/>
      <c r="WVO1632" s="1"/>
      <c r="WVP1632" s="1"/>
      <c r="WVQ1632" s="1"/>
      <c r="WVR1632" s="1"/>
      <c r="WVS1632" s="1"/>
      <c r="WVT1632" s="1"/>
      <c r="WVU1632" s="1"/>
      <c r="WVV1632" s="1"/>
      <c r="WVW1632" s="1"/>
      <c r="WVX1632" s="1"/>
      <c r="WVY1632" s="1"/>
      <c r="WVZ1632" s="1"/>
      <c r="WWA1632" s="1"/>
      <c r="WWB1632" s="1"/>
      <c r="WWC1632" s="1"/>
      <c r="WWD1632" s="1"/>
      <c r="WWE1632" s="1"/>
      <c r="WWF1632" s="1"/>
      <c r="WWG1632" s="1"/>
      <c r="WWH1632" s="1"/>
      <c r="WWI1632" s="1"/>
      <c r="WWJ1632" s="1"/>
      <c r="WWK1632" s="1"/>
      <c r="WWL1632" s="1"/>
      <c r="WWM1632" s="1"/>
      <c r="WWN1632" s="1"/>
      <c r="WWO1632" s="1"/>
      <c r="WWP1632" s="1"/>
      <c r="WWQ1632" s="1"/>
      <c r="WWR1632" s="1"/>
      <c r="WWS1632" s="1"/>
      <c r="WWT1632" s="1"/>
      <c r="WWU1632" s="1"/>
      <c r="WWV1632" s="1"/>
      <c r="WWW1632" s="1"/>
      <c r="WWX1632" s="1"/>
      <c r="WWY1632" s="1"/>
      <c r="WWZ1632" s="1"/>
      <c r="WXA1632" s="1"/>
      <c r="WXB1632" s="1"/>
      <c r="WXC1632" s="1"/>
      <c r="WXD1632" s="1"/>
      <c r="WXE1632" s="1"/>
      <c r="WXF1632" s="1"/>
      <c r="WXG1632" s="1"/>
      <c r="WXH1632" s="1"/>
      <c r="WXI1632" s="1"/>
      <c r="WXJ1632" s="1"/>
      <c r="WXK1632" s="1"/>
      <c r="WXL1632" s="1"/>
      <c r="WXM1632" s="1"/>
      <c r="WXN1632" s="1"/>
      <c r="WXO1632" s="1"/>
      <c r="WXP1632" s="1"/>
      <c r="WXQ1632" s="1"/>
      <c r="WXR1632" s="1"/>
      <c r="WXS1632" s="1"/>
      <c r="WXT1632" s="1"/>
      <c r="WXU1632" s="1"/>
      <c r="WXV1632" s="1"/>
      <c r="WXW1632" s="1"/>
      <c r="WXX1632" s="1"/>
      <c r="WXY1632" s="1"/>
      <c r="WXZ1632" s="1"/>
      <c r="WYA1632" s="1"/>
      <c r="WYB1632" s="1"/>
      <c r="WYC1632" s="1"/>
      <c r="WYD1632" s="1"/>
      <c r="WYE1632" s="1"/>
      <c r="WYF1632" s="1"/>
      <c r="WYG1632" s="1"/>
      <c r="WYH1632" s="1"/>
      <c r="WYI1632" s="1"/>
      <c r="WYJ1632" s="1"/>
      <c r="WYK1632" s="1"/>
      <c r="WYL1632" s="1"/>
      <c r="WYM1632" s="1"/>
      <c r="WYN1632" s="1"/>
      <c r="WYO1632" s="1"/>
      <c r="WYP1632" s="1"/>
      <c r="WYQ1632" s="1"/>
      <c r="WYR1632" s="1"/>
      <c r="WYS1632" s="1"/>
      <c r="WYT1632" s="1"/>
      <c r="WYU1632" s="1"/>
      <c r="WYV1632" s="1"/>
      <c r="WYW1632" s="1"/>
      <c r="WYX1632" s="1"/>
      <c r="WYY1632" s="1"/>
      <c r="WYZ1632" s="1"/>
      <c r="WZA1632" s="1"/>
      <c r="WZB1632" s="1"/>
      <c r="WZC1632" s="1"/>
      <c r="WZD1632" s="1"/>
      <c r="WZE1632" s="1"/>
      <c r="WZF1632" s="1"/>
      <c r="WZG1632" s="1"/>
      <c r="WZH1632" s="1"/>
      <c r="WZI1632" s="1"/>
      <c r="WZJ1632" s="1"/>
      <c r="WZK1632" s="1"/>
      <c r="WZL1632" s="1"/>
      <c r="WZM1632" s="1"/>
      <c r="WZN1632" s="1"/>
      <c r="WZO1632" s="1"/>
      <c r="WZP1632" s="1"/>
      <c r="WZQ1632" s="1"/>
      <c r="WZR1632" s="1"/>
      <c r="WZS1632" s="1"/>
      <c r="WZT1632" s="1"/>
      <c r="WZU1632" s="1"/>
      <c r="WZV1632" s="1"/>
      <c r="WZW1632" s="1"/>
      <c r="WZX1632" s="1"/>
      <c r="WZY1632" s="1"/>
      <c r="WZZ1632" s="1"/>
      <c r="XAA1632" s="1"/>
      <c r="XAB1632" s="1"/>
      <c r="XAC1632" s="1"/>
      <c r="XAD1632" s="1"/>
      <c r="XAE1632" s="1"/>
      <c r="XAF1632" s="1"/>
      <c r="XAG1632" s="1"/>
      <c r="XAH1632" s="1"/>
      <c r="XAI1632" s="1"/>
      <c r="XAJ1632" s="1"/>
      <c r="XAK1632" s="1"/>
      <c r="XAL1632" s="1"/>
      <c r="XAM1632" s="1"/>
      <c r="XAN1632" s="1"/>
      <c r="XAO1632" s="1"/>
      <c r="XAP1632" s="1"/>
      <c r="XAQ1632" s="1"/>
      <c r="XAR1632" s="1"/>
      <c r="XAS1632" s="1"/>
      <c r="XAT1632" s="1"/>
      <c r="XAU1632" s="1"/>
      <c r="XAV1632" s="1"/>
      <c r="XAW1632" s="1"/>
      <c r="XAX1632" s="1"/>
      <c r="XAY1632" s="1"/>
      <c r="XAZ1632" s="1"/>
      <c r="XBA1632" s="1"/>
      <c r="XBB1632" s="1"/>
      <c r="XBC1632" s="1"/>
      <c r="XBD1632" s="1"/>
      <c r="XBE1632" s="1"/>
      <c r="XBF1632" s="1"/>
      <c r="XBG1632" s="1"/>
      <c r="XBH1632" s="1"/>
      <c r="XBI1632" s="1"/>
      <c r="XBJ1632" s="1"/>
      <c r="XBK1632" s="1"/>
      <c r="XBL1632" s="1"/>
      <c r="XBM1632" s="1"/>
      <c r="XBN1632" s="1"/>
      <c r="XBO1632" s="1"/>
      <c r="XBP1632" s="1"/>
      <c r="XBQ1632" s="1"/>
      <c r="XBR1632" s="1"/>
      <c r="XBS1632" s="1"/>
      <c r="XBT1632" s="1"/>
      <c r="XBU1632" s="1"/>
      <c r="XBV1632" s="1"/>
      <c r="XBW1632" s="1"/>
      <c r="XBX1632" s="1"/>
      <c r="XBY1632" s="1"/>
      <c r="XBZ1632" s="1"/>
      <c r="XCA1632" s="1"/>
      <c r="XCB1632" s="1"/>
      <c r="XCC1632" s="1"/>
      <c r="XCD1632" s="1"/>
      <c r="XCE1632" s="1"/>
      <c r="XCF1632" s="1"/>
      <c r="XCG1632" s="1"/>
      <c r="XCH1632" s="1"/>
      <c r="XCI1632" s="1"/>
      <c r="XCJ1632" s="1"/>
      <c r="XCK1632" s="1"/>
      <c r="XCL1632" s="1"/>
      <c r="XCM1632" s="1"/>
      <c r="XCN1632" s="1"/>
      <c r="XCO1632" s="1"/>
      <c r="XCP1632" s="1"/>
      <c r="XCQ1632" s="1"/>
      <c r="XCR1632" s="1"/>
      <c r="XCS1632" s="1"/>
      <c r="XCT1632" s="1"/>
      <c r="XCU1632" s="1"/>
      <c r="XCV1632" s="1"/>
      <c r="XCW1632" s="1"/>
      <c r="XCX1632" s="1"/>
      <c r="XCY1632" s="1"/>
      <c r="XCZ1632" s="1"/>
      <c r="XDA1632" s="1"/>
      <c r="XDB1632" s="1"/>
      <c r="XDC1632" s="1"/>
      <c r="XDD1632" s="1"/>
      <c r="XDE1632" s="1"/>
      <c r="XDF1632" s="1"/>
      <c r="XDG1632" s="1"/>
      <c r="XDH1632" s="1"/>
      <c r="XDI1632" s="1"/>
      <c r="XDJ1632" s="1"/>
      <c r="XDK1632" s="1"/>
      <c r="XDL1632" s="1"/>
      <c r="XDM1632" s="1"/>
      <c r="XDN1632" s="1"/>
      <c r="XDO1632" s="1"/>
      <c r="XDP1632" s="1"/>
      <c r="XDQ1632" s="1"/>
      <c r="XDR1632" s="1"/>
      <c r="XDS1632" s="1"/>
    </row>
    <row r="1633" spans="1:16347" s="26" customFormat="1" x14ac:dyDescent="0.25">
      <c r="A1633" s="1" t="s">
        <v>1014</v>
      </c>
      <c r="B1633" s="1" t="s">
        <v>1303</v>
      </c>
      <c r="C1633" s="1">
        <v>586</v>
      </c>
      <c r="D1633" s="1">
        <v>0.5</v>
      </c>
      <c r="E1633" s="3">
        <f t="shared" si="104"/>
        <v>293</v>
      </c>
      <c r="F1633" s="1">
        <f t="shared" si="105"/>
        <v>351.59999999999997</v>
      </c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  <c r="BF1633" s="1"/>
      <c r="BG1633" s="1"/>
      <c r="BH1633" s="1"/>
      <c r="BI1633" s="1"/>
      <c r="BJ1633" s="1"/>
      <c r="BK1633" s="1"/>
      <c r="BL1633" s="1"/>
      <c r="BM1633" s="1"/>
      <c r="BN1633" s="1"/>
      <c r="BO1633" s="1"/>
      <c r="BP1633" s="1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  <c r="CC1633" s="1"/>
      <c r="CD1633" s="1"/>
      <c r="CE1633" s="1"/>
      <c r="CF1633" s="1"/>
      <c r="CG1633" s="1"/>
      <c r="CH1633" s="1"/>
      <c r="CI1633" s="1"/>
      <c r="CJ1633" s="1"/>
      <c r="CK1633" s="1"/>
      <c r="CL1633" s="1"/>
      <c r="CM1633" s="1"/>
      <c r="CN1633" s="1"/>
      <c r="CO1633" s="1"/>
      <c r="CP1633" s="1"/>
      <c r="CQ1633" s="1"/>
      <c r="CR1633" s="1"/>
      <c r="CS1633" s="1"/>
      <c r="CT1633" s="1"/>
      <c r="CU1633" s="1"/>
      <c r="CV1633" s="1"/>
      <c r="CW1633" s="1"/>
      <c r="CX1633" s="1"/>
      <c r="CY1633" s="1"/>
      <c r="CZ1633" s="1"/>
      <c r="DA1633" s="1"/>
      <c r="DB1633" s="1"/>
      <c r="DC1633" s="1"/>
      <c r="DD1633" s="1"/>
      <c r="DE1633" s="1"/>
      <c r="DF1633" s="1"/>
      <c r="DG1633" s="1"/>
      <c r="DH1633" s="1"/>
      <c r="DI1633" s="1"/>
      <c r="DJ1633" s="1"/>
      <c r="DK1633" s="1"/>
      <c r="DL1633" s="1"/>
      <c r="DM1633" s="1"/>
      <c r="DN1633" s="1"/>
      <c r="DO1633" s="1"/>
      <c r="DP1633" s="1"/>
      <c r="DQ1633" s="1"/>
      <c r="DR1633" s="1"/>
      <c r="DS1633" s="1"/>
      <c r="DT1633" s="1"/>
      <c r="DU1633" s="1"/>
      <c r="DV1633" s="1"/>
      <c r="DW1633" s="1"/>
      <c r="DX1633" s="1"/>
      <c r="DY1633" s="1"/>
      <c r="DZ1633" s="1"/>
      <c r="EA1633" s="1"/>
      <c r="EB1633" s="1"/>
      <c r="EC1633" s="1"/>
      <c r="ED1633" s="1"/>
      <c r="EE1633" s="1"/>
      <c r="EF1633" s="1"/>
      <c r="EG1633" s="1"/>
      <c r="EH1633" s="1"/>
      <c r="EI1633" s="1"/>
      <c r="EJ1633" s="1"/>
      <c r="EK1633" s="1"/>
      <c r="EL1633" s="1"/>
      <c r="EM1633" s="1"/>
      <c r="EN1633" s="1"/>
      <c r="EO1633" s="1"/>
      <c r="EP1633" s="1"/>
      <c r="EQ1633" s="1"/>
      <c r="ER1633" s="1"/>
      <c r="ES1633" s="1"/>
      <c r="ET1633" s="1"/>
      <c r="EU1633" s="1"/>
      <c r="EV1633" s="1"/>
      <c r="EW1633" s="1"/>
      <c r="EX1633" s="1"/>
      <c r="EY1633" s="1"/>
      <c r="EZ1633" s="1"/>
      <c r="FA1633" s="1"/>
      <c r="FB1633" s="1"/>
      <c r="FC1633" s="1"/>
      <c r="FD1633" s="1"/>
      <c r="FE1633" s="1"/>
      <c r="FF1633" s="1"/>
      <c r="FG1633" s="1"/>
      <c r="FH1633" s="1"/>
      <c r="FI1633" s="1"/>
      <c r="FJ1633" s="1"/>
      <c r="FK1633" s="1"/>
      <c r="FL1633" s="1"/>
      <c r="FM1633" s="1"/>
      <c r="FN1633" s="1"/>
      <c r="FO1633" s="1"/>
      <c r="FP1633" s="1"/>
      <c r="FQ1633" s="1"/>
      <c r="FR1633" s="1"/>
      <c r="FS1633" s="1"/>
      <c r="FT1633" s="1"/>
      <c r="FU1633" s="1"/>
      <c r="FV1633" s="1"/>
      <c r="FW1633" s="1"/>
      <c r="FX1633" s="1"/>
      <c r="FY1633" s="1"/>
      <c r="FZ1633" s="1"/>
      <c r="GA1633" s="1"/>
      <c r="GB1633" s="1"/>
      <c r="GC1633" s="1"/>
      <c r="GD1633" s="1"/>
      <c r="GE1633" s="1"/>
      <c r="GF1633" s="1"/>
      <c r="GG1633" s="1"/>
      <c r="GH1633" s="1"/>
      <c r="GI1633" s="1"/>
      <c r="GJ1633" s="1"/>
      <c r="GK1633" s="1"/>
      <c r="GL1633" s="1"/>
      <c r="GM1633" s="1"/>
      <c r="GN1633" s="1"/>
      <c r="GO1633" s="1"/>
      <c r="GP1633" s="1"/>
      <c r="GQ1633" s="1"/>
      <c r="GR1633" s="1"/>
      <c r="GS1633" s="1"/>
      <c r="GT1633" s="1"/>
      <c r="GU1633" s="1"/>
      <c r="GV1633" s="1"/>
      <c r="GW1633" s="1"/>
      <c r="GX1633" s="1"/>
      <c r="GY1633" s="1"/>
      <c r="GZ1633" s="1"/>
      <c r="HA1633" s="1"/>
      <c r="HB1633" s="1"/>
      <c r="HC1633" s="1"/>
      <c r="HD1633" s="1"/>
      <c r="HE1633" s="1"/>
      <c r="HF1633" s="1"/>
      <c r="HG1633" s="1"/>
      <c r="HH1633" s="1"/>
      <c r="HI1633" s="1"/>
      <c r="HJ1633" s="1"/>
      <c r="HK1633" s="1"/>
      <c r="HL1633" s="1"/>
      <c r="HM1633" s="1"/>
      <c r="HN1633" s="1"/>
      <c r="HO1633" s="1"/>
      <c r="HP1633" s="1"/>
      <c r="HQ1633" s="1"/>
      <c r="HR1633" s="1"/>
      <c r="HS1633" s="1"/>
      <c r="HT1633" s="1"/>
      <c r="HU1633" s="1"/>
      <c r="HV1633" s="1"/>
      <c r="HW1633" s="1"/>
      <c r="HX1633" s="1"/>
      <c r="HY1633" s="1"/>
      <c r="HZ1633" s="1"/>
      <c r="IA1633" s="1"/>
      <c r="IB1633" s="1"/>
      <c r="IC1633" s="1"/>
      <c r="ID1633" s="1"/>
      <c r="IE1633" s="1"/>
      <c r="IF1633" s="1"/>
      <c r="IG1633" s="1"/>
      <c r="IH1633" s="1"/>
      <c r="II1633" s="1"/>
      <c r="IJ1633" s="1"/>
      <c r="IK1633" s="1"/>
      <c r="IL1633" s="1"/>
      <c r="IM1633" s="1"/>
      <c r="IN1633" s="1"/>
      <c r="IO1633" s="1"/>
      <c r="IP1633" s="1"/>
      <c r="IQ1633" s="1"/>
      <c r="IR1633" s="1"/>
      <c r="IS1633" s="1"/>
      <c r="IT1633" s="1"/>
      <c r="IU1633" s="1"/>
      <c r="IV1633" s="1"/>
      <c r="IW1633" s="1"/>
      <c r="IX1633" s="1"/>
      <c r="IY1633" s="1"/>
      <c r="IZ1633" s="1"/>
      <c r="JA1633" s="1"/>
      <c r="JB1633" s="1"/>
      <c r="JC1633" s="1"/>
      <c r="JD1633" s="1"/>
      <c r="JE1633" s="1"/>
      <c r="JF1633" s="1"/>
      <c r="JG1633" s="1"/>
      <c r="JH1633" s="1"/>
      <c r="JI1633" s="1"/>
      <c r="JJ1633" s="1"/>
      <c r="JK1633" s="1"/>
      <c r="JL1633" s="1"/>
      <c r="JM1633" s="1"/>
      <c r="JN1633" s="1"/>
      <c r="JO1633" s="1"/>
      <c r="JP1633" s="1"/>
      <c r="JQ1633" s="1"/>
      <c r="JR1633" s="1"/>
      <c r="JS1633" s="1"/>
      <c r="JT1633" s="1"/>
      <c r="JU1633" s="1"/>
      <c r="JV1633" s="1"/>
      <c r="JW1633" s="1"/>
      <c r="JX1633" s="1"/>
      <c r="JY1633" s="1"/>
      <c r="JZ1633" s="1"/>
      <c r="KA1633" s="1"/>
      <c r="KB1633" s="1"/>
      <c r="KC1633" s="1"/>
      <c r="KD1633" s="1"/>
      <c r="KE1633" s="1"/>
      <c r="KF1633" s="1"/>
      <c r="KG1633" s="1"/>
      <c r="KH1633" s="1"/>
      <c r="KI1633" s="1"/>
      <c r="KJ1633" s="1"/>
      <c r="KK1633" s="1"/>
      <c r="KL1633" s="1"/>
      <c r="KM1633" s="1"/>
      <c r="KN1633" s="1"/>
      <c r="KO1633" s="1"/>
      <c r="KP1633" s="1"/>
      <c r="KQ1633" s="1"/>
      <c r="KR1633" s="1"/>
      <c r="KS1633" s="1"/>
      <c r="KT1633" s="1"/>
      <c r="KU1633" s="1"/>
      <c r="KV1633" s="1"/>
      <c r="KW1633" s="1"/>
      <c r="KX1633" s="1"/>
      <c r="KY1633" s="1"/>
      <c r="KZ1633" s="1"/>
      <c r="LA1633" s="1"/>
      <c r="LB1633" s="1"/>
      <c r="LC1633" s="1"/>
      <c r="LD1633" s="1"/>
      <c r="LE1633" s="1"/>
      <c r="LF1633" s="1"/>
      <c r="LG1633" s="1"/>
      <c r="LH1633" s="1"/>
      <c r="LI1633" s="1"/>
      <c r="LJ1633" s="1"/>
      <c r="LK1633" s="1"/>
      <c r="LL1633" s="1"/>
      <c r="LM1633" s="1"/>
      <c r="LN1633" s="1"/>
      <c r="LO1633" s="1"/>
      <c r="LP1633" s="1"/>
      <c r="LQ1633" s="1"/>
      <c r="LR1633" s="1"/>
      <c r="LS1633" s="1"/>
      <c r="LT1633" s="1"/>
      <c r="LU1633" s="1"/>
      <c r="LV1633" s="1"/>
      <c r="LW1633" s="1"/>
      <c r="LX1633" s="1"/>
      <c r="LY1633" s="1"/>
      <c r="LZ1633" s="1"/>
      <c r="MA1633" s="1"/>
      <c r="MB1633" s="1"/>
      <c r="MC1633" s="1"/>
      <c r="MD1633" s="1"/>
      <c r="ME1633" s="1"/>
      <c r="MF1633" s="1"/>
      <c r="MG1633" s="1"/>
      <c r="MH1633" s="1"/>
      <c r="MI1633" s="1"/>
      <c r="MJ1633" s="1"/>
      <c r="MK1633" s="1"/>
      <c r="ML1633" s="1"/>
      <c r="MM1633" s="1"/>
      <c r="MN1633" s="1"/>
      <c r="MO1633" s="1"/>
      <c r="MP1633" s="1"/>
      <c r="MQ1633" s="1"/>
      <c r="MR1633" s="1"/>
      <c r="MS1633" s="1"/>
      <c r="MT1633" s="1"/>
      <c r="MU1633" s="1"/>
      <c r="MV1633" s="1"/>
      <c r="MW1633" s="1"/>
      <c r="MX1633" s="1"/>
      <c r="MY1633" s="1"/>
      <c r="MZ1633" s="1"/>
      <c r="NA1633" s="1"/>
      <c r="NB1633" s="1"/>
      <c r="NC1633" s="1"/>
      <c r="ND1633" s="1"/>
      <c r="NE1633" s="1"/>
      <c r="NF1633" s="1"/>
      <c r="NG1633" s="1"/>
      <c r="NH1633" s="1"/>
      <c r="NI1633" s="1"/>
      <c r="NJ1633" s="1"/>
      <c r="NK1633" s="1"/>
      <c r="NL1633" s="1"/>
      <c r="NM1633" s="1"/>
      <c r="NN1633" s="1"/>
      <c r="NO1633" s="1"/>
      <c r="NP1633" s="1"/>
      <c r="NQ1633" s="1"/>
      <c r="NR1633" s="1"/>
      <c r="NS1633" s="1"/>
      <c r="NT1633" s="1"/>
      <c r="NU1633" s="1"/>
      <c r="NV1633" s="1"/>
      <c r="NW1633" s="1"/>
      <c r="NX1633" s="1"/>
      <c r="NY1633" s="1"/>
      <c r="NZ1633" s="1"/>
      <c r="OA1633" s="1"/>
      <c r="OB1633" s="1"/>
      <c r="OC1633" s="1"/>
      <c r="OD1633" s="1"/>
      <c r="OE1633" s="1"/>
      <c r="OF1633" s="1"/>
      <c r="OG1633" s="1"/>
      <c r="OH1633" s="1"/>
      <c r="OI1633" s="1"/>
      <c r="OJ1633" s="1"/>
      <c r="OK1633" s="1"/>
      <c r="OL1633" s="1"/>
      <c r="OM1633" s="1"/>
      <c r="ON1633" s="1"/>
      <c r="OO1633" s="1"/>
      <c r="OP1633" s="1"/>
      <c r="OQ1633" s="1"/>
      <c r="OR1633" s="1"/>
      <c r="OS1633" s="1"/>
      <c r="OT1633" s="1"/>
      <c r="OU1633" s="1"/>
      <c r="OV1633" s="1"/>
      <c r="OW1633" s="1"/>
      <c r="OX1633" s="1"/>
      <c r="OY1633" s="1"/>
      <c r="OZ1633" s="1"/>
      <c r="PA1633" s="1"/>
      <c r="PB1633" s="1"/>
      <c r="PC1633" s="1"/>
      <c r="PD1633" s="1"/>
      <c r="PE1633" s="1"/>
      <c r="PF1633" s="1"/>
      <c r="PG1633" s="1"/>
      <c r="PH1633" s="1"/>
      <c r="PI1633" s="1"/>
      <c r="PJ1633" s="1"/>
      <c r="PK1633" s="1"/>
      <c r="PL1633" s="1"/>
      <c r="PM1633" s="1"/>
      <c r="PN1633" s="1"/>
      <c r="PO1633" s="1"/>
      <c r="PP1633" s="1"/>
      <c r="PQ1633" s="1"/>
      <c r="PR1633" s="1"/>
      <c r="PS1633" s="1"/>
      <c r="PT1633" s="1"/>
      <c r="PU1633" s="1"/>
      <c r="PV1633" s="1"/>
      <c r="PW1633" s="1"/>
      <c r="PX1633" s="1"/>
      <c r="PY1633" s="1"/>
      <c r="PZ1633" s="1"/>
      <c r="QA1633" s="1"/>
      <c r="QB1633" s="1"/>
      <c r="QC1633" s="1"/>
      <c r="QD1633" s="1"/>
      <c r="QE1633" s="1"/>
      <c r="QF1633" s="1"/>
      <c r="QG1633" s="1"/>
      <c r="QH1633" s="1"/>
      <c r="QI1633" s="1"/>
      <c r="QJ1633" s="1"/>
      <c r="QK1633" s="1"/>
      <c r="QL1633" s="1"/>
      <c r="QM1633" s="1"/>
      <c r="QN1633" s="1"/>
      <c r="QO1633" s="1"/>
      <c r="QP1633" s="1"/>
      <c r="QQ1633" s="1"/>
      <c r="QR1633" s="1"/>
      <c r="QS1633" s="1"/>
      <c r="QT1633" s="1"/>
      <c r="QU1633" s="1"/>
      <c r="QV1633" s="1"/>
      <c r="QW1633" s="1"/>
      <c r="QX1633" s="1"/>
      <c r="QY1633" s="1"/>
      <c r="QZ1633" s="1"/>
      <c r="RA1633" s="1"/>
      <c r="RB1633" s="1"/>
      <c r="RC1633" s="1"/>
      <c r="RD1633" s="1"/>
      <c r="RE1633" s="1"/>
      <c r="RF1633" s="1"/>
      <c r="RG1633" s="1"/>
      <c r="RH1633" s="1"/>
      <c r="RI1633" s="1"/>
      <c r="RJ1633" s="1"/>
      <c r="RK1633" s="1"/>
      <c r="RL1633" s="1"/>
      <c r="RM1633" s="1"/>
      <c r="RN1633" s="1"/>
      <c r="RO1633" s="1"/>
      <c r="RP1633" s="1"/>
      <c r="RQ1633" s="1"/>
      <c r="RR1633" s="1"/>
      <c r="RS1633" s="1"/>
      <c r="RT1633" s="1"/>
      <c r="RU1633" s="1"/>
      <c r="RV1633" s="1"/>
      <c r="RW1633" s="1"/>
      <c r="RX1633" s="1"/>
      <c r="RY1633" s="1"/>
      <c r="RZ1633" s="1"/>
      <c r="SA1633" s="1"/>
      <c r="SB1633" s="1"/>
      <c r="SC1633" s="1"/>
      <c r="SD1633" s="1"/>
      <c r="SE1633" s="1"/>
      <c r="SF1633" s="1"/>
      <c r="SG1633" s="1"/>
      <c r="SH1633" s="1"/>
      <c r="SI1633" s="1"/>
      <c r="SJ1633" s="1"/>
      <c r="SK1633" s="1"/>
      <c r="SL1633" s="1"/>
      <c r="SM1633" s="1"/>
      <c r="SN1633" s="1"/>
      <c r="SO1633" s="1"/>
      <c r="SP1633" s="1"/>
      <c r="SQ1633" s="1"/>
      <c r="SR1633" s="1"/>
      <c r="SS1633" s="1"/>
      <c r="ST1633" s="1"/>
      <c r="SU1633" s="1"/>
      <c r="SV1633" s="1"/>
      <c r="SW1633" s="1"/>
      <c r="SX1633" s="1"/>
      <c r="SY1633" s="1"/>
      <c r="SZ1633" s="1"/>
      <c r="TA1633" s="1"/>
      <c r="TB1633" s="1"/>
      <c r="TC1633" s="1"/>
      <c r="TD1633" s="1"/>
      <c r="TE1633" s="1"/>
      <c r="TF1633" s="1"/>
      <c r="TG1633" s="1"/>
      <c r="TH1633" s="1"/>
      <c r="TI1633" s="1"/>
      <c r="TJ1633" s="1"/>
      <c r="TK1633" s="1"/>
      <c r="TL1633" s="1"/>
      <c r="TM1633" s="1"/>
      <c r="TN1633" s="1"/>
      <c r="TO1633" s="1"/>
      <c r="TP1633" s="1"/>
      <c r="TQ1633" s="1"/>
      <c r="TR1633" s="1"/>
      <c r="TS1633" s="1"/>
      <c r="TT1633" s="1"/>
      <c r="TU1633" s="1"/>
      <c r="TV1633" s="1"/>
      <c r="TW1633" s="1"/>
      <c r="TX1633" s="1"/>
      <c r="TY1633" s="1"/>
      <c r="TZ1633" s="1"/>
      <c r="UA1633" s="1"/>
      <c r="UB1633" s="1"/>
      <c r="UC1633" s="1"/>
      <c r="UD1633" s="1"/>
      <c r="UE1633" s="1"/>
      <c r="UF1633" s="1"/>
      <c r="UG1633" s="1"/>
      <c r="UH1633" s="1"/>
      <c r="UI1633" s="1"/>
      <c r="UJ1633" s="1"/>
      <c r="UK1633" s="1"/>
      <c r="UL1633" s="1"/>
      <c r="UM1633" s="1"/>
      <c r="UN1633" s="1"/>
      <c r="UO1633" s="1"/>
      <c r="UP1633" s="1"/>
      <c r="UQ1633" s="1"/>
      <c r="UR1633" s="1"/>
      <c r="US1633" s="1"/>
      <c r="UT1633" s="1"/>
      <c r="UU1633" s="1"/>
      <c r="UV1633" s="1"/>
      <c r="UW1633" s="1"/>
      <c r="UX1633" s="1"/>
      <c r="UY1633" s="1"/>
      <c r="UZ1633" s="1"/>
      <c r="VA1633" s="1"/>
      <c r="VB1633" s="1"/>
      <c r="VC1633" s="1"/>
      <c r="VD1633" s="1"/>
      <c r="VE1633" s="1"/>
      <c r="VF1633" s="1"/>
      <c r="VG1633" s="1"/>
      <c r="VH1633" s="1"/>
      <c r="VI1633" s="1"/>
      <c r="VJ1633" s="1"/>
      <c r="VK1633" s="1"/>
      <c r="VL1633" s="1"/>
      <c r="VM1633" s="1"/>
      <c r="VN1633" s="1"/>
      <c r="VO1633" s="1"/>
      <c r="VP1633" s="1"/>
      <c r="VQ1633" s="1"/>
      <c r="VR1633" s="1"/>
      <c r="VS1633" s="1"/>
      <c r="VT1633" s="1"/>
      <c r="VU1633" s="1"/>
      <c r="VV1633" s="1"/>
      <c r="VW1633" s="1"/>
      <c r="VX1633" s="1"/>
      <c r="VY1633" s="1"/>
      <c r="VZ1633" s="1"/>
      <c r="WA1633" s="1"/>
      <c r="WB1633" s="1"/>
      <c r="WC1633" s="1"/>
      <c r="WD1633" s="1"/>
      <c r="WE1633" s="1"/>
      <c r="WF1633" s="1"/>
      <c r="WG1633" s="1"/>
      <c r="WH1633" s="1"/>
      <c r="WI1633" s="1"/>
      <c r="WJ1633" s="1"/>
      <c r="WK1633" s="1"/>
      <c r="WL1633" s="1"/>
      <c r="WM1633" s="1"/>
      <c r="WN1633" s="1"/>
      <c r="WO1633" s="1"/>
      <c r="WP1633" s="1"/>
      <c r="WQ1633" s="1"/>
      <c r="WR1633" s="1"/>
      <c r="WS1633" s="1"/>
      <c r="WT1633" s="1"/>
      <c r="WU1633" s="1"/>
      <c r="WV1633" s="1"/>
      <c r="WW1633" s="1"/>
      <c r="WX1633" s="1"/>
      <c r="WY1633" s="1"/>
      <c r="WZ1633" s="1"/>
      <c r="XA1633" s="1"/>
      <c r="XB1633" s="1"/>
      <c r="XC1633" s="1"/>
      <c r="XD1633" s="1"/>
      <c r="XE1633" s="1"/>
      <c r="XF1633" s="1"/>
      <c r="XG1633" s="1"/>
      <c r="XH1633" s="1"/>
      <c r="XI1633" s="1"/>
      <c r="XJ1633" s="1"/>
      <c r="XK1633" s="1"/>
      <c r="XL1633" s="1"/>
      <c r="XM1633" s="1"/>
      <c r="XN1633" s="1"/>
      <c r="XO1633" s="1"/>
      <c r="XP1633" s="1"/>
      <c r="XQ1633" s="1"/>
      <c r="XR1633" s="1"/>
      <c r="XS1633" s="1"/>
      <c r="XT1633" s="1"/>
      <c r="XU1633" s="1"/>
      <c r="XV1633" s="1"/>
      <c r="XW1633" s="1"/>
      <c r="XX1633" s="1"/>
      <c r="XY1633" s="1"/>
      <c r="XZ1633" s="1"/>
      <c r="YA1633" s="1"/>
      <c r="YB1633" s="1"/>
      <c r="YC1633" s="1"/>
      <c r="YD1633" s="1"/>
      <c r="YE1633" s="1"/>
      <c r="YF1633" s="1"/>
      <c r="YG1633" s="1"/>
      <c r="YH1633" s="1"/>
      <c r="YI1633" s="1"/>
      <c r="YJ1633" s="1"/>
      <c r="YK1633" s="1"/>
      <c r="YL1633" s="1"/>
      <c r="YM1633" s="1"/>
      <c r="YN1633" s="1"/>
      <c r="YO1633" s="1"/>
      <c r="YP1633" s="1"/>
      <c r="YQ1633" s="1"/>
      <c r="YR1633" s="1"/>
      <c r="YS1633" s="1"/>
      <c r="YT1633" s="1"/>
      <c r="YU1633" s="1"/>
      <c r="YV1633" s="1"/>
      <c r="YW1633" s="1"/>
      <c r="YX1633" s="1"/>
      <c r="YY1633" s="1"/>
      <c r="YZ1633" s="1"/>
      <c r="ZA1633" s="1"/>
      <c r="ZB1633" s="1"/>
      <c r="ZC1633" s="1"/>
      <c r="ZD1633" s="1"/>
      <c r="ZE1633" s="1"/>
      <c r="ZF1633" s="1"/>
      <c r="ZG1633" s="1"/>
      <c r="ZH1633" s="1"/>
      <c r="ZI1633" s="1"/>
      <c r="ZJ1633" s="1"/>
      <c r="ZK1633" s="1"/>
      <c r="ZL1633" s="1"/>
      <c r="ZM1633" s="1"/>
      <c r="ZN1633" s="1"/>
      <c r="ZO1633" s="1"/>
      <c r="ZP1633" s="1"/>
      <c r="ZQ1633" s="1"/>
      <c r="ZR1633" s="1"/>
      <c r="ZS1633" s="1"/>
      <c r="ZT1633" s="1"/>
      <c r="ZU1633" s="1"/>
      <c r="ZV1633" s="1"/>
      <c r="ZW1633" s="1"/>
      <c r="ZX1633" s="1"/>
      <c r="ZY1633" s="1"/>
      <c r="ZZ1633" s="1"/>
      <c r="AAA1633" s="1"/>
      <c r="AAB1633" s="1"/>
      <c r="AAC1633" s="1"/>
      <c r="AAD1633" s="1"/>
      <c r="AAE1633" s="1"/>
      <c r="AAF1633" s="1"/>
      <c r="AAG1633" s="1"/>
      <c r="AAH1633" s="1"/>
      <c r="AAI1633" s="1"/>
      <c r="AAJ1633" s="1"/>
      <c r="AAK1633" s="1"/>
      <c r="AAL1633" s="1"/>
      <c r="AAM1633" s="1"/>
      <c r="AAN1633" s="1"/>
      <c r="AAO1633" s="1"/>
      <c r="AAP1633" s="1"/>
      <c r="AAQ1633" s="1"/>
      <c r="AAR1633" s="1"/>
      <c r="AAS1633" s="1"/>
      <c r="AAT1633" s="1"/>
      <c r="AAU1633" s="1"/>
      <c r="AAV1633" s="1"/>
      <c r="AAW1633" s="1"/>
      <c r="AAX1633" s="1"/>
      <c r="AAY1633" s="1"/>
      <c r="AAZ1633" s="1"/>
      <c r="ABA1633" s="1"/>
      <c r="ABB1633" s="1"/>
      <c r="ABC1633" s="1"/>
      <c r="ABD1633" s="1"/>
      <c r="ABE1633" s="1"/>
      <c r="ABF1633" s="1"/>
      <c r="ABG1633" s="1"/>
      <c r="ABH1633" s="1"/>
      <c r="ABI1633" s="1"/>
      <c r="ABJ1633" s="1"/>
      <c r="ABK1633" s="1"/>
      <c r="ABL1633" s="1"/>
      <c r="ABM1633" s="1"/>
      <c r="ABN1633" s="1"/>
      <c r="ABO1633" s="1"/>
      <c r="ABP1633" s="1"/>
      <c r="ABQ1633" s="1"/>
      <c r="ABR1633" s="1"/>
      <c r="ABS1633" s="1"/>
      <c r="ABT1633" s="1"/>
      <c r="ABU1633" s="1"/>
      <c r="ABV1633" s="1"/>
      <c r="ABW1633" s="1"/>
      <c r="ABX1633" s="1"/>
      <c r="ABY1633" s="1"/>
      <c r="ABZ1633" s="1"/>
      <c r="ACA1633" s="1"/>
      <c r="ACB1633" s="1"/>
      <c r="ACC1633" s="1"/>
      <c r="ACD1633" s="1"/>
      <c r="ACE1633" s="1"/>
      <c r="ACF1633" s="1"/>
      <c r="ACG1633" s="1"/>
      <c r="ACH1633" s="1"/>
      <c r="ACI1633" s="1"/>
      <c r="ACJ1633" s="1"/>
      <c r="ACK1633" s="1"/>
      <c r="ACL1633" s="1"/>
      <c r="ACM1633" s="1"/>
      <c r="ACN1633" s="1"/>
      <c r="ACO1633" s="1"/>
      <c r="ACP1633" s="1"/>
      <c r="ACQ1633" s="1"/>
      <c r="ACR1633" s="1"/>
      <c r="ACS1633" s="1"/>
      <c r="ACT1633" s="1"/>
      <c r="ACU1633" s="1"/>
      <c r="ACV1633" s="1"/>
      <c r="ACW1633" s="1"/>
      <c r="ACX1633" s="1"/>
      <c r="ACY1633" s="1"/>
      <c r="ACZ1633" s="1"/>
      <c r="ADA1633" s="1"/>
      <c r="ADB1633" s="1"/>
      <c r="ADC1633" s="1"/>
      <c r="ADD1633" s="1"/>
      <c r="ADE1633" s="1"/>
      <c r="ADF1633" s="1"/>
      <c r="ADG1633" s="1"/>
      <c r="ADH1633" s="1"/>
      <c r="ADI1633" s="1"/>
      <c r="ADJ1633" s="1"/>
      <c r="ADK1633" s="1"/>
      <c r="ADL1633" s="1"/>
      <c r="ADM1633" s="1"/>
      <c r="ADN1633" s="1"/>
      <c r="ADO1633" s="1"/>
      <c r="ADP1633" s="1"/>
      <c r="ADQ1633" s="1"/>
      <c r="ADR1633" s="1"/>
      <c r="ADS1633" s="1"/>
      <c r="ADT1633" s="1"/>
      <c r="ADU1633" s="1"/>
      <c r="ADV1633" s="1"/>
      <c r="ADW1633" s="1"/>
      <c r="ADX1633" s="1"/>
      <c r="ADY1633" s="1"/>
      <c r="ADZ1633" s="1"/>
      <c r="AEA1633" s="1"/>
      <c r="AEB1633" s="1"/>
      <c r="AEC1633" s="1"/>
      <c r="AED1633" s="1"/>
      <c r="AEE1633" s="1"/>
      <c r="AEF1633" s="1"/>
      <c r="AEG1633" s="1"/>
      <c r="AEH1633" s="1"/>
      <c r="AEI1633" s="1"/>
      <c r="AEJ1633" s="1"/>
      <c r="AEK1633" s="1"/>
      <c r="AEL1633" s="1"/>
      <c r="AEM1633" s="1"/>
      <c r="AEN1633" s="1"/>
      <c r="AEO1633" s="1"/>
      <c r="AEP1633" s="1"/>
      <c r="AEQ1633" s="1"/>
      <c r="AER1633" s="1"/>
      <c r="AES1633" s="1"/>
      <c r="AET1633" s="1"/>
      <c r="AEU1633" s="1"/>
      <c r="AEV1633" s="1"/>
      <c r="AEW1633" s="1"/>
      <c r="AEX1633" s="1"/>
      <c r="AEY1633" s="1"/>
      <c r="AEZ1633" s="1"/>
      <c r="AFA1633" s="1"/>
      <c r="AFB1633" s="1"/>
      <c r="AFC1633" s="1"/>
      <c r="AFD1633" s="1"/>
      <c r="AFE1633" s="1"/>
      <c r="AFF1633" s="1"/>
      <c r="AFG1633" s="1"/>
      <c r="AFH1633" s="1"/>
      <c r="AFI1633" s="1"/>
      <c r="AFJ1633" s="1"/>
      <c r="AFK1633" s="1"/>
      <c r="AFL1633" s="1"/>
      <c r="AFM1633" s="1"/>
      <c r="AFN1633" s="1"/>
      <c r="AFO1633" s="1"/>
      <c r="AFP1633" s="1"/>
      <c r="AFQ1633" s="1"/>
      <c r="AFR1633" s="1"/>
      <c r="AFS1633" s="1"/>
      <c r="AFT1633" s="1"/>
      <c r="AFU1633" s="1"/>
      <c r="AFV1633" s="1"/>
      <c r="AFW1633" s="1"/>
      <c r="AFX1633" s="1"/>
      <c r="AFY1633" s="1"/>
      <c r="AFZ1633" s="1"/>
      <c r="AGA1633" s="1"/>
      <c r="AGB1633" s="1"/>
      <c r="AGC1633" s="1"/>
      <c r="AGD1633" s="1"/>
      <c r="AGE1633" s="1"/>
      <c r="AGF1633" s="1"/>
      <c r="AGG1633" s="1"/>
      <c r="AGH1633" s="1"/>
      <c r="AGI1633" s="1"/>
      <c r="AGJ1633" s="1"/>
      <c r="AGK1633" s="1"/>
      <c r="AGL1633" s="1"/>
      <c r="AGM1633" s="1"/>
      <c r="AGN1633" s="1"/>
      <c r="AGO1633" s="1"/>
      <c r="AGP1633" s="1"/>
      <c r="AGQ1633" s="1"/>
      <c r="AGR1633" s="1"/>
      <c r="AGS1633" s="1"/>
      <c r="AGT1633" s="1"/>
      <c r="AGU1633" s="1"/>
      <c r="AGV1633" s="1"/>
      <c r="AGW1633" s="1"/>
      <c r="AGX1633" s="1"/>
      <c r="AGY1633" s="1"/>
      <c r="AGZ1633" s="1"/>
      <c r="AHA1633" s="1"/>
      <c r="AHB1633" s="1"/>
      <c r="AHC1633" s="1"/>
      <c r="AHD1633" s="1"/>
      <c r="AHE1633" s="1"/>
      <c r="AHF1633" s="1"/>
      <c r="AHG1633" s="1"/>
      <c r="AHH1633" s="1"/>
      <c r="AHI1633" s="1"/>
      <c r="AHJ1633" s="1"/>
      <c r="AHK1633" s="1"/>
      <c r="AHL1633" s="1"/>
      <c r="AHM1633" s="1"/>
      <c r="AHN1633" s="1"/>
      <c r="AHO1633" s="1"/>
      <c r="AHP1633" s="1"/>
      <c r="AHQ1633" s="1"/>
      <c r="AHR1633" s="1"/>
      <c r="AHS1633" s="1"/>
      <c r="AHT1633" s="1"/>
      <c r="AHU1633" s="1"/>
      <c r="AHV1633" s="1"/>
      <c r="AHW1633" s="1"/>
      <c r="AHX1633" s="1"/>
      <c r="AHY1633" s="1"/>
      <c r="AHZ1633" s="1"/>
      <c r="AIA1633" s="1"/>
      <c r="AIB1633" s="1"/>
      <c r="AIC1633" s="1"/>
      <c r="AID1633" s="1"/>
      <c r="AIE1633" s="1"/>
      <c r="AIF1633" s="1"/>
      <c r="AIG1633" s="1"/>
      <c r="AIH1633" s="1"/>
      <c r="AII1633" s="1"/>
      <c r="AIJ1633" s="1"/>
      <c r="AIK1633" s="1"/>
      <c r="AIL1633" s="1"/>
      <c r="AIM1633" s="1"/>
      <c r="AIN1633" s="1"/>
      <c r="AIO1633" s="1"/>
      <c r="AIP1633" s="1"/>
      <c r="AIQ1633" s="1"/>
      <c r="AIR1633" s="1"/>
      <c r="AIS1633" s="1"/>
      <c r="AIT1633" s="1"/>
      <c r="AIU1633" s="1"/>
      <c r="AIV1633" s="1"/>
      <c r="AIW1633" s="1"/>
      <c r="AIX1633" s="1"/>
      <c r="AIY1633" s="1"/>
      <c r="AIZ1633" s="1"/>
      <c r="AJA1633" s="1"/>
      <c r="AJB1633" s="1"/>
      <c r="AJC1633" s="1"/>
      <c r="AJD1633" s="1"/>
      <c r="AJE1633" s="1"/>
      <c r="AJF1633" s="1"/>
      <c r="AJG1633" s="1"/>
      <c r="AJH1633" s="1"/>
      <c r="AJI1633" s="1"/>
      <c r="AJJ1633" s="1"/>
      <c r="AJK1633" s="1"/>
      <c r="AJL1633" s="1"/>
      <c r="AJM1633" s="1"/>
      <c r="AJN1633" s="1"/>
      <c r="AJO1633" s="1"/>
      <c r="AJP1633" s="1"/>
      <c r="AJQ1633" s="1"/>
      <c r="AJR1633" s="1"/>
      <c r="AJS1633" s="1"/>
      <c r="AJT1633" s="1"/>
      <c r="AJU1633" s="1"/>
      <c r="AJV1633" s="1"/>
      <c r="AJW1633" s="1"/>
      <c r="AJX1633" s="1"/>
      <c r="AJY1633" s="1"/>
      <c r="AJZ1633" s="1"/>
      <c r="AKA1633" s="1"/>
      <c r="AKB1633" s="1"/>
      <c r="AKC1633" s="1"/>
      <c r="AKD1633" s="1"/>
      <c r="AKE1633" s="1"/>
      <c r="AKF1633" s="1"/>
      <c r="AKG1633" s="1"/>
      <c r="AKH1633" s="1"/>
      <c r="AKI1633" s="1"/>
      <c r="AKJ1633" s="1"/>
      <c r="AKK1633" s="1"/>
      <c r="AKL1633" s="1"/>
      <c r="AKM1633" s="1"/>
      <c r="AKN1633" s="1"/>
      <c r="AKO1633" s="1"/>
      <c r="AKP1633" s="1"/>
      <c r="AKQ1633" s="1"/>
      <c r="AKR1633" s="1"/>
      <c r="AKS1633" s="1"/>
      <c r="AKT1633" s="1"/>
      <c r="AKU1633" s="1"/>
      <c r="AKV1633" s="1"/>
      <c r="AKW1633" s="1"/>
      <c r="AKX1633" s="1"/>
      <c r="AKY1633" s="1"/>
      <c r="AKZ1633" s="1"/>
      <c r="ALA1633" s="1"/>
      <c r="ALB1633" s="1"/>
      <c r="ALC1633" s="1"/>
      <c r="ALD1633" s="1"/>
      <c r="ALE1633" s="1"/>
      <c r="ALF1633" s="1"/>
      <c r="ALG1633" s="1"/>
      <c r="ALH1633" s="1"/>
      <c r="ALI1633" s="1"/>
      <c r="ALJ1633" s="1"/>
      <c r="ALK1633" s="1"/>
      <c r="ALL1633" s="1"/>
      <c r="ALM1633" s="1"/>
      <c r="ALN1633" s="1"/>
      <c r="ALO1633" s="1"/>
      <c r="ALP1633" s="1"/>
      <c r="ALQ1633" s="1"/>
      <c r="ALR1633" s="1"/>
      <c r="ALS1633" s="1"/>
      <c r="ALT1633" s="1"/>
      <c r="ALU1633" s="1"/>
      <c r="ALV1633" s="1"/>
      <c r="ALW1633" s="1"/>
      <c r="ALX1633" s="1"/>
      <c r="ALY1633" s="1"/>
      <c r="ALZ1633" s="1"/>
      <c r="AMA1633" s="1"/>
      <c r="AMB1633" s="1"/>
      <c r="AMC1633" s="1"/>
      <c r="AMD1633" s="1"/>
      <c r="AME1633" s="1"/>
      <c r="AMF1633" s="1"/>
      <c r="AMG1633" s="1"/>
      <c r="AMH1633" s="1"/>
      <c r="AMI1633" s="1"/>
      <c r="AMJ1633" s="1"/>
      <c r="AMK1633" s="1"/>
      <c r="AML1633" s="1"/>
      <c r="AMM1633" s="1"/>
      <c r="AMN1633" s="1"/>
      <c r="AMO1633" s="1"/>
      <c r="AMP1633" s="1"/>
      <c r="AMQ1633" s="1"/>
      <c r="AMR1633" s="1"/>
      <c r="AMS1633" s="1"/>
      <c r="AMT1633" s="1"/>
      <c r="AMU1633" s="1"/>
      <c r="AMV1633" s="1"/>
      <c r="AMW1633" s="1"/>
      <c r="AMX1633" s="1"/>
      <c r="AMY1633" s="1"/>
      <c r="AMZ1633" s="1"/>
      <c r="ANA1633" s="1"/>
      <c r="ANB1633" s="1"/>
      <c r="ANC1633" s="1"/>
      <c r="AND1633" s="1"/>
      <c r="ANE1633" s="1"/>
      <c r="ANF1633" s="1"/>
      <c r="ANG1633" s="1"/>
      <c r="ANH1633" s="1"/>
      <c r="ANI1633" s="1"/>
      <c r="ANJ1633" s="1"/>
      <c r="ANK1633" s="1"/>
      <c r="ANL1633" s="1"/>
      <c r="ANM1633" s="1"/>
      <c r="ANN1633" s="1"/>
      <c r="ANO1633" s="1"/>
      <c r="ANP1633" s="1"/>
      <c r="ANQ1633" s="1"/>
      <c r="ANR1633" s="1"/>
      <c r="ANS1633" s="1"/>
      <c r="ANT1633" s="1"/>
      <c r="ANU1633" s="1"/>
      <c r="ANV1633" s="1"/>
      <c r="ANW1633" s="1"/>
      <c r="ANX1633" s="1"/>
      <c r="ANY1633" s="1"/>
      <c r="ANZ1633" s="1"/>
      <c r="AOA1633" s="1"/>
      <c r="AOB1633" s="1"/>
      <c r="AOC1633" s="1"/>
      <c r="AOD1633" s="1"/>
      <c r="AOE1633" s="1"/>
      <c r="AOF1633" s="1"/>
      <c r="AOG1633" s="1"/>
      <c r="AOH1633" s="1"/>
      <c r="AOI1633" s="1"/>
      <c r="AOJ1633" s="1"/>
      <c r="AOK1633" s="1"/>
      <c r="AOL1633" s="1"/>
      <c r="AOM1633" s="1"/>
      <c r="AON1633" s="1"/>
      <c r="AOO1633" s="1"/>
      <c r="AOP1633" s="1"/>
      <c r="AOQ1633" s="1"/>
      <c r="AOR1633" s="1"/>
      <c r="AOS1633" s="1"/>
      <c r="AOT1633" s="1"/>
      <c r="AOU1633" s="1"/>
      <c r="AOV1633" s="1"/>
      <c r="AOW1633" s="1"/>
      <c r="AOX1633" s="1"/>
      <c r="AOY1633" s="1"/>
      <c r="AOZ1633" s="1"/>
      <c r="APA1633" s="1"/>
      <c r="APB1633" s="1"/>
      <c r="APC1633" s="1"/>
      <c r="APD1633" s="1"/>
      <c r="APE1633" s="1"/>
      <c r="APF1633" s="1"/>
      <c r="APG1633" s="1"/>
      <c r="APH1633" s="1"/>
      <c r="API1633" s="1"/>
      <c r="APJ1633" s="1"/>
      <c r="APK1633" s="1"/>
      <c r="APL1633" s="1"/>
      <c r="APM1633" s="1"/>
      <c r="APN1633" s="1"/>
      <c r="APO1633" s="1"/>
      <c r="APP1633" s="1"/>
      <c r="APQ1633" s="1"/>
      <c r="APR1633" s="1"/>
      <c r="APS1633" s="1"/>
      <c r="APT1633" s="1"/>
      <c r="APU1633" s="1"/>
      <c r="APV1633" s="1"/>
      <c r="APW1633" s="1"/>
      <c r="APX1633" s="1"/>
      <c r="APY1633" s="1"/>
      <c r="APZ1633" s="1"/>
      <c r="AQA1633" s="1"/>
      <c r="AQB1633" s="1"/>
      <c r="AQC1633" s="1"/>
      <c r="AQD1633" s="1"/>
      <c r="AQE1633" s="1"/>
      <c r="AQF1633" s="1"/>
      <c r="AQG1633" s="1"/>
      <c r="AQH1633" s="1"/>
      <c r="AQI1633" s="1"/>
      <c r="AQJ1633" s="1"/>
      <c r="AQK1633" s="1"/>
      <c r="AQL1633" s="1"/>
      <c r="AQM1633" s="1"/>
      <c r="AQN1633" s="1"/>
      <c r="AQO1633" s="1"/>
      <c r="AQP1633" s="1"/>
      <c r="AQQ1633" s="1"/>
      <c r="AQR1633" s="1"/>
      <c r="AQS1633" s="1"/>
      <c r="AQT1633" s="1"/>
      <c r="AQU1633" s="1"/>
      <c r="AQV1633" s="1"/>
      <c r="AQW1633" s="1"/>
      <c r="AQX1633" s="1"/>
      <c r="AQY1633" s="1"/>
      <c r="AQZ1633" s="1"/>
      <c r="ARA1633" s="1"/>
      <c r="ARB1633" s="1"/>
      <c r="ARC1633" s="1"/>
      <c r="ARD1633" s="1"/>
      <c r="ARE1633" s="1"/>
      <c r="ARF1633" s="1"/>
      <c r="ARG1633" s="1"/>
      <c r="ARH1633" s="1"/>
      <c r="ARI1633" s="1"/>
      <c r="ARJ1633" s="1"/>
      <c r="ARK1633" s="1"/>
      <c r="ARL1633" s="1"/>
      <c r="ARM1633" s="1"/>
      <c r="ARN1633" s="1"/>
      <c r="ARO1633" s="1"/>
      <c r="ARP1633" s="1"/>
      <c r="ARQ1633" s="1"/>
      <c r="ARR1633" s="1"/>
      <c r="ARS1633" s="1"/>
      <c r="ART1633" s="1"/>
      <c r="ARU1633" s="1"/>
      <c r="ARV1633" s="1"/>
      <c r="ARW1633" s="1"/>
      <c r="ARX1633" s="1"/>
      <c r="ARY1633" s="1"/>
      <c r="ARZ1633" s="1"/>
      <c r="ASA1633" s="1"/>
      <c r="ASB1633" s="1"/>
      <c r="ASC1633" s="1"/>
      <c r="ASD1633" s="1"/>
      <c r="ASE1633" s="1"/>
      <c r="ASF1633" s="1"/>
      <c r="ASG1633" s="1"/>
      <c r="ASH1633" s="1"/>
      <c r="ASI1633" s="1"/>
      <c r="ASJ1633" s="1"/>
      <c r="ASK1633" s="1"/>
      <c r="ASL1633" s="1"/>
      <c r="ASM1633" s="1"/>
      <c r="ASN1633" s="1"/>
      <c r="ASO1633" s="1"/>
      <c r="ASP1633" s="1"/>
      <c r="ASQ1633" s="1"/>
      <c r="ASR1633" s="1"/>
      <c r="ASS1633" s="1"/>
      <c r="AST1633" s="1"/>
      <c r="ASU1633" s="1"/>
      <c r="ASV1633" s="1"/>
      <c r="ASW1633" s="1"/>
      <c r="ASX1633" s="1"/>
      <c r="ASY1633" s="1"/>
      <c r="ASZ1633" s="1"/>
      <c r="ATA1633" s="1"/>
      <c r="ATB1633" s="1"/>
      <c r="ATC1633" s="1"/>
      <c r="ATD1633" s="1"/>
      <c r="ATE1633" s="1"/>
      <c r="ATF1633" s="1"/>
      <c r="ATG1633" s="1"/>
      <c r="ATH1633" s="1"/>
      <c r="ATI1633" s="1"/>
      <c r="ATJ1633" s="1"/>
      <c r="ATK1633" s="1"/>
      <c r="ATL1633" s="1"/>
      <c r="ATM1633" s="1"/>
      <c r="ATN1633" s="1"/>
      <c r="ATO1633" s="1"/>
      <c r="ATP1633" s="1"/>
      <c r="ATQ1633" s="1"/>
      <c r="ATR1633" s="1"/>
      <c r="ATS1633" s="1"/>
      <c r="ATT1633" s="1"/>
      <c r="ATU1633" s="1"/>
      <c r="ATV1633" s="1"/>
      <c r="ATW1633" s="1"/>
      <c r="ATX1633" s="1"/>
      <c r="ATY1633" s="1"/>
      <c r="ATZ1633" s="1"/>
      <c r="AUA1633" s="1"/>
      <c r="AUB1633" s="1"/>
      <c r="AUC1633" s="1"/>
      <c r="AUD1633" s="1"/>
      <c r="AUE1633" s="1"/>
      <c r="AUF1633" s="1"/>
      <c r="AUG1633" s="1"/>
      <c r="AUH1633" s="1"/>
      <c r="AUI1633" s="1"/>
      <c r="AUJ1633" s="1"/>
      <c r="AUK1633" s="1"/>
      <c r="AUL1633" s="1"/>
      <c r="AUM1633" s="1"/>
      <c r="AUN1633" s="1"/>
      <c r="AUO1633" s="1"/>
      <c r="AUP1633" s="1"/>
      <c r="AUQ1633" s="1"/>
      <c r="AUR1633" s="1"/>
      <c r="AUS1633" s="1"/>
      <c r="AUT1633" s="1"/>
      <c r="AUU1633" s="1"/>
      <c r="AUV1633" s="1"/>
      <c r="AUW1633" s="1"/>
      <c r="AUX1633" s="1"/>
      <c r="AUY1633" s="1"/>
      <c r="AUZ1633" s="1"/>
      <c r="AVA1633" s="1"/>
      <c r="AVB1633" s="1"/>
      <c r="AVC1633" s="1"/>
      <c r="AVD1633" s="1"/>
      <c r="AVE1633" s="1"/>
      <c r="AVF1633" s="1"/>
      <c r="AVG1633" s="1"/>
      <c r="AVH1633" s="1"/>
      <c r="AVI1633" s="1"/>
      <c r="AVJ1633" s="1"/>
      <c r="AVK1633" s="1"/>
      <c r="AVL1633" s="1"/>
      <c r="AVM1633" s="1"/>
      <c r="AVN1633" s="1"/>
      <c r="AVO1633" s="1"/>
      <c r="AVP1633" s="1"/>
      <c r="AVQ1633" s="1"/>
      <c r="AVR1633" s="1"/>
      <c r="AVS1633" s="1"/>
      <c r="AVT1633" s="1"/>
      <c r="AVU1633" s="1"/>
      <c r="AVV1633" s="1"/>
      <c r="AVW1633" s="1"/>
      <c r="AVX1633" s="1"/>
      <c r="AVY1633" s="1"/>
      <c r="AVZ1633" s="1"/>
      <c r="AWA1633" s="1"/>
      <c r="AWB1633" s="1"/>
      <c r="AWC1633" s="1"/>
      <c r="AWD1633" s="1"/>
      <c r="AWE1633" s="1"/>
      <c r="AWF1633" s="1"/>
      <c r="AWG1633" s="1"/>
      <c r="AWH1633" s="1"/>
      <c r="AWI1633" s="1"/>
      <c r="AWJ1633" s="1"/>
      <c r="AWK1633" s="1"/>
      <c r="AWL1633" s="1"/>
      <c r="AWM1633" s="1"/>
      <c r="AWN1633" s="1"/>
      <c r="AWO1633" s="1"/>
      <c r="AWP1633" s="1"/>
      <c r="AWQ1633" s="1"/>
      <c r="AWR1633" s="1"/>
      <c r="AWS1633" s="1"/>
      <c r="AWT1633" s="1"/>
      <c r="AWU1633" s="1"/>
      <c r="AWV1633" s="1"/>
      <c r="AWW1633" s="1"/>
      <c r="AWX1633" s="1"/>
      <c r="AWY1633" s="1"/>
      <c r="AWZ1633" s="1"/>
      <c r="AXA1633" s="1"/>
      <c r="AXB1633" s="1"/>
      <c r="AXC1633" s="1"/>
      <c r="AXD1633" s="1"/>
      <c r="AXE1633" s="1"/>
      <c r="AXF1633" s="1"/>
      <c r="AXG1633" s="1"/>
      <c r="AXH1633" s="1"/>
      <c r="AXI1633" s="1"/>
      <c r="AXJ1633" s="1"/>
      <c r="AXK1633" s="1"/>
      <c r="AXL1633" s="1"/>
      <c r="AXM1633" s="1"/>
      <c r="AXN1633" s="1"/>
      <c r="AXO1633" s="1"/>
      <c r="AXP1633" s="1"/>
      <c r="AXQ1633" s="1"/>
      <c r="AXR1633" s="1"/>
      <c r="AXS1633" s="1"/>
      <c r="AXT1633" s="1"/>
      <c r="AXU1633" s="1"/>
      <c r="AXV1633" s="1"/>
      <c r="AXW1633" s="1"/>
      <c r="AXX1633" s="1"/>
      <c r="AXY1633" s="1"/>
      <c r="AXZ1633" s="1"/>
      <c r="AYA1633" s="1"/>
      <c r="AYB1633" s="1"/>
      <c r="AYC1633" s="1"/>
      <c r="AYD1633" s="1"/>
      <c r="AYE1633" s="1"/>
      <c r="AYF1633" s="1"/>
      <c r="AYG1633" s="1"/>
      <c r="AYH1633" s="1"/>
      <c r="AYI1633" s="1"/>
      <c r="AYJ1633" s="1"/>
      <c r="AYK1633" s="1"/>
      <c r="AYL1633" s="1"/>
      <c r="AYM1633" s="1"/>
      <c r="AYN1633" s="1"/>
      <c r="AYO1633" s="1"/>
      <c r="AYP1633" s="1"/>
      <c r="AYQ1633" s="1"/>
      <c r="AYR1633" s="1"/>
      <c r="AYS1633" s="1"/>
      <c r="AYT1633" s="1"/>
      <c r="AYU1633" s="1"/>
      <c r="AYV1633" s="1"/>
      <c r="AYW1633" s="1"/>
      <c r="AYX1633" s="1"/>
      <c r="AYY1633" s="1"/>
      <c r="AYZ1633" s="1"/>
      <c r="AZA1633" s="1"/>
      <c r="AZB1633" s="1"/>
      <c r="AZC1633" s="1"/>
      <c r="AZD1633" s="1"/>
      <c r="AZE1633" s="1"/>
      <c r="AZF1633" s="1"/>
      <c r="AZG1633" s="1"/>
      <c r="AZH1633" s="1"/>
      <c r="AZI1633" s="1"/>
      <c r="AZJ1633" s="1"/>
      <c r="AZK1633" s="1"/>
      <c r="AZL1633" s="1"/>
      <c r="AZM1633" s="1"/>
      <c r="AZN1633" s="1"/>
      <c r="AZO1633" s="1"/>
      <c r="AZP1633" s="1"/>
      <c r="AZQ1633" s="1"/>
      <c r="AZR1633" s="1"/>
      <c r="AZS1633" s="1"/>
      <c r="AZT1633" s="1"/>
      <c r="AZU1633" s="1"/>
      <c r="AZV1633" s="1"/>
      <c r="AZW1633" s="1"/>
      <c r="AZX1633" s="1"/>
      <c r="AZY1633" s="1"/>
      <c r="AZZ1633" s="1"/>
      <c r="BAA1633" s="1"/>
      <c r="BAB1633" s="1"/>
      <c r="BAC1633" s="1"/>
      <c r="BAD1633" s="1"/>
      <c r="BAE1633" s="1"/>
      <c r="BAF1633" s="1"/>
      <c r="BAG1633" s="1"/>
      <c r="BAH1633" s="1"/>
      <c r="BAI1633" s="1"/>
      <c r="BAJ1633" s="1"/>
      <c r="BAK1633" s="1"/>
      <c r="BAL1633" s="1"/>
      <c r="BAM1633" s="1"/>
      <c r="BAN1633" s="1"/>
      <c r="BAO1633" s="1"/>
      <c r="BAP1633" s="1"/>
      <c r="BAQ1633" s="1"/>
      <c r="BAR1633" s="1"/>
      <c r="BAS1633" s="1"/>
      <c r="BAT1633" s="1"/>
      <c r="BAU1633" s="1"/>
      <c r="BAV1633" s="1"/>
      <c r="BAW1633" s="1"/>
      <c r="BAX1633" s="1"/>
      <c r="BAY1633" s="1"/>
      <c r="BAZ1633" s="1"/>
      <c r="BBA1633" s="1"/>
      <c r="BBB1633" s="1"/>
      <c r="BBC1633" s="1"/>
      <c r="BBD1633" s="1"/>
      <c r="BBE1633" s="1"/>
      <c r="BBF1633" s="1"/>
      <c r="BBG1633" s="1"/>
      <c r="BBH1633" s="1"/>
      <c r="BBI1633" s="1"/>
      <c r="BBJ1633" s="1"/>
      <c r="BBK1633" s="1"/>
      <c r="BBL1633" s="1"/>
      <c r="BBM1633" s="1"/>
      <c r="BBN1633" s="1"/>
      <c r="BBO1633" s="1"/>
      <c r="BBP1633" s="1"/>
      <c r="BBQ1633" s="1"/>
      <c r="BBR1633" s="1"/>
      <c r="BBS1633" s="1"/>
      <c r="BBT1633" s="1"/>
      <c r="BBU1633" s="1"/>
      <c r="BBV1633" s="1"/>
      <c r="BBW1633" s="1"/>
      <c r="BBX1633" s="1"/>
      <c r="BBY1633" s="1"/>
      <c r="BBZ1633" s="1"/>
      <c r="BCA1633" s="1"/>
      <c r="BCB1633" s="1"/>
      <c r="BCC1633" s="1"/>
      <c r="BCD1633" s="1"/>
      <c r="BCE1633" s="1"/>
      <c r="BCF1633" s="1"/>
      <c r="BCG1633" s="1"/>
      <c r="BCH1633" s="1"/>
      <c r="BCI1633" s="1"/>
      <c r="BCJ1633" s="1"/>
      <c r="BCK1633" s="1"/>
      <c r="BCL1633" s="1"/>
      <c r="BCM1633" s="1"/>
      <c r="BCN1633" s="1"/>
      <c r="BCO1633" s="1"/>
      <c r="BCP1633" s="1"/>
      <c r="BCQ1633" s="1"/>
      <c r="BCR1633" s="1"/>
      <c r="BCS1633" s="1"/>
      <c r="BCT1633" s="1"/>
      <c r="BCU1633" s="1"/>
      <c r="BCV1633" s="1"/>
      <c r="BCW1633" s="1"/>
      <c r="BCX1633" s="1"/>
      <c r="BCY1633" s="1"/>
      <c r="BCZ1633" s="1"/>
      <c r="BDA1633" s="1"/>
      <c r="BDB1633" s="1"/>
      <c r="BDC1633" s="1"/>
      <c r="BDD1633" s="1"/>
      <c r="BDE1633" s="1"/>
      <c r="BDF1633" s="1"/>
      <c r="BDG1633" s="1"/>
      <c r="BDH1633" s="1"/>
      <c r="BDI1633" s="1"/>
      <c r="BDJ1633" s="1"/>
      <c r="BDK1633" s="1"/>
      <c r="BDL1633" s="1"/>
      <c r="BDM1633" s="1"/>
      <c r="BDN1633" s="1"/>
      <c r="BDO1633" s="1"/>
      <c r="BDP1633" s="1"/>
      <c r="BDQ1633" s="1"/>
      <c r="BDR1633" s="1"/>
      <c r="BDS1633" s="1"/>
      <c r="BDT1633" s="1"/>
      <c r="BDU1633" s="1"/>
      <c r="BDV1633" s="1"/>
      <c r="BDW1633" s="1"/>
      <c r="BDX1633" s="1"/>
      <c r="BDY1633" s="1"/>
      <c r="BDZ1633" s="1"/>
      <c r="BEA1633" s="1"/>
      <c r="BEB1633" s="1"/>
      <c r="BEC1633" s="1"/>
      <c r="BED1633" s="1"/>
      <c r="BEE1633" s="1"/>
      <c r="BEF1633" s="1"/>
      <c r="BEG1633" s="1"/>
      <c r="BEH1633" s="1"/>
      <c r="BEI1633" s="1"/>
      <c r="BEJ1633" s="1"/>
      <c r="BEK1633" s="1"/>
      <c r="BEL1633" s="1"/>
      <c r="BEM1633" s="1"/>
      <c r="BEN1633" s="1"/>
      <c r="BEO1633" s="1"/>
      <c r="BEP1633" s="1"/>
      <c r="BEQ1633" s="1"/>
      <c r="BER1633" s="1"/>
      <c r="BES1633" s="1"/>
      <c r="BET1633" s="1"/>
      <c r="BEU1633" s="1"/>
      <c r="BEV1633" s="1"/>
      <c r="BEW1633" s="1"/>
      <c r="BEX1633" s="1"/>
      <c r="BEY1633" s="1"/>
      <c r="BEZ1633" s="1"/>
      <c r="BFA1633" s="1"/>
      <c r="BFB1633" s="1"/>
      <c r="BFC1633" s="1"/>
      <c r="BFD1633" s="1"/>
      <c r="BFE1633" s="1"/>
      <c r="BFF1633" s="1"/>
      <c r="BFG1633" s="1"/>
      <c r="BFH1633" s="1"/>
      <c r="BFI1633" s="1"/>
      <c r="BFJ1633" s="1"/>
      <c r="BFK1633" s="1"/>
      <c r="BFL1633" s="1"/>
      <c r="BFM1633" s="1"/>
      <c r="BFN1633" s="1"/>
      <c r="BFO1633" s="1"/>
      <c r="BFP1633" s="1"/>
      <c r="BFQ1633" s="1"/>
      <c r="BFR1633" s="1"/>
      <c r="BFS1633" s="1"/>
      <c r="BFT1633" s="1"/>
      <c r="BFU1633" s="1"/>
      <c r="BFV1633" s="1"/>
      <c r="BFW1633" s="1"/>
      <c r="BFX1633" s="1"/>
      <c r="BFY1633" s="1"/>
      <c r="BFZ1633" s="1"/>
      <c r="BGA1633" s="1"/>
      <c r="BGB1633" s="1"/>
      <c r="BGC1633" s="1"/>
      <c r="BGD1633" s="1"/>
      <c r="BGE1633" s="1"/>
      <c r="BGF1633" s="1"/>
      <c r="BGG1633" s="1"/>
      <c r="BGH1633" s="1"/>
      <c r="BGI1633" s="1"/>
      <c r="BGJ1633" s="1"/>
      <c r="BGK1633" s="1"/>
      <c r="BGL1633" s="1"/>
      <c r="BGM1633" s="1"/>
      <c r="BGN1633" s="1"/>
      <c r="BGO1633" s="1"/>
      <c r="BGP1633" s="1"/>
      <c r="BGQ1633" s="1"/>
      <c r="BGR1633" s="1"/>
      <c r="BGS1633" s="1"/>
      <c r="BGT1633" s="1"/>
      <c r="BGU1633" s="1"/>
      <c r="BGV1633" s="1"/>
      <c r="BGW1633" s="1"/>
      <c r="BGX1633" s="1"/>
      <c r="BGY1633" s="1"/>
      <c r="BGZ1633" s="1"/>
      <c r="BHA1633" s="1"/>
      <c r="BHB1633" s="1"/>
      <c r="BHC1633" s="1"/>
      <c r="BHD1633" s="1"/>
      <c r="BHE1633" s="1"/>
      <c r="BHF1633" s="1"/>
      <c r="BHG1633" s="1"/>
      <c r="BHH1633" s="1"/>
      <c r="BHI1633" s="1"/>
      <c r="BHJ1633" s="1"/>
      <c r="BHK1633" s="1"/>
      <c r="BHL1633" s="1"/>
      <c r="BHM1633" s="1"/>
      <c r="BHN1633" s="1"/>
      <c r="BHO1633" s="1"/>
      <c r="BHP1633" s="1"/>
      <c r="BHQ1633" s="1"/>
      <c r="BHR1633" s="1"/>
      <c r="BHS1633" s="1"/>
      <c r="BHT1633" s="1"/>
      <c r="BHU1633" s="1"/>
      <c r="BHV1633" s="1"/>
      <c r="BHW1633" s="1"/>
      <c r="BHX1633" s="1"/>
      <c r="BHY1633" s="1"/>
      <c r="BHZ1633" s="1"/>
      <c r="BIA1633" s="1"/>
      <c r="BIB1633" s="1"/>
      <c r="BIC1633" s="1"/>
      <c r="BID1633" s="1"/>
      <c r="BIE1633" s="1"/>
      <c r="BIF1633" s="1"/>
      <c r="BIG1633" s="1"/>
      <c r="BIH1633" s="1"/>
      <c r="BII1633" s="1"/>
      <c r="BIJ1633" s="1"/>
      <c r="BIK1633" s="1"/>
      <c r="BIL1633" s="1"/>
      <c r="BIM1633" s="1"/>
      <c r="BIN1633" s="1"/>
      <c r="BIO1633" s="1"/>
      <c r="BIP1633" s="1"/>
      <c r="BIQ1633" s="1"/>
      <c r="BIR1633" s="1"/>
      <c r="BIS1633" s="1"/>
      <c r="BIT1633" s="1"/>
      <c r="BIU1633" s="1"/>
      <c r="BIV1633" s="1"/>
      <c r="BIW1633" s="1"/>
      <c r="BIX1633" s="1"/>
      <c r="BIY1633" s="1"/>
      <c r="BIZ1633" s="1"/>
      <c r="BJA1633" s="1"/>
      <c r="BJB1633" s="1"/>
      <c r="BJC1633" s="1"/>
      <c r="BJD1633" s="1"/>
      <c r="BJE1633" s="1"/>
      <c r="BJF1633" s="1"/>
      <c r="BJG1633" s="1"/>
      <c r="BJH1633" s="1"/>
      <c r="BJI1633" s="1"/>
      <c r="BJJ1633" s="1"/>
      <c r="BJK1633" s="1"/>
      <c r="BJL1633" s="1"/>
      <c r="BJM1633" s="1"/>
      <c r="BJN1633" s="1"/>
      <c r="BJO1633" s="1"/>
      <c r="BJP1633" s="1"/>
      <c r="BJQ1633" s="1"/>
      <c r="BJR1633" s="1"/>
      <c r="BJS1633" s="1"/>
      <c r="BJT1633" s="1"/>
      <c r="BJU1633" s="1"/>
      <c r="BJV1633" s="1"/>
      <c r="BJW1633" s="1"/>
      <c r="BJX1633" s="1"/>
      <c r="BJY1633" s="1"/>
      <c r="BJZ1633" s="1"/>
      <c r="BKA1633" s="1"/>
      <c r="BKB1633" s="1"/>
      <c r="BKC1633" s="1"/>
      <c r="BKD1633" s="1"/>
      <c r="BKE1633" s="1"/>
      <c r="BKF1633" s="1"/>
      <c r="BKG1633" s="1"/>
      <c r="BKH1633" s="1"/>
      <c r="BKI1633" s="1"/>
      <c r="BKJ1633" s="1"/>
      <c r="BKK1633" s="1"/>
      <c r="BKL1633" s="1"/>
      <c r="BKM1633" s="1"/>
      <c r="BKN1633" s="1"/>
      <c r="BKO1633" s="1"/>
      <c r="BKP1633" s="1"/>
      <c r="BKQ1633" s="1"/>
      <c r="BKR1633" s="1"/>
      <c r="BKS1633" s="1"/>
      <c r="BKT1633" s="1"/>
      <c r="BKU1633" s="1"/>
      <c r="BKV1633" s="1"/>
      <c r="BKW1633" s="1"/>
      <c r="BKX1633" s="1"/>
      <c r="BKY1633" s="1"/>
      <c r="BKZ1633" s="1"/>
      <c r="BLA1633" s="1"/>
      <c r="BLB1633" s="1"/>
      <c r="BLC1633" s="1"/>
      <c r="BLD1633" s="1"/>
      <c r="BLE1633" s="1"/>
      <c r="BLF1633" s="1"/>
      <c r="BLG1633" s="1"/>
      <c r="BLH1633" s="1"/>
      <c r="BLI1633" s="1"/>
      <c r="BLJ1633" s="1"/>
      <c r="BLK1633" s="1"/>
      <c r="BLL1633" s="1"/>
      <c r="BLM1633" s="1"/>
      <c r="BLN1633" s="1"/>
      <c r="BLO1633" s="1"/>
      <c r="BLP1633" s="1"/>
      <c r="BLQ1633" s="1"/>
      <c r="BLR1633" s="1"/>
      <c r="BLS1633" s="1"/>
      <c r="BLT1633" s="1"/>
      <c r="BLU1633" s="1"/>
      <c r="BLV1633" s="1"/>
      <c r="BLW1633" s="1"/>
      <c r="BLX1633" s="1"/>
      <c r="BLY1633" s="1"/>
      <c r="BLZ1633" s="1"/>
      <c r="BMA1633" s="1"/>
      <c r="BMB1633" s="1"/>
      <c r="BMC1633" s="1"/>
      <c r="BMD1633" s="1"/>
      <c r="BME1633" s="1"/>
      <c r="BMF1633" s="1"/>
      <c r="BMG1633" s="1"/>
      <c r="BMH1633" s="1"/>
      <c r="BMI1633" s="1"/>
      <c r="BMJ1633" s="1"/>
      <c r="BMK1633" s="1"/>
      <c r="BML1633" s="1"/>
      <c r="BMM1633" s="1"/>
      <c r="BMN1633" s="1"/>
      <c r="BMO1633" s="1"/>
      <c r="BMP1633" s="1"/>
      <c r="BMQ1633" s="1"/>
      <c r="BMR1633" s="1"/>
      <c r="BMS1633" s="1"/>
      <c r="BMT1633" s="1"/>
      <c r="BMU1633" s="1"/>
      <c r="BMV1633" s="1"/>
      <c r="BMW1633" s="1"/>
      <c r="BMX1633" s="1"/>
      <c r="BMY1633" s="1"/>
      <c r="BMZ1633" s="1"/>
      <c r="BNA1633" s="1"/>
      <c r="BNB1633" s="1"/>
      <c r="BNC1633" s="1"/>
      <c r="BND1633" s="1"/>
      <c r="BNE1633" s="1"/>
      <c r="BNF1633" s="1"/>
      <c r="BNG1633" s="1"/>
      <c r="BNH1633" s="1"/>
      <c r="BNI1633" s="1"/>
      <c r="BNJ1633" s="1"/>
      <c r="BNK1633" s="1"/>
      <c r="BNL1633" s="1"/>
      <c r="BNM1633" s="1"/>
      <c r="BNN1633" s="1"/>
      <c r="BNO1633" s="1"/>
      <c r="BNP1633" s="1"/>
      <c r="BNQ1633" s="1"/>
      <c r="BNR1633" s="1"/>
      <c r="BNS1633" s="1"/>
      <c r="BNT1633" s="1"/>
      <c r="BNU1633" s="1"/>
      <c r="BNV1633" s="1"/>
      <c r="BNW1633" s="1"/>
      <c r="BNX1633" s="1"/>
      <c r="BNY1633" s="1"/>
      <c r="BNZ1633" s="1"/>
      <c r="BOA1633" s="1"/>
      <c r="BOB1633" s="1"/>
      <c r="BOC1633" s="1"/>
      <c r="BOD1633" s="1"/>
      <c r="BOE1633" s="1"/>
      <c r="BOF1633" s="1"/>
      <c r="BOG1633" s="1"/>
      <c r="BOH1633" s="1"/>
      <c r="BOI1633" s="1"/>
      <c r="BOJ1633" s="1"/>
      <c r="BOK1633" s="1"/>
      <c r="BOL1633" s="1"/>
      <c r="BOM1633" s="1"/>
      <c r="BON1633" s="1"/>
      <c r="BOO1633" s="1"/>
      <c r="BOP1633" s="1"/>
      <c r="BOQ1633" s="1"/>
      <c r="BOR1633" s="1"/>
      <c r="BOS1633" s="1"/>
      <c r="BOT1633" s="1"/>
      <c r="BOU1633" s="1"/>
      <c r="BOV1633" s="1"/>
      <c r="BOW1633" s="1"/>
      <c r="BOX1633" s="1"/>
      <c r="BOY1633" s="1"/>
      <c r="BOZ1633" s="1"/>
      <c r="BPA1633" s="1"/>
      <c r="BPB1633" s="1"/>
      <c r="BPC1633" s="1"/>
      <c r="BPD1633" s="1"/>
      <c r="BPE1633" s="1"/>
      <c r="BPF1633" s="1"/>
      <c r="BPG1633" s="1"/>
      <c r="BPH1633" s="1"/>
      <c r="BPI1633" s="1"/>
      <c r="BPJ1633" s="1"/>
      <c r="BPK1633" s="1"/>
      <c r="BPL1633" s="1"/>
      <c r="BPM1633" s="1"/>
      <c r="BPN1633" s="1"/>
      <c r="BPO1633" s="1"/>
      <c r="BPP1633" s="1"/>
      <c r="BPQ1633" s="1"/>
      <c r="BPR1633" s="1"/>
      <c r="BPS1633" s="1"/>
      <c r="BPT1633" s="1"/>
      <c r="BPU1633" s="1"/>
      <c r="BPV1633" s="1"/>
      <c r="BPW1633" s="1"/>
      <c r="BPX1633" s="1"/>
      <c r="BPY1633" s="1"/>
      <c r="BPZ1633" s="1"/>
      <c r="BQA1633" s="1"/>
      <c r="BQB1633" s="1"/>
      <c r="BQC1633" s="1"/>
      <c r="BQD1633" s="1"/>
      <c r="BQE1633" s="1"/>
      <c r="BQF1633" s="1"/>
      <c r="BQG1633" s="1"/>
      <c r="BQH1633" s="1"/>
      <c r="BQI1633" s="1"/>
      <c r="BQJ1633" s="1"/>
      <c r="BQK1633" s="1"/>
      <c r="BQL1633" s="1"/>
      <c r="BQM1633" s="1"/>
      <c r="BQN1633" s="1"/>
      <c r="BQO1633" s="1"/>
      <c r="BQP1633" s="1"/>
      <c r="BQQ1633" s="1"/>
      <c r="BQR1633" s="1"/>
      <c r="BQS1633" s="1"/>
      <c r="BQT1633" s="1"/>
      <c r="BQU1633" s="1"/>
      <c r="BQV1633" s="1"/>
      <c r="BQW1633" s="1"/>
      <c r="BQX1633" s="1"/>
      <c r="BQY1633" s="1"/>
      <c r="BQZ1633" s="1"/>
      <c r="BRA1633" s="1"/>
      <c r="BRB1633" s="1"/>
      <c r="BRC1633" s="1"/>
      <c r="BRD1633" s="1"/>
      <c r="BRE1633" s="1"/>
      <c r="BRF1633" s="1"/>
      <c r="BRG1633" s="1"/>
      <c r="BRH1633" s="1"/>
      <c r="BRI1633" s="1"/>
      <c r="BRJ1633" s="1"/>
      <c r="BRK1633" s="1"/>
      <c r="BRL1633" s="1"/>
      <c r="BRM1633" s="1"/>
      <c r="BRN1633" s="1"/>
      <c r="BRO1633" s="1"/>
      <c r="BRP1633" s="1"/>
      <c r="BRQ1633" s="1"/>
      <c r="BRR1633" s="1"/>
      <c r="BRS1633" s="1"/>
      <c r="BRT1633" s="1"/>
      <c r="BRU1633" s="1"/>
      <c r="BRV1633" s="1"/>
      <c r="BRW1633" s="1"/>
      <c r="BRX1633" s="1"/>
      <c r="BRY1633" s="1"/>
      <c r="BRZ1633" s="1"/>
      <c r="BSA1633" s="1"/>
      <c r="BSB1633" s="1"/>
      <c r="BSC1633" s="1"/>
      <c r="BSD1633" s="1"/>
      <c r="BSE1633" s="1"/>
      <c r="BSF1633" s="1"/>
      <c r="BSG1633" s="1"/>
      <c r="BSH1633" s="1"/>
      <c r="BSI1633" s="1"/>
      <c r="BSJ1633" s="1"/>
      <c r="BSK1633" s="1"/>
      <c r="BSL1633" s="1"/>
      <c r="BSM1633" s="1"/>
      <c r="BSN1633" s="1"/>
      <c r="BSO1633" s="1"/>
      <c r="BSP1633" s="1"/>
      <c r="BSQ1633" s="1"/>
      <c r="BSR1633" s="1"/>
      <c r="BSS1633" s="1"/>
      <c r="BST1633" s="1"/>
      <c r="BSU1633" s="1"/>
      <c r="BSV1633" s="1"/>
      <c r="BSW1633" s="1"/>
      <c r="BSX1633" s="1"/>
      <c r="BSY1633" s="1"/>
      <c r="BSZ1633" s="1"/>
      <c r="BTA1633" s="1"/>
      <c r="BTB1633" s="1"/>
      <c r="BTC1633" s="1"/>
      <c r="BTD1633" s="1"/>
      <c r="BTE1633" s="1"/>
      <c r="BTF1633" s="1"/>
      <c r="BTG1633" s="1"/>
      <c r="BTH1633" s="1"/>
      <c r="BTI1633" s="1"/>
      <c r="BTJ1633" s="1"/>
      <c r="BTK1633" s="1"/>
      <c r="BTL1633" s="1"/>
      <c r="BTM1633" s="1"/>
      <c r="BTN1633" s="1"/>
      <c r="BTO1633" s="1"/>
      <c r="BTP1633" s="1"/>
      <c r="BTQ1633" s="1"/>
      <c r="BTR1633" s="1"/>
      <c r="BTS1633" s="1"/>
      <c r="BTT1633" s="1"/>
      <c r="BTU1633" s="1"/>
      <c r="BTV1633" s="1"/>
      <c r="BTW1633" s="1"/>
      <c r="BTX1633" s="1"/>
      <c r="BTY1633" s="1"/>
      <c r="BTZ1633" s="1"/>
      <c r="BUA1633" s="1"/>
      <c r="BUB1633" s="1"/>
      <c r="BUC1633" s="1"/>
      <c r="BUD1633" s="1"/>
      <c r="BUE1633" s="1"/>
      <c r="BUF1633" s="1"/>
      <c r="BUG1633" s="1"/>
      <c r="BUH1633" s="1"/>
      <c r="BUI1633" s="1"/>
      <c r="BUJ1633" s="1"/>
      <c r="BUK1633" s="1"/>
      <c r="BUL1633" s="1"/>
      <c r="BUM1633" s="1"/>
      <c r="BUN1633" s="1"/>
      <c r="BUO1633" s="1"/>
      <c r="BUP1633" s="1"/>
      <c r="BUQ1633" s="1"/>
      <c r="BUR1633" s="1"/>
      <c r="BUS1633" s="1"/>
      <c r="BUT1633" s="1"/>
      <c r="BUU1633" s="1"/>
      <c r="BUV1633" s="1"/>
      <c r="BUW1633" s="1"/>
      <c r="BUX1633" s="1"/>
      <c r="BUY1633" s="1"/>
      <c r="BUZ1633" s="1"/>
      <c r="BVA1633" s="1"/>
      <c r="BVB1633" s="1"/>
      <c r="BVC1633" s="1"/>
      <c r="BVD1633" s="1"/>
      <c r="BVE1633" s="1"/>
      <c r="BVF1633" s="1"/>
      <c r="BVG1633" s="1"/>
      <c r="BVH1633" s="1"/>
      <c r="BVI1633" s="1"/>
      <c r="BVJ1633" s="1"/>
      <c r="BVK1633" s="1"/>
      <c r="BVL1633" s="1"/>
      <c r="BVM1633" s="1"/>
      <c r="BVN1633" s="1"/>
      <c r="BVO1633" s="1"/>
      <c r="BVP1633" s="1"/>
      <c r="BVQ1633" s="1"/>
      <c r="BVR1633" s="1"/>
      <c r="BVS1633" s="1"/>
      <c r="BVT1633" s="1"/>
      <c r="BVU1633" s="1"/>
      <c r="BVV1633" s="1"/>
      <c r="BVW1633" s="1"/>
      <c r="BVX1633" s="1"/>
      <c r="BVY1633" s="1"/>
      <c r="BVZ1633" s="1"/>
      <c r="BWA1633" s="1"/>
      <c r="BWB1633" s="1"/>
      <c r="BWC1633" s="1"/>
      <c r="BWD1633" s="1"/>
      <c r="BWE1633" s="1"/>
      <c r="BWF1633" s="1"/>
      <c r="BWG1633" s="1"/>
      <c r="BWH1633" s="1"/>
      <c r="BWI1633" s="1"/>
      <c r="BWJ1633" s="1"/>
      <c r="BWK1633" s="1"/>
      <c r="BWL1633" s="1"/>
      <c r="BWM1633" s="1"/>
      <c r="BWN1633" s="1"/>
      <c r="BWO1633" s="1"/>
      <c r="BWP1633" s="1"/>
      <c r="BWQ1633" s="1"/>
      <c r="BWR1633" s="1"/>
      <c r="BWS1633" s="1"/>
      <c r="BWT1633" s="1"/>
      <c r="BWU1633" s="1"/>
      <c r="BWV1633" s="1"/>
      <c r="BWW1633" s="1"/>
      <c r="BWX1633" s="1"/>
      <c r="BWY1633" s="1"/>
      <c r="BWZ1633" s="1"/>
      <c r="BXA1633" s="1"/>
      <c r="BXB1633" s="1"/>
      <c r="BXC1633" s="1"/>
      <c r="BXD1633" s="1"/>
      <c r="BXE1633" s="1"/>
      <c r="BXF1633" s="1"/>
      <c r="BXG1633" s="1"/>
      <c r="BXH1633" s="1"/>
      <c r="BXI1633" s="1"/>
      <c r="BXJ1633" s="1"/>
      <c r="BXK1633" s="1"/>
      <c r="BXL1633" s="1"/>
      <c r="BXM1633" s="1"/>
      <c r="BXN1633" s="1"/>
      <c r="BXO1633" s="1"/>
      <c r="BXP1633" s="1"/>
      <c r="BXQ1633" s="1"/>
      <c r="BXR1633" s="1"/>
      <c r="BXS1633" s="1"/>
      <c r="BXT1633" s="1"/>
      <c r="BXU1633" s="1"/>
      <c r="BXV1633" s="1"/>
      <c r="BXW1633" s="1"/>
      <c r="BXX1633" s="1"/>
      <c r="BXY1633" s="1"/>
      <c r="BXZ1633" s="1"/>
      <c r="BYA1633" s="1"/>
      <c r="BYB1633" s="1"/>
      <c r="BYC1633" s="1"/>
      <c r="BYD1633" s="1"/>
      <c r="BYE1633" s="1"/>
      <c r="BYF1633" s="1"/>
      <c r="BYG1633" s="1"/>
      <c r="BYH1633" s="1"/>
      <c r="BYI1633" s="1"/>
      <c r="BYJ1633" s="1"/>
      <c r="BYK1633" s="1"/>
      <c r="BYL1633" s="1"/>
      <c r="BYM1633" s="1"/>
      <c r="BYN1633" s="1"/>
      <c r="BYO1633" s="1"/>
      <c r="BYP1633" s="1"/>
      <c r="BYQ1633" s="1"/>
      <c r="BYR1633" s="1"/>
      <c r="BYS1633" s="1"/>
      <c r="BYT1633" s="1"/>
      <c r="BYU1633" s="1"/>
      <c r="BYV1633" s="1"/>
      <c r="BYW1633" s="1"/>
      <c r="BYX1633" s="1"/>
      <c r="BYY1633" s="1"/>
      <c r="BYZ1633" s="1"/>
      <c r="BZA1633" s="1"/>
      <c r="BZB1633" s="1"/>
      <c r="BZC1633" s="1"/>
      <c r="BZD1633" s="1"/>
      <c r="BZE1633" s="1"/>
      <c r="BZF1633" s="1"/>
      <c r="BZG1633" s="1"/>
      <c r="BZH1633" s="1"/>
      <c r="BZI1633" s="1"/>
      <c r="BZJ1633" s="1"/>
      <c r="BZK1633" s="1"/>
      <c r="BZL1633" s="1"/>
      <c r="BZM1633" s="1"/>
      <c r="BZN1633" s="1"/>
      <c r="BZO1633" s="1"/>
      <c r="BZP1633" s="1"/>
      <c r="BZQ1633" s="1"/>
      <c r="BZR1633" s="1"/>
      <c r="BZS1633" s="1"/>
      <c r="BZT1633" s="1"/>
      <c r="BZU1633" s="1"/>
      <c r="BZV1633" s="1"/>
      <c r="BZW1633" s="1"/>
      <c r="BZX1633" s="1"/>
      <c r="BZY1633" s="1"/>
      <c r="BZZ1633" s="1"/>
      <c r="CAA1633" s="1"/>
      <c r="CAB1633" s="1"/>
      <c r="CAC1633" s="1"/>
      <c r="CAD1633" s="1"/>
      <c r="CAE1633" s="1"/>
      <c r="CAF1633" s="1"/>
      <c r="CAG1633" s="1"/>
      <c r="CAH1633" s="1"/>
      <c r="CAI1633" s="1"/>
      <c r="CAJ1633" s="1"/>
      <c r="CAK1633" s="1"/>
      <c r="CAL1633" s="1"/>
      <c r="CAM1633" s="1"/>
      <c r="CAN1633" s="1"/>
      <c r="CAO1633" s="1"/>
      <c r="CAP1633" s="1"/>
      <c r="CAQ1633" s="1"/>
      <c r="CAR1633" s="1"/>
      <c r="CAS1633" s="1"/>
      <c r="CAT1633" s="1"/>
      <c r="CAU1633" s="1"/>
      <c r="CAV1633" s="1"/>
      <c r="CAW1633" s="1"/>
      <c r="CAX1633" s="1"/>
      <c r="CAY1633" s="1"/>
      <c r="CAZ1633" s="1"/>
      <c r="CBA1633" s="1"/>
      <c r="CBB1633" s="1"/>
      <c r="CBC1633" s="1"/>
      <c r="CBD1633" s="1"/>
      <c r="CBE1633" s="1"/>
      <c r="CBF1633" s="1"/>
      <c r="CBG1633" s="1"/>
      <c r="CBH1633" s="1"/>
      <c r="CBI1633" s="1"/>
      <c r="CBJ1633" s="1"/>
      <c r="CBK1633" s="1"/>
      <c r="CBL1633" s="1"/>
      <c r="CBM1633" s="1"/>
      <c r="CBN1633" s="1"/>
      <c r="CBO1633" s="1"/>
      <c r="CBP1633" s="1"/>
      <c r="CBQ1633" s="1"/>
      <c r="CBR1633" s="1"/>
      <c r="CBS1633" s="1"/>
      <c r="CBT1633" s="1"/>
      <c r="CBU1633" s="1"/>
      <c r="CBV1633" s="1"/>
      <c r="CBW1633" s="1"/>
      <c r="CBX1633" s="1"/>
      <c r="CBY1633" s="1"/>
      <c r="CBZ1633" s="1"/>
      <c r="CCA1633" s="1"/>
      <c r="CCB1633" s="1"/>
      <c r="CCC1633" s="1"/>
      <c r="CCD1633" s="1"/>
      <c r="CCE1633" s="1"/>
      <c r="CCF1633" s="1"/>
      <c r="CCG1633" s="1"/>
      <c r="CCH1633" s="1"/>
      <c r="CCI1633" s="1"/>
      <c r="CCJ1633" s="1"/>
      <c r="CCK1633" s="1"/>
      <c r="CCL1633" s="1"/>
      <c r="CCM1633" s="1"/>
      <c r="CCN1633" s="1"/>
      <c r="CCO1633" s="1"/>
      <c r="CCP1633" s="1"/>
      <c r="CCQ1633" s="1"/>
      <c r="CCR1633" s="1"/>
      <c r="CCS1633" s="1"/>
      <c r="CCT1633" s="1"/>
      <c r="CCU1633" s="1"/>
      <c r="CCV1633" s="1"/>
      <c r="CCW1633" s="1"/>
      <c r="CCX1633" s="1"/>
      <c r="CCY1633" s="1"/>
      <c r="CCZ1633" s="1"/>
      <c r="CDA1633" s="1"/>
      <c r="CDB1633" s="1"/>
      <c r="CDC1633" s="1"/>
      <c r="CDD1633" s="1"/>
      <c r="CDE1633" s="1"/>
      <c r="CDF1633" s="1"/>
      <c r="CDG1633" s="1"/>
      <c r="CDH1633" s="1"/>
      <c r="CDI1633" s="1"/>
      <c r="CDJ1633" s="1"/>
      <c r="CDK1633" s="1"/>
      <c r="CDL1633" s="1"/>
      <c r="CDM1633" s="1"/>
      <c r="CDN1633" s="1"/>
      <c r="CDO1633" s="1"/>
      <c r="CDP1633" s="1"/>
      <c r="CDQ1633" s="1"/>
      <c r="CDR1633" s="1"/>
      <c r="CDS1633" s="1"/>
      <c r="CDT1633" s="1"/>
      <c r="CDU1633" s="1"/>
      <c r="CDV1633" s="1"/>
      <c r="CDW1633" s="1"/>
      <c r="CDX1633" s="1"/>
      <c r="CDY1633" s="1"/>
      <c r="CDZ1633" s="1"/>
      <c r="CEA1633" s="1"/>
      <c r="CEB1633" s="1"/>
      <c r="CEC1633" s="1"/>
      <c r="CED1633" s="1"/>
      <c r="CEE1633" s="1"/>
      <c r="CEF1633" s="1"/>
      <c r="CEG1633" s="1"/>
      <c r="CEH1633" s="1"/>
      <c r="CEI1633" s="1"/>
      <c r="CEJ1633" s="1"/>
      <c r="CEK1633" s="1"/>
      <c r="CEL1633" s="1"/>
      <c r="CEM1633" s="1"/>
      <c r="CEN1633" s="1"/>
      <c r="CEO1633" s="1"/>
      <c r="CEP1633" s="1"/>
      <c r="CEQ1633" s="1"/>
      <c r="CER1633" s="1"/>
      <c r="CES1633" s="1"/>
      <c r="CET1633" s="1"/>
      <c r="CEU1633" s="1"/>
      <c r="CEV1633" s="1"/>
      <c r="CEW1633" s="1"/>
      <c r="CEX1633" s="1"/>
      <c r="CEY1633" s="1"/>
      <c r="CEZ1633" s="1"/>
      <c r="CFA1633" s="1"/>
      <c r="CFB1633" s="1"/>
      <c r="CFC1633" s="1"/>
      <c r="CFD1633" s="1"/>
      <c r="CFE1633" s="1"/>
      <c r="CFF1633" s="1"/>
      <c r="CFG1633" s="1"/>
      <c r="CFH1633" s="1"/>
      <c r="CFI1633" s="1"/>
      <c r="CFJ1633" s="1"/>
      <c r="CFK1633" s="1"/>
      <c r="CFL1633" s="1"/>
      <c r="CFM1633" s="1"/>
      <c r="CFN1633" s="1"/>
      <c r="CFO1633" s="1"/>
      <c r="CFP1633" s="1"/>
      <c r="CFQ1633" s="1"/>
      <c r="CFR1633" s="1"/>
      <c r="CFS1633" s="1"/>
      <c r="CFT1633" s="1"/>
      <c r="CFU1633" s="1"/>
      <c r="CFV1633" s="1"/>
      <c r="CFW1633" s="1"/>
      <c r="CFX1633" s="1"/>
      <c r="CFY1633" s="1"/>
      <c r="CFZ1633" s="1"/>
      <c r="CGA1633" s="1"/>
      <c r="CGB1633" s="1"/>
      <c r="CGC1633" s="1"/>
      <c r="CGD1633" s="1"/>
      <c r="CGE1633" s="1"/>
      <c r="CGF1633" s="1"/>
      <c r="CGG1633" s="1"/>
      <c r="CGH1633" s="1"/>
      <c r="CGI1633" s="1"/>
      <c r="CGJ1633" s="1"/>
      <c r="CGK1633" s="1"/>
      <c r="CGL1633" s="1"/>
      <c r="CGM1633" s="1"/>
      <c r="CGN1633" s="1"/>
      <c r="CGO1633" s="1"/>
      <c r="CGP1633" s="1"/>
      <c r="CGQ1633" s="1"/>
      <c r="CGR1633" s="1"/>
      <c r="CGS1633" s="1"/>
      <c r="CGT1633" s="1"/>
      <c r="CGU1633" s="1"/>
      <c r="CGV1633" s="1"/>
      <c r="CGW1633" s="1"/>
      <c r="CGX1633" s="1"/>
      <c r="CGY1633" s="1"/>
      <c r="CGZ1633" s="1"/>
      <c r="CHA1633" s="1"/>
      <c r="CHB1633" s="1"/>
      <c r="CHC1633" s="1"/>
      <c r="CHD1633" s="1"/>
      <c r="CHE1633" s="1"/>
      <c r="CHF1633" s="1"/>
      <c r="CHG1633" s="1"/>
      <c r="CHH1633" s="1"/>
      <c r="CHI1633" s="1"/>
      <c r="CHJ1633" s="1"/>
      <c r="CHK1633" s="1"/>
      <c r="CHL1633" s="1"/>
      <c r="CHM1633" s="1"/>
      <c r="CHN1633" s="1"/>
      <c r="CHO1633" s="1"/>
      <c r="CHP1633" s="1"/>
      <c r="CHQ1633" s="1"/>
      <c r="CHR1633" s="1"/>
      <c r="CHS1633" s="1"/>
      <c r="CHT1633" s="1"/>
      <c r="CHU1633" s="1"/>
      <c r="CHV1633" s="1"/>
      <c r="CHW1633" s="1"/>
      <c r="CHX1633" s="1"/>
      <c r="CHY1633" s="1"/>
      <c r="CHZ1633" s="1"/>
      <c r="CIA1633" s="1"/>
      <c r="CIB1633" s="1"/>
      <c r="CIC1633" s="1"/>
      <c r="CID1633" s="1"/>
      <c r="CIE1633" s="1"/>
      <c r="CIF1633" s="1"/>
      <c r="CIG1633" s="1"/>
      <c r="CIH1633" s="1"/>
      <c r="CII1633" s="1"/>
      <c r="CIJ1633" s="1"/>
      <c r="CIK1633" s="1"/>
      <c r="CIL1633" s="1"/>
      <c r="CIM1633" s="1"/>
      <c r="CIN1633" s="1"/>
      <c r="CIO1633" s="1"/>
      <c r="CIP1633" s="1"/>
      <c r="CIQ1633" s="1"/>
      <c r="CIR1633" s="1"/>
      <c r="CIS1633" s="1"/>
      <c r="CIT1633" s="1"/>
      <c r="CIU1633" s="1"/>
      <c r="CIV1633" s="1"/>
      <c r="CIW1633" s="1"/>
      <c r="CIX1633" s="1"/>
      <c r="CIY1633" s="1"/>
      <c r="CIZ1633" s="1"/>
      <c r="CJA1633" s="1"/>
      <c r="CJB1633" s="1"/>
      <c r="CJC1633" s="1"/>
      <c r="CJD1633" s="1"/>
      <c r="CJE1633" s="1"/>
      <c r="CJF1633" s="1"/>
      <c r="CJG1633" s="1"/>
      <c r="CJH1633" s="1"/>
      <c r="CJI1633" s="1"/>
      <c r="CJJ1633" s="1"/>
      <c r="CJK1633" s="1"/>
      <c r="CJL1633" s="1"/>
      <c r="CJM1633" s="1"/>
      <c r="CJN1633" s="1"/>
      <c r="CJO1633" s="1"/>
      <c r="CJP1633" s="1"/>
      <c r="CJQ1633" s="1"/>
      <c r="CJR1633" s="1"/>
      <c r="CJS1633" s="1"/>
      <c r="CJT1633" s="1"/>
      <c r="CJU1633" s="1"/>
      <c r="CJV1633" s="1"/>
      <c r="CJW1633" s="1"/>
      <c r="CJX1633" s="1"/>
      <c r="CJY1633" s="1"/>
      <c r="CJZ1633" s="1"/>
      <c r="CKA1633" s="1"/>
      <c r="CKB1633" s="1"/>
      <c r="CKC1633" s="1"/>
      <c r="CKD1633" s="1"/>
      <c r="CKE1633" s="1"/>
      <c r="CKF1633" s="1"/>
      <c r="CKG1633" s="1"/>
      <c r="CKH1633" s="1"/>
      <c r="CKI1633" s="1"/>
      <c r="CKJ1633" s="1"/>
      <c r="CKK1633" s="1"/>
      <c r="CKL1633" s="1"/>
      <c r="CKM1633" s="1"/>
      <c r="CKN1633" s="1"/>
      <c r="CKO1633" s="1"/>
      <c r="CKP1633" s="1"/>
      <c r="CKQ1633" s="1"/>
      <c r="CKR1633" s="1"/>
      <c r="CKS1633" s="1"/>
      <c r="CKT1633" s="1"/>
      <c r="CKU1633" s="1"/>
      <c r="CKV1633" s="1"/>
      <c r="CKW1633" s="1"/>
      <c r="CKX1633" s="1"/>
      <c r="CKY1633" s="1"/>
      <c r="CKZ1633" s="1"/>
      <c r="CLA1633" s="1"/>
      <c r="CLB1633" s="1"/>
      <c r="CLC1633" s="1"/>
      <c r="CLD1633" s="1"/>
      <c r="CLE1633" s="1"/>
      <c r="CLF1633" s="1"/>
      <c r="CLG1633" s="1"/>
      <c r="CLH1633" s="1"/>
      <c r="CLI1633" s="1"/>
      <c r="CLJ1633" s="1"/>
      <c r="CLK1633" s="1"/>
      <c r="CLL1633" s="1"/>
      <c r="CLM1633" s="1"/>
      <c r="CLN1633" s="1"/>
      <c r="CLO1633" s="1"/>
      <c r="CLP1633" s="1"/>
      <c r="CLQ1633" s="1"/>
      <c r="CLR1633" s="1"/>
      <c r="CLS1633" s="1"/>
      <c r="CLT1633" s="1"/>
      <c r="CLU1633" s="1"/>
      <c r="CLV1633" s="1"/>
      <c r="CLW1633" s="1"/>
      <c r="CLX1633" s="1"/>
      <c r="CLY1633" s="1"/>
      <c r="CLZ1633" s="1"/>
      <c r="CMA1633" s="1"/>
      <c r="CMB1633" s="1"/>
      <c r="CMC1633" s="1"/>
      <c r="CMD1633" s="1"/>
      <c r="CME1633" s="1"/>
      <c r="CMF1633" s="1"/>
      <c r="CMG1633" s="1"/>
      <c r="CMH1633" s="1"/>
      <c r="CMI1633" s="1"/>
      <c r="CMJ1633" s="1"/>
      <c r="CMK1633" s="1"/>
      <c r="CML1633" s="1"/>
      <c r="CMM1633" s="1"/>
      <c r="CMN1633" s="1"/>
      <c r="CMO1633" s="1"/>
      <c r="CMP1633" s="1"/>
      <c r="CMQ1633" s="1"/>
      <c r="CMR1633" s="1"/>
      <c r="CMS1633" s="1"/>
      <c r="CMT1633" s="1"/>
      <c r="CMU1633" s="1"/>
      <c r="CMV1633" s="1"/>
      <c r="CMW1633" s="1"/>
      <c r="CMX1633" s="1"/>
      <c r="CMY1633" s="1"/>
      <c r="CMZ1633" s="1"/>
      <c r="CNA1633" s="1"/>
      <c r="CNB1633" s="1"/>
      <c r="CNC1633" s="1"/>
      <c r="CND1633" s="1"/>
      <c r="CNE1633" s="1"/>
      <c r="CNF1633" s="1"/>
      <c r="CNG1633" s="1"/>
      <c r="CNH1633" s="1"/>
      <c r="CNI1633" s="1"/>
      <c r="CNJ1633" s="1"/>
      <c r="CNK1633" s="1"/>
      <c r="CNL1633" s="1"/>
      <c r="CNM1633" s="1"/>
      <c r="CNN1633" s="1"/>
      <c r="CNO1633" s="1"/>
      <c r="CNP1633" s="1"/>
      <c r="CNQ1633" s="1"/>
      <c r="CNR1633" s="1"/>
      <c r="CNS1633" s="1"/>
      <c r="CNT1633" s="1"/>
      <c r="CNU1633" s="1"/>
      <c r="CNV1633" s="1"/>
      <c r="CNW1633" s="1"/>
      <c r="CNX1633" s="1"/>
      <c r="CNY1633" s="1"/>
      <c r="CNZ1633" s="1"/>
      <c r="COA1633" s="1"/>
      <c r="COB1633" s="1"/>
      <c r="COC1633" s="1"/>
      <c r="COD1633" s="1"/>
      <c r="COE1633" s="1"/>
      <c r="COF1633" s="1"/>
      <c r="COG1633" s="1"/>
      <c r="COH1633" s="1"/>
      <c r="COI1633" s="1"/>
      <c r="COJ1633" s="1"/>
      <c r="COK1633" s="1"/>
      <c r="COL1633" s="1"/>
      <c r="COM1633" s="1"/>
      <c r="CON1633" s="1"/>
      <c r="COO1633" s="1"/>
      <c r="COP1633" s="1"/>
      <c r="COQ1633" s="1"/>
      <c r="COR1633" s="1"/>
      <c r="COS1633" s="1"/>
      <c r="COT1633" s="1"/>
      <c r="COU1633" s="1"/>
      <c r="COV1633" s="1"/>
      <c r="COW1633" s="1"/>
      <c r="COX1633" s="1"/>
      <c r="COY1633" s="1"/>
      <c r="COZ1633" s="1"/>
      <c r="CPA1633" s="1"/>
      <c r="CPB1633" s="1"/>
      <c r="CPC1633" s="1"/>
      <c r="CPD1633" s="1"/>
      <c r="CPE1633" s="1"/>
      <c r="CPF1633" s="1"/>
      <c r="CPG1633" s="1"/>
      <c r="CPH1633" s="1"/>
      <c r="CPI1633" s="1"/>
      <c r="CPJ1633" s="1"/>
      <c r="CPK1633" s="1"/>
      <c r="CPL1633" s="1"/>
      <c r="CPM1633" s="1"/>
      <c r="CPN1633" s="1"/>
      <c r="CPO1633" s="1"/>
      <c r="CPP1633" s="1"/>
      <c r="CPQ1633" s="1"/>
      <c r="CPR1633" s="1"/>
      <c r="CPS1633" s="1"/>
      <c r="CPT1633" s="1"/>
      <c r="CPU1633" s="1"/>
      <c r="CPV1633" s="1"/>
      <c r="CPW1633" s="1"/>
      <c r="CPX1633" s="1"/>
      <c r="CPY1633" s="1"/>
      <c r="CPZ1633" s="1"/>
      <c r="CQA1633" s="1"/>
      <c r="CQB1633" s="1"/>
      <c r="CQC1633" s="1"/>
      <c r="CQD1633" s="1"/>
      <c r="CQE1633" s="1"/>
      <c r="CQF1633" s="1"/>
      <c r="CQG1633" s="1"/>
      <c r="CQH1633" s="1"/>
      <c r="CQI1633" s="1"/>
      <c r="CQJ1633" s="1"/>
      <c r="CQK1633" s="1"/>
      <c r="CQL1633" s="1"/>
      <c r="CQM1633" s="1"/>
      <c r="CQN1633" s="1"/>
      <c r="CQO1633" s="1"/>
      <c r="CQP1633" s="1"/>
      <c r="CQQ1633" s="1"/>
      <c r="CQR1633" s="1"/>
      <c r="CQS1633" s="1"/>
      <c r="CQT1633" s="1"/>
      <c r="CQU1633" s="1"/>
      <c r="CQV1633" s="1"/>
      <c r="CQW1633" s="1"/>
      <c r="CQX1633" s="1"/>
      <c r="CQY1633" s="1"/>
      <c r="CQZ1633" s="1"/>
      <c r="CRA1633" s="1"/>
      <c r="CRB1633" s="1"/>
      <c r="CRC1633" s="1"/>
      <c r="CRD1633" s="1"/>
      <c r="CRE1633" s="1"/>
      <c r="CRF1633" s="1"/>
      <c r="CRG1633" s="1"/>
      <c r="CRH1633" s="1"/>
      <c r="CRI1633" s="1"/>
      <c r="CRJ1633" s="1"/>
      <c r="CRK1633" s="1"/>
      <c r="CRL1633" s="1"/>
      <c r="CRM1633" s="1"/>
      <c r="CRN1633" s="1"/>
      <c r="CRO1633" s="1"/>
      <c r="CRP1633" s="1"/>
      <c r="CRQ1633" s="1"/>
      <c r="CRR1633" s="1"/>
      <c r="CRS1633" s="1"/>
      <c r="CRT1633" s="1"/>
      <c r="CRU1633" s="1"/>
      <c r="CRV1633" s="1"/>
      <c r="CRW1633" s="1"/>
      <c r="CRX1633" s="1"/>
      <c r="CRY1633" s="1"/>
      <c r="CRZ1633" s="1"/>
      <c r="CSA1633" s="1"/>
      <c r="CSB1633" s="1"/>
      <c r="CSC1633" s="1"/>
      <c r="CSD1633" s="1"/>
      <c r="CSE1633" s="1"/>
      <c r="CSF1633" s="1"/>
      <c r="CSG1633" s="1"/>
      <c r="CSH1633" s="1"/>
      <c r="CSI1633" s="1"/>
      <c r="CSJ1633" s="1"/>
      <c r="CSK1633" s="1"/>
      <c r="CSL1633" s="1"/>
      <c r="CSM1633" s="1"/>
      <c r="CSN1633" s="1"/>
      <c r="CSO1633" s="1"/>
      <c r="CSP1633" s="1"/>
      <c r="CSQ1633" s="1"/>
      <c r="CSR1633" s="1"/>
      <c r="CSS1633" s="1"/>
      <c r="CST1633" s="1"/>
      <c r="CSU1633" s="1"/>
      <c r="CSV1633" s="1"/>
      <c r="CSW1633" s="1"/>
      <c r="CSX1633" s="1"/>
      <c r="CSY1633" s="1"/>
      <c r="CSZ1633" s="1"/>
      <c r="CTA1633" s="1"/>
      <c r="CTB1633" s="1"/>
      <c r="CTC1633" s="1"/>
      <c r="CTD1633" s="1"/>
      <c r="CTE1633" s="1"/>
      <c r="CTF1633" s="1"/>
      <c r="CTG1633" s="1"/>
      <c r="CTH1633" s="1"/>
      <c r="CTI1633" s="1"/>
      <c r="CTJ1633" s="1"/>
      <c r="CTK1633" s="1"/>
      <c r="CTL1633" s="1"/>
      <c r="CTM1633" s="1"/>
      <c r="CTN1633" s="1"/>
      <c r="CTO1633" s="1"/>
      <c r="CTP1633" s="1"/>
      <c r="CTQ1633" s="1"/>
      <c r="CTR1633" s="1"/>
      <c r="CTS1633" s="1"/>
      <c r="CTT1633" s="1"/>
      <c r="CTU1633" s="1"/>
      <c r="CTV1633" s="1"/>
      <c r="CTW1633" s="1"/>
      <c r="CTX1633" s="1"/>
      <c r="CTY1633" s="1"/>
      <c r="CTZ1633" s="1"/>
      <c r="CUA1633" s="1"/>
      <c r="CUB1633" s="1"/>
      <c r="CUC1633" s="1"/>
      <c r="CUD1633" s="1"/>
      <c r="CUE1633" s="1"/>
      <c r="CUF1633" s="1"/>
      <c r="CUG1633" s="1"/>
      <c r="CUH1633" s="1"/>
      <c r="CUI1633" s="1"/>
      <c r="CUJ1633" s="1"/>
      <c r="CUK1633" s="1"/>
      <c r="CUL1633" s="1"/>
      <c r="CUM1633" s="1"/>
      <c r="CUN1633" s="1"/>
      <c r="CUO1633" s="1"/>
      <c r="CUP1633" s="1"/>
      <c r="CUQ1633" s="1"/>
      <c r="CUR1633" s="1"/>
      <c r="CUS1633" s="1"/>
      <c r="CUT1633" s="1"/>
      <c r="CUU1633" s="1"/>
      <c r="CUV1633" s="1"/>
      <c r="CUW1633" s="1"/>
      <c r="CUX1633" s="1"/>
      <c r="CUY1633" s="1"/>
      <c r="CUZ1633" s="1"/>
      <c r="CVA1633" s="1"/>
      <c r="CVB1633" s="1"/>
      <c r="CVC1633" s="1"/>
      <c r="CVD1633" s="1"/>
      <c r="CVE1633" s="1"/>
      <c r="CVF1633" s="1"/>
      <c r="CVG1633" s="1"/>
      <c r="CVH1633" s="1"/>
      <c r="CVI1633" s="1"/>
      <c r="CVJ1633" s="1"/>
      <c r="CVK1633" s="1"/>
      <c r="CVL1633" s="1"/>
      <c r="CVM1633" s="1"/>
      <c r="CVN1633" s="1"/>
      <c r="CVO1633" s="1"/>
      <c r="CVP1633" s="1"/>
      <c r="CVQ1633" s="1"/>
      <c r="CVR1633" s="1"/>
      <c r="CVS1633" s="1"/>
      <c r="CVT1633" s="1"/>
      <c r="CVU1633" s="1"/>
      <c r="CVV1633" s="1"/>
      <c r="CVW1633" s="1"/>
      <c r="CVX1633" s="1"/>
      <c r="CVY1633" s="1"/>
      <c r="CVZ1633" s="1"/>
      <c r="CWA1633" s="1"/>
      <c r="CWB1633" s="1"/>
      <c r="CWC1633" s="1"/>
      <c r="CWD1633" s="1"/>
      <c r="CWE1633" s="1"/>
      <c r="CWF1633" s="1"/>
      <c r="CWG1633" s="1"/>
      <c r="CWH1633" s="1"/>
      <c r="CWI1633" s="1"/>
      <c r="CWJ1633" s="1"/>
      <c r="CWK1633" s="1"/>
      <c r="CWL1633" s="1"/>
      <c r="CWM1633" s="1"/>
      <c r="CWN1633" s="1"/>
      <c r="CWO1633" s="1"/>
      <c r="CWP1633" s="1"/>
      <c r="CWQ1633" s="1"/>
      <c r="CWR1633" s="1"/>
      <c r="CWS1633" s="1"/>
      <c r="CWT1633" s="1"/>
      <c r="CWU1633" s="1"/>
      <c r="CWV1633" s="1"/>
      <c r="CWW1633" s="1"/>
      <c r="CWX1633" s="1"/>
      <c r="CWY1633" s="1"/>
      <c r="CWZ1633" s="1"/>
      <c r="CXA1633" s="1"/>
      <c r="CXB1633" s="1"/>
      <c r="CXC1633" s="1"/>
      <c r="CXD1633" s="1"/>
      <c r="CXE1633" s="1"/>
      <c r="CXF1633" s="1"/>
      <c r="CXG1633" s="1"/>
      <c r="CXH1633" s="1"/>
      <c r="CXI1633" s="1"/>
      <c r="CXJ1633" s="1"/>
      <c r="CXK1633" s="1"/>
      <c r="CXL1633" s="1"/>
      <c r="CXM1633" s="1"/>
      <c r="CXN1633" s="1"/>
      <c r="CXO1633" s="1"/>
      <c r="CXP1633" s="1"/>
      <c r="CXQ1633" s="1"/>
      <c r="CXR1633" s="1"/>
      <c r="CXS1633" s="1"/>
      <c r="CXT1633" s="1"/>
      <c r="CXU1633" s="1"/>
      <c r="CXV1633" s="1"/>
      <c r="CXW1633" s="1"/>
      <c r="CXX1633" s="1"/>
      <c r="CXY1633" s="1"/>
      <c r="CXZ1633" s="1"/>
      <c r="CYA1633" s="1"/>
      <c r="CYB1633" s="1"/>
      <c r="CYC1633" s="1"/>
      <c r="CYD1633" s="1"/>
      <c r="CYE1633" s="1"/>
      <c r="CYF1633" s="1"/>
      <c r="CYG1633" s="1"/>
      <c r="CYH1633" s="1"/>
      <c r="CYI1633" s="1"/>
      <c r="CYJ1633" s="1"/>
      <c r="CYK1633" s="1"/>
      <c r="CYL1633" s="1"/>
      <c r="CYM1633" s="1"/>
      <c r="CYN1633" s="1"/>
      <c r="CYO1633" s="1"/>
      <c r="CYP1633" s="1"/>
      <c r="CYQ1633" s="1"/>
      <c r="CYR1633" s="1"/>
      <c r="CYS1633" s="1"/>
      <c r="CYT1633" s="1"/>
      <c r="CYU1633" s="1"/>
      <c r="CYV1633" s="1"/>
      <c r="CYW1633" s="1"/>
      <c r="CYX1633" s="1"/>
      <c r="CYY1633" s="1"/>
      <c r="CYZ1633" s="1"/>
      <c r="CZA1633" s="1"/>
      <c r="CZB1633" s="1"/>
      <c r="CZC1633" s="1"/>
      <c r="CZD1633" s="1"/>
      <c r="CZE1633" s="1"/>
      <c r="CZF1633" s="1"/>
      <c r="CZG1633" s="1"/>
      <c r="CZH1633" s="1"/>
      <c r="CZI1633" s="1"/>
      <c r="CZJ1633" s="1"/>
      <c r="CZK1633" s="1"/>
      <c r="CZL1633" s="1"/>
      <c r="CZM1633" s="1"/>
      <c r="CZN1633" s="1"/>
      <c r="CZO1633" s="1"/>
      <c r="CZP1633" s="1"/>
      <c r="CZQ1633" s="1"/>
      <c r="CZR1633" s="1"/>
      <c r="CZS1633" s="1"/>
      <c r="CZT1633" s="1"/>
      <c r="CZU1633" s="1"/>
      <c r="CZV1633" s="1"/>
      <c r="CZW1633" s="1"/>
      <c r="CZX1633" s="1"/>
      <c r="CZY1633" s="1"/>
      <c r="CZZ1633" s="1"/>
      <c r="DAA1633" s="1"/>
      <c r="DAB1633" s="1"/>
      <c r="DAC1633" s="1"/>
      <c r="DAD1633" s="1"/>
      <c r="DAE1633" s="1"/>
      <c r="DAF1633" s="1"/>
      <c r="DAG1633" s="1"/>
      <c r="DAH1633" s="1"/>
      <c r="DAI1633" s="1"/>
      <c r="DAJ1633" s="1"/>
      <c r="DAK1633" s="1"/>
      <c r="DAL1633" s="1"/>
      <c r="DAM1633" s="1"/>
      <c r="DAN1633" s="1"/>
      <c r="DAO1633" s="1"/>
      <c r="DAP1633" s="1"/>
      <c r="DAQ1633" s="1"/>
      <c r="DAR1633" s="1"/>
      <c r="DAS1633" s="1"/>
      <c r="DAT1633" s="1"/>
      <c r="DAU1633" s="1"/>
      <c r="DAV1633" s="1"/>
      <c r="DAW1633" s="1"/>
      <c r="DAX1633" s="1"/>
      <c r="DAY1633" s="1"/>
      <c r="DAZ1633" s="1"/>
      <c r="DBA1633" s="1"/>
      <c r="DBB1633" s="1"/>
      <c r="DBC1633" s="1"/>
      <c r="DBD1633" s="1"/>
      <c r="DBE1633" s="1"/>
      <c r="DBF1633" s="1"/>
      <c r="DBG1633" s="1"/>
      <c r="DBH1633" s="1"/>
      <c r="DBI1633" s="1"/>
      <c r="DBJ1633" s="1"/>
      <c r="DBK1633" s="1"/>
      <c r="DBL1633" s="1"/>
      <c r="DBM1633" s="1"/>
      <c r="DBN1633" s="1"/>
      <c r="DBO1633" s="1"/>
      <c r="DBP1633" s="1"/>
      <c r="DBQ1633" s="1"/>
      <c r="DBR1633" s="1"/>
      <c r="DBS1633" s="1"/>
      <c r="DBT1633" s="1"/>
      <c r="DBU1633" s="1"/>
      <c r="DBV1633" s="1"/>
      <c r="DBW1633" s="1"/>
      <c r="DBX1633" s="1"/>
      <c r="DBY1633" s="1"/>
      <c r="DBZ1633" s="1"/>
      <c r="DCA1633" s="1"/>
      <c r="DCB1633" s="1"/>
      <c r="DCC1633" s="1"/>
      <c r="DCD1633" s="1"/>
      <c r="DCE1633" s="1"/>
      <c r="DCF1633" s="1"/>
      <c r="DCG1633" s="1"/>
      <c r="DCH1633" s="1"/>
      <c r="DCI1633" s="1"/>
      <c r="DCJ1633" s="1"/>
      <c r="DCK1633" s="1"/>
      <c r="DCL1633" s="1"/>
      <c r="DCM1633" s="1"/>
      <c r="DCN1633" s="1"/>
      <c r="DCO1633" s="1"/>
      <c r="DCP1633" s="1"/>
      <c r="DCQ1633" s="1"/>
      <c r="DCR1633" s="1"/>
      <c r="DCS1633" s="1"/>
      <c r="DCT1633" s="1"/>
      <c r="DCU1633" s="1"/>
      <c r="DCV1633" s="1"/>
      <c r="DCW1633" s="1"/>
      <c r="DCX1633" s="1"/>
      <c r="DCY1633" s="1"/>
      <c r="DCZ1633" s="1"/>
      <c r="DDA1633" s="1"/>
      <c r="DDB1633" s="1"/>
      <c r="DDC1633" s="1"/>
      <c r="DDD1633" s="1"/>
      <c r="DDE1633" s="1"/>
      <c r="DDF1633" s="1"/>
      <c r="DDG1633" s="1"/>
      <c r="DDH1633" s="1"/>
      <c r="DDI1633" s="1"/>
      <c r="DDJ1633" s="1"/>
      <c r="DDK1633" s="1"/>
      <c r="DDL1633" s="1"/>
      <c r="DDM1633" s="1"/>
      <c r="DDN1633" s="1"/>
      <c r="DDO1633" s="1"/>
      <c r="DDP1633" s="1"/>
      <c r="DDQ1633" s="1"/>
      <c r="DDR1633" s="1"/>
      <c r="DDS1633" s="1"/>
      <c r="DDT1633" s="1"/>
      <c r="DDU1633" s="1"/>
      <c r="DDV1633" s="1"/>
      <c r="DDW1633" s="1"/>
      <c r="DDX1633" s="1"/>
      <c r="DDY1633" s="1"/>
      <c r="DDZ1633" s="1"/>
      <c r="DEA1633" s="1"/>
      <c r="DEB1633" s="1"/>
      <c r="DEC1633" s="1"/>
      <c r="DED1633" s="1"/>
      <c r="DEE1633" s="1"/>
      <c r="DEF1633" s="1"/>
      <c r="DEG1633" s="1"/>
      <c r="DEH1633" s="1"/>
      <c r="DEI1633" s="1"/>
      <c r="DEJ1633" s="1"/>
      <c r="DEK1633" s="1"/>
      <c r="DEL1633" s="1"/>
      <c r="DEM1633" s="1"/>
      <c r="DEN1633" s="1"/>
      <c r="DEO1633" s="1"/>
      <c r="DEP1633" s="1"/>
      <c r="DEQ1633" s="1"/>
      <c r="DER1633" s="1"/>
      <c r="DES1633" s="1"/>
      <c r="DET1633" s="1"/>
      <c r="DEU1633" s="1"/>
      <c r="DEV1633" s="1"/>
      <c r="DEW1633" s="1"/>
      <c r="DEX1633" s="1"/>
      <c r="DEY1633" s="1"/>
      <c r="DEZ1633" s="1"/>
      <c r="DFA1633" s="1"/>
      <c r="DFB1633" s="1"/>
      <c r="DFC1633" s="1"/>
      <c r="DFD1633" s="1"/>
      <c r="DFE1633" s="1"/>
      <c r="DFF1633" s="1"/>
      <c r="DFG1633" s="1"/>
      <c r="DFH1633" s="1"/>
      <c r="DFI1633" s="1"/>
      <c r="DFJ1633" s="1"/>
      <c r="DFK1633" s="1"/>
      <c r="DFL1633" s="1"/>
      <c r="DFM1633" s="1"/>
      <c r="DFN1633" s="1"/>
      <c r="DFO1633" s="1"/>
      <c r="DFP1633" s="1"/>
      <c r="DFQ1633" s="1"/>
      <c r="DFR1633" s="1"/>
      <c r="DFS1633" s="1"/>
      <c r="DFT1633" s="1"/>
      <c r="DFU1633" s="1"/>
      <c r="DFV1633" s="1"/>
      <c r="DFW1633" s="1"/>
      <c r="DFX1633" s="1"/>
      <c r="DFY1633" s="1"/>
      <c r="DFZ1633" s="1"/>
      <c r="DGA1633" s="1"/>
      <c r="DGB1633" s="1"/>
      <c r="DGC1633" s="1"/>
      <c r="DGD1633" s="1"/>
      <c r="DGE1633" s="1"/>
      <c r="DGF1633" s="1"/>
      <c r="DGG1633" s="1"/>
      <c r="DGH1633" s="1"/>
      <c r="DGI1633" s="1"/>
      <c r="DGJ1633" s="1"/>
      <c r="DGK1633" s="1"/>
      <c r="DGL1633" s="1"/>
      <c r="DGM1633" s="1"/>
      <c r="DGN1633" s="1"/>
      <c r="DGO1633" s="1"/>
      <c r="DGP1633" s="1"/>
      <c r="DGQ1633" s="1"/>
      <c r="DGR1633" s="1"/>
      <c r="DGS1633" s="1"/>
      <c r="DGT1633" s="1"/>
      <c r="DGU1633" s="1"/>
      <c r="DGV1633" s="1"/>
      <c r="DGW1633" s="1"/>
      <c r="DGX1633" s="1"/>
      <c r="DGY1633" s="1"/>
      <c r="DGZ1633" s="1"/>
      <c r="DHA1633" s="1"/>
      <c r="DHB1633" s="1"/>
      <c r="DHC1633" s="1"/>
      <c r="DHD1633" s="1"/>
      <c r="DHE1633" s="1"/>
      <c r="DHF1633" s="1"/>
      <c r="DHG1633" s="1"/>
      <c r="DHH1633" s="1"/>
      <c r="DHI1633" s="1"/>
      <c r="DHJ1633" s="1"/>
      <c r="DHK1633" s="1"/>
      <c r="DHL1633" s="1"/>
      <c r="DHM1633" s="1"/>
      <c r="DHN1633" s="1"/>
      <c r="DHO1633" s="1"/>
      <c r="DHP1633" s="1"/>
      <c r="DHQ1633" s="1"/>
      <c r="DHR1633" s="1"/>
      <c r="DHS1633" s="1"/>
      <c r="DHT1633" s="1"/>
      <c r="DHU1633" s="1"/>
      <c r="DHV1633" s="1"/>
      <c r="DHW1633" s="1"/>
      <c r="DHX1633" s="1"/>
      <c r="DHY1633" s="1"/>
      <c r="DHZ1633" s="1"/>
      <c r="DIA1633" s="1"/>
      <c r="DIB1633" s="1"/>
      <c r="DIC1633" s="1"/>
      <c r="DID1633" s="1"/>
      <c r="DIE1633" s="1"/>
      <c r="DIF1633" s="1"/>
      <c r="DIG1633" s="1"/>
      <c r="DIH1633" s="1"/>
      <c r="DII1633" s="1"/>
      <c r="DIJ1633" s="1"/>
      <c r="DIK1633" s="1"/>
      <c r="DIL1633" s="1"/>
      <c r="DIM1633" s="1"/>
      <c r="DIN1633" s="1"/>
      <c r="DIO1633" s="1"/>
      <c r="DIP1633" s="1"/>
      <c r="DIQ1633" s="1"/>
      <c r="DIR1633" s="1"/>
      <c r="DIS1633" s="1"/>
      <c r="DIT1633" s="1"/>
      <c r="DIU1633" s="1"/>
      <c r="DIV1633" s="1"/>
      <c r="DIW1633" s="1"/>
      <c r="DIX1633" s="1"/>
      <c r="DIY1633" s="1"/>
      <c r="DIZ1633" s="1"/>
      <c r="DJA1633" s="1"/>
      <c r="DJB1633" s="1"/>
      <c r="DJC1633" s="1"/>
      <c r="DJD1633" s="1"/>
      <c r="DJE1633" s="1"/>
      <c r="DJF1633" s="1"/>
      <c r="DJG1633" s="1"/>
      <c r="DJH1633" s="1"/>
      <c r="DJI1633" s="1"/>
      <c r="DJJ1633" s="1"/>
      <c r="DJK1633" s="1"/>
      <c r="DJL1633" s="1"/>
      <c r="DJM1633" s="1"/>
      <c r="DJN1633" s="1"/>
      <c r="DJO1633" s="1"/>
      <c r="DJP1633" s="1"/>
      <c r="DJQ1633" s="1"/>
      <c r="DJR1633" s="1"/>
      <c r="DJS1633" s="1"/>
      <c r="DJT1633" s="1"/>
      <c r="DJU1633" s="1"/>
      <c r="DJV1633" s="1"/>
      <c r="DJW1633" s="1"/>
      <c r="DJX1633" s="1"/>
      <c r="DJY1633" s="1"/>
      <c r="DJZ1633" s="1"/>
      <c r="DKA1633" s="1"/>
      <c r="DKB1633" s="1"/>
      <c r="DKC1633" s="1"/>
      <c r="DKD1633" s="1"/>
      <c r="DKE1633" s="1"/>
      <c r="DKF1633" s="1"/>
      <c r="DKG1633" s="1"/>
      <c r="DKH1633" s="1"/>
      <c r="DKI1633" s="1"/>
      <c r="DKJ1633" s="1"/>
      <c r="DKK1633" s="1"/>
      <c r="DKL1633" s="1"/>
      <c r="DKM1633" s="1"/>
      <c r="DKN1633" s="1"/>
      <c r="DKO1633" s="1"/>
      <c r="DKP1633" s="1"/>
      <c r="DKQ1633" s="1"/>
      <c r="DKR1633" s="1"/>
      <c r="DKS1633" s="1"/>
      <c r="DKT1633" s="1"/>
      <c r="DKU1633" s="1"/>
      <c r="DKV1633" s="1"/>
      <c r="DKW1633" s="1"/>
      <c r="DKX1633" s="1"/>
      <c r="DKY1633" s="1"/>
      <c r="DKZ1633" s="1"/>
      <c r="DLA1633" s="1"/>
      <c r="DLB1633" s="1"/>
      <c r="DLC1633" s="1"/>
      <c r="DLD1633" s="1"/>
      <c r="DLE1633" s="1"/>
      <c r="DLF1633" s="1"/>
      <c r="DLG1633" s="1"/>
      <c r="DLH1633" s="1"/>
      <c r="DLI1633" s="1"/>
      <c r="DLJ1633" s="1"/>
      <c r="DLK1633" s="1"/>
      <c r="DLL1633" s="1"/>
      <c r="DLM1633" s="1"/>
      <c r="DLN1633" s="1"/>
      <c r="DLO1633" s="1"/>
      <c r="DLP1633" s="1"/>
      <c r="DLQ1633" s="1"/>
      <c r="DLR1633" s="1"/>
      <c r="DLS1633" s="1"/>
      <c r="DLT1633" s="1"/>
      <c r="DLU1633" s="1"/>
      <c r="DLV1633" s="1"/>
      <c r="DLW1633" s="1"/>
      <c r="DLX1633" s="1"/>
      <c r="DLY1633" s="1"/>
      <c r="DLZ1633" s="1"/>
      <c r="DMA1633" s="1"/>
      <c r="DMB1633" s="1"/>
      <c r="DMC1633" s="1"/>
      <c r="DMD1633" s="1"/>
      <c r="DME1633" s="1"/>
      <c r="DMF1633" s="1"/>
      <c r="DMG1633" s="1"/>
      <c r="DMH1633" s="1"/>
      <c r="DMI1633" s="1"/>
      <c r="DMJ1633" s="1"/>
      <c r="DMK1633" s="1"/>
      <c r="DML1633" s="1"/>
      <c r="DMM1633" s="1"/>
      <c r="DMN1633" s="1"/>
      <c r="DMO1633" s="1"/>
      <c r="DMP1633" s="1"/>
      <c r="DMQ1633" s="1"/>
      <c r="DMR1633" s="1"/>
      <c r="DMS1633" s="1"/>
      <c r="DMT1633" s="1"/>
      <c r="DMU1633" s="1"/>
      <c r="DMV1633" s="1"/>
      <c r="DMW1633" s="1"/>
      <c r="DMX1633" s="1"/>
      <c r="DMY1633" s="1"/>
      <c r="DMZ1633" s="1"/>
      <c r="DNA1633" s="1"/>
      <c r="DNB1633" s="1"/>
      <c r="DNC1633" s="1"/>
      <c r="DND1633" s="1"/>
      <c r="DNE1633" s="1"/>
      <c r="DNF1633" s="1"/>
      <c r="DNG1633" s="1"/>
      <c r="DNH1633" s="1"/>
      <c r="DNI1633" s="1"/>
      <c r="DNJ1633" s="1"/>
      <c r="DNK1633" s="1"/>
      <c r="DNL1633" s="1"/>
      <c r="DNM1633" s="1"/>
      <c r="DNN1633" s="1"/>
      <c r="DNO1633" s="1"/>
      <c r="DNP1633" s="1"/>
      <c r="DNQ1633" s="1"/>
      <c r="DNR1633" s="1"/>
      <c r="DNS1633" s="1"/>
      <c r="DNT1633" s="1"/>
      <c r="DNU1633" s="1"/>
      <c r="DNV1633" s="1"/>
      <c r="DNW1633" s="1"/>
      <c r="DNX1633" s="1"/>
      <c r="DNY1633" s="1"/>
      <c r="DNZ1633" s="1"/>
      <c r="DOA1633" s="1"/>
      <c r="DOB1633" s="1"/>
      <c r="DOC1633" s="1"/>
      <c r="DOD1633" s="1"/>
      <c r="DOE1633" s="1"/>
      <c r="DOF1633" s="1"/>
      <c r="DOG1633" s="1"/>
      <c r="DOH1633" s="1"/>
      <c r="DOI1633" s="1"/>
      <c r="DOJ1633" s="1"/>
      <c r="DOK1633" s="1"/>
      <c r="DOL1633" s="1"/>
      <c r="DOM1633" s="1"/>
      <c r="DON1633" s="1"/>
      <c r="DOO1633" s="1"/>
      <c r="DOP1633" s="1"/>
      <c r="DOQ1633" s="1"/>
      <c r="DOR1633" s="1"/>
      <c r="DOS1633" s="1"/>
      <c r="DOT1633" s="1"/>
      <c r="DOU1633" s="1"/>
      <c r="DOV1633" s="1"/>
      <c r="DOW1633" s="1"/>
      <c r="DOX1633" s="1"/>
      <c r="DOY1633" s="1"/>
      <c r="DOZ1633" s="1"/>
      <c r="DPA1633" s="1"/>
      <c r="DPB1633" s="1"/>
      <c r="DPC1633" s="1"/>
      <c r="DPD1633" s="1"/>
      <c r="DPE1633" s="1"/>
      <c r="DPF1633" s="1"/>
      <c r="DPG1633" s="1"/>
      <c r="DPH1633" s="1"/>
      <c r="DPI1633" s="1"/>
      <c r="DPJ1633" s="1"/>
      <c r="DPK1633" s="1"/>
      <c r="DPL1633" s="1"/>
      <c r="DPM1633" s="1"/>
      <c r="DPN1633" s="1"/>
      <c r="DPO1633" s="1"/>
      <c r="DPP1633" s="1"/>
      <c r="DPQ1633" s="1"/>
      <c r="DPR1633" s="1"/>
      <c r="DPS1633" s="1"/>
      <c r="DPT1633" s="1"/>
      <c r="DPU1633" s="1"/>
      <c r="DPV1633" s="1"/>
      <c r="DPW1633" s="1"/>
      <c r="DPX1633" s="1"/>
      <c r="DPY1633" s="1"/>
      <c r="DPZ1633" s="1"/>
      <c r="DQA1633" s="1"/>
      <c r="DQB1633" s="1"/>
      <c r="DQC1633" s="1"/>
      <c r="DQD1633" s="1"/>
      <c r="DQE1633" s="1"/>
      <c r="DQF1633" s="1"/>
      <c r="DQG1633" s="1"/>
      <c r="DQH1633" s="1"/>
      <c r="DQI1633" s="1"/>
      <c r="DQJ1633" s="1"/>
      <c r="DQK1633" s="1"/>
      <c r="DQL1633" s="1"/>
      <c r="DQM1633" s="1"/>
      <c r="DQN1633" s="1"/>
      <c r="DQO1633" s="1"/>
      <c r="DQP1633" s="1"/>
      <c r="DQQ1633" s="1"/>
      <c r="DQR1633" s="1"/>
      <c r="DQS1633" s="1"/>
      <c r="DQT1633" s="1"/>
      <c r="DQU1633" s="1"/>
      <c r="DQV1633" s="1"/>
      <c r="DQW1633" s="1"/>
      <c r="DQX1633" s="1"/>
      <c r="DQY1633" s="1"/>
      <c r="DQZ1633" s="1"/>
      <c r="DRA1633" s="1"/>
      <c r="DRB1633" s="1"/>
      <c r="DRC1633" s="1"/>
      <c r="DRD1633" s="1"/>
      <c r="DRE1633" s="1"/>
      <c r="DRF1633" s="1"/>
      <c r="DRG1633" s="1"/>
      <c r="DRH1633" s="1"/>
      <c r="DRI1633" s="1"/>
      <c r="DRJ1633" s="1"/>
      <c r="DRK1633" s="1"/>
      <c r="DRL1633" s="1"/>
      <c r="DRM1633" s="1"/>
      <c r="DRN1633" s="1"/>
      <c r="DRO1633" s="1"/>
      <c r="DRP1633" s="1"/>
      <c r="DRQ1633" s="1"/>
      <c r="DRR1633" s="1"/>
      <c r="DRS1633" s="1"/>
      <c r="DRT1633" s="1"/>
      <c r="DRU1633" s="1"/>
      <c r="DRV1633" s="1"/>
      <c r="DRW1633" s="1"/>
      <c r="DRX1633" s="1"/>
      <c r="DRY1633" s="1"/>
      <c r="DRZ1633" s="1"/>
      <c r="DSA1633" s="1"/>
      <c r="DSB1633" s="1"/>
      <c r="DSC1633" s="1"/>
      <c r="DSD1633" s="1"/>
      <c r="DSE1633" s="1"/>
      <c r="DSF1633" s="1"/>
      <c r="DSG1633" s="1"/>
      <c r="DSH1633" s="1"/>
      <c r="DSI1633" s="1"/>
      <c r="DSJ1633" s="1"/>
      <c r="DSK1633" s="1"/>
      <c r="DSL1633" s="1"/>
      <c r="DSM1633" s="1"/>
      <c r="DSN1633" s="1"/>
      <c r="DSO1633" s="1"/>
      <c r="DSP1633" s="1"/>
      <c r="DSQ1633" s="1"/>
      <c r="DSR1633" s="1"/>
      <c r="DSS1633" s="1"/>
      <c r="DST1633" s="1"/>
      <c r="DSU1633" s="1"/>
      <c r="DSV1633" s="1"/>
      <c r="DSW1633" s="1"/>
      <c r="DSX1633" s="1"/>
      <c r="DSY1633" s="1"/>
      <c r="DSZ1633" s="1"/>
      <c r="DTA1633" s="1"/>
      <c r="DTB1633" s="1"/>
      <c r="DTC1633" s="1"/>
      <c r="DTD1633" s="1"/>
      <c r="DTE1633" s="1"/>
      <c r="DTF1633" s="1"/>
      <c r="DTG1633" s="1"/>
      <c r="DTH1633" s="1"/>
      <c r="DTI1633" s="1"/>
      <c r="DTJ1633" s="1"/>
      <c r="DTK1633" s="1"/>
      <c r="DTL1633" s="1"/>
      <c r="DTM1633" s="1"/>
      <c r="DTN1633" s="1"/>
      <c r="DTO1633" s="1"/>
      <c r="DTP1633" s="1"/>
      <c r="DTQ1633" s="1"/>
      <c r="DTR1633" s="1"/>
      <c r="DTS1633" s="1"/>
      <c r="DTT1633" s="1"/>
      <c r="DTU1633" s="1"/>
      <c r="DTV1633" s="1"/>
      <c r="DTW1633" s="1"/>
      <c r="DTX1633" s="1"/>
      <c r="DTY1633" s="1"/>
      <c r="DTZ1633" s="1"/>
      <c r="DUA1633" s="1"/>
      <c r="DUB1633" s="1"/>
      <c r="DUC1633" s="1"/>
      <c r="DUD1633" s="1"/>
      <c r="DUE1633" s="1"/>
      <c r="DUF1633" s="1"/>
      <c r="DUG1633" s="1"/>
      <c r="DUH1633" s="1"/>
      <c r="DUI1633" s="1"/>
      <c r="DUJ1633" s="1"/>
      <c r="DUK1633" s="1"/>
      <c r="DUL1633" s="1"/>
      <c r="DUM1633" s="1"/>
      <c r="DUN1633" s="1"/>
      <c r="DUO1633" s="1"/>
      <c r="DUP1633" s="1"/>
      <c r="DUQ1633" s="1"/>
      <c r="DUR1633" s="1"/>
      <c r="DUS1633" s="1"/>
      <c r="DUT1633" s="1"/>
      <c r="DUU1633" s="1"/>
      <c r="DUV1633" s="1"/>
      <c r="DUW1633" s="1"/>
      <c r="DUX1633" s="1"/>
      <c r="DUY1633" s="1"/>
      <c r="DUZ1633" s="1"/>
      <c r="DVA1633" s="1"/>
      <c r="DVB1633" s="1"/>
      <c r="DVC1633" s="1"/>
      <c r="DVD1633" s="1"/>
      <c r="DVE1633" s="1"/>
      <c r="DVF1633" s="1"/>
      <c r="DVG1633" s="1"/>
      <c r="DVH1633" s="1"/>
      <c r="DVI1633" s="1"/>
      <c r="DVJ1633" s="1"/>
      <c r="DVK1633" s="1"/>
      <c r="DVL1633" s="1"/>
      <c r="DVM1633" s="1"/>
      <c r="DVN1633" s="1"/>
      <c r="DVO1633" s="1"/>
      <c r="DVP1633" s="1"/>
      <c r="DVQ1633" s="1"/>
      <c r="DVR1633" s="1"/>
      <c r="DVS1633" s="1"/>
      <c r="DVT1633" s="1"/>
      <c r="DVU1633" s="1"/>
      <c r="DVV1633" s="1"/>
      <c r="DVW1633" s="1"/>
      <c r="DVX1633" s="1"/>
      <c r="DVY1633" s="1"/>
      <c r="DVZ1633" s="1"/>
      <c r="DWA1633" s="1"/>
      <c r="DWB1633" s="1"/>
      <c r="DWC1633" s="1"/>
      <c r="DWD1633" s="1"/>
      <c r="DWE1633" s="1"/>
      <c r="DWF1633" s="1"/>
      <c r="DWG1633" s="1"/>
      <c r="DWH1633" s="1"/>
      <c r="DWI1633" s="1"/>
      <c r="DWJ1633" s="1"/>
      <c r="DWK1633" s="1"/>
      <c r="DWL1633" s="1"/>
      <c r="DWM1633" s="1"/>
      <c r="DWN1633" s="1"/>
      <c r="DWO1633" s="1"/>
      <c r="DWP1633" s="1"/>
      <c r="DWQ1633" s="1"/>
      <c r="DWR1633" s="1"/>
      <c r="DWS1633" s="1"/>
      <c r="DWT1633" s="1"/>
      <c r="DWU1633" s="1"/>
      <c r="DWV1633" s="1"/>
      <c r="DWW1633" s="1"/>
      <c r="DWX1633" s="1"/>
      <c r="DWY1633" s="1"/>
      <c r="DWZ1633" s="1"/>
      <c r="DXA1633" s="1"/>
      <c r="DXB1633" s="1"/>
      <c r="DXC1633" s="1"/>
      <c r="DXD1633" s="1"/>
      <c r="DXE1633" s="1"/>
      <c r="DXF1633" s="1"/>
      <c r="DXG1633" s="1"/>
      <c r="DXH1633" s="1"/>
      <c r="DXI1633" s="1"/>
      <c r="DXJ1633" s="1"/>
      <c r="DXK1633" s="1"/>
      <c r="DXL1633" s="1"/>
      <c r="DXM1633" s="1"/>
      <c r="DXN1633" s="1"/>
      <c r="DXO1633" s="1"/>
      <c r="DXP1633" s="1"/>
      <c r="DXQ1633" s="1"/>
      <c r="DXR1633" s="1"/>
      <c r="DXS1633" s="1"/>
      <c r="DXT1633" s="1"/>
      <c r="DXU1633" s="1"/>
      <c r="DXV1633" s="1"/>
      <c r="DXW1633" s="1"/>
      <c r="DXX1633" s="1"/>
      <c r="DXY1633" s="1"/>
      <c r="DXZ1633" s="1"/>
      <c r="DYA1633" s="1"/>
      <c r="DYB1633" s="1"/>
      <c r="DYC1633" s="1"/>
      <c r="DYD1633" s="1"/>
      <c r="DYE1633" s="1"/>
      <c r="DYF1633" s="1"/>
      <c r="DYG1633" s="1"/>
      <c r="DYH1633" s="1"/>
      <c r="DYI1633" s="1"/>
      <c r="DYJ1633" s="1"/>
      <c r="DYK1633" s="1"/>
      <c r="DYL1633" s="1"/>
      <c r="DYM1633" s="1"/>
      <c r="DYN1633" s="1"/>
      <c r="DYO1633" s="1"/>
      <c r="DYP1633" s="1"/>
      <c r="DYQ1633" s="1"/>
      <c r="DYR1633" s="1"/>
      <c r="DYS1633" s="1"/>
      <c r="DYT1633" s="1"/>
      <c r="DYU1633" s="1"/>
      <c r="DYV1633" s="1"/>
      <c r="DYW1633" s="1"/>
      <c r="DYX1633" s="1"/>
      <c r="DYY1633" s="1"/>
      <c r="DYZ1633" s="1"/>
      <c r="DZA1633" s="1"/>
      <c r="DZB1633" s="1"/>
      <c r="DZC1633" s="1"/>
      <c r="DZD1633" s="1"/>
      <c r="DZE1633" s="1"/>
      <c r="DZF1633" s="1"/>
      <c r="DZG1633" s="1"/>
      <c r="DZH1633" s="1"/>
      <c r="DZI1633" s="1"/>
      <c r="DZJ1633" s="1"/>
      <c r="DZK1633" s="1"/>
      <c r="DZL1633" s="1"/>
      <c r="DZM1633" s="1"/>
      <c r="DZN1633" s="1"/>
      <c r="DZO1633" s="1"/>
      <c r="DZP1633" s="1"/>
      <c r="DZQ1633" s="1"/>
      <c r="DZR1633" s="1"/>
      <c r="DZS1633" s="1"/>
      <c r="DZT1633" s="1"/>
      <c r="DZU1633" s="1"/>
      <c r="DZV1633" s="1"/>
      <c r="DZW1633" s="1"/>
      <c r="DZX1633" s="1"/>
      <c r="DZY1633" s="1"/>
      <c r="DZZ1633" s="1"/>
      <c r="EAA1633" s="1"/>
      <c r="EAB1633" s="1"/>
      <c r="EAC1633" s="1"/>
      <c r="EAD1633" s="1"/>
      <c r="EAE1633" s="1"/>
      <c r="EAF1633" s="1"/>
      <c r="EAG1633" s="1"/>
      <c r="EAH1633" s="1"/>
      <c r="EAI1633" s="1"/>
      <c r="EAJ1633" s="1"/>
      <c r="EAK1633" s="1"/>
      <c r="EAL1633" s="1"/>
      <c r="EAM1633" s="1"/>
      <c r="EAN1633" s="1"/>
      <c r="EAO1633" s="1"/>
      <c r="EAP1633" s="1"/>
      <c r="EAQ1633" s="1"/>
      <c r="EAR1633" s="1"/>
      <c r="EAS1633" s="1"/>
      <c r="EAT1633" s="1"/>
      <c r="EAU1633" s="1"/>
      <c r="EAV1633" s="1"/>
      <c r="EAW1633" s="1"/>
      <c r="EAX1633" s="1"/>
      <c r="EAY1633" s="1"/>
      <c r="EAZ1633" s="1"/>
      <c r="EBA1633" s="1"/>
      <c r="EBB1633" s="1"/>
      <c r="EBC1633" s="1"/>
      <c r="EBD1633" s="1"/>
      <c r="EBE1633" s="1"/>
      <c r="EBF1633" s="1"/>
      <c r="EBG1633" s="1"/>
      <c r="EBH1633" s="1"/>
      <c r="EBI1633" s="1"/>
      <c r="EBJ1633" s="1"/>
      <c r="EBK1633" s="1"/>
      <c r="EBL1633" s="1"/>
      <c r="EBM1633" s="1"/>
      <c r="EBN1633" s="1"/>
      <c r="EBO1633" s="1"/>
      <c r="EBP1633" s="1"/>
      <c r="EBQ1633" s="1"/>
      <c r="EBR1633" s="1"/>
      <c r="EBS1633" s="1"/>
      <c r="EBT1633" s="1"/>
      <c r="EBU1633" s="1"/>
      <c r="EBV1633" s="1"/>
      <c r="EBW1633" s="1"/>
      <c r="EBX1633" s="1"/>
      <c r="EBY1633" s="1"/>
      <c r="EBZ1633" s="1"/>
      <c r="ECA1633" s="1"/>
      <c r="ECB1633" s="1"/>
      <c r="ECC1633" s="1"/>
      <c r="ECD1633" s="1"/>
      <c r="ECE1633" s="1"/>
      <c r="ECF1633" s="1"/>
      <c r="ECG1633" s="1"/>
      <c r="ECH1633" s="1"/>
      <c r="ECI1633" s="1"/>
      <c r="ECJ1633" s="1"/>
      <c r="ECK1633" s="1"/>
      <c r="ECL1633" s="1"/>
      <c r="ECM1633" s="1"/>
      <c r="ECN1633" s="1"/>
      <c r="ECO1633" s="1"/>
      <c r="ECP1633" s="1"/>
      <c r="ECQ1633" s="1"/>
      <c r="ECR1633" s="1"/>
      <c r="ECS1633" s="1"/>
      <c r="ECT1633" s="1"/>
      <c r="ECU1633" s="1"/>
      <c r="ECV1633" s="1"/>
      <c r="ECW1633" s="1"/>
      <c r="ECX1633" s="1"/>
      <c r="ECY1633" s="1"/>
      <c r="ECZ1633" s="1"/>
      <c r="EDA1633" s="1"/>
      <c r="EDB1633" s="1"/>
      <c r="EDC1633" s="1"/>
      <c r="EDD1633" s="1"/>
      <c r="EDE1633" s="1"/>
      <c r="EDF1633" s="1"/>
      <c r="EDG1633" s="1"/>
      <c r="EDH1633" s="1"/>
      <c r="EDI1633" s="1"/>
      <c r="EDJ1633" s="1"/>
      <c r="EDK1633" s="1"/>
      <c r="EDL1633" s="1"/>
      <c r="EDM1633" s="1"/>
      <c r="EDN1633" s="1"/>
      <c r="EDO1633" s="1"/>
      <c r="EDP1633" s="1"/>
      <c r="EDQ1633" s="1"/>
      <c r="EDR1633" s="1"/>
      <c r="EDS1633" s="1"/>
      <c r="EDT1633" s="1"/>
      <c r="EDU1633" s="1"/>
      <c r="EDV1633" s="1"/>
      <c r="EDW1633" s="1"/>
      <c r="EDX1633" s="1"/>
      <c r="EDY1633" s="1"/>
      <c r="EDZ1633" s="1"/>
      <c r="EEA1633" s="1"/>
      <c r="EEB1633" s="1"/>
      <c r="EEC1633" s="1"/>
      <c r="EED1633" s="1"/>
      <c r="EEE1633" s="1"/>
      <c r="EEF1633" s="1"/>
      <c r="EEG1633" s="1"/>
      <c r="EEH1633" s="1"/>
      <c r="EEI1633" s="1"/>
      <c r="EEJ1633" s="1"/>
      <c r="EEK1633" s="1"/>
      <c r="EEL1633" s="1"/>
      <c r="EEM1633" s="1"/>
      <c r="EEN1633" s="1"/>
      <c r="EEO1633" s="1"/>
      <c r="EEP1633" s="1"/>
      <c r="EEQ1633" s="1"/>
      <c r="EER1633" s="1"/>
      <c r="EES1633" s="1"/>
      <c r="EET1633" s="1"/>
      <c r="EEU1633" s="1"/>
      <c r="EEV1633" s="1"/>
      <c r="EEW1633" s="1"/>
      <c r="EEX1633" s="1"/>
      <c r="EEY1633" s="1"/>
      <c r="EEZ1633" s="1"/>
      <c r="EFA1633" s="1"/>
      <c r="EFB1633" s="1"/>
      <c r="EFC1633" s="1"/>
      <c r="EFD1633" s="1"/>
      <c r="EFE1633" s="1"/>
      <c r="EFF1633" s="1"/>
      <c r="EFG1633" s="1"/>
      <c r="EFH1633" s="1"/>
      <c r="EFI1633" s="1"/>
      <c r="EFJ1633" s="1"/>
      <c r="EFK1633" s="1"/>
      <c r="EFL1633" s="1"/>
      <c r="EFM1633" s="1"/>
      <c r="EFN1633" s="1"/>
      <c r="EFO1633" s="1"/>
      <c r="EFP1633" s="1"/>
      <c r="EFQ1633" s="1"/>
      <c r="EFR1633" s="1"/>
      <c r="EFS1633" s="1"/>
      <c r="EFT1633" s="1"/>
      <c r="EFU1633" s="1"/>
      <c r="EFV1633" s="1"/>
      <c r="EFW1633" s="1"/>
      <c r="EFX1633" s="1"/>
      <c r="EFY1633" s="1"/>
      <c r="EFZ1633" s="1"/>
      <c r="EGA1633" s="1"/>
      <c r="EGB1633" s="1"/>
      <c r="EGC1633" s="1"/>
      <c r="EGD1633" s="1"/>
      <c r="EGE1633" s="1"/>
      <c r="EGF1633" s="1"/>
      <c r="EGG1633" s="1"/>
      <c r="EGH1633" s="1"/>
      <c r="EGI1633" s="1"/>
      <c r="EGJ1633" s="1"/>
      <c r="EGK1633" s="1"/>
      <c r="EGL1633" s="1"/>
      <c r="EGM1633" s="1"/>
      <c r="EGN1633" s="1"/>
      <c r="EGO1633" s="1"/>
      <c r="EGP1633" s="1"/>
      <c r="EGQ1633" s="1"/>
      <c r="EGR1633" s="1"/>
      <c r="EGS1633" s="1"/>
      <c r="EGT1633" s="1"/>
      <c r="EGU1633" s="1"/>
      <c r="EGV1633" s="1"/>
      <c r="EGW1633" s="1"/>
      <c r="EGX1633" s="1"/>
      <c r="EGY1633" s="1"/>
      <c r="EGZ1633" s="1"/>
      <c r="EHA1633" s="1"/>
      <c r="EHB1633" s="1"/>
      <c r="EHC1633" s="1"/>
      <c r="EHD1633" s="1"/>
      <c r="EHE1633" s="1"/>
      <c r="EHF1633" s="1"/>
      <c r="EHG1633" s="1"/>
      <c r="EHH1633" s="1"/>
      <c r="EHI1633" s="1"/>
      <c r="EHJ1633" s="1"/>
      <c r="EHK1633" s="1"/>
      <c r="EHL1633" s="1"/>
      <c r="EHM1633" s="1"/>
      <c r="EHN1633" s="1"/>
      <c r="EHO1633" s="1"/>
      <c r="EHP1633" s="1"/>
      <c r="EHQ1633" s="1"/>
      <c r="EHR1633" s="1"/>
      <c r="EHS1633" s="1"/>
      <c r="EHT1633" s="1"/>
      <c r="EHU1633" s="1"/>
      <c r="EHV1633" s="1"/>
      <c r="EHW1633" s="1"/>
      <c r="EHX1633" s="1"/>
      <c r="EHY1633" s="1"/>
      <c r="EHZ1633" s="1"/>
      <c r="EIA1633" s="1"/>
      <c r="EIB1633" s="1"/>
      <c r="EIC1633" s="1"/>
      <c r="EID1633" s="1"/>
      <c r="EIE1633" s="1"/>
      <c r="EIF1633" s="1"/>
      <c r="EIG1633" s="1"/>
      <c r="EIH1633" s="1"/>
      <c r="EII1633" s="1"/>
      <c r="EIJ1633" s="1"/>
      <c r="EIK1633" s="1"/>
      <c r="EIL1633" s="1"/>
      <c r="EIM1633" s="1"/>
      <c r="EIN1633" s="1"/>
      <c r="EIO1633" s="1"/>
      <c r="EIP1633" s="1"/>
      <c r="EIQ1633" s="1"/>
      <c r="EIR1633" s="1"/>
      <c r="EIS1633" s="1"/>
      <c r="EIT1633" s="1"/>
      <c r="EIU1633" s="1"/>
      <c r="EIV1633" s="1"/>
      <c r="EIW1633" s="1"/>
      <c r="EIX1633" s="1"/>
      <c r="EIY1633" s="1"/>
      <c r="EIZ1633" s="1"/>
      <c r="EJA1633" s="1"/>
      <c r="EJB1633" s="1"/>
      <c r="EJC1633" s="1"/>
      <c r="EJD1633" s="1"/>
      <c r="EJE1633" s="1"/>
      <c r="EJF1633" s="1"/>
      <c r="EJG1633" s="1"/>
      <c r="EJH1633" s="1"/>
      <c r="EJI1633" s="1"/>
      <c r="EJJ1633" s="1"/>
      <c r="EJK1633" s="1"/>
      <c r="EJL1633" s="1"/>
      <c r="EJM1633" s="1"/>
      <c r="EJN1633" s="1"/>
      <c r="EJO1633" s="1"/>
      <c r="EJP1633" s="1"/>
      <c r="EJQ1633" s="1"/>
      <c r="EJR1633" s="1"/>
      <c r="EJS1633" s="1"/>
      <c r="EJT1633" s="1"/>
      <c r="EJU1633" s="1"/>
      <c r="EJV1633" s="1"/>
      <c r="EJW1633" s="1"/>
      <c r="EJX1633" s="1"/>
      <c r="EJY1633" s="1"/>
      <c r="EJZ1633" s="1"/>
      <c r="EKA1633" s="1"/>
      <c r="EKB1633" s="1"/>
      <c r="EKC1633" s="1"/>
      <c r="EKD1633" s="1"/>
      <c r="EKE1633" s="1"/>
      <c r="EKF1633" s="1"/>
      <c r="EKG1633" s="1"/>
      <c r="EKH1633" s="1"/>
      <c r="EKI1633" s="1"/>
      <c r="EKJ1633" s="1"/>
      <c r="EKK1633" s="1"/>
      <c r="EKL1633" s="1"/>
      <c r="EKM1633" s="1"/>
      <c r="EKN1633" s="1"/>
      <c r="EKO1633" s="1"/>
      <c r="EKP1633" s="1"/>
      <c r="EKQ1633" s="1"/>
      <c r="EKR1633" s="1"/>
      <c r="EKS1633" s="1"/>
      <c r="EKT1633" s="1"/>
      <c r="EKU1633" s="1"/>
      <c r="EKV1633" s="1"/>
      <c r="EKW1633" s="1"/>
      <c r="EKX1633" s="1"/>
      <c r="EKY1633" s="1"/>
      <c r="EKZ1633" s="1"/>
      <c r="ELA1633" s="1"/>
      <c r="ELB1633" s="1"/>
      <c r="ELC1633" s="1"/>
      <c r="ELD1633" s="1"/>
      <c r="ELE1633" s="1"/>
      <c r="ELF1633" s="1"/>
      <c r="ELG1633" s="1"/>
      <c r="ELH1633" s="1"/>
      <c r="ELI1633" s="1"/>
      <c r="ELJ1633" s="1"/>
      <c r="ELK1633" s="1"/>
      <c r="ELL1633" s="1"/>
      <c r="ELM1633" s="1"/>
      <c r="ELN1633" s="1"/>
      <c r="ELO1633" s="1"/>
      <c r="ELP1633" s="1"/>
      <c r="ELQ1633" s="1"/>
      <c r="ELR1633" s="1"/>
      <c r="ELS1633" s="1"/>
      <c r="ELT1633" s="1"/>
      <c r="ELU1633" s="1"/>
      <c r="ELV1633" s="1"/>
      <c r="ELW1633" s="1"/>
      <c r="ELX1633" s="1"/>
      <c r="ELY1633" s="1"/>
      <c r="ELZ1633" s="1"/>
      <c r="EMA1633" s="1"/>
      <c r="EMB1633" s="1"/>
      <c r="EMC1633" s="1"/>
      <c r="EMD1633" s="1"/>
      <c r="EME1633" s="1"/>
      <c r="EMF1633" s="1"/>
      <c r="EMG1633" s="1"/>
      <c r="EMH1633" s="1"/>
      <c r="EMI1633" s="1"/>
      <c r="EMJ1633" s="1"/>
      <c r="EMK1633" s="1"/>
      <c r="EML1633" s="1"/>
      <c r="EMM1633" s="1"/>
      <c r="EMN1633" s="1"/>
      <c r="EMO1633" s="1"/>
      <c r="EMP1633" s="1"/>
      <c r="EMQ1633" s="1"/>
      <c r="EMR1633" s="1"/>
      <c r="EMS1633" s="1"/>
      <c r="EMT1633" s="1"/>
      <c r="EMU1633" s="1"/>
      <c r="EMV1633" s="1"/>
      <c r="EMW1633" s="1"/>
      <c r="EMX1633" s="1"/>
      <c r="EMY1633" s="1"/>
      <c r="EMZ1633" s="1"/>
      <c r="ENA1633" s="1"/>
      <c r="ENB1633" s="1"/>
      <c r="ENC1633" s="1"/>
      <c r="END1633" s="1"/>
      <c r="ENE1633" s="1"/>
      <c r="ENF1633" s="1"/>
      <c r="ENG1633" s="1"/>
      <c r="ENH1633" s="1"/>
      <c r="ENI1633" s="1"/>
      <c r="ENJ1633" s="1"/>
      <c r="ENK1633" s="1"/>
      <c r="ENL1633" s="1"/>
      <c r="ENM1633" s="1"/>
      <c r="ENN1633" s="1"/>
      <c r="ENO1633" s="1"/>
      <c r="ENP1633" s="1"/>
      <c r="ENQ1633" s="1"/>
      <c r="ENR1633" s="1"/>
      <c r="ENS1633" s="1"/>
      <c r="ENT1633" s="1"/>
      <c r="ENU1633" s="1"/>
      <c r="ENV1633" s="1"/>
      <c r="ENW1633" s="1"/>
      <c r="ENX1633" s="1"/>
      <c r="ENY1633" s="1"/>
      <c r="ENZ1633" s="1"/>
      <c r="EOA1633" s="1"/>
      <c r="EOB1633" s="1"/>
      <c r="EOC1633" s="1"/>
      <c r="EOD1633" s="1"/>
      <c r="EOE1633" s="1"/>
      <c r="EOF1633" s="1"/>
      <c r="EOG1633" s="1"/>
      <c r="EOH1633" s="1"/>
      <c r="EOI1633" s="1"/>
      <c r="EOJ1633" s="1"/>
      <c r="EOK1633" s="1"/>
      <c r="EOL1633" s="1"/>
      <c r="EOM1633" s="1"/>
      <c r="EON1633" s="1"/>
      <c r="EOO1633" s="1"/>
      <c r="EOP1633" s="1"/>
      <c r="EOQ1633" s="1"/>
      <c r="EOR1633" s="1"/>
      <c r="EOS1633" s="1"/>
      <c r="EOT1633" s="1"/>
      <c r="EOU1633" s="1"/>
      <c r="EOV1633" s="1"/>
      <c r="EOW1633" s="1"/>
      <c r="EOX1633" s="1"/>
      <c r="EOY1633" s="1"/>
      <c r="EOZ1633" s="1"/>
      <c r="EPA1633" s="1"/>
      <c r="EPB1633" s="1"/>
      <c r="EPC1633" s="1"/>
      <c r="EPD1633" s="1"/>
      <c r="EPE1633" s="1"/>
      <c r="EPF1633" s="1"/>
      <c r="EPG1633" s="1"/>
      <c r="EPH1633" s="1"/>
      <c r="EPI1633" s="1"/>
      <c r="EPJ1633" s="1"/>
      <c r="EPK1633" s="1"/>
      <c r="EPL1633" s="1"/>
      <c r="EPM1633" s="1"/>
      <c r="EPN1633" s="1"/>
      <c r="EPO1633" s="1"/>
      <c r="EPP1633" s="1"/>
      <c r="EPQ1633" s="1"/>
      <c r="EPR1633" s="1"/>
      <c r="EPS1633" s="1"/>
      <c r="EPT1633" s="1"/>
      <c r="EPU1633" s="1"/>
      <c r="EPV1633" s="1"/>
      <c r="EPW1633" s="1"/>
      <c r="EPX1633" s="1"/>
      <c r="EPY1633" s="1"/>
      <c r="EPZ1633" s="1"/>
      <c r="EQA1633" s="1"/>
      <c r="EQB1633" s="1"/>
      <c r="EQC1633" s="1"/>
      <c r="EQD1633" s="1"/>
      <c r="EQE1633" s="1"/>
      <c r="EQF1633" s="1"/>
      <c r="EQG1633" s="1"/>
      <c r="EQH1633" s="1"/>
      <c r="EQI1633" s="1"/>
      <c r="EQJ1633" s="1"/>
      <c r="EQK1633" s="1"/>
      <c r="EQL1633" s="1"/>
      <c r="EQM1633" s="1"/>
      <c r="EQN1633" s="1"/>
      <c r="EQO1633" s="1"/>
      <c r="EQP1633" s="1"/>
      <c r="EQQ1633" s="1"/>
      <c r="EQR1633" s="1"/>
      <c r="EQS1633" s="1"/>
      <c r="EQT1633" s="1"/>
      <c r="EQU1633" s="1"/>
      <c r="EQV1633" s="1"/>
      <c r="EQW1633" s="1"/>
      <c r="EQX1633" s="1"/>
      <c r="EQY1633" s="1"/>
      <c r="EQZ1633" s="1"/>
      <c r="ERA1633" s="1"/>
      <c r="ERB1633" s="1"/>
      <c r="ERC1633" s="1"/>
      <c r="ERD1633" s="1"/>
      <c r="ERE1633" s="1"/>
      <c r="ERF1633" s="1"/>
      <c r="ERG1633" s="1"/>
      <c r="ERH1633" s="1"/>
      <c r="ERI1633" s="1"/>
      <c r="ERJ1633" s="1"/>
      <c r="ERK1633" s="1"/>
      <c r="ERL1633" s="1"/>
      <c r="ERM1633" s="1"/>
      <c r="ERN1633" s="1"/>
      <c r="ERO1633" s="1"/>
      <c r="ERP1633" s="1"/>
      <c r="ERQ1633" s="1"/>
      <c r="ERR1633" s="1"/>
      <c r="ERS1633" s="1"/>
      <c r="ERT1633" s="1"/>
      <c r="ERU1633" s="1"/>
      <c r="ERV1633" s="1"/>
      <c r="ERW1633" s="1"/>
      <c r="ERX1633" s="1"/>
      <c r="ERY1633" s="1"/>
      <c r="ERZ1633" s="1"/>
      <c r="ESA1633" s="1"/>
      <c r="ESB1633" s="1"/>
      <c r="ESC1633" s="1"/>
      <c r="ESD1633" s="1"/>
      <c r="ESE1633" s="1"/>
      <c r="ESF1633" s="1"/>
      <c r="ESG1633" s="1"/>
      <c r="ESH1633" s="1"/>
      <c r="ESI1633" s="1"/>
      <c r="ESJ1633" s="1"/>
      <c r="ESK1633" s="1"/>
      <c r="ESL1633" s="1"/>
      <c r="ESM1633" s="1"/>
      <c r="ESN1633" s="1"/>
      <c r="ESO1633" s="1"/>
      <c r="ESP1633" s="1"/>
      <c r="ESQ1633" s="1"/>
      <c r="ESR1633" s="1"/>
      <c r="ESS1633" s="1"/>
      <c r="EST1633" s="1"/>
      <c r="ESU1633" s="1"/>
      <c r="ESV1633" s="1"/>
      <c r="ESW1633" s="1"/>
      <c r="ESX1633" s="1"/>
      <c r="ESY1633" s="1"/>
      <c r="ESZ1633" s="1"/>
      <c r="ETA1633" s="1"/>
      <c r="ETB1633" s="1"/>
      <c r="ETC1633" s="1"/>
      <c r="ETD1633" s="1"/>
      <c r="ETE1633" s="1"/>
      <c r="ETF1633" s="1"/>
      <c r="ETG1633" s="1"/>
      <c r="ETH1633" s="1"/>
      <c r="ETI1633" s="1"/>
      <c r="ETJ1633" s="1"/>
      <c r="ETK1633" s="1"/>
      <c r="ETL1633" s="1"/>
      <c r="ETM1633" s="1"/>
      <c r="ETN1633" s="1"/>
      <c r="ETO1633" s="1"/>
      <c r="ETP1633" s="1"/>
      <c r="ETQ1633" s="1"/>
      <c r="ETR1633" s="1"/>
      <c r="ETS1633" s="1"/>
      <c r="ETT1633" s="1"/>
      <c r="ETU1633" s="1"/>
      <c r="ETV1633" s="1"/>
      <c r="ETW1633" s="1"/>
      <c r="ETX1633" s="1"/>
      <c r="ETY1633" s="1"/>
      <c r="ETZ1633" s="1"/>
      <c r="EUA1633" s="1"/>
      <c r="EUB1633" s="1"/>
      <c r="EUC1633" s="1"/>
      <c r="EUD1633" s="1"/>
      <c r="EUE1633" s="1"/>
      <c r="EUF1633" s="1"/>
      <c r="EUG1633" s="1"/>
      <c r="EUH1633" s="1"/>
      <c r="EUI1633" s="1"/>
      <c r="EUJ1633" s="1"/>
      <c r="EUK1633" s="1"/>
      <c r="EUL1633" s="1"/>
      <c r="EUM1633" s="1"/>
      <c r="EUN1633" s="1"/>
      <c r="EUO1633" s="1"/>
      <c r="EUP1633" s="1"/>
      <c r="EUQ1633" s="1"/>
      <c r="EUR1633" s="1"/>
      <c r="EUS1633" s="1"/>
      <c r="EUT1633" s="1"/>
      <c r="EUU1633" s="1"/>
      <c r="EUV1633" s="1"/>
      <c r="EUW1633" s="1"/>
      <c r="EUX1633" s="1"/>
      <c r="EUY1633" s="1"/>
      <c r="EUZ1633" s="1"/>
      <c r="EVA1633" s="1"/>
      <c r="EVB1633" s="1"/>
      <c r="EVC1633" s="1"/>
      <c r="EVD1633" s="1"/>
      <c r="EVE1633" s="1"/>
      <c r="EVF1633" s="1"/>
      <c r="EVG1633" s="1"/>
      <c r="EVH1633" s="1"/>
      <c r="EVI1633" s="1"/>
      <c r="EVJ1633" s="1"/>
      <c r="EVK1633" s="1"/>
      <c r="EVL1633" s="1"/>
      <c r="EVM1633" s="1"/>
      <c r="EVN1633" s="1"/>
      <c r="EVO1633" s="1"/>
      <c r="EVP1633" s="1"/>
      <c r="EVQ1633" s="1"/>
      <c r="EVR1633" s="1"/>
      <c r="EVS1633" s="1"/>
      <c r="EVT1633" s="1"/>
      <c r="EVU1633" s="1"/>
      <c r="EVV1633" s="1"/>
      <c r="EVW1633" s="1"/>
      <c r="EVX1633" s="1"/>
      <c r="EVY1633" s="1"/>
      <c r="EVZ1633" s="1"/>
      <c r="EWA1633" s="1"/>
      <c r="EWB1633" s="1"/>
      <c r="EWC1633" s="1"/>
      <c r="EWD1633" s="1"/>
      <c r="EWE1633" s="1"/>
      <c r="EWF1633" s="1"/>
      <c r="EWG1633" s="1"/>
      <c r="EWH1633" s="1"/>
      <c r="EWI1633" s="1"/>
      <c r="EWJ1633" s="1"/>
      <c r="EWK1633" s="1"/>
      <c r="EWL1633" s="1"/>
      <c r="EWM1633" s="1"/>
      <c r="EWN1633" s="1"/>
      <c r="EWO1633" s="1"/>
      <c r="EWP1633" s="1"/>
      <c r="EWQ1633" s="1"/>
      <c r="EWR1633" s="1"/>
      <c r="EWS1633" s="1"/>
      <c r="EWT1633" s="1"/>
      <c r="EWU1633" s="1"/>
      <c r="EWV1633" s="1"/>
      <c r="EWW1633" s="1"/>
      <c r="EWX1633" s="1"/>
      <c r="EWY1633" s="1"/>
      <c r="EWZ1633" s="1"/>
      <c r="EXA1633" s="1"/>
      <c r="EXB1633" s="1"/>
      <c r="EXC1633" s="1"/>
      <c r="EXD1633" s="1"/>
      <c r="EXE1633" s="1"/>
      <c r="EXF1633" s="1"/>
      <c r="EXG1633" s="1"/>
      <c r="EXH1633" s="1"/>
      <c r="EXI1633" s="1"/>
      <c r="EXJ1633" s="1"/>
      <c r="EXK1633" s="1"/>
      <c r="EXL1633" s="1"/>
      <c r="EXM1633" s="1"/>
      <c r="EXN1633" s="1"/>
      <c r="EXO1633" s="1"/>
      <c r="EXP1633" s="1"/>
      <c r="EXQ1633" s="1"/>
      <c r="EXR1633" s="1"/>
      <c r="EXS1633" s="1"/>
      <c r="EXT1633" s="1"/>
      <c r="EXU1633" s="1"/>
      <c r="EXV1633" s="1"/>
      <c r="EXW1633" s="1"/>
      <c r="EXX1633" s="1"/>
      <c r="EXY1633" s="1"/>
      <c r="EXZ1633" s="1"/>
      <c r="EYA1633" s="1"/>
      <c r="EYB1633" s="1"/>
      <c r="EYC1633" s="1"/>
      <c r="EYD1633" s="1"/>
      <c r="EYE1633" s="1"/>
      <c r="EYF1633" s="1"/>
      <c r="EYG1633" s="1"/>
      <c r="EYH1633" s="1"/>
      <c r="EYI1633" s="1"/>
      <c r="EYJ1633" s="1"/>
      <c r="EYK1633" s="1"/>
      <c r="EYL1633" s="1"/>
      <c r="EYM1633" s="1"/>
      <c r="EYN1633" s="1"/>
      <c r="EYO1633" s="1"/>
      <c r="EYP1633" s="1"/>
      <c r="EYQ1633" s="1"/>
      <c r="EYR1633" s="1"/>
      <c r="EYS1633" s="1"/>
      <c r="EYT1633" s="1"/>
      <c r="EYU1633" s="1"/>
      <c r="EYV1633" s="1"/>
      <c r="EYW1633" s="1"/>
      <c r="EYX1633" s="1"/>
      <c r="EYY1633" s="1"/>
      <c r="EYZ1633" s="1"/>
      <c r="EZA1633" s="1"/>
      <c r="EZB1633" s="1"/>
      <c r="EZC1633" s="1"/>
      <c r="EZD1633" s="1"/>
      <c r="EZE1633" s="1"/>
      <c r="EZF1633" s="1"/>
      <c r="EZG1633" s="1"/>
      <c r="EZH1633" s="1"/>
      <c r="EZI1633" s="1"/>
      <c r="EZJ1633" s="1"/>
      <c r="EZK1633" s="1"/>
      <c r="EZL1633" s="1"/>
      <c r="EZM1633" s="1"/>
      <c r="EZN1633" s="1"/>
      <c r="EZO1633" s="1"/>
      <c r="EZP1633" s="1"/>
      <c r="EZQ1633" s="1"/>
      <c r="EZR1633" s="1"/>
      <c r="EZS1633" s="1"/>
      <c r="EZT1633" s="1"/>
      <c r="EZU1633" s="1"/>
      <c r="EZV1633" s="1"/>
      <c r="EZW1633" s="1"/>
      <c r="EZX1633" s="1"/>
      <c r="EZY1633" s="1"/>
      <c r="EZZ1633" s="1"/>
      <c r="FAA1633" s="1"/>
      <c r="FAB1633" s="1"/>
      <c r="FAC1633" s="1"/>
      <c r="FAD1633" s="1"/>
      <c r="FAE1633" s="1"/>
      <c r="FAF1633" s="1"/>
      <c r="FAG1633" s="1"/>
      <c r="FAH1633" s="1"/>
      <c r="FAI1633" s="1"/>
      <c r="FAJ1633" s="1"/>
      <c r="FAK1633" s="1"/>
      <c r="FAL1633" s="1"/>
      <c r="FAM1633" s="1"/>
      <c r="FAN1633" s="1"/>
      <c r="FAO1633" s="1"/>
      <c r="FAP1633" s="1"/>
      <c r="FAQ1633" s="1"/>
      <c r="FAR1633" s="1"/>
      <c r="FAS1633" s="1"/>
      <c r="FAT1633" s="1"/>
      <c r="FAU1633" s="1"/>
      <c r="FAV1633" s="1"/>
      <c r="FAW1633" s="1"/>
      <c r="FAX1633" s="1"/>
      <c r="FAY1633" s="1"/>
      <c r="FAZ1633" s="1"/>
      <c r="FBA1633" s="1"/>
      <c r="FBB1633" s="1"/>
      <c r="FBC1633" s="1"/>
      <c r="FBD1633" s="1"/>
      <c r="FBE1633" s="1"/>
      <c r="FBF1633" s="1"/>
      <c r="FBG1633" s="1"/>
      <c r="FBH1633" s="1"/>
      <c r="FBI1633" s="1"/>
      <c r="FBJ1633" s="1"/>
      <c r="FBK1633" s="1"/>
      <c r="FBL1633" s="1"/>
      <c r="FBM1633" s="1"/>
      <c r="FBN1633" s="1"/>
      <c r="FBO1633" s="1"/>
      <c r="FBP1633" s="1"/>
      <c r="FBQ1633" s="1"/>
      <c r="FBR1633" s="1"/>
      <c r="FBS1633" s="1"/>
      <c r="FBT1633" s="1"/>
      <c r="FBU1633" s="1"/>
      <c r="FBV1633" s="1"/>
      <c r="FBW1633" s="1"/>
      <c r="FBX1633" s="1"/>
      <c r="FBY1633" s="1"/>
      <c r="FBZ1633" s="1"/>
      <c r="FCA1633" s="1"/>
      <c r="FCB1633" s="1"/>
      <c r="FCC1633" s="1"/>
      <c r="FCD1633" s="1"/>
      <c r="FCE1633" s="1"/>
      <c r="FCF1633" s="1"/>
      <c r="FCG1633" s="1"/>
      <c r="FCH1633" s="1"/>
      <c r="FCI1633" s="1"/>
      <c r="FCJ1633" s="1"/>
      <c r="FCK1633" s="1"/>
      <c r="FCL1633" s="1"/>
      <c r="FCM1633" s="1"/>
      <c r="FCN1633" s="1"/>
      <c r="FCO1633" s="1"/>
      <c r="FCP1633" s="1"/>
      <c r="FCQ1633" s="1"/>
      <c r="FCR1633" s="1"/>
      <c r="FCS1633" s="1"/>
      <c r="FCT1633" s="1"/>
      <c r="FCU1633" s="1"/>
      <c r="FCV1633" s="1"/>
      <c r="FCW1633" s="1"/>
      <c r="FCX1633" s="1"/>
      <c r="FCY1633" s="1"/>
      <c r="FCZ1633" s="1"/>
      <c r="FDA1633" s="1"/>
      <c r="FDB1633" s="1"/>
      <c r="FDC1633" s="1"/>
      <c r="FDD1633" s="1"/>
      <c r="FDE1633" s="1"/>
      <c r="FDF1633" s="1"/>
      <c r="FDG1633" s="1"/>
      <c r="FDH1633" s="1"/>
      <c r="FDI1633" s="1"/>
      <c r="FDJ1633" s="1"/>
      <c r="FDK1633" s="1"/>
      <c r="FDL1633" s="1"/>
      <c r="FDM1633" s="1"/>
      <c r="FDN1633" s="1"/>
      <c r="FDO1633" s="1"/>
      <c r="FDP1633" s="1"/>
      <c r="FDQ1633" s="1"/>
      <c r="FDR1633" s="1"/>
      <c r="FDS1633" s="1"/>
      <c r="FDT1633" s="1"/>
      <c r="FDU1633" s="1"/>
      <c r="FDV1633" s="1"/>
      <c r="FDW1633" s="1"/>
      <c r="FDX1633" s="1"/>
      <c r="FDY1633" s="1"/>
      <c r="FDZ1633" s="1"/>
      <c r="FEA1633" s="1"/>
      <c r="FEB1633" s="1"/>
      <c r="FEC1633" s="1"/>
      <c r="FED1633" s="1"/>
      <c r="FEE1633" s="1"/>
      <c r="FEF1633" s="1"/>
      <c r="FEG1633" s="1"/>
      <c r="FEH1633" s="1"/>
      <c r="FEI1633" s="1"/>
      <c r="FEJ1633" s="1"/>
      <c r="FEK1633" s="1"/>
      <c r="FEL1633" s="1"/>
      <c r="FEM1633" s="1"/>
      <c r="FEN1633" s="1"/>
      <c r="FEO1633" s="1"/>
      <c r="FEP1633" s="1"/>
      <c r="FEQ1633" s="1"/>
      <c r="FER1633" s="1"/>
      <c r="FES1633" s="1"/>
      <c r="FET1633" s="1"/>
      <c r="FEU1633" s="1"/>
      <c r="FEV1633" s="1"/>
      <c r="FEW1633" s="1"/>
      <c r="FEX1633" s="1"/>
      <c r="FEY1633" s="1"/>
      <c r="FEZ1633" s="1"/>
      <c r="FFA1633" s="1"/>
      <c r="FFB1633" s="1"/>
      <c r="FFC1633" s="1"/>
      <c r="FFD1633" s="1"/>
      <c r="FFE1633" s="1"/>
      <c r="FFF1633" s="1"/>
      <c r="FFG1633" s="1"/>
      <c r="FFH1633" s="1"/>
      <c r="FFI1633" s="1"/>
      <c r="FFJ1633" s="1"/>
      <c r="FFK1633" s="1"/>
      <c r="FFL1633" s="1"/>
      <c r="FFM1633" s="1"/>
      <c r="FFN1633" s="1"/>
      <c r="FFO1633" s="1"/>
      <c r="FFP1633" s="1"/>
      <c r="FFQ1633" s="1"/>
      <c r="FFR1633" s="1"/>
      <c r="FFS1633" s="1"/>
      <c r="FFT1633" s="1"/>
      <c r="FFU1633" s="1"/>
      <c r="FFV1633" s="1"/>
      <c r="FFW1633" s="1"/>
      <c r="FFX1633" s="1"/>
      <c r="FFY1633" s="1"/>
      <c r="FFZ1633" s="1"/>
      <c r="FGA1633" s="1"/>
      <c r="FGB1633" s="1"/>
      <c r="FGC1633" s="1"/>
      <c r="FGD1633" s="1"/>
      <c r="FGE1633" s="1"/>
      <c r="FGF1633" s="1"/>
      <c r="FGG1633" s="1"/>
      <c r="FGH1633" s="1"/>
      <c r="FGI1633" s="1"/>
      <c r="FGJ1633" s="1"/>
      <c r="FGK1633" s="1"/>
      <c r="FGL1633" s="1"/>
      <c r="FGM1633" s="1"/>
      <c r="FGN1633" s="1"/>
      <c r="FGO1633" s="1"/>
      <c r="FGP1633" s="1"/>
      <c r="FGQ1633" s="1"/>
      <c r="FGR1633" s="1"/>
      <c r="FGS1633" s="1"/>
      <c r="FGT1633" s="1"/>
      <c r="FGU1633" s="1"/>
      <c r="FGV1633" s="1"/>
      <c r="FGW1633" s="1"/>
      <c r="FGX1633" s="1"/>
      <c r="FGY1633" s="1"/>
      <c r="FGZ1633" s="1"/>
      <c r="FHA1633" s="1"/>
      <c r="FHB1633" s="1"/>
      <c r="FHC1633" s="1"/>
      <c r="FHD1633" s="1"/>
      <c r="FHE1633" s="1"/>
      <c r="FHF1633" s="1"/>
      <c r="FHG1633" s="1"/>
      <c r="FHH1633" s="1"/>
      <c r="FHI1633" s="1"/>
      <c r="FHJ1633" s="1"/>
      <c r="FHK1633" s="1"/>
      <c r="FHL1633" s="1"/>
      <c r="FHM1633" s="1"/>
      <c r="FHN1633" s="1"/>
      <c r="FHO1633" s="1"/>
      <c r="FHP1633" s="1"/>
      <c r="FHQ1633" s="1"/>
      <c r="FHR1633" s="1"/>
      <c r="FHS1633" s="1"/>
      <c r="FHT1633" s="1"/>
      <c r="FHU1633" s="1"/>
      <c r="FHV1633" s="1"/>
      <c r="FHW1633" s="1"/>
      <c r="FHX1633" s="1"/>
      <c r="FHY1633" s="1"/>
      <c r="FHZ1633" s="1"/>
      <c r="FIA1633" s="1"/>
      <c r="FIB1633" s="1"/>
      <c r="FIC1633" s="1"/>
      <c r="FID1633" s="1"/>
      <c r="FIE1633" s="1"/>
      <c r="FIF1633" s="1"/>
      <c r="FIG1633" s="1"/>
      <c r="FIH1633" s="1"/>
      <c r="FII1633" s="1"/>
      <c r="FIJ1633" s="1"/>
      <c r="FIK1633" s="1"/>
      <c r="FIL1633" s="1"/>
      <c r="FIM1633" s="1"/>
      <c r="FIN1633" s="1"/>
      <c r="FIO1633" s="1"/>
      <c r="FIP1633" s="1"/>
      <c r="FIQ1633" s="1"/>
      <c r="FIR1633" s="1"/>
      <c r="FIS1633" s="1"/>
      <c r="FIT1633" s="1"/>
      <c r="FIU1633" s="1"/>
      <c r="FIV1633" s="1"/>
      <c r="FIW1633" s="1"/>
      <c r="FIX1633" s="1"/>
      <c r="FIY1633" s="1"/>
      <c r="FIZ1633" s="1"/>
      <c r="FJA1633" s="1"/>
      <c r="FJB1633" s="1"/>
      <c r="FJC1633" s="1"/>
      <c r="FJD1633" s="1"/>
      <c r="FJE1633" s="1"/>
      <c r="FJF1633" s="1"/>
      <c r="FJG1633" s="1"/>
      <c r="FJH1633" s="1"/>
      <c r="FJI1633" s="1"/>
      <c r="FJJ1633" s="1"/>
      <c r="FJK1633" s="1"/>
      <c r="FJL1633" s="1"/>
      <c r="FJM1633" s="1"/>
      <c r="FJN1633" s="1"/>
      <c r="FJO1633" s="1"/>
      <c r="FJP1633" s="1"/>
      <c r="FJQ1633" s="1"/>
      <c r="FJR1633" s="1"/>
      <c r="FJS1633" s="1"/>
      <c r="FJT1633" s="1"/>
      <c r="FJU1633" s="1"/>
      <c r="FJV1633" s="1"/>
      <c r="FJW1633" s="1"/>
      <c r="FJX1633" s="1"/>
      <c r="FJY1633" s="1"/>
      <c r="FJZ1633" s="1"/>
      <c r="FKA1633" s="1"/>
      <c r="FKB1633" s="1"/>
      <c r="FKC1633" s="1"/>
      <c r="FKD1633" s="1"/>
      <c r="FKE1633" s="1"/>
      <c r="FKF1633" s="1"/>
      <c r="FKG1633" s="1"/>
      <c r="FKH1633" s="1"/>
      <c r="FKI1633" s="1"/>
      <c r="FKJ1633" s="1"/>
      <c r="FKK1633" s="1"/>
      <c r="FKL1633" s="1"/>
      <c r="FKM1633" s="1"/>
      <c r="FKN1633" s="1"/>
      <c r="FKO1633" s="1"/>
      <c r="FKP1633" s="1"/>
      <c r="FKQ1633" s="1"/>
      <c r="FKR1633" s="1"/>
      <c r="FKS1633" s="1"/>
      <c r="FKT1633" s="1"/>
      <c r="FKU1633" s="1"/>
      <c r="FKV1633" s="1"/>
      <c r="FKW1633" s="1"/>
      <c r="FKX1633" s="1"/>
      <c r="FKY1633" s="1"/>
      <c r="FKZ1633" s="1"/>
      <c r="FLA1633" s="1"/>
      <c r="FLB1633" s="1"/>
      <c r="FLC1633" s="1"/>
      <c r="FLD1633" s="1"/>
      <c r="FLE1633" s="1"/>
      <c r="FLF1633" s="1"/>
      <c r="FLG1633" s="1"/>
      <c r="FLH1633" s="1"/>
      <c r="FLI1633" s="1"/>
      <c r="FLJ1633" s="1"/>
      <c r="FLK1633" s="1"/>
      <c r="FLL1633" s="1"/>
      <c r="FLM1633" s="1"/>
      <c r="FLN1633" s="1"/>
      <c r="FLO1633" s="1"/>
      <c r="FLP1633" s="1"/>
      <c r="FLQ1633" s="1"/>
      <c r="FLR1633" s="1"/>
      <c r="FLS1633" s="1"/>
      <c r="FLT1633" s="1"/>
      <c r="FLU1633" s="1"/>
      <c r="FLV1633" s="1"/>
      <c r="FLW1633" s="1"/>
      <c r="FLX1633" s="1"/>
      <c r="FLY1633" s="1"/>
      <c r="FLZ1633" s="1"/>
      <c r="FMA1633" s="1"/>
      <c r="FMB1633" s="1"/>
      <c r="FMC1633" s="1"/>
      <c r="FMD1633" s="1"/>
      <c r="FME1633" s="1"/>
      <c r="FMF1633" s="1"/>
      <c r="FMG1633" s="1"/>
      <c r="FMH1633" s="1"/>
      <c r="FMI1633" s="1"/>
      <c r="FMJ1633" s="1"/>
      <c r="FMK1633" s="1"/>
      <c r="FML1633" s="1"/>
      <c r="FMM1633" s="1"/>
      <c r="FMN1633" s="1"/>
      <c r="FMO1633" s="1"/>
      <c r="FMP1633" s="1"/>
      <c r="FMQ1633" s="1"/>
      <c r="FMR1633" s="1"/>
      <c r="FMS1633" s="1"/>
      <c r="FMT1633" s="1"/>
      <c r="FMU1633" s="1"/>
      <c r="FMV1633" s="1"/>
      <c r="FMW1633" s="1"/>
      <c r="FMX1633" s="1"/>
      <c r="FMY1633" s="1"/>
      <c r="FMZ1633" s="1"/>
      <c r="FNA1633" s="1"/>
      <c r="FNB1633" s="1"/>
      <c r="FNC1633" s="1"/>
      <c r="FND1633" s="1"/>
      <c r="FNE1633" s="1"/>
      <c r="FNF1633" s="1"/>
      <c r="FNG1633" s="1"/>
      <c r="FNH1633" s="1"/>
      <c r="FNI1633" s="1"/>
      <c r="FNJ1633" s="1"/>
      <c r="FNK1633" s="1"/>
      <c r="FNL1633" s="1"/>
      <c r="FNM1633" s="1"/>
      <c r="FNN1633" s="1"/>
      <c r="FNO1633" s="1"/>
      <c r="FNP1633" s="1"/>
      <c r="FNQ1633" s="1"/>
      <c r="FNR1633" s="1"/>
      <c r="FNS1633" s="1"/>
      <c r="FNT1633" s="1"/>
      <c r="FNU1633" s="1"/>
      <c r="FNV1633" s="1"/>
      <c r="FNW1633" s="1"/>
      <c r="FNX1633" s="1"/>
      <c r="FNY1633" s="1"/>
      <c r="FNZ1633" s="1"/>
      <c r="FOA1633" s="1"/>
      <c r="FOB1633" s="1"/>
      <c r="FOC1633" s="1"/>
      <c r="FOD1633" s="1"/>
      <c r="FOE1633" s="1"/>
      <c r="FOF1633" s="1"/>
      <c r="FOG1633" s="1"/>
      <c r="FOH1633" s="1"/>
      <c r="FOI1633" s="1"/>
      <c r="FOJ1633" s="1"/>
      <c r="FOK1633" s="1"/>
      <c r="FOL1633" s="1"/>
      <c r="FOM1633" s="1"/>
      <c r="FON1633" s="1"/>
      <c r="FOO1633" s="1"/>
      <c r="FOP1633" s="1"/>
      <c r="FOQ1633" s="1"/>
      <c r="FOR1633" s="1"/>
      <c r="FOS1633" s="1"/>
      <c r="FOT1633" s="1"/>
      <c r="FOU1633" s="1"/>
      <c r="FOV1633" s="1"/>
      <c r="FOW1633" s="1"/>
      <c r="FOX1633" s="1"/>
      <c r="FOY1633" s="1"/>
      <c r="FOZ1633" s="1"/>
      <c r="FPA1633" s="1"/>
      <c r="FPB1633" s="1"/>
      <c r="FPC1633" s="1"/>
      <c r="FPD1633" s="1"/>
      <c r="FPE1633" s="1"/>
      <c r="FPF1633" s="1"/>
      <c r="FPG1633" s="1"/>
      <c r="FPH1633" s="1"/>
      <c r="FPI1633" s="1"/>
      <c r="FPJ1633" s="1"/>
      <c r="FPK1633" s="1"/>
      <c r="FPL1633" s="1"/>
      <c r="FPM1633" s="1"/>
      <c r="FPN1633" s="1"/>
      <c r="FPO1633" s="1"/>
      <c r="FPP1633" s="1"/>
      <c r="FPQ1633" s="1"/>
      <c r="FPR1633" s="1"/>
      <c r="FPS1633" s="1"/>
      <c r="FPT1633" s="1"/>
      <c r="FPU1633" s="1"/>
      <c r="FPV1633" s="1"/>
      <c r="FPW1633" s="1"/>
      <c r="FPX1633" s="1"/>
      <c r="FPY1633" s="1"/>
      <c r="FPZ1633" s="1"/>
      <c r="FQA1633" s="1"/>
      <c r="FQB1633" s="1"/>
      <c r="FQC1633" s="1"/>
      <c r="FQD1633" s="1"/>
      <c r="FQE1633" s="1"/>
      <c r="FQF1633" s="1"/>
      <c r="FQG1633" s="1"/>
      <c r="FQH1633" s="1"/>
      <c r="FQI1633" s="1"/>
      <c r="FQJ1633" s="1"/>
      <c r="FQK1633" s="1"/>
      <c r="FQL1633" s="1"/>
      <c r="FQM1633" s="1"/>
      <c r="FQN1633" s="1"/>
      <c r="FQO1633" s="1"/>
      <c r="FQP1633" s="1"/>
      <c r="FQQ1633" s="1"/>
      <c r="FQR1633" s="1"/>
      <c r="FQS1633" s="1"/>
      <c r="FQT1633" s="1"/>
      <c r="FQU1633" s="1"/>
      <c r="FQV1633" s="1"/>
      <c r="FQW1633" s="1"/>
      <c r="FQX1633" s="1"/>
      <c r="FQY1633" s="1"/>
      <c r="FQZ1633" s="1"/>
      <c r="FRA1633" s="1"/>
      <c r="FRB1633" s="1"/>
      <c r="FRC1633" s="1"/>
      <c r="FRD1633" s="1"/>
      <c r="FRE1633" s="1"/>
      <c r="FRF1633" s="1"/>
      <c r="FRG1633" s="1"/>
      <c r="FRH1633" s="1"/>
      <c r="FRI1633" s="1"/>
      <c r="FRJ1633" s="1"/>
      <c r="FRK1633" s="1"/>
      <c r="FRL1633" s="1"/>
      <c r="FRM1633" s="1"/>
      <c r="FRN1633" s="1"/>
      <c r="FRO1633" s="1"/>
      <c r="FRP1633" s="1"/>
      <c r="FRQ1633" s="1"/>
      <c r="FRR1633" s="1"/>
      <c r="FRS1633" s="1"/>
      <c r="FRT1633" s="1"/>
      <c r="FRU1633" s="1"/>
      <c r="FRV1633" s="1"/>
      <c r="FRW1633" s="1"/>
      <c r="FRX1633" s="1"/>
      <c r="FRY1633" s="1"/>
      <c r="FRZ1633" s="1"/>
      <c r="FSA1633" s="1"/>
      <c r="FSB1633" s="1"/>
      <c r="FSC1633" s="1"/>
      <c r="FSD1633" s="1"/>
      <c r="FSE1633" s="1"/>
      <c r="FSF1633" s="1"/>
      <c r="FSG1633" s="1"/>
      <c r="FSH1633" s="1"/>
      <c r="FSI1633" s="1"/>
      <c r="FSJ1633" s="1"/>
      <c r="FSK1633" s="1"/>
      <c r="FSL1633" s="1"/>
      <c r="FSM1633" s="1"/>
      <c r="FSN1633" s="1"/>
      <c r="FSO1633" s="1"/>
      <c r="FSP1633" s="1"/>
      <c r="FSQ1633" s="1"/>
      <c r="FSR1633" s="1"/>
      <c r="FSS1633" s="1"/>
      <c r="FST1633" s="1"/>
      <c r="FSU1633" s="1"/>
      <c r="FSV1633" s="1"/>
      <c r="FSW1633" s="1"/>
      <c r="FSX1633" s="1"/>
      <c r="FSY1633" s="1"/>
      <c r="FSZ1633" s="1"/>
      <c r="FTA1633" s="1"/>
      <c r="FTB1633" s="1"/>
      <c r="FTC1633" s="1"/>
      <c r="FTD1633" s="1"/>
      <c r="FTE1633" s="1"/>
      <c r="FTF1633" s="1"/>
      <c r="FTG1633" s="1"/>
      <c r="FTH1633" s="1"/>
      <c r="FTI1633" s="1"/>
      <c r="FTJ1633" s="1"/>
      <c r="FTK1633" s="1"/>
      <c r="FTL1633" s="1"/>
      <c r="FTM1633" s="1"/>
      <c r="FTN1633" s="1"/>
      <c r="FTO1633" s="1"/>
      <c r="FTP1633" s="1"/>
      <c r="FTQ1633" s="1"/>
      <c r="FTR1633" s="1"/>
      <c r="FTS1633" s="1"/>
      <c r="FTT1633" s="1"/>
      <c r="FTU1633" s="1"/>
      <c r="FTV1633" s="1"/>
      <c r="FTW1633" s="1"/>
      <c r="FTX1633" s="1"/>
      <c r="FTY1633" s="1"/>
      <c r="FTZ1633" s="1"/>
      <c r="FUA1633" s="1"/>
      <c r="FUB1633" s="1"/>
      <c r="FUC1633" s="1"/>
      <c r="FUD1633" s="1"/>
      <c r="FUE1633" s="1"/>
      <c r="FUF1633" s="1"/>
      <c r="FUG1633" s="1"/>
      <c r="FUH1633" s="1"/>
      <c r="FUI1633" s="1"/>
      <c r="FUJ1633" s="1"/>
      <c r="FUK1633" s="1"/>
      <c r="FUL1633" s="1"/>
      <c r="FUM1633" s="1"/>
      <c r="FUN1633" s="1"/>
      <c r="FUO1633" s="1"/>
      <c r="FUP1633" s="1"/>
      <c r="FUQ1633" s="1"/>
      <c r="FUR1633" s="1"/>
      <c r="FUS1633" s="1"/>
      <c r="FUT1633" s="1"/>
      <c r="FUU1633" s="1"/>
      <c r="FUV1633" s="1"/>
      <c r="FUW1633" s="1"/>
      <c r="FUX1633" s="1"/>
      <c r="FUY1633" s="1"/>
      <c r="FUZ1633" s="1"/>
      <c r="FVA1633" s="1"/>
      <c r="FVB1633" s="1"/>
      <c r="FVC1633" s="1"/>
      <c r="FVD1633" s="1"/>
      <c r="FVE1633" s="1"/>
      <c r="FVF1633" s="1"/>
      <c r="FVG1633" s="1"/>
      <c r="FVH1633" s="1"/>
      <c r="FVI1633" s="1"/>
      <c r="FVJ1633" s="1"/>
      <c r="FVK1633" s="1"/>
      <c r="FVL1633" s="1"/>
      <c r="FVM1633" s="1"/>
      <c r="FVN1633" s="1"/>
      <c r="FVO1633" s="1"/>
      <c r="FVP1633" s="1"/>
      <c r="FVQ1633" s="1"/>
      <c r="FVR1633" s="1"/>
      <c r="FVS1633" s="1"/>
      <c r="FVT1633" s="1"/>
      <c r="FVU1633" s="1"/>
      <c r="FVV1633" s="1"/>
      <c r="FVW1633" s="1"/>
      <c r="FVX1633" s="1"/>
      <c r="FVY1633" s="1"/>
      <c r="FVZ1633" s="1"/>
      <c r="FWA1633" s="1"/>
      <c r="FWB1633" s="1"/>
      <c r="FWC1633" s="1"/>
      <c r="FWD1633" s="1"/>
      <c r="FWE1633" s="1"/>
      <c r="FWF1633" s="1"/>
      <c r="FWG1633" s="1"/>
      <c r="FWH1633" s="1"/>
      <c r="FWI1633" s="1"/>
      <c r="FWJ1633" s="1"/>
      <c r="FWK1633" s="1"/>
      <c r="FWL1633" s="1"/>
      <c r="FWM1633" s="1"/>
      <c r="FWN1633" s="1"/>
      <c r="FWO1633" s="1"/>
      <c r="FWP1633" s="1"/>
      <c r="FWQ1633" s="1"/>
      <c r="FWR1633" s="1"/>
      <c r="FWS1633" s="1"/>
      <c r="FWT1633" s="1"/>
      <c r="FWU1633" s="1"/>
      <c r="FWV1633" s="1"/>
      <c r="FWW1633" s="1"/>
      <c r="FWX1633" s="1"/>
      <c r="FWY1633" s="1"/>
      <c r="FWZ1633" s="1"/>
      <c r="FXA1633" s="1"/>
      <c r="FXB1633" s="1"/>
      <c r="FXC1633" s="1"/>
      <c r="FXD1633" s="1"/>
      <c r="FXE1633" s="1"/>
      <c r="FXF1633" s="1"/>
      <c r="FXG1633" s="1"/>
      <c r="FXH1633" s="1"/>
      <c r="FXI1633" s="1"/>
      <c r="FXJ1633" s="1"/>
      <c r="FXK1633" s="1"/>
      <c r="FXL1633" s="1"/>
      <c r="FXM1633" s="1"/>
      <c r="FXN1633" s="1"/>
      <c r="FXO1633" s="1"/>
      <c r="FXP1633" s="1"/>
      <c r="FXQ1633" s="1"/>
      <c r="FXR1633" s="1"/>
      <c r="FXS1633" s="1"/>
      <c r="FXT1633" s="1"/>
      <c r="FXU1633" s="1"/>
      <c r="FXV1633" s="1"/>
      <c r="FXW1633" s="1"/>
      <c r="FXX1633" s="1"/>
      <c r="FXY1633" s="1"/>
      <c r="FXZ1633" s="1"/>
      <c r="FYA1633" s="1"/>
      <c r="FYB1633" s="1"/>
      <c r="FYC1633" s="1"/>
      <c r="FYD1633" s="1"/>
      <c r="FYE1633" s="1"/>
      <c r="FYF1633" s="1"/>
      <c r="FYG1633" s="1"/>
      <c r="FYH1633" s="1"/>
      <c r="FYI1633" s="1"/>
      <c r="FYJ1633" s="1"/>
      <c r="FYK1633" s="1"/>
      <c r="FYL1633" s="1"/>
      <c r="FYM1633" s="1"/>
      <c r="FYN1633" s="1"/>
      <c r="FYO1633" s="1"/>
      <c r="FYP1633" s="1"/>
      <c r="FYQ1633" s="1"/>
      <c r="FYR1633" s="1"/>
      <c r="FYS1633" s="1"/>
      <c r="FYT1633" s="1"/>
      <c r="FYU1633" s="1"/>
      <c r="FYV1633" s="1"/>
      <c r="FYW1633" s="1"/>
      <c r="FYX1633" s="1"/>
      <c r="FYY1633" s="1"/>
      <c r="FYZ1633" s="1"/>
      <c r="FZA1633" s="1"/>
      <c r="FZB1633" s="1"/>
      <c r="FZC1633" s="1"/>
      <c r="FZD1633" s="1"/>
      <c r="FZE1633" s="1"/>
      <c r="FZF1633" s="1"/>
      <c r="FZG1633" s="1"/>
      <c r="FZH1633" s="1"/>
      <c r="FZI1633" s="1"/>
      <c r="FZJ1633" s="1"/>
      <c r="FZK1633" s="1"/>
      <c r="FZL1633" s="1"/>
      <c r="FZM1633" s="1"/>
      <c r="FZN1633" s="1"/>
      <c r="FZO1633" s="1"/>
      <c r="FZP1633" s="1"/>
      <c r="FZQ1633" s="1"/>
      <c r="FZR1633" s="1"/>
      <c r="FZS1633" s="1"/>
      <c r="FZT1633" s="1"/>
      <c r="FZU1633" s="1"/>
      <c r="FZV1633" s="1"/>
      <c r="FZW1633" s="1"/>
      <c r="FZX1633" s="1"/>
      <c r="FZY1633" s="1"/>
      <c r="FZZ1633" s="1"/>
      <c r="GAA1633" s="1"/>
      <c r="GAB1633" s="1"/>
      <c r="GAC1633" s="1"/>
      <c r="GAD1633" s="1"/>
      <c r="GAE1633" s="1"/>
      <c r="GAF1633" s="1"/>
      <c r="GAG1633" s="1"/>
      <c r="GAH1633" s="1"/>
      <c r="GAI1633" s="1"/>
      <c r="GAJ1633" s="1"/>
      <c r="GAK1633" s="1"/>
      <c r="GAL1633" s="1"/>
      <c r="GAM1633" s="1"/>
      <c r="GAN1633" s="1"/>
      <c r="GAO1633" s="1"/>
      <c r="GAP1633" s="1"/>
      <c r="GAQ1633" s="1"/>
      <c r="GAR1633" s="1"/>
      <c r="GAS1633" s="1"/>
      <c r="GAT1633" s="1"/>
      <c r="GAU1633" s="1"/>
      <c r="GAV1633" s="1"/>
      <c r="GAW1633" s="1"/>
      <c r="GAX1633" s="1"/>
      <c r="GAY1633" s="1"/>
      <c r="GAZ1633" s="1"/>
      <c r="GBA1633" s="1"/>
      <c r="GBB1633" s="1"/>
      <c r="GBC1633" s="1"/>
      <c r="GBD1633" s="1"/>
      <c r="GBE1633" s="1"/>
      <c r="GBF1633" s="1"/>
      <c r="GBG1633" s="1"/>
      <c r="GBH1633" s="1"/>
      <c r="GBI1633" s="1"/>
      <c r="GBJ1633" s="1"/>
      <c r="GBK1633" s="1"/>
      <c r="GBL1633" s="1"/>
      <c r="GBM1633" s="1"/>
      <c r="GBN1633" s="1"/>
      <c r="GBO1633" s="1"/>
      <c r="GBP1633" s="1"/>
      <c r="GBQ1633" s="1"/>
      <c r="GBR1633" s="1"/>
      <c r="GBS1633" s="1"/>
      <c r="GBT1633" s="1"/>
      <c r="GBU1633" s="1"/>
      <c r="GBV1633" s="1"/>
      <c r="GBW1633" s="1"/>
      <c r="GBX1633" s="1"/>
      <c r="GBY1633" s="1"/>
      <c r="GBZ1633" s="1"/>
      <c r="GCA1633" s="1"/>
      <c r="GCB1633" s="1"/>
      <c r="GCC1633" s="1"/>
      <c r="GCD1633" s="1"/>
      <c r="GCE1633" s="1"/>
      <c r="GCF1633" s="1"/>
      <c r="GCG1633" s="1"/>
      <c r="GCH1633" s="1"/>
      <c r="GCI1633" s="1"/>
      <c r="GCJ1633" s="1"/>
      <c r="GCK1633" s="1"/>
      <c r="GCL1633" s="1"/>
      <c r="GCM1633" s="1"/>
      <c r="GCN1633" s="1"/>
      <c r="GCO1633" s="1"/>
      <c r="GCP1633" s="1"/>
      <c r="GCQ1633" s="1"/>
      <c r="GCR1633" s="1"/>
      <c r="GCS1633" s="1"/>
      <c r="GCT1633" s="1"/>
      <c r="GCU1633" s="1"/>
      <c r="GCV1633" s="1"/>
      <c r="GCW1633" s="1"/>
      <c r="GCX1633" s="1"/>
      <c r="GCY1633" s="1"/>
      <c r="GCZ1633" s="1"/>
      <c r="GDA1633" s="1"/>
      <c r="GDB1633" s="1"/>
      <c r="GDC1633" s="1"/>
      <c r="GDD1633" s="1"/>
      <c r="GDE1633" s="1"/>
      <c r="GDF1633" s="1"/>
      <c r="GDG1633" s="1"/>
      <c r="GDH1633" s="1"/>
      <c r="GDI1633" s="1"/>
      <c r="GDJ1633" s="1"/>
      <c r="GDK1633" s="1"/>
      <c r="GDL1633" s="1"/>
      <c r="GDM1633" s="1"/>
      <c r="GDN1633" s="1"/>
      <c r="GDO1633" s="1"/>
      <c r="GDP1633" s="1"/>
      <c r="GDQ1633" s="1"/>
      <c r="GDR1633" s="1"/>
      <c r="GDS1633" s="1"/>
      <c r="GDT1633" s="1"/>
      <c r="GDU1633" s="1"/>
      <c r="GDV1633" s="1"/>
      <c r="GDW1633" s="1"/>
      <c r="GDX1633" s="1"/>
      <c r="GDY1633" s="1"/>
      <c r="GDZ1633" s="1"/>
      <c r="GEA1633" s="1"/>
      <c r="GEB1633" s="1"/>
      <c r="GEC1633" s="1"/>
      <c r="GED1633" s="1"/>
      <c r="GEE1633" s="1"/>
      <c r="GEF1633" s="1"/>
      <c r="GEG1633" s="1"/>
      <c r="GEH1633" s="1"/>
      <c r="GEI1633" s="1"/>
      <c r="GEJ1633" s="1"/>
      <c r="GEK1633" s="1"/>
      <c r="GEL1633" s="1"/>
      <c r="GEM1633" s="1"/>
      <c r="GEN1633" s="1"/>
      <c r="GEO1633" s="1"/>
      <c r="GEP1633" s="1"/>
      <c r="GEQ1633" s="1"/>
      <c r="GER1633" s="1"/>
      <c r="GES1633" s="1"/>
      <c r="GET1633" s="1"/>
      <c r="GEU1633" s="1"/>
      <c r="GEV1633" s="1"/>
      <c r="GEW1633" s="1"/>
      <c r="GEX1633" s="1"/>
      <c r="GEY1633" s="1"/>
      <c r="GEZ1633" s="1"/>
      <c r="GFA1633" s="1"/>
      <c r="GFB1633" s="1"/>
      <c r="GFC1633" s="1"/>
      <c r="GFD1633" s="1"/>
      <c r="GFE1633" s="1"/>
      <c r="GFF1633" s="1"/>
      <c r="GFG1633" s="1"/>
      <c r="GFH1633" s="1"/>
      <c r="GFI1633" s="1"/>
      <c r="GFJ1633" s="1"/>
      <c r="GFK1633" s="1"/>
      <c r="GFL1633" s="1"/>
      <c r="GFM1633" s="1"/>
      <c r="GFN1633" s="1"/>
      <c r="GFO1633" s="1"/>
      <c r="GFP1633" s="1"/>
      <c r="GFQ1633" s="1"/>
      <c r="GFR1633" s="1"/>
      <c r="GFS1633" s="1"/>
      <c r="GFT1633" s="1"/>
      <c r="GFU1633" s="1"/>
      <c r="GFV1633" s="1"/>
      <c r="GFW1633" s="1"/>
      <c r="GFX1633" s="1"/>
      <c r="GFY1633" s="1"/>
      <c r="GFZ1633" s="1"/>
      <c r="GGA1633" s="1"/>
      <c r="GGB1633" s="1"/>
      <c r="GGC1633" s="1"/>
      <c r="GGD1633" s="1"/>
      <c r="GGE1633" s="1"/>
      <c r="GGF1633" s="1"/>
      <c r="GGG1633" s="1"/>
      <c r="GGH1633" s="1"/>
      <c r="GGI1633" s="1"/>
      <c r="GGJ1633" s="1"/>
      <c r="GGK1633" s="1"/>
      <c r="GGL1633" s="1"/>
      <c r="GGM1633" s="1"/>
      <c r="GGN1633" s="1"/>
      <c r="GGO1633" s="1"/>
      <c r="GGP1633" s="1"/>
      <c r="GGQ1633" s="1"/>
      <c r="GGR1633" s="1"/>
      <c r="GGS1633" s="1"/>
      <c r="GGT1633" s="1"/>
      <c r="GGU1633" s="1"/>
      <c r="GGV1633" s="1"/>
      <c r="GGW1633" s="1"/>
      <c r="GGX1633" s="1"/>
      <c r="GGY1633" s="1"/>
      <c r="GGZ1633" s="1"/>
      <c r="GHA1633" s="1"/>
      <c r="GHB1633" s="1"/>
      <c r="GHC1633" s="1"/>
      <c r="GHD1633" s="1"/>
      <c r="GHE1633" s="1"/>
      <c r="GHF1633" s="1"/>
      <c r="GHG1633" s="1"/>
      <c r="GHH1633" s="1"/>
      <c r="GHI1633" s="1"/>
      <c r="GHJ1633" s="1"/>
      <c r="GHK1633" s="1"/>
      <c r="GHL1633" s="1"/>
      <c r="GHM1633" s="1"/>
      <c r="GHN1633" s="1"/>
      <c r="GHO1633" s="1"/>
      <c r="GHP1633" s="1"/>
      <c r="GHQ1633" s="1"/>
      <c r="GHR1633" s="1"/>
      <c r="GHS1633" s="1"/>
      <c r="GHT1633" s="1"/>
      <c r="GHU1633" s="1"/>
      <c r="GHV1633" s="1"/>
      <c r="GHW1633" s="1"/>
      <c r="GHX1633" s="1"/>
      <c r="GHY1633" s="1"/>
      <c r="GHZ1633" s="1"/>
      <c r="GIA1633" s="1"/>
      <c r="GIB1633" s="1"/>
      <c r="GIC1633" s="1"/>
      <c r="GID1633" s="1"/>
      <c r="GIE1633" s="1"/>
      <c r="GIF1633" s="1"/>
      <c r="GIG1633" s="1"/>
      <c r="GIH1633" s="1"/>
      <c r="GII1633" s="1"/>
      <c r="GIJ1633" s="1"/>
      <c r="GIK1633" s="1"/>
      <c r="GIL1633" s="1"/>
      <c r="GIM1633" s="1"/>
      <c r="GIN1633" s="1"/>
      <c r="GIO1633" s="1"/>
      <c r="GIP1633" s="1"/>
      <c r="GIQ1633" s="1"/>
      <c r="GIR1633" s="1"/>
      <c r="GIS1633" s="1"/>
      <c r="GIT1633" s="1"/>
      <c r="GIU1633" s="1"/>
      <c r="GIV1633" s="1"/>
      <c r="GIW1633" s="1"/>
      <c r="GIX1633" s="1"/>
      <c r="GIY1633" s="1"/>
      <c r="GIZ1633" s="1"/>
      <c r="GJA1633" s="1"/>
      <c r="GJB1633" s="1"/>
      <c r="GJC1633" s="1"/>
      <c r="GJD1633" s="1"/>
      <c r="GJE1633" s="1"/>
      <c r="GJF1633" s="1"/>
      <c r="GJG1633" s="1"/>
      <c r="GJH1633" s="1"/>
      <c r="GJI1633" s="1"/>
      <c r="GJJ1633" s="1"/>
      <c r="GJK1633" s="1"/>
      <c r="GJL1633" s="1"/>
      <c r="GJM1633" s="1"/>
      <c r="GJN1633" s="1"/>
      <c r="GJO1633" s="1"/>
      <c r="GJP1633" s="1"/>
      <c r="GJQ1633" s="1"/>
      <c r="GJR1633" s="1"/>
      <c r="GJS1633" s="1"/>
      <c r="GJT1633" s="1"/>
      <c r="GJU1633" s="1"/>
      <c r="GJV1633" s="1"/>
      <c r="GJW1633" s="1"/>
      <c r="GJX1633" s="1"/>
      <c r="GJY1633" s="1"/>
      <c r="GJZ1633" s="1"/>
      <c r="GKA1633" s="1"/>
      <c r="GKB1633" s="1"/>
      <c r="GKC1633" s="1"/>
      <c r="GKD1633" s="1"/>
      <c r="GKE1633" s="1"/>
      <c r="GKF1633" s="1"/>
      <c r="GKG1633" s="1"/>
      <c r="GKH1633" s="1"/>
      <c r="GKI1633" s="1"/>
      <c r="GKJ1633" s="1"/>
      <c r="GKK1633" s="1"/>
      <c r="GKL1633" s="1"/>
      <c r="GKM1633" s="1"/>
      <c r="GKN1633" s="1"/>
      <c r="GKO1633" s="1"/>
      <c r="GKP1633" s="1"/>
      <c r="GKQ1633" s="1"/>
      <c r="GKR1633" s="1"/>
      <c r="GKS1633" s="1"/>
      <c r="GKT1633" s="1"/>
      <c r="GKU1633" s="1"/>
      <c r="GKV1633" s="1"/>
      <c r="GKW1633" s="1"/>
      <c r="GKX1633" s="1"/>
      <c r="GKY1633" s="1"/>
      <c r="GKZ1633" s="1"/>
      <c r="GLA1633" s="1"/>
      <c r="GLB1633" s="1"/>
      <c r="GLC1633" s="1"/>
      <c r="GLD1633" s="1"/>
      <c r="GLE1633" s="1"/>
      <c r="GLF1633" s="1"/>
      <c r="GLG1633" s="1"/>
      <c r="GLH1633" s="1"/>
      <c r="GLI1633" s="1"/>
      <c r="GLJ1633" s="1"/>
      <c r="GLK1633" s="1"/>
      <c r="GLL1633" s="1"/>
      <c r="GLM1633" s="1"/>
      <c r="GLN1633" s="1"/>
      <c r="GLO1633" s="1"/>
      <c r="GLP1633" s="1"/>
      <c r="GLQ1633" s="1"/>
      <c r="GLR1633" s="1"/>
      <c r="GLS1633" s="1"/>
      <c r="GLT1633" s="1"/>
      <c r="GLU1633" s="1"/>
      <c r="GLV1633" s="1"/>
      <c r="GLW1633" s="1"/>
      <c r="GLX1633" s="1"/>
      <c r="GLY1633" s="1"/>
      <c r="GLZ1633" s="1"/>
      <c r="GMA1633" s="1"/>
      <c r="GMB1633" s="1"/>
      <c r="GMC1633" s="1"/>
      <c r="GMD1633" s="1"/>
      <c r="GME1633" s="1"/>
      <c r="GMF1633" s="1"/>
      <c r="GMG1633" s="1"/>
      <c r="GMH1633" s="1"/>
      <c r="GMI1633" s="1"/>
      <c r="GMJ1633" s="1"/>
      <c r="GMK1633" s="1"/>
      <c r="GML1633" s="1"/>
      <c r="GMM1633" s="1"/>
      <c r="GMN1633" s="1"/>
      <c r="GMO1633" s="1"/>
      <c r="GMP1633" s="1"/>
      <c r="GMQ1633" s="1"/>
      <c r="GMR1633" s="1"/>
      <c r="GMS1633" s="1"/>
      <c r="GMT1633" s="1"/>
      <c r="GMU1633" s="1"/>
      <c r="GMV1633" s="1"/>
      <c r="GMW1633" s="1"/>
      <c r="GMX1633" s="1"/>
      <c r="GMY1633" s="1"/>
      <c r="GMZ1633" s="1"/>
      <c r="GNA1633" s="1"/>
      <c r="GNB1633" s="1"/>
      <c r="GNC1633" s="1"/>
      <c r="GND1633" s="1"/>
      <c r="GNE1633" s="1"/>
      <c r="GNF1633" s="1"/>
      <c r="GNG1633" s="1"/>
      <c r="GNH1633" s="1"/>
      <c r="GNI1633" s="1"/>
      <c r="GNJ1633" s="1"/>
      <c r="GNK1633" s="1"/>
      <c r="GNL1633" s="1"/>
      <c r="GNM1633" s="1"/>
      <c r="GNN1633" s="1"/>
      <c r="GNO1633" s="1"/>
      <c r="GNP1633" s="1"/>
      <c r="GNQ1633" s="1"/>
      <c r="GNR1633" s="1"/>
      <c r="GNS1633" s="1"/>
      <c r="GNT1633" s="1"/>
      <c r="GNU1633" s="1"/>
      <c r="GNV1633" s="1"/>
      <c r="GNW1633" s="1"/>
      <c r="GNX1633" s="1"/>
      <c r="GNY1633" s="1"/>
      <c r="GNZ1633" s="1"/>
      <c r="GOA1633" s="1"/>
      <c r="GOB1633" s="1"/>
      <c r="GOC1633" s="1"/>
      <c r="GOD1633" s="1"/>
      <c r="GOE1633" s="1"/>
      <c r="GOF1633" s="1"/>
      <c r="GOG1633" s="1"/>
      <c r="GOH1633" s="1"/>
      <c r="GOI1633" s="1"/>
      <c r="GOJ1633" s="1"/>
      <c r="GOK1633" s="1"/>
      <c r="GOL1633" s="1"/>
      <c r="GOM1633" s="1"/>
      <c r="GON1633" s="1"/>
      <c r="GOO1633" s="1"/>
      <c r="GOP1633" s="1"/>
      <c r="GOQ1633" s="1"/>
      <c r="GOR1633" s="1"/>
      <c r="GOS1633" s="1"/>
      <c r="GOT1633" s="1"/>
      <c r="GOU1633" s="1"/>
      <c r="GOV1633" s="1"/>
      <c r="GOW1633" s="1"/>
      <c r="GOX1633" s="1"/>
      <c r="GOY1633" s="1"/>
      <c r="GOZ1633" s="1"/>
      <c r="GPA1633" s="1"/>
      <c r="GPB1633" s="1"/>
      <c r="GPC1633" s="1"/>
      <c r="GPD1633" s="1"/>
      <c r="GPE1633" s="1"/>
      <c r="GPF1633" s="1"/>
      <c r="GPG1633" s="1"/>
      <c r="GPH1633" s="1"/>
      <c r="GPI1633" s="1"/>
      <c r="GPJ1633" s="1"/>
      <c r="GPK1633" s="1"/>
      <c r="GPL1633" s="1"/>
      <c r="GPM1633" s="1"/>
      <c r="GPN1633" s="1"/>
      <c r="GPO1633" s="1"/>
      <c r="GPP1633" s="1"/>
      <c r="GPQ1633" s="1"/>
      <c r="GPR1633" s="1"/>
      <c r="GPS1633" s="1"/>
      <c r="GPT1633" s="1"/>
      <c r="GPU1633" s="1"/>
      <c r="GPV1633" s="1"/>
      <c r="GPW1633" s="1"/>
      <c r="GPX1633" s="1"/>
      <c r="GPY1633" s="1"/>
      <c r="GPZ1633" s="1"/>
      <c r="GQA1633" s="1"/>
      <c r="GQB1633" s="1"/>
      <c r="GQC1633" s="1"/>
      <c r="GQD1633" s="1"/>
      <c r="GQE1633" s="1"/>
      <c r="GQF1633" s="1"/>
      <c r="GQG1633" s="1"/>
      <c r="GQH1633" s="1"/>
      <c r="GQI1633" s="1"/>
      <c r="GQJ1633" s="1"/>
      <c r="GQK1633" s="1"/>
      <c r="GQL1633" s="1"/>
      <c r="GQM1633" s="1"/>
      <c r="GQN1633" s="1"/>
      <c r="GQO1633" s="1"/>
      <c r="GQP1633" s="1"/>
      <c r="GQQ1633" s="1"/>
      <c r="GQR1633" s="1"/>
      <c r="GQS1633" s="1"/>
      <c r="GQT1633" s="1"/>
      <c r="GQU1633" s="1"/>
      <c r="GQV1633" s="1"/>
      <c r="GQW1633" s="1"/>
      <c r="GQX1633" s="1"/>
      <c r="GQY1633" s="1"/>
      <c r="GQZ1633" s="1"/>
      <c r="GRA1633" s="1"/>
      <c r="GRB1633" s="1"/>
      <c r="GRC1633" s="1"/>
      <c r="GRD1633" s="1"/>
      <c r="GRE1633" s="1"/>
      <c r="GRF1633" s="1"/>
      <c r="GRG1633" s="1"/>
      <c r="GRH1633" s="1"/>
      <c r="GRI1633" s="1"/>
      <c r="GRJ1633" s="1"/>
      <c r="GRK1633" s="1"/>
      <c r="GRL1633" s="1"/>
      <c r="GRM1633" s="1"/>
      <c r="GRN1633" s="1"/>
      <c r="GRO1633" s="1"/>
      <c r="GRP1633" s="1"/>
      <c r="GRQ1633" s="1"/>
      <c r="GRR1633" s="1"/>
      <c r="GRS1633" s="1"/>
      <c r="GRT1633" s="1"/>
      <c r="GRU1633" s="1"/>
      <c r="GRV1633" s="1"/>
      <c r="GRW1633" s="1"/>
      <c r="GRX1633" s="1"/>
      <c r="GRY1633" s="1"/>
      <c r="GRZ1633" s="1"/>
      <c r="GSA1633" s="1"/>
      <c r="GSB1633" s="1"/>
      <c r="GSC1633" s="1"/>
      <c r="GSD1633" s="1"/>
      <c r="GSE1633" s="1"/>
      <c r="GSF1633" s="1"/>
      <c r="GSG1633" s="1"/>
      <c r="GSH1633" s="1"/>
      <c r="GSI1633" s="1"/>
      <c r="GSJ1633" s="1"/>
      <c r="GSK1633" s="1"/>
      <c r="GSL1633" s="1"/>
      <c r="GSM1633" s="1"/>
      <c r="GSN1633" s="1"/>
      <c r="GSO1633" s="1"/>
      <c r="GSP1633" s="1"/>
      <c r="GSQ1633" s="1"/>
      <c r="GSR1633" s="1"/>
      <c r="GSS1633" s="1"/>
      <c r="GST1633" s="1"/>
      <c r="GSU1633" s="1"/>
      <c r="GSV1633" s="1"/>
      <c r="GSW1633" s="1"/>
      <c r="GSX1633" s="1"/>
      <c r="GSY1633" s="1"/>
      <c r="GSZ1633" s="1"/>
      <c r="GTA1633" s="1"/>
      <c r="GTB1633" s="1"/>
      <c r="GTC1633" s="1"/>
      <c r="GTD1633" s="1"/>
      <c r="GTE1633" s="1"/>
      <c r="GTF1633" s="1"/>
      <c r="GTG1633" s="1"/>
      <c r="GTH1633" s="1"/>
      <c r="GTI1633" s="1"/>
      <c r="GTJ1633" s="1"/>
      <c r="GTK1633" s="1"/>
      <c r="GTL1633" s="1"/>
      <c r="GTM1633" s="1"/>
      <c r="GTN1633" s="1"/>
      <c r="GTO1633" s="1"/>
      <c r="GTP1633" s="1"/>
      <c r="GTQ1633" s="1"/>
      <c r="GTR1633" s="1"/>
      <c r="GTS1633" s="1"/>
      <c r="GTT1633" s="1"/>
      <c r="GTU1633" s="1"/>
      <c r="GTV1633" s="1"/>
      <c r="GTW1633" s="1"/>
      <c r="GTX1633" s="1"/>
      <c r="GTY1633" s="1"/>
      <c r="GTZ1633" s="1"/>
      <c r="GUA1633" s="1"/>
      <c r="GUB1633" s="1"/>
      <c r="GUC1633" s="1"/>
      <c r="GUD1633" s="1"/>
      <c r="GUE1633" s="1"/>
      <c r="GUF1633" s="1"/>
      <c r="GUG1633" s="1"/>
      <c r="GUH1633" s="1"/>
      <c r="GUI1633" s="1"/>
      <c r="GUJ1633" s="1"/>
      <c r="GUK1633" s="1"/>
      <c r="GUL1633" s="1"/>
      <c r="GUM1633" s="1"/>
      <c r="GUN1633" s="1"/>
      <c r="GUO1633" s="1"/>
      <c r="GUP1633" s="1"/>
      <c r="GUQ1633" s="1"/>
      <c r="GUR1633" s="1"/>
      <c r="GUS1633" s="1"/>
      <c r="GUT1633" s="1"/>
      <c r="GUU1633" s="1"/>
      <c r="GUV1633" s="1"/>
      <c r="GUW1633" s="1"/>
      <c r="GUX1633" s="1"/>
      <c r="GUY1633" s="1"/>
      <c r="GUZ1633" s="1"/>
      <c r="GVA1633" s="1"/>
      <c r="GVB1633" s="1"/>
      <c r="GVC1633" s="1"/>
      <c r="GVD1633" s="1"/>
      <c r="GVE1633" s="1"/>
      <c r="GVF1633" s="1"/>
      <c r="GVG1633" s="1"/>
      <c r="GVH1633" s="1"/>
      <c r="GVI1633" s="1"/>
      <c r="GVJ1633" s="1"/>
      <c r="GVK1633" s="1"/>
      <c r="GVL1633" s="1"/>
      <c r="GVM1633" s="1"/>
      <c r="GVN1633" s="1"/>
      <c r="GVO1633" s="1"/>
      <c r="GVP1633" s="1"/>
      <c r="GVQ1633" s="1"/>
      <c r="GVR1633" s="1"/>
      <c r="GVS1633" s="1"/>
      <c r="GVT1633" s="1"/>
      <c r="GVU1633" s="1"/>
      <c r="GVV1633" s="1"/>
      <c r="GVW1633" s="1"/>
      <c r="GVX1633" s="1"/>
      <c r="GVY1633" s="1"/>
      <c r="GVZ1633" s="1"/>
      <c r="GWA1633" s="1"/>
      <c r="GWB1633" s="1"/>
      <c r="GWC1633" s="1"/>
      <c r="GWD1633" s="1"/>
      <c r="GWE1633" s="1"/>
      <c r="GWF1633" s="1"/>
      <c r="GWG1633" s="1"/>
      <c r="GWH1633" s="1"/>
      <c r="GWI1633" s="1"/>
      <c r="GWJ1633" s="1"/>
      <c r="GWK1633" s="1"/>
      <c r="GWL1633" s="1"/>
      <c r="GWM1633" s="1"/>
      <c r="GWN1633" s="1"/>
      <c r="GWO1633" s="1"/>
      <c r="GWP1633" s="1"/>
      <c r="GWQ1633" s="1"/>
      <c r="GWR1633" s="1"/>
      <c r="GWS1633" s="1"/>
      <c r="GWT1633" s="1"/>
      <c r="GWU1633" s="1"/>
      <c r="GWV1633" s="1"/>
      <c r="GWW1633" s="1"/>
      <c r="GWX1633" s="1"/>
      <c r="GWY1633" s="1"/>
      <c r="GWZ1633" s="1"/>
      <c r="GXA1633" s="1"/>
      <c r="GXB1633" s="1"/>
      <c r="GXC1633" s="1"/>
      <c r="GXD1633" s="1"/>
      <c r="GXE1633" s="1"/>
      <c r="GXF1633" s="1"/>
      <c r="GXG1633" s="1"/>
      <c r="GXH1633" s="1"/>
      <c r="GXI1633" s="1"/>
      <c r="GXJ1633" s="1"/>
      <c r="GXK1633" s="1"/>
      <c r="GXL1633" s="1"/>
      <c r="GXM1633" s="1"/>
      <c r="GXN1633" s="1"/>
      <c r="GXO1633" s="1"/>
      <c r="GXP1633" s="1"/>
      <c r="GXQ1633" s="1"/>
      <c r="GXR1633" s="1"/>
      <c r="GXS1633" s="1"/>
      <c r="GXT1633" s="1"/>
      <c r="GXU1633" s="1"/>
      <c r="GXV1633" s="1"/>
      <c r="GXW1633" s="1"/>
      <c r="GXX1633" s="1"/>
      <c r="GXY1633" s="1"/>
      <c r="GXZ1633" s="1"/>
      <c r="GYA1633" s="1"/>
      <c r="GYB1633" s="1"/>
      <c r="GYC1633" s="1"/>
      <c r="GYD1633" s="1"/>
      <c r="GYE1633" s="1"/>
      <c r="GYF1633" s="1"/>
      <c r="GYG1633" s="1"/>
      <c r="GYH1633" s="1"/>
      <c r="GYI1633" s="1"/>
      <c r="GYJ1633" s="1"/>
      <c r="GYK1633" s="1"/>
      <c r="GYL1633" s="1"/>
      <c r="GYM1633" s="1"/>
      <c r="GYN1633" s="1"/>
      <c r="GYO1633" s="1"/>
      <c r="GYP1633" s="1"/>
      <c r="GYQ1633" s="1"/>
      <c r="GYR1633" s="1"/>
      <c r="GYS1633" s="1"/>
      <c r="GYT1633" s="1"/>
      <c r="GYU1633" s="1"/>
      <c r="GYV1633" s="1"/>
      <c r="GYW1633" s="1"/>
      <c r="GYX1633" s="1"/>
      <c r="GYY1633" s="1"/>
      <c r="GYZ1633" s="1"/>
      <c r="GZA1633" s="1"/>
      <c r="GZB1633" s="1"/>
      <c r="GZC1633" s="1"/>
      <c r="GZD1633" s="1"/>
      <c r="GZE1633" s="1"/>
      <c r="GZF1633" s="1"/>
      <c r="GZG1633" s="1"/>
      <c r="GZH1633" s="1"/>
      <c r="GZI1633" s="1"/>
      <c r="GZJ1633" s="1"/>
      <c r="GZK1633" s="1"/>
      <c r="GZL1633" s="1"/>
      <c r="GZM1633" s="1"/>
      <c r="GZN1633" s="1"/>
      <c r="GZO1633" s="1"/>
      <c r="GZP1633" s="1"/>
      <c r="GZQ1633" s="1"/>
      <c r="GZR1633" s="1"/>
      <c r="GZS1633" s="1"/>
      <c r="GZT1633" s="1"/>
      <c r="GZU1633" s="1"/>
      <c r="GZV1633" s="1"/>
      <c r="GZW1633" s="1"/>
      <c r="GZX1633" s="1"/>
      <c r="GZY1633" s="1"/>
      <c r="GZZ1633" s="1"/>
      <c r="HAA1633" s="1"/>
      <c r="HAB1633" s="1"/>
      <c r="HAC1633" s="1"/>
      <c r="HAD1633" s="1"/>
      <c r="HAE1633" s="1"/>
      <c r="HAF1633" s="1"/>
      <c r="HAG1633" s="1"/>
      <c r="HAH1633" s="1"/>
      <c r="HAI1633" s="1"/>
      <c r="HAJ1633" s="1"/>
      <c r="HAK1633" s="1"/>
      <c r="HAL1633" s="1"/>
      <c r="HAM1633" s="1"/>
      <c r="HAN1633" s="1"/>
      <c r="HAO1633" s="1"/>
      <c r="HAP1633" s="1"/>
      <c r="HAQ1633" s="1"/>
      <c r="HAR1633" s="1"/>
      <c r="HAS1633" s="1"/>
      <c r="HAT1633" s="1"/>
      <c r="HAU1633" s="1"/>
      <c r="HAV1633" s="1"/>
      <c r="HAW1633" s="1"/>
      <c r="HAX1633" s="1"/>
      <c r="HAY1633" s="1"/>
      <c r="HAZ1633" s="1"/>
      <c r="HBA1633" s="1"/>
      <c r="HBB1633" s="1"/>
      <c r="HBC1633" s="1"/>
      <c r="HBD1633" s="1"/>
      <c r="HBE1633" s="1"/>
      <c r="HBF1633" s="1"/>
      <c r="HBG1633" s="1"/>
      <c r="HBH1633" s="1"/>
      <c r="HBI1633" s="1"/>
      <c r="HBJ1633" s="1"/>
      <c r="HBK1633" s="1"/>
      <c r="HBL1633" s="1"/>
      <c r="HBM1633" s="1"/>
      <c r="HBN1633" s="1"/>
      <c r="HBO1633" s="1"/>
      <c r="HBP1633" s="1"/>
      <c r="HBQ1633" s="1"/>
      <c r="HBR1633" s="1"/>
      <c r="HBS1633" s="1"/>
      <c r="HBT1633" s="1"/>
      <c r="HBU1633" s="1"/>
      <c r="HBV1633" s="1"/>
      <c r="HBW1633" s="1"/>
      <c r="HBX1633" s="1"/>
      <c r="HBY1633" s="1"/>
      <c r="HBZ1633" s="1"/>
      <c r="HCA1633" s="1"/>
      <c r="HCB1633" s="1"/>
      <c r="HCC1633" s="1"/>
      <c r="HCD1633" s="1"/>
      <c r="HCE1633" s="1"/>
      <c r="HCF1633" s="1"/>
      <c r="HCG1633" s="1"/>
      <c r="HCH1633" s="1"/>
      <c r="HCI1633" s="1"/>
      <c r="HCJ1633" s="1"/>
      <c r="HCK1633" s="1"/>
      <c r="HCL1633" s="1"/>
      <c r="HCM1633" s="1"/>
      <c r="HCN1633" s="1"/>
      <c r="HCO1633" s="1"/>
      <c r="HCP1633" s="1"/>
      <c r="HCQ1633" s="1"/>
      <c r="HCR1633" s="1"/>
      <c r="HCS1633" s="1"/>
      <c r="HCT1633" s="1"/>
      <c r="HCU1633" s="1"/>
      <c r="HCV1633" s="1"/>
      <c r="HCW1633" s="1"/>
      <c r="HCX1633" s="1"/>
      <c r="HCY1633" s="1"/>
      <c r="HCZ1633" s="1"/>
      <c r="HDA1633" s="1"/>
      <c r="HDB1633" s="1"/>
      <c r="HDC1633" s="1"/>
      <c r="HDD1633" s="1"/>
      <c r="HDE1633" s="1"/>
      <c r="HDF1633" s="1"/>
      <c r="HDG1633" s="1"/>
      <c r="HDH1633" s="1"/>
      <c r="HDI1633" s="1"/>
      <c r="HDJ1633" s="1"/>
      <c r="HDK1633" s="1"/>
      <c r="HDL1633" s="1"/>
      <c r="HDM1633" s="1"/>
      <c r="HDN1633" s="1"/>
      <c r="HDO1633" s="1"/>
      <c r="HDP1633" s="1"/>
      <c r="HDQ1633" s="1"/>
      <c r="HDR1633" s="1"/>
      <c r="HDS1633" s="1"/>
      <c r="HDT1633" s="1"/>
      <c r="HDU1633" s="1"/>
      <c r="HDV1633" s="1"/>
      <c r="HDW1633" s="1"/>
      <c r="HDX1633" s="1"/>
      <c r="HDY1633" s="1"/>
      <c r="HDZ1633" s="1"/>
      <c r="HEA1633" s="1"/>
      <c r="HEB1633" s="1"/>
      <c r="HEC1633" s="1"/>
      <c r="HED1633" s="1"/>
      <c r="HEE1633" s="1"/>
      <c r="HEF1633" s="1"/>
      <c r="HEG1633" s="1"/>
      <c r="HEH1633" s="1"/>
      <c r="HEI1633" s="1"/>
      <c r="HEJ1633" s="1"/>
      <c r="HEK1633" s="1"/>
      <c r="HEL1633" s="1"/>
      <c r="HEM1633" s="1"/>
      <c r="HEN1633" s="1"/>
      <c r="HEO1633" s="1"/>
      <c r="HEP1633" s="1"/>
      <c r="HEQ1633" s="1"/>
      <c r="HER1633" s="1"/>
      <c r="HES1633" s="1"/>
      <c r="HET1633" s="1"/>
      <c r="HEU1633" s="1"/>
      <c r="HEV1633" s="1"/>
      <c r="HEW1633" s="1"/>
      <c r="HEX1633" s="1"/>
      <c r="HEY1633" s="1"/>
      <c r="HEZ1633" s="1"/>
      <c r="HFA1633" s="1"/>
      <c r="HFB1633" s="1"/>
      <c r="HFC1633" s="1"/>
      <c r="HFD1633" s="1"/>
      <c r="HFE1633" s="1"/>
      <c r="HFF1633" s="1"/>
      <c r="HFG1633" s="1"/>
      <c r="HFH1633" s="1"/>
      <c r="HFI1633" s="1"/>
      <c r="HFJ1633" s="1"/>
      <c r="HFK1633" s="1"/>
      <c r="HFL1633" s="1"/>
      <c r="HFM1633" s="1"/>
      <c r="HFN1633" s="1"/>
      <c r="HFO1633" s="1"/>
      <c r="HFP1633" s="1"/>
      <c r="HFQ1633" s="1"/>
      <c r="HFR1633" s="1"/>
      <c r="HFS1633" s="1"/>
      <c r="HFT1633" s="1"/>
      <c r="HFU1633" s="1"/>
      <c r="HFV1633" s="1"/>
      <c r="HFW1633" s="1"/>
      <c r="HFX1633" s="1"/>
      <c r="HFY1633" s="1"/>
      <c r="HFZ1633" s="1"/>
      <c r="HGA1633" s="1"/>
      <c r="HGB1633" s="1"/>
      <c r="HGC1633" s="1"/>
      <c r="HGD1633" s="1"/>
      <c r="HGE1633" s="1"/>
      <c r="HGF1633" s="1"/>
      <c r="HGG1633" s="1"/>
      <c r="HGH1633" s="1"/>
      <c r="HGI1633" s="1"/>
      <c r="HGJ1633" s="1"/>
      <c r="HGK1633" s="1"/>
      <c r="HGL1633" s="1"/>
      <c r="HGM1633" s="1"/>
      <c r="HGN1633" s="1"/>
      <c r="HGO1633" s="1"/>
      <c r="HGP1633" s="1"/>
      <c r="HGQ1633" s="1"/>
      <c r="HGR1633" s="1"/>
      <c r="HGS1633" s="1"/>
      <c r="HGT1633" s="1"/>
      <c r="HGU1633" s="1"/>
      <c r="HGV1633" s="1"/>
      <c r="HGW1633" s="1"/>
      <c r="HGX1633" s="1"/>
      <c r="HGY1633" s="1"/>
      <c r="HGZ1633" s="1"/>
      <c r="HHA1633" s="1"/>
      <c r="HHB1633" s="1"/>
      <c r="HHC1633" s="1"/>
      <c r="HHD1633" s="1"/>
      <c r="HHE1633" s="1"/>
      <c r="HHF1633" s="1"/>
      <c r="HHG1633" s="1"/>
      <c r="HHH1633" s="1"/>
      <c r="HHI1633" s="1"/>
      <c r="HHJ1633" s="1"/>
      <c r="HHK1633" s="1"/>
      <c r="HHL1633" s="1"/>
      <c r="HHM1633" s="1"/>
      <c r="HHN1633" s="1"/>
      <c r="HHO1633" s="1"/>
      <c r="HHP1633" s="1"/>
      <c r="HHQ1633" s="1"/>
      <c r="HHR1633" s="1"/>
      <c r="HHS1633" s="1"/>
      <c r="HHT1633" s="1"/>
      <c r="HHU1633" s="1"/>
      <c r="HHV1633" s="1"/>
      <c r="HHW1633" s="1"/>
      <c r="HHX1633" s="1"/>
      <c r="HHY1633" s="1"/>
      <c r="HHZ1633" s="1"/>
      <c r="HIA1633" s="1"/>
      <c r="HIB1633" s="1"/>
      <c r="HIC1633" s="1"/>
      <c r="HID1633" s="1"/>
      <c r="HIE1633" s="1"/>
      <c r="HIF1633" s="1"/>
      <c r="HIG1633" s="1"/>
      <c r="HIH1633" s="1"/>
      <c r="HII1633" s="1"/>
      <c r="HIJ1633" s="1"/>
      <c r="HIK1633" s="1"/>
      <c r="HIL1633" s="1"/>
      <c r="HIM1633" s="1"/>
      <c r="HIN1633" s="1"/>
      <c r="HIO1633" s="1"/>
      <c r="HIP1633" s="1"/>
      <c r="HIQ1633" s="1"/>
      <c r="HIR1633" s="1"/>
      <c r="HIS1633" s="1"/>
      <c r="HIT1633" s="1"/>
      <c r="HIU1633" s="1"/>
      <c r="HIV1633" s="1"/>
      <c r="HIW1633" s="1"/>
      <c r="HIX1633" s="1"/>
      <c r="HIY1633" s="1"/>
      <c r="HIZ1633" s="1"/>
      <c r="HJA1633" s="1"/>
      <c r="HJB1633" s="1"/>
      <c r="HJC1633" s="1"/>
      <c r="HJD1633" s="1"/>
      <c r="HJE1633" s="1"/>
      <c r="HJF1633" s="1"/>
      <c r="HJG1633" s="1"/>
      <c r="HJH1633" s="1"/>
      <c r="HJI1633" s="1"/>
      <c r="HJJ1633" s="1"/>
      <c r="HJK1633" s="1"/>
      <c r="HJL1633" s="1"/>
      <c r="HJM1633" s="1"/>
      <c r="HJN1633" s="1"/>
      <c r="HJO1633" s="1"/>
      <c r="HJP1633" s="1"/>
      <c r="HJQ1633" s="1"/>
      <c r="HJR1633" s="1"/>
      <c r="HJS1633" s="1"/>
      <c r="HJT1633" s="1"/>
      <c r="HJU1633" s="1"/>
      <c r="HJV1633" s="1"/>
      <c r="HJW1633" s="1"/>
      <c r="HJX1633" s="1"/>
      <c r="HJY1633" s="1"/>
      <c r="HJZ1633" s="1"/>
      <c r="HKA1633" s="1"/>
      <c r="HKB1633" s="1"/>
      <c r="HKC1633" s="1"/>
      <c r="HKD1633" s="1"/>
      <c r="HKE1633" s="1"/>
      <c r="HKF1633" s="1"/>
      <c r="HKG1633" s="1"/>
      <c r="HKH1633" s="1"/>
      <c r="HKI1633" s="1"/>
      <c r="HKJ1633" s="1"/>
      <c r="HKK1633" s="1"/>
      <c r="HKL1633" s="1"/>
      <c r="HKM1633" s="1"/>
      <c r="HKN1633" s="1"/>
      <c r="HKO1633" s="1"/>
      <c r="HKP1633" s="1"/>
      <c r="HKQ1633" s="1"/>
      <c r="HKR1633" s="1"/>
      <c r="HKS1633" s="1"/>
      <c r="HKT1633" s="1"/>
      <c r="HKU1633" s="1"/>
      <c r="HKV1633" s="1"/>
      <c r="HKW1633" s="1"/>
      <c r="HKX1633" s="1"/>
      <c r="HKY1633" s="1"/>
      <c r="HKZ1633" s="1"/>
      <c r="HLA1633" s="1"/>
      <c r="HLB1633" s="1"/>
      <c r="HLC1633" s="1"/>
      <c r="HLD1633" s="1"/>
      <c r="HLE1633" s="1"/>
      <c r="HLF1633" s="1"/>
      <c r="HLG1633" s="1"/>
      <c r="HLH1633" s="1"/>
      <c r="HLI1633" s="1"/>
      <c r="HLJ1633" s="1"/>
      <c r="HLK1633" s="1"/>
      <c r="HLL1633" s="1"/>
      <c r="HLM1633" s="1"/>
      <c r="HLN1633" s="1"/>
      <c r="HLO1633" s="1"/>
      <c r="HLP1633" s="1"/>
      <c r="HLQ1633" s="1"/>
      <c r="HLR1633" s="1"/>
      <c r="HLS1633" s="1"/>
      <c r="HLT1633" s="1"/>
      <c r="HLU1633" s="1"/>
      <c r="HLV1633" s="1"/>
      <c r="HLW1633" s="1"/>
      <c r="HLX1633" s="1"/>
      <c r="HLY1633" s="1"/>
      <c r="HLZ1633" s="1"/>
      <c r="HMA1633" s="1"/>
      <c r="HMB1633" s="1"/>
      <c r="HMC1633" s="1"/>
      <c r="HMD1633" s="1"/>
      <c r="HME1633" s="1"/>
      <c r="HMF1633" s="1"/>
      <c r="HMG1633" s="1"/>
      <c r="HMH1633" s="1"/>
      <c r="HMI1633" s="1"/>
      <c r="HMJ1633" s="1"/>
      <c r="HMK1633" s="1"/>
      <c r="HML1633" s="1"/>
      <c r="HMM1633" s="1"/>
      <c r="HMN1633" s="1"/>
      <c r="HMO1633" s="1"/>
      <c r="HMP1633" s="1"/>
      <c r="HMQ1633" s="1"/>
      <c r="HMR1633" s="1"/>
      <c r="HMS1633" s="1"/>
      <c r="HMT1633" s="1"/>
      <c r="HMU1633" s="1"/>
      <c r="HMV1633" s="1"/>
      <c r="HMW1633" s="1"/>
      <c r="HMX1633" s="1"/>
      <c r="HMY1633" s="1"/>
      <c r="HMZ1633" s="1"/>
      <c r="HNA1633" s="1"/>
      <c r="HNB1633" s="1"/>
      <c r="HNC1633" s="1"/>
      <c r="HND1633" s="1"/>
      <c r="HNE1633" s="1"/>
      <c r="HNF1633" s="1"/>
      <c r="HNG1633" s="1"/>
      <c r="HNH1633" s="1"/>
      <c r="HNI1633" s="1"/>
      <c r="HNJ1633" s="1"/>
      <c r="HNK1633" s="1"/>
      <c r="HNL1633" s="1"/>
      <c r="HNM1633" s="1"/>
      <c r="HNN1633" s="1"/>
      <c r="HNO1633" s="1"/>
      <c r="HNP1633" s="1"/>
      <c r="HNQ1633" s="1"/>
      <c r="HNR1633" s="1"/>
      <c r="HNS1633" s="1"/>
      <c r="HNT1633" s="1"/>
      <c r="HNU1633" s="1"/>
      <c r="HNV1633" s="1"/>
      <c r="HNW1633" s="1"/>
      <c r="HNX1633" s="1"/>
      <c r="HNY1633" s="1"/>
      <c r="HNZ1633" s="1"/>
      <c r="HOA1633" s="1"/>
      <c r="HOB1633" s="1"/>
      <c r="HOC1633" s="1"/>
      <c r="HOD1633" s="1"/>
      <c r="HOE1633" s="1"/>
      <c r="HOF1633" s="1"/>
      <c r="HOG1633" s="1"/>
      <c r="HOH1633" s="1"/>
      <c r="HOI1633" s="1"/>
      <c r="HOJ1633" s="1"/>
      <c r="HOK1633" s="1"/>
      <c r="HOL1633" s="1"/>
      <c r="HOM1633" s="1"/>
      <c r="HON1633" s="1"/>
      <c r="HOO1633" s="1"/>
      <c r="HOP1633" s="1"/>
      <c r="HOQ1633" s="1"/>
      <c r="HOR1633" s="1"/>
      <c r="HOS1633" s="1"/>
      <c r="HOT1633" s="1"/>
      <c r="HOU1633" s="1"/>
      <c r="HOV1633" s="1"/>
      <c r="HOW1633" s="1"/>
      <c r="HOX1633" s="1"/>
      <c r="HOY1633" s="1"/>
      <c r="HOZ1633" s="1"/>
      <c r="HPA1633" s="1"/>
      <c r="HPB1633" s="1"/>
      <c r="HPC1633" s="1"/>
      <c r="HPD1633" s="1"/>
      <c r="HPE1633" s="1"/>
      <c r="HPF1633" s="1"/>
      <c r="HPG1633" s="1"/>
      <c r="HPH1633" s="1"/>
      <c r="HPI1633" s="1"/>
      <c r="HPJ1633" s="1"/>
      <c r="HPK1633" s="1"/>
      <c r="HPL1633" s="1"/>
      <c r="HPM1633" s="1"/>
      <c r="HPN1633" s="1"/>
      <c r="HPO1633" s="1"/>
      <c r="HPP1633" s="1"/>
      <c r="HPQ1633" s="1"/>
      <c r="HPR1633" s="1"/>
      <c r="HPS1633" s="1"/>
      <c r="HPT1633" s="1"/>
      <c r="HPU1633" s="1"/>
      <c r="HPV1633" s="1"/>
      <c r="HPW1633" s="1"/>
      <c r="HPX1633" s="1"/>
      <c r="HPY1633" s="1"/>
      <c r="HPZ1633" s="1"/>
      <c r="HQA1633" s="1"/>
      <c r="HQB1633" s="1"/>
      <c r="HQC1633" s="1"/>
      <c r="HQD1633" s="1"/>
      <c r="HQE1633" s="1"/>
      <c r="HQF1633" s="1"/>
      <c r="HQG1633" s="1"/>
      <c r="HQH1633" s="1"/>
      <c r="HQI1633" s="1"/>
      <c r="HQJ1633" s="1"/>
      <c r="HQK1633" s="1"/>
      <c r="HQL1633" s="1"/>
      <c r="HQM1633" s="1"/>
      <c r="HQN1633" s="1"/>
      <c r="HQO1633" s="1"/>
      <c r="HQP1633" s="1"/>
      <c r="HQQ1633" s="1"/>
      <c r="HQR1633" s="1"/>
      <c r="HQS1633" s="1"/>
      <c r="HQT1633" s="1"/>
      <c r="HQU1633" s="1"/>
      <c r="HQV1633" s="1"/>
      <c r="HQW1633" s="1"/>
      <c r="HQX1633" s="1"/>
      <c r="HQY1633" s="1"/>
      <c r="HQZ1633" s="1"/>
      <c r="HRA1633" s="1"/>
      <c r="HRB1633" s="1"/>
      <c r="HRC1633" s="1"/>
      <c r="HRD1633" s="1"/>
      <c r="HRE1633" s="1"/>
      <c r="HRF1633" s="1"/>
      <c r="HRG1633" s="1"/>
      <c r="HRH1633" s="1"/>
      <c r="HRI1633" s="1"/>
      <c r="HRJ1633" s="1"/>
      <c r="HRK1633" s="1"/>
      <c r="HRL1633" s="1"/>
      <c r="HRM1633" s="1"/>
      <c r="HRN1633" s="1"/>
      <c r="HRO1633" s="1"/>
      <c r="HRP1633" s="1"/>
      <c r="HRQ1633" s="1"/>
      <c r="HRR1633" s="1"/>
      <c r="HRS1633" s="1"/>
      <c r="HRT1633" s="1"/>
      <c r="HRU1633" s="1"/>
      <c r="HRV1633" s="1"/>
      <c r="HRW1633" s="1"/>
      <c r="HRX1633" s="1"/>
      <c r="HRY1633" s="1"/>
      <c r="HRZ1633" s="1"/>
      <c r="HSA1633" s="1"/>
      <c r="HSB1633" s="1"/>
      <c r="HSC1633" s="1"/>
      <c r="HSD1633" s="1"/>
      <c r="HSE1633" s="1"/>
      <c r="HSF1633" s="1"/>
      <c r="HSG1633" s="1"/>
      <c r="HSH1633" s="1"/>
      <c r="HSI1633" s="1"/>
      <c r="HSJ1633" s="1"/>
      <c r="HSK1633" s="1"/>
      <c r="HSL1633" s="1"/>
      <c r="HSM1633" s="1"/>
      <c r="HSN1633" s="1"/>
      <c r="HSO1633" s="1"/>
      <c r="HSP1633" s="1"/>
      <c r="HSQ1633" s="1"/>
      <c r="HSR1633" s="1"/>
      <c r="HSS1633" s="1"/>
      <c r="HST1633" s="1"/>
      <c r="HSU1633" s="1"/>
      <c r="HSV1633" s="1"/>
      <c r="HSW1633" s="1"/>
      <c r="HSX1633" s="1"/>
      <c r="HSY1633" s="1"/>
      <c r="HSZ1633" s="1"/>
      <c r="HTA1633" s="1"/>
      <c r="HTB1633" s="1"/>
      <c r="HTC1633" s="1"/>
      <c r="HTD1633" s="1"/>
      <c r="HTE1633" s="1"/>
      <c r="HTF1633" s="1"/>
      <c r="HTG1633" s="1"/>
      <c r="HTH1633" s="1"/>
      <c r="HTI1633" s="1"/>
      <c r="HTJ1633" s="1"/>
      <c r="HTK1633" s="1"/>
      <c r="HTL1633" s="1"/>
      <c r="HTM1633" s="1"/>
      <c r="HTN1633" s="1"/>
      <c r="HTO1633" s="1"/>
      <c r="HTP1633" s="1"/>
      <c r="HTQ1633" s="1"/>
      <c r="HTR1633" s="1"/>
      <c r="HTS1633" s="1"/>
      <c r="HTT1633" s="1"/>
      <c r="HTU1633" s="1"/>
      <c r="HTV1633" s="1"/>
      <c r="HTW1633" s="1"/>
      <c r="HTX1633" s="1"/>
      <c r="HTY1633" s="1"/>
      <c r="HTZ1633" s="1"/>
      <c r="HUA1633" s="1"/>
      <c r="HUB1633" s="1"/>
      <c r="HUC1633" s="1"/>
      <c r="HUD1633" s="1"/>
      <c r="HUE1633" s="1"/>
      <c r="HUF1633" s="1"/>
      <c r="HUG1633" s="1"/>
      <c r="HUH1633" s="1"/>
      <c r="HUI1633" s="1"/>
      <c r="HUJ1633" s="1"/>
      <c r="HUK1633" s="1"/>
      <c r="HUL1633" s="1"/>
      <c r="HUM1633" s="1"/>
      <c r="HUN1633" s="1"/>
      <c r="HUO1633" s="1"/>
      <c r="HUP1633" s="1"/>
      <c r="HUQ1633" s="1"/>
      <c r="HUR1633" s="1"/>
      <c r="HUS1633" s="1"/>
      <c r="HUT1633" s="1"/>
      <c r="HUU1633" s="1"/>
      <c r="HUV1633" s="1"/>
      <c r="HUW1633" s="1"/>
      <c r="HUX1633" s="1"/>
      <c r="HUY1633" s="1"/>
      <c r="HUZ1633" s="1"/>
      <c r="HVA1633" s="1"/>
      <c r="HVB1633" s="1"/>
      <c r="HVC1633" s="1"/>
      <c r="HVD1633" s="1"/>
      <c r="HVE1633" s="1"/>
      <c r="HVF1633" s="1"/>
      <c r="HVG1633" s="1"/>
      <c r="HVH1633" s="1"/>
      <c r="HVI1633" s="1"/>
      <c r="HVJ1633" s="1"/>
      <c r="HVK1633" s="1"/>
      <c r="HVL1633" s="1"/>
      <c r="HVM1633" s="1"/>
      <c r="HVN1633" s="1"/>
      <c r="HVO1633" s="1"/>
      <c r="HVP1633" s="1"/>
      <c r="HVQ1633" s="1"/>
      <c r="HVR1633" s="1"/>
      <c r="HVS1633" s="1"/>
      <c r="HVT1633" s="1"/>
      <c r="HVU1633" s="1"/>
      <c r="HVV1633" s="1"/>
      <c r="HVW1633" s="1"/>
      <c r="HVX1633" s="1"/>
      <c r="HVY1633" s="1"/>
      <c r="HVZ1633" s="1"/>
      <c r="HWA1633" s="1"/>
      <c r="HWB1633" s="1"/>
      <c r="HWC1633" s="1"/>
      <c r="HWD1633" s="1"/>
      <c r="HWE1633" s="1"/>
      <c r="HWF1633" s="1"/>
      <c r="HWG1633" s="1"/>
      <c r="HWH1633" s="1"/>
      <c r="HWI1633" s="1"/>
      <c r="HWJ1633" s="1"/>
      <c r="HWK1633" s="1"/>
      <c r="HWL1633" s="1"/>
      <c r="HWM1633" s="1"/>
      <c r="HWN1633" s="1"/>
      <c r="HWO1633" s="1"/>
      <c r="HWP1633" s="1"/>
      <c r="HWQ1633" s="1"/>
      <c r="HWR1633" s="1"/>
      <c r="HWS1633" s="1"/>
      <c r="HWT1633" s="1"/>
      <c r="HWU1633" s="1"/>
      <c r="HWV1633" s="1"/>
      <c r="HWW1633" s="1"/>
      <c r="HWX1633" s="1"/>
      <c r="HWY1633" s="1"/>
      <c r="HWZ1633" s="1"/>
      <c r="HXA1633" s="1"/>
      <c r="HXB1633" s="1"/>
      <c r="HXC1633" s="1"/>
      <c r="HXD1633" s="1"/>
      <c r="HXE1633" s="1"/>
      <c r="HXF1633" s="1"/>
      <c r="HXG1633" s="1"/>
      <c r="HXH1633" s="1"/>
      <c r="HXI1633" s="1"/>
      <c r="HXJ1633" s="1"/>
      <c r="HXK1633" s="1"/>
      <c r="HXL1633" s="1"/>
      <c r="HXM1633" s="1"/>
      <c r="HXN1633" s="1"/>
      <c r="HXO1633" s="1"/>
      <c r="HXP1633" s="1"/>
      <c r="HXQ1633" s="1"/>
      <c r="HXR1633" s="1"/>
      <c r="HXS1633" s="1"/>
      <c r="HXT1633" s="1"/>
      <c r="HXU1633" s="1"/>
      <c r="HXV1633" s="1"/>
      <c r="HXW1633" s="1"/>
      <c r="HXX1633" s="1"/>
      <c r="HXY1633" s="1"/>
      <c r="HXZ1633" s="1"/>
      <c r="HYA1633" s="1"/>
      <c r="HYB1633" s="1"/>
      <c r="HYC1633" s="1"/>
      <c r="HYD1633" s="1"/>
      <c r="HYE1633" s="1"/>
      <c r="HYF1633" s="1"/>
      <c r="HYG1633" s="1"/>
      <c r="HYH1633" s="1"/>
      <c r="HYI1633" s="1"/>
      <c r="HYJ1633" s="1"/>
      <c r="HYK1633" s="1"/>
      <c r="HYL1633" s="1"/>
      <c r="HYM1633" s="1"/>
      <c r="HYN1633" s="1"/>
      <c r="HYO1633" s="1"/>
      <c r="HYP1633" s="1"/>
      <c r="HYQ1633" s="1"/>
      <c r="HYR1633" s="1"/>
      <c r="HYS1633" s="1"/>
      <c r="HYT1633" s="1"/>
      <c r="HYU1633" s="1"/>
      <c r="HYV1633" s="1"/>
      <c r="HYW1633" s="1"/>
      <c r="HYX1633" s="1"/>
      <c r="HYY1633" s="1"/>
      <c r="HYZ1633" s="1"/>
      <c r="HZA1633" s="1"/>
      <c r="HZB1633" s="1"/>
      <c r="HZC1633" s="1"/>
      <c r="HZD1633" s="1"/>
      <c r="HZE1633" s="1"/>
      <c r="HZF1633" s="1"/>
      <c r="HZG1633" s="1"/>
      <c r="HZH1633" s="1"/>
      <c r="HZI1633" s="1"/>
      <c r="HZJ1633" s="1"/>
      <c r="HZK1633" s="1"/>
      <c r="HZL1633" s="1"/>
      <c r="HZM1633" s="1"/>
      <c r="HZN1633" s="1"/>
      <c r="HZO1633" s="1"/>
      <c r="HZP1633" s="1"/>
      <c r="HZQ1633" s="1"/>
      <c r="HZR1633" s="1"/>
      <c r="HZS1633" s="1"/>
      <c r="HZT1633" s="1"/>
      <c r="HZU1633" s="1"/>
      <c r="HZV1633" s="1"/>
      <c r="HZW1633" s="1"/>
      <c r="HZX1633" s="1"/>
      <c r="HZY1633" s="1"/>
      <c r="HZZ1633" s="1"/>
      <c r="IAA1633" s="1"/>
      <c r="IAB1633" s="1"/>
      <c r="IAC1633" s="1"/>
      <c r="IAD1633" s="1"/>
      <c r="IAE1633" s="1"/>
      <c r="IAF1633" s="1"/>
      <c r="IAG1633" s="1"/>
      <c r="IAH1633" s="1"/>
      <c r="IAI1633" s="1"/>
      <c r="IAJ1633" s="1"/>
      <c r="IAK1633" s="1"/>
      <c r="IAL1633" s="1"/>
      <c r="IAM1633" s="1"/>
      <c r="IAN1633" s="1"/>
      <c r="IAO1633" s="1"/>
      <c r="IAP1633" s="1"/>
      <c r="IAQ1633" s="1"/>
      <c r="IAR1633" s="1"/>
      <c r="IAS1633" s="1"/>
      <c r="IAT1633" s="1"/>
      <c r="IAU1633" s="1"/>
      <c r="IAV1633" s="1"/>
      <c r="IAW1633" s="1"/>
      <c r="IAX1633" s="1"/>
      <c r="IAY1633" s="1"/>
      <c r="IAZ1633" s="1"/>
      <c r="IBA1633" s="1"/>
      <c r="IBB1633" s="1"/>
      <c r="IBC1633" s="1"/>
      <c r="IBD1633" s="1"/>
      <c r="IBE1633" s="1"/>
      <c r="IBF1633" s="1"/>
      <c r="IBG1633" s="1"/>
      <c r="IBH1633" s="1"/>
      <c r="IBI1633" s="1"/>
      <c r="IBJ1633" s="1"/>
      <c r="IBK1633" s="1"/>
      <c r="IBL1633" s="1"/>
      <c r="IBM1633" s="1"/>
      <c r="IBN1633" s="1"/>
      <c r="IBO1633" s="1"/>
      <c r="IBP1633" s="1"/>
      <c r="IBQ1633" s="1"/>
      <c r="IBR1633" s="1"/>
      <c r="IBS1633" s="1"/>
      <c r="IBT1633" s="1"/>
      <c r="IBU1633" s="1"/>
      <c r="IBV1633" s="1"/>
      <c r="IBW1633" s="1"/>
      <c r="IBX1633" s="1"/>
      <c r="IBY1633" s="1"/>
      <c r="IBZ1633" s="1"/>
      <c r="ICA1633" s="1"/>
      <c r="ICB1633" s="1"/>
      <c r="ICC1633" s="1"/>
      <c r="ICD1633" s="1"/>
      <c r="ICE1633" s="1"/>
      <c r="ICF1633" s="1"/>
      <c r="ICG1633" s="1"/>
      <c r="ICH1633" s="1"/>
      <c r="ICI1633" s="1"/>
      <c r="ICJ1633" s="1"/>
      <c r="ICK1633" s="1"/>
      <c r="ICL1633" s="1"/>
      <c r="ICM1633" s="1"/>
      <c r="ICN1633" s="1"/>
      <c r="ICO1633" s="1"/>
      <c r="ICP1633" s="1"/>
      <c r="ICQ1633" s="1"/>
      <c r="ICR1633" s="1"/>
      <c r="ICS1633" s="1"/>
      <c r="ICT1633" s="1"/>
      <c r="ICU1633" s="1"/>
      <c r="ICV1633" s="1"/>
      <c r="ICW1633" s="1"/>
      <c r="ICX1633" s="1"/>
      <c r="ICY1633" s="1"/>
      <c r="ICZ1633" s="1"/>
      <c r="IDA1633" s="1"/>
      <c r="IDB1633" s="1"/>
      <c r="IDC1633" s="1"/>
      <c r="IDD1633" s="1"/>
      <c r="IDE1633" s="1"/>
      <c r="IDF1633" s="1"/>
      <c r="IDG1633" s="1"/>
      <c r="IDH1633" s="1"/>
      <c r="IDI1633" s="1"/>
      <c r="IDJ1633" s="1"/>
      <c r="IDK1633" s="1"/>
      <c r="IDL1633" s="1"/>
      <c r="IDM1633" s="1"/>
      <c r="IDN1633" s="1"/>
      <c r="IDO1633" s="1"/>
      <c r="IDP1633" s="1"/>
      <c r="IDQ1633" s="1"/>
      <c r="IDR1633" s="1"/>
      <c r="IDS1633" s="1"/>
      <c r="IDT1633" s="1"/>
      <c r="IDU1633" s="1"/>
      <c r="IDV1633" s="1"/>
      <c r="IDW1633" s="1"/>
      <c r="IDX1633" s="1"/>
      <c r="IDY1633" s="1"/>
      <c r="IDZ1633" s="1"/>
      <c r="IEA1633" s="1"/>
      <c r="IEB1633" s="1"/>
      <c r="IEC1633" s="1"/>
      <c r="IED1633" s="1"/>
      <c r="IEE1633" s="1"/>
      <c r="IEF1633" s="1"/>
      <c r="IEG1633" s="1"/>
      <c r="IEH1633" s="1"/>
      <c r="IEI1633" s="1"/>
      <c r="IEJ1633" s="1"/>
      <c r="IEK1633" s="1"/>
      <c r="IEL1633" s="1"/>
      <c r="IEM1633" s="1"/>
      <c r="IEN1633" s="1"/>
      <c r="IEO1633" s="1"/>
      <c r="IEP1633" s="1"/>
      <c r="IEQ1633" s="1"/>
      <c r="IER1633" s="1"/>
      <c r="IES1633" s="1"/>
      <c r="IET1633" s="1"/>
      <c r="IEU1633" s="1"/>
      <c r="IEV1633" s="1"/>
      <c r="IEW1633" s="1"/>
      <c r="IEX1633" s="1"/>
      <c r="IEY1633" s="1"/>
      <c r="IEZ1633" s="1"/>
      <c r="IFA1633" s="1"/>
      <c r="IFB1633" s="1"/>
      <c r="IFC1633" s="1"/>
      <c r="IFD1633" s="1"/>
      <c r="IFE1633" s="1"/>
      <c r="IFF1633" s="1"/>
      <c r="IFG1633" s="1"/>
      <c r="IFH1633" s="1"/>
      <c r="IFI1633" s="1"/>
      <c r="IFJ1633" s="1"/>
      <c r="IFK1633" s="1"/>
      <c r="IFL1633" s="1"/>
      <c r="IFM1633" s="1"/>
      <c r="IFN1633" s="1"/>
      <c r="IFO1633" s="1"/>
      <c r="IFP1633" s="1"/>
      <c r="IFQ1633" s="1"/>
      <c r="IFR1633" s="1"/>
      <c r="IFS1633" s="1"/>
      <c r="IFT1633" s="1"/>
      <c r="IFU1633" s="1"/>
      <c r="IFV1633" s="1"/>
      <c r="IFW1633" s="1"/>
      <c r="IFX1633" s="1"/>
      <c r="IFY1633" s="1"/>
      <c r="IFZ1633" s="1"/>
      <c r="IGA1633" s="1"/>
      <c r="IGB1633" s="1"/>
      <c r="IGC1633" s="1"/>
      <c r="IGD1633" s="1"/>
      <c r="IGE1633" s="1"/>
      <c r="IGF1633" s="1"/>
      <c r="IGG1633" s="1"/>
      <c r="IGH1633" s="1"/>
      <c r="IGI1633" s="1"/>
      <c r="IGJ1633" s="1"/>
      <c r="IGK1633" s="1"/>
      <c r="IGL1633" s="1"/>
      <c r="IGM1633" s="1"/>
      <c r="IGN1633" s="1"/>
      <c r="IGO1633" s="1"/>
      <c r="IGP1633" s="1"/>
      <c r="IGQ1633" s="1"/>
      <c r="IGR1633" s="1"/>
      <c r="IGS1633" s="1"/>
      <c r="IGT1633" s="1"/>
      <c r="IGU1633" s="1"/>
      <c r="IGV1633" s="1"/>
      <c r="IGW1633" s="1"/>
      <c r="IGX1633" s="1"/>
      <c r="IGY1633" s="1"/>
      <c r="IGZ1633" s="1"/>
      <c r="IHA1633" s="1"/>
      <c r="IHB1633" s="1"/>
      <c r="IHC1633" s="1"/>
      <c r="IHD1633" s="1"/>
      <c r="IHE1633" s="1"/>
      <c r="IHF1633" s="1"/>
      <c r="IHG1633" s="1"/>
      <c r="IHH1633" s="1"/>
      <c r="IHI1633" s="1"/>
      <c r="IHJ1633" s="1"/>
      <c r="IHK1633" s="1"/>
      <c r="IHL1633" s="1"/>
      <c r="IHM1633" s="1"/>
      <c r="IHN1633" s="1"/>
      <c r="IHO1633" s="1"/>
      <c r="IHP1633" s="1"/>
      <c r="IHQ1633" s="1"/>
      <c r="IHR1633" s="1"/>
      <c r="IHS1633" s="1"/>
      <c r="IHT1633" s="1"/>
      <c r="IHU1633" s="1"/>
      <c r="IHV1633" s="1"/>
      <c r="IHW1633" s="1"/>
      <c r="IHX1633" s="1"/>
      <c r="IHY1633" s="1"/>
      <c r="IHZ1633" s="1"/>
      <c r="IIA1633" s="1"/>
      <c r="IIB1633" s="1"/>
      <c r="IIC1633" s="1"/>
      <c r="IID1633" s="1"/>
      <c r="IIE1633" s="1"/>
      <c r="IIF1633" s="1"/>
      <c r="IIG1633" s="1"/>
      <c r="IIH1633" s="1"/>
      <c r="III1633" s="1"/>
      <c r="IIJ1633" s="1"/>
      <c r="IIK1633" s="1"/>
      <c r="IIL1633" s="1"/>
      <c r="IIM1633" s="1"/>
      <c r="IIN1633" s="1"/>
      <c r="IIO1633" s="1"/>
      <c r="IIP1633" s="1"/>
      <c r="IIQ1633" s="1"/>
      <c r="IIR1633" s="1"/>
      <c r="IIS1633" s="1"/>
      <c r="IIT1633" s="1"/>
      <c r="IIU1633" s="1"/>
      <c r="IIV1633" s="1"/>
      <c r="IIW1633" s="1"/>
      <c r="IIX1633" s="1"/>
      <c r="IIY1633" s="1"/>
      <c r="IIZ1633" s="1"/>
      <c r="IJA1633" s="1"/>
      <c r="IJB1633" s="1"/>
      <c r="IJC1633" s="1"/>
      <c r="IJD1633" s="1"/>
      <c r="IJE1633" s="1"/>
      <c r="IJF1633" s="1"/>
      <c r="IJG1633" s="1"/>
      <c r="IJH1633" s="1"/>
      <c r="IJI1633" s="1"/>
      <c r="IJJ1633" s="1"/>
      <c r="IJK1633" s="1"/>
      <c r="IJL1633" s="1"/>
      <c r="IJM1633" s="1"/>
      <c r="IJN1633" s="1"/>
      <c r="IJO1633" s="1"/>
      <c r="IJP1633" s="1"/>
      <c r="IJQ1633" s="1"/>
      <c r="IJR1633" s="1"/>
      <c r="IJS1633" s="1"/>
      <c r="IJT1633" s="1"/>
      <c r="IJU1633" s="1"/>
      <c r="IJV1633" s="1"/>
      <c r="IJW1633" s="1"/>
      <c r="IJX1633" s="1"/>
      <c r="IJY1633" s="1"/>
      <c r="IJZ1633" s="1"/>
      <c r="IKA1633" s="1"/>
      <c r="IKB1633" s="1"/>
      <c r="IKC1633" s="1"/>
      <c r="IKD1633" s="1"/>
      <c r="IKE1633" s="1"/>
      <c r="IKF1633" s="1"/>
      <c r="IKG1633" s="1"/>
      <c r="IKH1633" s="1"/>
      <c r="IKI1633" s="1"/>
      <c r="IKJ1633" s="1"/>
      <c r="IKK1633" s="1"/>
      <c r="IKL1633" s="1"/>
      <c r="IKM1633" s="1"/>
      <c r="IKN1633" s="1"/>
      <c r="IKO1633" s="1"/>
      <c r="IKP1633" s="1"/>
      <c r="IKQ1633" s="1"/>
      <c r="IKR1633" s="1"/>
      <c r="IKS1633" s="1"/>
      <c r="IKT1633" s="1"/>
      <c r="IKU1633" s="1"/>
      <c r="IKV1633" s="1"/>
      <c r="IKW1633" s="1"/>
      <c r="IKX1633" s="1"/>
      <c r="IKY1633" s="1"/>
      <c r="IKZ1633" s="1"/>
      <c r="ILA1633" s="1"/>
      <c r="ILB1633" s="1"/>
      <c r="ILC1633" s="1"/>
      <c r="ILD1633" s="1"/>
      <c r="ILE1633" s="1"/>
      <c r="ILF1633" s="1"/>
      <c r="ILG1633" s="1"/>
      <c r="ILH1633" s="1"/>
      <c r="ILI1633" s="1"/>
      <c r="ILJ1633" s="1"/>
      <c r="ILK1633" s="1"/>
      <c r="ILL1633" s="1"/>
      <c r="ILM1633" s="1"/>
      <c r="ILN1633" s="1"/>
      <c r="ILO1633" s="1"/>
      <c r="ILP1633" s="1"/>
      <c r="ILQ1633" s="1"/>
      <c r="ILR1633" s="1"/>
      <c r="ILS1633" s="1"/>
      <c r="ILT1633" s="1"/>
      <c r="ILU1633" s="1"/>
      <c r="ILV1633" s="1"/>
      <c r="ILW1633" s="1"/>
      <c r="ILX1633" s="1"/>
      <c r="ILY1633" s="1"/>
      <c r="ILZ1633" s="1"/>
      <c r="IMA1633" s="1"/>
      <c r="IMB1633" s="1"/>
      <c r="IMC1633" s="1"/>
      <c r="IMD1633" s="1"/>
      <c r="IME1633" s="1"/>
      <c r="IMF1633" s="1"/>
      <c r="IMG1633" s="1"/>
      <c r="IMH1633" s="1"/>
      <c r="IMI1633" s="1"/>
      <c r="IMJ1633" s="1"/>
      <c r="IMK1633" s="1"/>
      <c r="IML1633" s="1"/>
      <c r="IMM1633" s="1"/>
      <c r="IMN1633" s="1"/>
      <c r="IMO1633" s="1"/>
      <c r="IMP1633" s="1"/>
      <c r="IMQ1633" s="1"/>
      <c r="IMR1633" s="1"/>
      <c r="IMS1633" s="1"/>
      <c r="IMT1633" s="1"/>
      <c r="IMU1633" s="1"/>
      <c r="IMV1633" s="1"/>
      <c r="IMW1633" s="1"/>
      <c r="IMX1633" s="1"/>
      <c r="IMY1633" s="1"/>
      <c r="IMZ1633" s="1"/>
      <c r="INA1633" s="1"/>
      <c r="INB1633" s="1"/>
      <c r="INC1633" s="1"/>
      <c r="IND1633" s="1"/>
      <c r="INE1633" s="1"/>
      <c r="INF1633" s="1"/>
      <c r="ING1633" s="1"/>
      <c r="INH1633" s="1"/>
      <c r="INI1633" s="1"/>
      <c r="INJ1633" s="1"/>
      <c r="INK1633" s="1"/>
      <c r="INL1633" s="1"/>
      <c r="INM1633" s="1"/>
      <c r="INN1633" s="1"/>
      <c r="INO1633" s="1"/>
      <c r="INP1633" s="1"/>
      <c r="INQ1633" s="1"/>
      <c r="INR1633" s="1"/>
      <c r="INS1633" s="1"/>
      <c r="INT1633" s="1"/>
      <c r="INU1633" s="1"/>
      <c r="INV1633" s="1"/>
      <c r="INW1633" s="1"/>
      <c r="INX1633" s="1"/>
      <c r="INY1633" s="1"/>
      <c r="INZ1633" s="1"/>
      <c r="IOA1633" s="1"/>
      <c r="IOB1633" s="1"/>
      <c r="IOC1633" s="1"/>
      <c r="IOD1633" s="1"/>
      <c r="IOE1633" s="1"/>
      <c r="IOF1633" s="1"/>
      <c r="IOG1633" s="1"/>
      <c r="IOH1633" s="1"/>
      <c r="IOI1633" s="1"/>
      <c r="IOJ1633" s="1"/>
      <c r="IOK1633" s="1"/>
      <c r="IOL1633" s="1"/>
      <c r="IOM1633" s="1"/>
      <c r="ION1633" s="1"/>
      <c r="IOO1633" s="1"/>
      <c r="IOP1633" s="1"/>
      <c r="IOQ1633" s="1"/>
      <c r="IOR1633" s="1"/>
      <c r="IOS1633" s="1"/>
      <c r="IOT1633" s="1"/>
      <c r="IOU1633" s="1"/>
      <c r="IOV1633" s="1"/>
      <c r="IOW1633" s="1"/>
      <c r="IOX1633" s="1"/>
      <c r="IOY1633" s="1"/>
      <c r="IOZ1633" s="1"/>
      <c r="IPA1633" s="1"/>
      <c r="IPB1633" s="1"/>
      <c r="IPC1633" s="1"/>
      <c r="IPD1633" s="1"/>
      <c r="IPE1633" s="1"/>
      <c r="IPF1633" s="1"/>
      <c r="IPG1633" s="1"/>
      <c r="IPH1633" s="1"/>
      <c r="IPI1633" s="1"/>
      <c r="IPJ1633" s="1"/>
      <c r="IPK1633" s="1"/>
      <c r="IPL1633" s="1"/>
      <c r="IPM1633" s="1"/>
      <c r="IPN1633" s="1"/>
      <c r="IPO1633" s="1"/>
      <c r="IPP1633" s="1"/>
      <c r="IPQ1633" s="1"/>
      <c r="IPR1633" s="1"/>
      <c r="IPS1633" s="1"/>
      <c r="IPT1633" s="1"/>
      <c r="IPU1633" s="1"/>
      <c r="IPV1633" s="1"/>
      <c r="IPW1633" s="1"/>
      <c r="IPX1633" s="1"/>
      <c r="IPY1633" s="1"/>
      <c r="IPZ1633" s="1"/>
      <c r="IQA1633" s="1"/>
      <c r="IQB1633" s="1"/>
      <c r="IQC1633" s="1"/>
      <c r="IQD1633" s="1"/>
      <c r="IQE1633" s="1"/>
      <c r="IQF1633" s="1"/>
      <c r="IQG1633" s="1"/>
      <c r="IQH1633" s="1"/>
      <c r="IQI1633" s="1"/>
      <c r="IQJ1633" s="1"/>
      <c r="IQK1633" s="1"/>
      <c r="IQL1633" s="1"/>
      <c r="IQM1633" s="1"/>
      <c r="IQN1633" s="1"/>
      <c r="IQO1633" s="1"/>
      <c r="IQP1633" s="1"/>
      <c r="IQQ1633" s="1"/>
      <c r="IQR1633" s="1"/>
      <c r="IQS1633" s="1"/>
      <c r="IQT1633" s="1"/>
      <c r="IQU1633" s="1"/>
      <c r="IQV1633" s="1"/>
      <c r="IQW1633" s="1"/>
      <c r="IQX1633" s="1"/>
      <c r="IQY1633" s="1"/>
      <c r="IQZ1633" s="1"/>
      <c r="IRA1633" s="1"/>
      <c r="IRB1633" s="1"/>
      <c r="IRC1633" s="1"/>
      <c r="IRD1633" s="1"/>
      <c r="IRE1633" s="1"/>
      <c r="IRF1633" s="1"/>
      <c r="IRG1633" s="1"/>
      <c r="IRH1633" s="1"/>
      <c r="IRI1633" s="1"/>
      <c r="IRJ1633" s="1"/>
      <c r="IRK1633" s="1"/>
      <c r="IRL1633" s="1"/>
      <c r="IRM1633" s="1"/>
      <c r="IRN1633" s="1"/>
      <c r="IRO1633" s="1"/>
      <c r="IRP1633" s="1"/>
      <c r="IRQ1633" s="1"/>
      <c r="IRR1633" s="1"/>
      <c r="IRS1633" s="1"/>
      <c r="IRT1633" s="1"/>
      <c r="IRU1633" s="1"/>
      <c r="IRV1633" s="1"/>
      <c r="IRW1633" s="1"/>
      <c r="IRX1633" s="1"/>
      <c r="IRY1633" s="1"/>
      <c r="IRZ1633" s="1"/>
      <c r="ISA1633" s="1"/>
      <c r="ISB1633" s="1"/>
      <c r="ISC1633" s="1"/>
      <c r="ISD1633" s="1"/>
      <c r="ISE1633" s="1"/>
      <c r="ISF1633" s="1"/>
      <c r="ISG1633" s="1"/>
      <c r="ISH1633" s="1"/>
      <c r="ISI1633" s="1"/>
      <c r="ISJ1633" s="1"/>
      <c r="ISK1633" s="1"/>
      <c r="ISL1633" s="1"/>
      <c r="ISM1633" s="1"/>
      <c r="ISN1633" s="1"/>
      <c r="ISO1633" s="1"/>
      <c r="ISP1633" s="1"/>
      <c r="ISQ1633" s="1"/>
      <c r="ISR1633" s="1"/>
      <c r="ISS1633" s="1"/>
      <c r="IST1633" s="1"/>
      <c r="ISU1633" s="1"/>
      <c r="ISV1633" s="1"/>
      <c r="ISW1633" s="1"/>
      <c r="ISX1633" s="1"/>
      <c r="ISY1633" s="1"/>
      <c r="ISZ1633" s="1"/>
      <c r="ITA1633" s="1"/>
      <c r="ITB1633" s="1"/>
      <c r="ITC1633" s="1"/>
      <c r="ITD1633" s="1"/>
      <c r="ITE1633" s="1"/>
      <c r="ITF1633" s="1"/>
      <c r="ITG1633" s="1"/>
      <c r="ITH1633" s="1"/>
      <c r="ITI1633" s="1"/>
      <c r="ITJ1633" s="1"/>
      <c r="ITK1633" s="1"/>
      <c r="ITL1633" s="1"/>
      <c r="ITM1633" s="1"/>
      <c r="ITN1633" s="1"/>
      <c r="ITO1633" s="1"/>
      <c r="ITP1633" s="1"/>
      <c r="ITQ1633" s="1"/>
      <c r="ITR1633" s="1"/>
      <c r="ITS1633" s="1"/>
      <c r="ITT1633" s="1"/>
      <c r="ITU1633" s="1"/>
      <c r="ITV1633" s="1"/>
      <c r="ITW1633" s="1"/>
      <c r="ITX1633" s="1"/>
      <c r="ITY1633" s="1"/>
      <c r="ITZ1633" s="1"/>
      <c r="IUA1633" s="1"/>
      <c r="IUB1633" s="1"/>
      <c r="IUC1633" s="1"/>
      <c r="IUD1633" s="1"/>
      <c r="IUE1633" s="1"/>
      <c r="IUF1633" s="1"/>
      <c r="IUG1633" s="1"/>
      <c r="IUH1633" s="1"/>
      <c r="IUI1633" s="1"/>
      <c r="IUJ1633" s="1"/>
      <c r="IUK1633" s="1"/>
      <c r="IUL1633" s="1"/>
      <c r="IUM1633" s="1"/>
      <c r="IUN1633" s="1"/>
      <c r="IUO1633" s="1"/>
      <c r="IUP1633" s="1"/>
      <c r="IUQ1633" s="1"/>
      <c r="IUR1633" s="1"/>
      <c r="IUS1633" s="1"/>
      <c r="IUT1633" s="1"/>
      <c r="IUU1633" s="1"/>
      <c r="IUV1633" s="1"/>
      <c r="IUW1633" s="1"/>
      <c r="IUX1633" s="1"/>
      <c r="IUY1633" s="1"/>
      <c r="IUZ1633" s="1"/>
      <c r="IVA1633" s="1"/>
      <c r="IVB1633" s="1"/>
      <c r="IVC1633" s="1"/>
      <c r="IVD1633" s="1"/>
      <c r="IVE1633" s="1"/>
      <c r="IVF1633" s="1"/>
      <c r="IVG1633" s="1"/>
      <c r="IVH1633" s="1"/>
      <c r="IVI1633" s="1"/>
      <c r="IVJ1633" s="1"/>
      <c r="IVK1633" s="1"/>
      <c r="IVL1633" s="1"/>
      <c r="IVM1633" s="1"/>
      <c r="IVN1633" s="1"/>
      <c r="IVO1633" s="1"/>
      <c r="IVP1633" s="1"/>
      <c r="IVQ1633" s="1"/>
      <c r="IVR1633" s="1"/>
      <c r="IVS1633" s="1"/>
      <c r="IVT1633" s="1"/>
      <c r="IVU1633" s="1"/>
      <c r="IVV1633" s="1"/>
      <c r="IVW1633" s="1"/>
      <c r="IVX1633" s="1"/>
      <c r="IVY1633" s="1"/>
      <c r="IVZ1633" s="1"/>
      <c r="IWA1633" s="1"/>
      <c r="IWB1633" s="1"/>
      <c r="IWC1633" s="1"/>
      <c r="IWD1633" s="1"/>
      <c r="IWE1633" s="1"/>
      <c r="IWF1633" s="1"/>
      <c r="IWG1633" s="1"/>
      <c r="IWH1633" s="1"/>
      <c r="IWI1633" s="1"/>
      <c r="IWJ1633" s="1"/>
      <c r="IWK1633" s="1"/>
      <c r="IWL1633" s="1"/>
      <c r="IWM1633" s="1"/>
      <c r="IWN1633" s="1"/>
      <c r="IWO1633" s="1"/>
      <c r="IWP1633" s="1"/>
      <c r="IWQ1633" s="1"/>
      <c r="IWR1633" s="1"/>
      <c r="IWS1633" s="1"/>
      <c r="IWT1633" s="1"/>
      <c r="IWU1633" s="1"/>
      <c r="IWV1633" s="1"/>
      <c r="IWW1633" s="1"/>
      <c r="IWX1633" s="1"/>
      <c r="IWY1633" s="1"/>
      <c r="IWZ1633" s="1"/>
      <c r="IXA1633" s="1"/>
      <c r="IXB1633" s="1"/>
      <c r="IXC1633" s="1"/>
      <c r="IXD1633" s="1"/>
      <c r="IXE1633" s="1"/>
      <c r="IXF1633" s="1"/>
      <c r="IXG1633" s="1"/>
      <c r="IXH1633" s="1"/>
      <c r="IXI1633" s="1"/>
      <c r="IXJ1633" s="1"/>
      <c r="IXK1633" s="1"/>
      <c r="IXL1633" s="1"/>
      <c r="IXM1633" s="1"/>
      <c r="IXN1633" s="1"/>
      <c r="IXO1633" s="1"/>
      <c r="IXP1633" s="1"/>
      <c r="IXQ1633" s="1"/>
      <c r="IXR1633" s="1"/>
      <c r="IXS1633" s="1"/>
      <c r="IXT1633" s="1"/>
      <c r="IXU1633" s="1"/>
      <c r="IXV1633" s="1"/>
      <c r="IXW1633" s="1"/>
      <c r="IXX1633" s="1"/>
      <c r="IXY1633" s="1"/>
      <c r="IXZ1633" s="1"/>
      <c r="IYA1633" s="1"/>
      <c r="IYB1633" s="1"/>
      <c r="IYC1633" s="1"/>
      <c r="IYD1633" s="1"/>
      <c r="IYE1633" s="1"/>
      <c r="IYF1633" s="1"/>
      <c r="IYG1633" s="1"/>
      <c r="IYH1633" s="1"/>
      <c r="IYI1633" s="1"/>
      <c r="IYJ1633" s="1"/>
      <c r="IYK1633" s="1"/>
      <c r="IYL1633" s="1"/>
      <c r="IYM1633" s="1"/>
      <c r="IYN1633" s="1"/>
      <c r="IYO1633" s="1"/>
      <c r="IYP1633" s="1"/>
      <c r="IYQ1633" s="1"/>
      <c r="IYR1633" s="1"/>
      <c r="IYS1633" s="1"/>
      <c r="IYT1633" s="1"/>
      <c r="IYU1633" s="1"/>
      <c r="IYV1633" s="1"/>
      <c r="IYW1633" s="1"/>
      <c r="IYX1633" s="1"/>
      <c r="IYY1633" s="1"/>
      <c r="IYZ1633" s="1"/>
      <c r="IZA1633" s="1"/>
      <c r="IZB1633" s="1"/>
      <c r="IZC1633" s="1"/>
      <c r="IZD1633" s="1"/>
      <c r="IZE1633" s="1"/>
      <c r="IZF1633" s="1"/>
      <c r="IZG1633" s="1"/>
      <c r="IZH1633" s="1"/>
      <c r="IZI1633" s="1"/>
      <c r="IZJ1633" s="1"/>
      <c r="IZK1633" s="1"/>
      <c r="IZL1633" s="1"/>
      <c r="IZM1633" s="1"/>
      <c r="IZN1633" s="1"/>
      <c r="IZO1633" s="1"/>
      <c r="IZP1633" s="1"/>
      <c r="IZQ1633" s="1"/>
      <c r="IZR1633" s="1"/>
      <c r="IZS1633" s="1"/>
      <c r="IZT1633" s="1"/>
      <c r="IZU1633" s="1"/>
      <c r="IZV1633" s="1"/>
      <c r="IZW1633" s="1"/>
      <c r="IZX1633" s="1"/>
      <c r="IZY1633" s="1"/>
      <c r="IZZ1633" s="1"/>
      <c r="JAA1633" s="1"/>
      <c r="JAB1633" s="1"/>
      <c r="JAC1633" s="1"/>
      <c r="JAD1633" s="1"/>
      <c r="JAE1633" s="1"/>
      <c r="JAF1633" s="1"/>
      <c r="JAG1633" s="1"/>
      <c r="JAH1633" s="1"/>
      <c r="JAI1633" s="1"/>
      <c r="JAJ1633" s="1"/>
      <c r="JAK1633" s="1"/>
      <c r="JAL1633" s="1"/>
      <c r="JAM1633" s="1"/>
      <c r="JAN1633" s="1"/>
      <c r="JAO1633" s="1"/>
      <c r="JAP1633" s="1"/>
      <c r="JAQ1633" s="1"/>
      <c r="JAR1633" s="1"/>
      <c r="JAS1633" s="1"/>
      <c r="JAT1633" s="1"/>
      <c r="JAU1633" s="1"/>
      <c r="JAV1633" s="1"/>
      <c r="JAW1633" s="1"/>
      <c r="JAX1633" s="1"/>
      <c r="JAY1633" s="1"/>
      <c r="JAZ1633" s="1"/>
      <c r="JBA1633" s="1"/>
      <c r="JBB1633" s="1"/>
      <c r="JBC1633" s="1"/>
      <c r="JBD1633" s="1"/>
      <c r="JBE1633" s="1"/>
      <c r="JBF1633" s="1"/>
      <c r="JBG1633" s="1"/>
      <c r="JBH1633" s="1"/>
      <c r="JBI1633" s="1"/>
      <c r="JBJ1633" s="1"/>
      <c r="JBK1633" s="1"/>
      <c r="JBL1633" s="1"/>
      <c r="JBM1633" s="1"/>
      <c r="JBN1633" s="1"/>
      <c r="JBO1633" s="1"/>
      <c r="JBP1633" s="1"/>
      <c r="JBQ1633" s="1"/>
      <c r="JBR1633" s="1"/>
      <c r="JBS1633" s="1"/>
      <c r="JBT1633" s="1"/>
      <c r="JBU1633" s="1"/>
      <c r="JBV1633" s="1"/>
      <c r="JBW1633" s="1"/>
      <c r="JBX1633" s="1"/>
      <c r="JBY1633" s="1"/>
      <c r="JBZ1633" s="1"/>
      <c r="JCA1633" s="1"/>
      <c r="JCB1633" s="1"/>
      <c r="JCC1633" s="1"/>
      <c r="JCD1633" s="1"/>
      <c r="JCE1633" s="1"/>
      <c r="JCF1633" s="1"/>
      <c r="JCG1633" s="1"/>
      <c r="JCH1633" s="1"/>
      <c r="JCI1633" s="1"/>
      <c r="JCJ1633" s="1"/>
      <c r="JCK1633" s="1"/>
      <c r="JCL1633" s="1"/>
      <c r="JCM1633" s="1"/>
      <c r="JCN1633" s="1"/>
      <c r="JCO1633" s="1"/>
      <c r="JCP1633" s="1"/>
      <c r="JCQ1633" s="1"/>
      <c r="JCR1633" s="1"/>
      <c r="JCS1633" s="1"/>
      <c r="JCT1633" s="1"/>
      <c r="JCU1633" s="1"/>
      <c r="JCV1633" s="1"/>
      <c r="JCW1633" s="1"/>
      <c r="JCX1633" s="1"/>
      <c r="JCY1633" s="1"/>
      <c r="JCZ1633" s="1"/>
      <c r="JDA1633" s="1"/>
      <c r="JDB1633" s="1"/>
      <c r="JDC1633" s="1"/>
      <c r="JDD1633" s="1"/>
      <c r="JDE1633" s="1"/>
      <c r="JDF1633" s="1"/>
      <c r="JDG1633" s="1"/>
      <c r="JDH1633" s="1"/>
      <c r="JDI1633" s="1"/>
      <c r="JDJ1633" s="1"/>
      <c r="JDK1633" s="1"/>
      <c r="JDL1633" s="1"/>
      <c r="JDM1633" s="1"/>
      <c r="JDN1633" s="1"/>
      <c r="JDO1633" s="1"/>
      <c r="JDP1633" s="1"/>
      <c r="JDQ1633" s="1"/>
      <c r="JDR1633" s="1"/>
      <c r="JDS1633" s="1"/>
      <c r="JDT1633" s="1"/>
      <c r="JDU1633" s="1"/>
      <c r="JDV1633" s="1"/>
      <c r="JDW1633" s="1"/>
      <c r="JDX1633" s="1"/>
      <c r="JDY1633" s="1"/>
      <c r="JDZ1633" s="1"/>
      <c r="JEA1633" s="1"/>
      <c r="JEB1633" s="1"/>
      <c r="JEC1633" s="1"/>
      <c r="JED1633" s="1"/>
      <c r="JEE1633" s="1"/>
      <c r="JEF1633" s="1"/>
      <c r="JEG1633" s="1"/>
      <c r="JEH1633" s="1"/>
      <c r="JEI1633" s="1"/>
      <c r="JEJ1633" s="1"/>
      <c r="JEK1633" s="1"/>
      <c r="JEL1633" s="1"/>
      <c r="JEM1633" s="1"/>
      <c r="JEN1633" s="1"/>
      <c r="JEO1633" s="1"/>
      <c r="JEP1633" s="1"/>
      <c r="JEQ1633" s="1"/>
      <c r="JER1633" s="1"/>
      <c r="JES1633" s="1"/>
      <c r="JET1633" s="1"/>
      <c r="JEU1633" s="1"/>
      <c r="JEV1633" s="1"/>
      <c r="JEW1633" s="1"/>
      <c r="JEX1633" s="1"/>
      <c r="JEY1633" s="1"/>
      <c r="JEZ1633" s="1"/>
      <c r="JFA1633" s="1"/>
      <c r="JFB1633" s="1"/>
      <c r="JFC1633" s="1"/>
      <c r="JFD1633" s="1"/>
      <c r="JFE1633" s="1"/>
      <c r="JFF1633" s="1"/>
      <c r="JFG1633" s="1"/>
      <c r="JFH1633" s="1"/>
      <c r="JFI1633" s="1"/>
      <c r="JFJ1633" s="1"/>
      <c r="JFK1633" s="1"/>
      <c r="JFL1633" s="1"/>
      <c r="JFM1633" s="1"/>
      <c r="JFN1633" s="1"/>
      <c r="JFO1633" s="1"/>
      <c r="JFP1633" s="1"/>
      <c r="JFQ1633" s="1"/>
      <c r="JFR1633" s="1"/>
      <c r="JFS1633" s="1"/>
      <c r="JFT1633" s="1"/>
      <c r="JFU1633" s="1"/>
      <c r="JFV1633" s="1"/>
      <c r="JFW1633" s="1"/>
      <c r="JFX1633" s="1"/>
      <c r="JFY1633" s="1"/>
      <c r="JFZ1633" s="1"/>
      <c r="JGA1633" s="1"/>
      <c r="JGB1633" s="1"/>
      <c r="JGC1633" s="1"/>
      <c r="JGD1633" s="1"/>
      <c r="JGE1633" s="1"/>
      <c r="JGF1633" s="1"/>
      <c r="JGG1633" s="1"/>
      <c r="JGH1633" s="1"/>
      <c r="JGI1633" s="1"/>
      <c r="JGJ1633" s="1"/>
      <c r="JGK1633" s="1"/>
      <c r="JGL1633" s="1"/>
      <c r="JGM1633" s="1"/>
      <c r="JGN1633" s="1"/>
      <c r="JGO1633" s="1"/>
      <c r="JGP1633" s="1"/>
      <c r="JGQ1633" s="1"/>
      <c r="JGR1633" s="1"/>
      <c r="JGS1633" s="1"/>
      <c r="JGT1633" s="1"/>
      <c r="JGU1633" s="1"/>
      <c r="JGV1633" s="1"/>
      <c r="JGW1633" s="1"/>
      <c r="JGX1633" s="1"/>
      <c r="JGY1633" s="1"/>
      <c r="JGZ1633" s="1"/>
      <c r="JHA1633" s="1"/>
      <c r="JHB1633" s="1"/>
      <c r="JHC1633" s="1"/>
      <c r="JHD1633" s="1"/>
      <c r="JHE1633" s="1"/>
      <c r="JHF1633" s="1"/>
      <c r="JHG1633" s="1"/>
      <c r="JHH1633" s="1"/>
      <c r="JHI1633" s="1"/>
      <c r="JHJ1633" s="1"/>
      <c r="JHK1633" s="1"/>
      <c r="JHL1633" s="1"/>
      <c r="JHM1633" s="1"/>
      <c r="JHN1633" s="1"/>
      <c r="JHO1633" s="1"/>
      <c r="JHP1633" s="1"/>
      <c r="JHQ1633" s="1"/>
      <c r="JHR1633" s="1"/>
      <c r="JHS1633" s="1"/>
      <c r="JHT1633" s="1"/>
      <c r="JHU1633" s="1"/>
      <c r="JHV1633" s="1"/>
      <c r="JHW1633" s="1"/>
      <c r="JHX1633" s="1"/>
      <c r="JHY1633" s="1"/>
      <c r="JHZ1633" s="1"/>
      <c r="JIA1633" s="1"/>
      <c r="JIB1633" s="1"/>
      <c r="JIC1633" s="1"/>
      <c r="JID1633" s="1"/>
      <c r="JIE1633" s="1"/>
      <c r="JIF1633" s="1"/>
      <c r="JIG1633" s="1"/>
      <c r="JIH1633" s="1"/>
      <c r="JII1633" s="1"/>
      <c r="JIJ1633" s="1"/>
      <c r="JIK1633" s="1"/>
      <c r="JIL1633" s="1"/>
      <c r="JIM1633" s="1"/>
      <c r="JIN1633" s="1"/>
      <c r="JIO1633" s="1"/>
      <c r="JIP1633" s="1"/>
      <c r="JIQ1633" s="1"/>
      <c r="JIR1633" s="1"/>
      <c r="JIS1633" s="1"/>
      <c r="JIT1633" s="1"/>
      <c r="JIU1633" s="1"/>
      <c r="JIV1633" s="1"/>
      <c r="JIW1633" s="1"/>
      <c r="JIX1633" s="1"/>
      <c r="JIY1633" s="1"/>
      <c r="JIZ1633" s="1"/>
      <c r="JJA1633" s="1"/>
      <c r="JJB1633" s="1"/>
      <c r="JJC1633" s="1"/>
      <c r="JJD1633" s="1"/>
      <c r="JJE1633" s="1"/>
      <c r="JJF1633" s="1"/>
      <c r="JJG1633" s="1"/>
      <c r="JJH1633" s="1"/>
      <c r="JJI1633" s="1"/>
      <c r="JJJ1633" s="1"/>
      <c r="JJK1633" s="1"/>
      <c r="JJL1633" s="1"/>
      <c r="JJM1633" s="1"/>
      <c r="JJN1633" s="1"/>
      <c r="JJO1633" s="1"/>
      <c r="JJP1633" s="1"/>
      <c r="JJQ1633" s="1"/>
      <c r="JJR1633" s="1"/>
      <c r="JJS1633" s="1"/>
      <c r="JJT1633" s="1"/>
      <c r="JJU1633" s="1"/>
      <c r="JJV1633" s="1"/>
      <c r="JJW1633" s="1"/>
      <c r="JJX1633" s="1"/>
      <c r="JJY1633" s="1"/>
      <c r="JJZ1633" s="1"/>
      <c r="JKA1633" s="1"/>
      <c r="JKB1633" s="1"/>
      <c r="JKC1633" s="1"/>
      <c r="JKD1633" s="1"/>
      <c r="JKE1633" s="1"/>
      <c r="JKF1633" s="1"/>
      <c r="JKG1633" s="1"/>
      <c r="JKH1633" s="1"/>
      <c r="JKI1633" s="1"/>
      <c r="JKJ1633" s="1"/>
      <c r="JKK1633" s="1"/>
      <c r="JKL1633" s="1"/>
      <c r="JKM1633" s="1"/>
      <c r="JKN1633" s="1"/>
      <c r="JKO1633" s="1"/>
      <c r="JKP1633" s="1"/>
      <c r="JKQ1633" s="1"/>
      <c r="JKR1633" s="1"/>
      <c r="JKS1633" s="1"/>
      <c r="JKT1633" s="1"/>
      <c r="JKU1633" s="1"/>
      <c r="JKV1633" s="1"/>
      <c r="JKW1633" s="1"/>
      <c r="JKX1633" s="1"/>
      <c r="JKY1633" s="1"/>
      <c r="JKZ1633" s="1"/>
      <c r="JLA1633" s="1"/>
      <c r="JLB1633" s="1"/>
      <c r="JLC1633" s="1"/>
      <c r="JLD1633" s="1"/>
      <c r="JLE1633" s="1"/>
      <c r="JLF1633" s="1"/>
      <c r="JLG1633" s="1"/>
      <c r="JLH1633" s="1"/>
      <c r="JLI1633" s="1"/>
      <c r="JLJ1633" s="1"/>
      <c r="JLK1633" s="1"/>
      <c r="JLL1633" s="1"/>
      <c r="JLM1633" s="1"/>
      <c r="JLN1633" s="1"/>
      <c r="JLO1633" s="1"/>
      <c r="JLP1633" s="1"/>
      <c r="JLQ1633" s="1"/>
      <c r="JLR1633" s="1"/>
      <c r="JLS1633" s="1"/>
      <c r="JLT1633" s="1"/>
      <c r="JLU1633" s="1"/>
      <c r="JLV1633" s="1"/>
      <c r="JLW1633" s="1"/>
      <c r="JLX1633" s="1"/>
      <c r="JLY1633" s="1"/>
      <c r="JLZ1633" s="1"/>
      <c r="JMA1633" s="1"/>
      <c r="JMB1633" s="1"/>
      <c r="JMC1633" s="1"/>
      <c r="JMD1633" s="1"/>
      <c r="JME1633" s="1"/>
      <c r="JMF1633" s="1"/>
      <c r="JMG1633" s="1"/>
      <c r="JMH1633" s="1"/>
      <c r="JMI1633" s="1"/>
      <c r="JMJ1633" s="1"/>
      <c r="JMK1633" s="1"/>
      <c r="JML1633" s="1"/>
      <c r="JMM1633" s="1"/>
      <c r="JMN1633" s="1"/>
      <c r="JMO1633" s="1"/>
      <c r="JMP1633" s="1"/>
      <c r="JMQ1633" s="1"/>
      <c r="JMR1633" s="1"/>
      <c r="JMS1633" s="1"/>
      <c r="JMT1633" s="1"/>
      <c r="JMU1633" s="1"/>
      <c r="JMV1633" s="1"/>
      <c r="JMW1633" s="1"/>
      <c r="JMX1633" s="1"/>
      <c r="JMY1633" s="1"/>
      <c r="JMZ1633" s="1"/>
      <c r="JNA1633" s="1"/>
      <c r="JNB1633" s="1"/>
      <c r="JNC1633" s="1"/>
      <c r="JND1633" s="1"/>
      <c r="JNE1633" s="1"/>
      <c r="JNF1633" s="1"/>
      <c r="JNG1633" s="1"/>
      <c r="JNH1633" s="1"/>
      <c r="JNI1633" s="1"/>
      <c r="JNJ1633" s="1"/>
      <c r="JNK1633" s="1"/>
      <c r="JNL1633" s="1"/>
      <c r="JNM1633" s="1"/>
      <c r="JNN1633" s="1"/>
      <c r="JNO1633" s="1"/>
      <c r="JNP1633" s="1"/>
      <c r="JNQ1633" s="1"/>
      <c r="JNR1633" s="1"/>
      <c r="JNS1633" s="1"/>
      <c r="JNT1633" s="1"/>
      <c r="JNU1633" s="1"/>
      <c r="JNV1633" s="1"/>
      <c r="JNW1633" s="1"/>
      <c r="JNX1633" s="1"/>
      <c r="JNY1633" s="1"/>
      <c r="JNZ1633" s="1"/>
      <c r="JOA1633" s="1"/>
      <c r="JOB1633" s="1"/>
      <c r="JOC1633" s="1"/>
      <c r="JOD1633" s="1"/>
      <c r="JOE1633" s="1"/>
      <c r="JOF1633" s="1"/>
      <c r="JOG1633" s="1"/>
      <c r="JOH1633" s="1"/>
      <c r="JOI1633" s="1"/>
      <c r="JOJ1633" s="1"/>
      <c r="JOK1633" s="1"/>
      <c r="JOL1633" s="1"/>
      <c r="JOM1633" s="1"/>
      <c r="JON1633" s="1"/>
      <c r="JOO1633" s="1"/>
      <c r="JOP1633" s="1"/>
      <c r="JOQ1633" s="1"/>
      <c r="JOR1633" s="1"/>
      <c r="JOS1633" s="1"/>
      <c r="JOT1633" s="1"/>
      <c r="JOU1633" s="1"/>
      <c r="JOV1633" s="1"/>
      <c r="JOW1633" s="1"/>
      <c r="JOX1633" s="1"/>
      <c r="JOY1633" s="1"/>
      <c r="JOZ1633" s="1"/>
      <c r="JPA1633" s="1"/>
      <c r="JPB1633" s="1"/>
      <c r="JPC1633" s="1"/>
      <c r="JPD1633" s="1"/>
      <c r="JPE1633" s="1"/>
      <c r="JPF1633" s="1"/>
      <c r="JPG1633" s="1"/>
      <c r="JPH1633" s="1"/>
      <c r="JPI1633" s="1"/>
      <c r="JPJ1633" s="1"/>
      <c r="JPK1633" s="1"/>
      <c r="JPL1633" s="1"/>
      <c r="JPM1633" s="1"/>
      <c r="JPN1633" s="1"/>
      <c r="JPO1633" s="1"/>
      <c r="JPP1633" s="1"/>
      <c r="JPQ1633" s="1"/>
      <c r="JPR1633" s="1"/>
      <c r="JPS1633" s="1"/>
      <c r="JPT1633" s="1"/>
      <c r="JPU1633" s="1"/>
      <c r="JPV1633" s="1"/>
      <c r="JPW1633" s="1"/>
      <c r="JPX1633" s="1"/>
      <c r="JPY1633" s="1"/>
      <c r="JPZ1633" s="1"/>
      <c r="JQA1633" s="1"/>
      <c r="JQB1633" s="1"/>
      <c r="JQC1633" s="1"/>
      <c r="JQD1633" s="1"/>
      <c r="JQE1633" s="1"/>
      <c r="JQF1633" s="1"/>
      <c r="JQG1633" s="1"/>
      <c r="JQH1633" s="1"/>
      <c r="JQI1633" s="1"/>
      <c r="JQJ1633" s="1"/>
      <c r="JQK1633" s="1"/>
      <c r="JQL1633" s="1"/>
      <c r="JQM1633" s="1"/>
      <c r="JQN1633" s="1"/>
      <c r="JQO1633" s="1"/>
      <c r="JQP1633" s="1"/>
      <c r="JQQ1633" s="1"/>
      <c r="JQR1633" s="1"/>
      <c r="JQS1633" s="1"/>
      <c r="JQT1633" s="1"/>
      <c r="JQU1633" s="1"/>
      <c r="JQV1633" s="1"/>
      <c r="JQW1633" s="1"/>
      <c r="JQX1633" s="1"/>
      <c r="JQY1633" s="1"/>
      <c r="JQZ1633" s="1"/>
      <c r="JRA1633" s="1"/>
      <c r="JRB1633" s="1"/>
      <c r="JRC1633" s="1"/>
      <c r="JRD1633" s="1"/>
      <c r="JRE1633" s="1"/>
      <c r="JRF1633" s="1"/>
      <c r="JRG1633" s="1"/>
      <c r="JRH1633" s="1"/>
      <c r="JRI1633" s="1"/>
      <c r="JRJ1633" s="1"/>
      <c r="JRK1633" s="1"/>
      <c r="JRL1633" s="1"/>
      <c r="JRM1633" s="1"/>
      <c r="JRN1633" s="1"/>
      <c r="JRO1633" s="1"/>
      <c r="JRP1633" s="1"/>
      <c r="JRQ1633" s="1"/>
      <c r="JRR1633" s="1"/>
      <c r="JRS1633" s="1"/>
      <c r="JRT1633" s="1"/>
      <c r="JRU1633" s="1"/>
      <c r="JRV1633" s="1"/>
      <c r="JRW1633" s="1"/>
      <c r="JRX1633" s="1"/>
      <c r="JRY1633" s="1"/>
      <c r="JRZ1633" s="1"/>
      <c r="JSA1633" s="1"/>
      <c r="JSB1633" s="1"/>
      <c r="JSC1633" s="1"/>
      <c r="JSD1633" s="1"/>
      <c r="JSE1633" s="1"/>
      <c r="JSF1633" s="1"/>
      <c r="JSG1633" s="1"/>
      <c r="JSH1633" s="1"/>
      <c r="JSI1633" s="1"/>
      <c r="JSJ1633" s="1"/>
      <c r="JSK1633" s="1"/>
      <c r="JSL1633" s="1"/>
      <c r="JSM1633" s="1"/>
      <c r="JSN1633" s="1"/>
      <c r="JSO1633" s="1"/>
      <c r="JSP1633" s="1"/>
      <c r="JSQ1633" s="1"/>
      <c r="JSR1633" s="1"/>
      <c r="JSS1633" s="1"/>
      <c r="JST1633" s="1"/>
      <c r="JSU1633" s="1"/>
      <c r="JSV1633" s="1"/>
      <c r="JSW1633" s="1"/>
      <c r="JSX1633" s="1"/>
      <c r="JSY1633" s="1"/>
      <c r="JSZ1633" s="1"/>
      <c r="JTA1633" s="1"/>
      <c r="JTB1633" s="1"/>
      <c r="JTC1633" s="1"/>
      <c r="JTD1633" s="1"/>
      <c r="JTE1633" s="1"/>
      <c r="JTF1633" s="1"/>
      <c r="JTG1633" s="1"/>
      <c r="JTH1633" s="1"/>
      <c r="JTI1633" s="1"/>
      <c r="JTJ1633" s="1"/>
      <c r="JTK1633" s="1"/>
      <c r="JTL1633" s="1"/>
      <c r="JTM1633" s="1"/>
      <c r="JTN1633" s="1"/>
      <c r="JTO1633" s="1"/>
      <c r="JTP1633" s="1"/>
      <c r="JTQ1633" s="1"/>
      <c r="JTR1633" s="1"/>
      <c r="JTS1633" s="1"/>
      <c r="JTT1633" s="1"/>
      <c r="JTU1633" s="1"/>
      <c r="JTV1633" s="1"/>
      <c r="JTW1633" s="1"/>
      <c r="JTX1633" s="1"/>
      <c r="JTY1633" s="1"/>
      <c r="JTZ1633" s="1"/>
      <c r="JUA1633" s="1"/>
      <c r="JUB1633" s="1"/>
      <c r="JUC1633" s="1"/>
      <c r="JUD1633" s="1"/>
      <c r="JUE1633" s="1"/>
      <c r="JUF1633" s="1"/>
      <c r="JUG1633" s="1"/>
      <c r="JUH1633" s="1"/>
      <c r="JUI1633" s="1"/>
      <c r="JUJ1633" s="1"/>
      <c r="JUK1633" s="1"/>
      <c r="JUL1633" s="1"/>
      <c r="JUM1633" s="1"/>
      <c r="JUN1633" s="1"/>
      <c r="JUO1633" s="1"/>
      <c r="JUP1633" s="1"/>
      <c r="JUQ1633" s="1"/>
      <c r="JUR1633" s="1"/>
      <c r="JUS1633" s="1"/>
      <c r="JUT1633" s="1"/>
      <c r="JUU1633" s="1"/>
      <c r="JUV1633" s="1"/>
      <c r="JUW1633" s="1"/>
      <c r="JUX1633" s="1"/>
      <c r="JUY1633" s="1"/>
      <c r="JUZ1633" s="1"/>
      <c r="JVA1633" s="1"/>
      <c r="JVB1633" s="1"/>
      <c r="JVC1633" s="1"/>
      <c r="JVD1633" s="1"/>
      <c r="JVE1633" s="1"/>
      <c r="JVF1633" s="1"/>
      <c r="JVG1633" s="1"/>
      <c r="JVH1633" s="1"/>
      <c r="JVI1633" s="1"/>
      <c r="JVJ1633" s="1"/>
      <c r="JVK1633" s="1"/>
      <c r="JVL1633" s="1"/>
      <c r="JVM1633" s="1"/>
      <c r="JVN1633" s="1"/>
      <c r="JVO1633" s="1"/>
      <c r="JVP1633" s="1"/>
      <c r="JVQ1633" s="1"/>
      <c r="JVR1633" s="1"/>
      <c r="JVS1633" s="1"/>
      <c r="JVT1633" s="1"/>
      <c r="JVU1633" s="1"/>
      <c r="JVV1633" s="1"/>
      <c r="JVW1633" s="1"/>
      <c r="JVX1633" s="1"/>
      <c r="JVY1633" s="1"/>
      <c r="JVZ1633" s="1"/>
      <c r="JWA1633" s="1"/>
      <c r="JWB1633" s="1"/>
      <c r="JWC1633" s="1"/>
      <c r="JWD1633" s="1"/>
      <c r="JWE1633" s="1"/>
      <c r="JWF1633" s="1"/>
      <c r="JWG1633" s="1"/>
      <c r="JWH1633" s="1"/>
      <c r="JWI1633" s="1"/>
      <c r="JWJ1633" s="1"/>
      <c r="JWK1633" s="1"/>
      <c r="JWL1633" s="1"/>
      <c r="JWM1633" s="1"/>
      <c r="JWN1633" s="1"/>
      <c r="JWO1633" s="1"/>
      <c r="JWP1633" s="1"/>
      <c r="JWQ1633" s="1"/>
      <c r="JWR1633" s="1"/>
      <c r="JWS1633" s="1"/>
      <c r="JWT1633" s="1"/>
      <c r="JWU1633" s="1"/>
      <c r="JWV1633" s="1"/>
      <c r="JWW1633" s="1"/>
      <c r="JWX1633" s="1"/>
      <c r="JWY1633" s="1"/>
      <c r="JWZ1633" s="1"/>
      <c r="JXA1633" s="1"/>
      <c r="JXB1633" s="1"/>
      <c r="JXC1633" s="1"/>
      <c r="JXD1633" s="1"/>
      <c r="JXE1633" s="1"/>
      <c r="JXF1633" s="1"/>
      <c r="JXG1633" s="1"/>
      <c r="JXH1633" s="1"/>
      <c r="JXI1633" s="1"/>
      <c r="JXJ1633" s="1"/>
      <c r="JXK1633" s="1"/>
      <c r="JXL1633" s="1"/>
      <c r="JXM1633" s="1"/>
      <c r="JXN1633" s="1"/>
      <c r="JXO1633" s="1"/>
      <c r="JXP1633" s="1"/>
      <c r="JXQ1633" s="1"/>
      <c r="JXR1633" s="1"/>
      <c r="JXS1633" s="1"/>
      <c r="JXT1633" s="1"/>
      <c r="JXU1633" s="1"/>
      <c r="JXV1633" s="1"/>
      <c r="JXW1633" s="1"/>
      <c r="JXX1633" s="1"/>
      <c r="JXY1633" s="1"/>
      <c r="JXZ1633" s="1"/>
      <c r="JYA1633" s="1"/>
      <c r="JYB1633" s="1"/>
      <c r="JYC1633" s="1"/>
      <c r="JYD1633" s="1"/>
      <c r="JYE1633" s="1"/>
      <c r="JYF1633" s="1"/>
      <c r="JYG1633" s="1"/>
      <c r="JYH1633" s="1"/>
      <c r="JYI1633" s="1"/>
      <c r="JYJ1633" s="1"/>
      <c r="JYK1633" s="1"/>
      <c r="JYL1633" s="1"/>
      <c r="JYM1633" s="1"/>
      <c r="JYN1633" s="1"/>
      <c r="JYO1633" s="1"/>
      <c r="JYP1633" s="1"/>
      <c r="JYQ1633" s="1"/>
      <c r="JYR1633" s="1"/>
      <c r="JYS1633" s="1"/>
      <c r="JYT1633" s="1"/>
      <c r="JYU1633" s="1"/>
      <c r="JYV1633" s="1"/>
      <c r="JYW1633" s="1"/>
      <c r="JYX1633" s="1"/>
      <c r="JYY1633" s="1"/>
      <c r="JYZ1633" s="1"/>
      <c r="JZA1633" s="1"/>
      <c r="JZB1633" s="1"/>
      <c r="JZC1633" s="1"/>
      <c r="JZD1633" s="1"/>
      <c r="JZE1633" s="1"/>
      <c r="JZF1633" s="1"/>
      <c r="JZG1633" s="1"/>
      <c r="JZH1633" s="1"/>
      <c r="JZI1633" s="1"/>
      <c r="JZJ1633" s="1"/>
      <c r="JZK1633" s="1"/>
      <c r="JZL1633" s="1"/>
      <c r="JZM1633" s="1"/>
      <c r="JZN1633" s="1"/>
      <c r="JZO1633" s="1"/>
      <c r="JZP1633" s="1"/>
      <c r="JZQ1633" s="1"/>
      <c r="JZR1633" s="1"/>
      <c r="JZS1633" s="1"/>
      <c r="JZT1633" s="1"/>
      <c r="JZU1633" s="1"/>
      <c r="JZV1633" s="1"/>
      <c r="JZW1633" s="1"/>
      <c r="JZX1633" s="1"/>
      <c r="JZY1633" s="1"/>
      <c r="JZZ1633" s="1"/>
      <c r="KAA1633" s="1"/>
      <c r="KAB1633" s="1"/>
      <c r="KAC1633" s="1"/>
      <c r="KAD1633" s="1"/>
      <c r="KAE1633" s="1"/>
      <c r="KAF1633" s="1"/>
      <c r="KAG1633" s="1"/>
      <c r="KAH1633" s="1"/>
      <c r="KAI1633" s="1"/>
      <c r="KAJ1633" s="1"/>
      <c r="KAK1633" s="1"/>
      <c r="KAL1633" s="1"/>
      <c r="KAM1633" s="1"/>
      <c r="KAN1633" s="1"/>
      <c r="KAO1633" s="1"/>
      <c r="KAP1633" s="1"/>
      <c r="KAQ1633" s="1"/>
      <c r="KAR1633" s="1"/>
      <c r="KAS1633" s="1"/>
      <c r="KAT1633" s="1"/>
      <c r="KAU1633" s="1"/>
      <c r="KAV1633" s="1"/>
      <c r="KAW1633" s="1"/>
      <c r="KAX1633" s="1"/>
      <c r="KAY1633" s="1"/>
      <c r="KAZ1633" s="1"/>
      <c r="KBA1633" s="1"/>
      <c r="KBB1633" s="1"/>
      <c r="KBC1633" s="1"/>
      <c r="KBD1633" s="1"/>
      <c r="KBE1633" s="1"/>
      <c r="KBF1633" s="1"/>
      <c r="KBG1633" s="1"/>
      <c r="KBH1633" s="1"/>
      <c r="KBI1633" s="1"/>
      <c r="KBJ1633" s="1"/>
      <c r="KBK1633" s="1"/>
      <c r="KBL1633" s="1"/>
      <c r="KBM1633" s="1"/>
      <c r="KBN1633" s="1"/>
      <c r="KBO1633" s="1"/>
      <c r="KBP1633" s="1"/>
      <c r="KBQ1633" s="1"/>
      <c r="KBR1633" s="1"/>
      <c r="KBS1633" s="1"/>
      <c r="KBT1633" s="1"/>
      <c r="KBU1633" s="1"/>
      <c r="KBV1633" s="1"/>
      <c r="KBW1633" s="1"/>
      <c r="KBX1633" s="1"/>
      <c r="KBY1633" s="1"/>
      <c r="KBZ1633" s="1"/>
      <c r="KCA1633" s="1"/>
      <c r="KCB1633" s="1"/>
      <c r="KCC1633" s="1"/>
      <c r="KCD1633" s="1"/>
      <c r="KCE1633" s="1"/>
      <c r="KCF1633" s="1"/>
      <c r="KCG1633" s="1"/>
      <c r="KCH1633" s="1"/>
      <c r="KCI1633" s="1"/>
      <c r="KCJ1633" s="1"/>
      <c r="KCK1633" s="1"/>
      <c r="KCL1633" s="1"/>
      <c r="KCM1633" s="1"/>
      <c r="KCN1633" s="1"/>
      <c r="KCO1633" s="1"/>
      <c r="KCP1633" s="1"/>
      <c r="KCQ1633" s="1"/>
      <c r="KCR1633" s="1"/>
      <c r="KCS1633" s="1"/>
      <c r="KCT1633" s="1"/>
      <c r="KCU1633" s="1"/>
      <c r="KCV1633" s="1"/>
      <c r="KCW1633" s="1"/>
      <c r="KCX1633" s="1"/>
      <c r="KCY1633" s="1"/>
      <c r="KCZ1633" s="1"/>
      <c r="KDA1633" s="1"/>
      <c r="KDB1633" s="1"/>
      <c r="KDC1633" s="1"/>
      <c r="KDD1633" s="1"/>
      <c r="KDE1633" s="1"/>
      <c r="KDF1633" s="1"/>
      <c r="KDG1633" s="1"/>
      <c r="KDH1633" s="1"/>
      <c r="KDI1633" s="1"/>
      <c r="KDJ1633" s="1"/>
      <c r="KDK1633" s="1"/>
      <c r="KDL1633" s="1"/>
      <c r="KDM1633" s="1"/>
      <c r="KDN1633" s="1"/>
      <c r="KDO1633" s="1"/>
      <c r="KDP1633" s="1"/>
      <c r="KDQ1633" s="1"/>
      <c r="KDR1633" s="1"/>
      <c r="KDS1633" s="1"/>
      <c r="KDT1633" s="1"/>
      <c r="KDU1633" s="1"/>
      <c r="KDV1633" s="1"/>
      <c r="KDW1633" s="1"/>
      <c r="KDX1633" s="1"/>
      <c r="KDY1633" s="1"/>
      <c r="KDZ1633" s="1"/>
      <c r="KEA1633" s="1"/>
      <c r="KEB1633" s="1"/>
      <c r="KEC1633" s="1"/>
      <c r="KED1633" s="1"/>
      <c r="KEE1633" s="1"/>
      <c r="KEF1633" s="1"/>
      <c r="KEG1633" s="1"/>
      <c r="KEH1633" s="1"/>
      <c r="KEI1633" s="1"/>
      <c r="KEJ1633" s="1"/>
      <c r="KEK1633" s="1"/>
      <c r="KEL1633" s="1"/>
      <c r="KEM1633" s="1"/>
      <c r="KEN1633" s="1"/>
      <c r="KEO1633" s="1"/>
      <c r="KEP1633" s="1"/>
      <c r="KEQ1633" s="1"/>
      <c r="KER1633" s="1"/>
      <c r="KES1633" s="1"/>
      <c r="KET1633" s="1"/>
      <c r="KEU1633" s="1"/>
      <c r="KEV1633" s="1"/>
      <c r="KEW1633" s="1"/>
      <c r="KEX1633" s="1"/>
      <c r="KEY1633" s="1"/>
      <c r="KEZ1633" s="1"/>
      <c r="KFA1633" s="1"/>
      <c r="KFB1633" s="1"/>
      <c r="KFC1633" s="1"/>
      <c r="KFD1633" s="1"/>
      <c r="KFE1633" s="1"/>
      <c r="KFF1633" s="1"/>
      <c r="KFG1633" s="1"/>
      <c r="KFH1633" s="1"/>
      <c r="KFI1633" s="1"/>
      <c r="KFJ1633" s="1"/>
      <c r="KFK1633" s="1"/>
      <c r="KFL1633" s="1"/>
      <c r="KFM1633" s="1"/>
      <c r="KFN1633" s="1"/>
      <c r="KFO1633" s="1"/>
      <c r="KFP1633" s="1"/>
      <c r="KFQ1633" s="1"/>
      <c r="KFR1633" s="1"/>
      <c r="KFS1633" s="1"/>
      <c r="KFT1633" s="1"/>
      <c r="KFU1633" s="1"/>
      <c r="KFV1633" s="1"/>
      <c r="KFW1633" s="1"/>
      <c r="KFX1633" s="1"/>
      <c r="KFY1633" s="1"/>
      <c r="KFZ1633" s="1"/>
      <c r="KGA1633" s="1"/>
      <c r="KGB1633" s="1"/>
      <c r="KGC1633" s="1"/>
      <c r="KGD1633" s="1"/>
      <c r="KGE1633" s="1"/>
      <c r="KGF1633" s="1"/>
      <c r="KGG1633" s="1"/>
      <c r="KGH1633" s="1"/>
      <c r="KGI1633" s="1"/>
      <c r="KGJ1633" s="1"/>
      <c r="KGK1633" s="1"/>
      <c r="KGL1633" s="1"/>
      <c r="KGM1633" s="1"/>
      <c r="KGN1633" s="1"/>
      <c r="KGO1633" s="1"/>
      <c r="KGP1633" s="1"/>
      <c r="KGQ1633" s="1"/>
      <c r="KGR1633" s="1"/>
      <c r="KGS1633" s="1"/>
      <c r="KGT1633" s="1"/>
      <c r="KGU1633" s="1"/>
      <c r="KGV1633" s="1"/>
      <c r="KGW1633" s="1"/>
      <c r="KGX1633" s="1"/>
      <c r="KGY1633" s="1"/>
      <c r="KGZ1633" s="1"/>
      <c r="KHA1633" s="1"/>
      <c r="KHB1633" s="1"/>
      <c r="KHC1633" s="1"/>
      <c r="KHD1633" s="1"/>
      <c r="KHE1633" s="1"/>
      <c r="KHF1633" s="1"/>
      <c r="KHG1633" s="1"/>
      <c r="KHH1633" s="1"/>
      <c r="KHI1633" s="1"/>
      <c r="KHJ1633" s="1"/>
      <c r="KHK1633" s="1"/>
      <c r="KHL1633" s="1"/>
      <c r="KHM1633" s="1"/>
      <c r="KHN1633" s="1"/>
      <c r="KHO1633" s="1"/>
      <c r="KHP1633" s="1"/>
      <c r="KHQ1633" s="1"/>
      <c r="KHR1633" s="1"/>
      <c r="KHS1633" s="1"/>
      <c r="KHT1633" s="1"/>
      <c r="KHU1633" s="1"/>
      <c r="KHV1633" s="1"/>
      <c r="KHW1633" s="1"/>
      <c r="KHX1633" s="1"/>
      <c r="KHY1633" s="1"/>
      <c r="KHZ1633" s="1"/>
      <c r="KIA1633" s="1"/>
      <c r="KIB1633" s="1"/>
      <c r="KIC1633" s="1"/>
      <c r="KID1633" s="1"/>
      <c r="KIE1633" s="1"/>
      <c r="KIF1633" s="1"/>
      <c r="KIG1633" s="1"/>
      <c r="KIH1633" s="1"/>
      <c r="KII1633" s="1"/>
      <c r="KIJ1633" s="1"/>
      <c r="KIK1633" s="1"/>
      <c r="KIL1633" s="1"/>
      <c r="KIM1633" s="1"/>
      <c r="KIN1633" s="1"/>
      <c r="KIO1633" s="1"/>
      <c r="KIP1633" s="1"/>
      <c r="KIQ1633" s="1"/>
      <c r="KIR1633" s="1"/>
      <c r="KIS1633" s="1"/>
      <c r="KIT1633" s="1"/>
      <c r="KIU1633" s="1"/>
      <c r="KIV1633" s="1"/>
      <c r="KIW1633" s="1"/>
      <c r="KIX1633" s="1"/>
      <c r="KIY1633" s="1"/>
      <c r="KIZ1633" s="1"/>
      <c r="KJA1633" s="1"/>
      <c r="KJB1633" s="1"/>
      <c r="KJC1633" s="1"/>
      <c r="KJD1633" s="1"/>
      <c r="KJE1633" s="1"/>
      <c r="KJF1633" s="1"/>
      <c r="KJG1633" s="1"/>
      <c r="KJH1633" s="1"/>
      <c r="KJI1633" s="1"/>
      <c r="KJJ1633" s="1"/>
      <c r="KJK1633" s="1"/>
      <c r="KJL1633" s="1"/>
      <c r="KJM1633" s="1"/>
      <c r="KJN1633" s="1"/>
      <c r="KJO1633" s="1"/>
      <c r="KJP1633" s="1"/>
      <c r="KJQ1633" s="1"/>
      <c r="KJR1633" s="1"/>
      <c r="KJS1633" s="1"/>
      <c r="KJT1633" s="1"/>
      <c r="KJU1633" s="1"/>
      <c r="KJV1633" s="1"/>
      <c r="KJW1633" s="1"/>
      <c r="KJX1633" s="1"/>
      <c r="KJY1633" s="1"/>
      <c r="KJZ1633" s="1"/>
      <c r="KKA1633" s="1"/>
      <c r="KKB1633" s="1"/>
      <c r="KKC1633" s="1"/>
      <c r="KKD1633" s="1"/>
      <c r="KKE1633" s="1"/>
      <c r="KKF1633" s="1"/>
      <c r="KKG1633" s="1"/>
      <c r="KKH1633" s="1"/>
      <c r="KKI1633" s="1"/>
      <c r="KKJ1633" s="1"/>
      <c r="KKK1633" s="1"/>
      <c r="KKL1633" s="1"/>
      <c r="KKM1633" s="1"/>
      <c r="KKN1633" s="1"/>
      <c r="KKO1633" s="1"/>
      <c r="KKP1633" s="1"/>
      <c r="KKQ1633" s="1"/>
      <c r="KKR1633" s="1"/>
      <c r="KKS1633" s="1"/>
      <c r="KKT1633" s="1"/>
      <c r="KKU1633" s="1"/>
      <c r="KKV1633" s="1"/>
      <c r="KKW1633" s="1"/>
      <c r="KKX1633" s="1"/>
      <c r="KKY1633" s="1"/>
      <c r="KKZ1633" s="1"/>
      <c r="KLA1633" s="1"/>
      <c r="KLB1633" s="1"/>
      <c r="KLC1633" s="1"/>
      <c r="KLD1633" s="1"/>
      <c r="KLE1633" s="1"/>
      <c r="KLF1633" s="1"/>
      <c r="KLG1633" s="1"/>
      <c r="KLH1633" s="1"/>
      <c r="KLI1633" s="1"/>
      <c r="KLJ1633" s="1"/>
      <c r="KLK1633" s="1"/>
      <c r="KLL1633" s="1"/>
      <c r="KLM1633" s="1"/>
      <c r="KLN1633" s="1"/>
      <c r="KLO1633" s="1"/>
      <c r="KLP1633" s="1"/>
      <c r="KLQ1633" s="1"/>
      <c r="KLR1633" s="1"/>
      <c r="KLS1633" s="1"/>
      <c r="KLT1633" s="1"/>
      <c r="KLU1633" s="1"/>
      <c r="KLV1633" s="1"/>
      <c r="KLW1633" s="1"/>
      <c r="KLX1633" s="1"/>
      <c r="KLY1633" s="1"/>
      <c r="KLZ1633" s="1"/>
      <c r="KMA1633" s="1"/>
      <c r="KMB1633" s="1"/>
      <c r="KMC1633" s="1"/>
      <c r="KMD1633" s="1"/>
      <c r="KME1633" s="1"/>
      <c r="KMF1633" s="1"/>
      <c r="KMG1633" s="1"/>
      <c r="KMH1633" s="1"/>
      <c r="KMI1633" s="1"/>
      <c r="KMJ1633" s="1"/>
      <c r="KMK1633" s="1"/>
      <c r="KML1633" s="1"/>
      <c r="KMM1633" s="1"/>
      <c r="KMN1633" s="1"/>
      <c r="KMO1633" s="1"/>
      <c r="KMP1633" s="1"/>
      <c r="KMQ1633" s="1"/>
      <c r="KMR1633" s="1"/>
      <c r="KMS1633" s="1"/>
      <c r="KMT1633" s="1"/>
      <c r="KMU1633" s="1"/>
      <c r="KMV1633" s="1"/>
      <c r="KMW1633" s="1"/>
      <c r="KMX1633" s="1"/>
      <c r="KMY1633" s="1"/>
      <c r="KMZ1633" s="1"/>
      <c r="KNA1633" s="1"/>
      <c r="KNB1633" s="1"/>
      <c r="KNC1633" s="1"/>
      <c r="KND1633" s="1"/>
      <c r="KNE1633" s="1"/>
      <c r="KNF1633" s="1"/>
      <c r="KNG1633" s="1"/>
      <c r="KNH1633" s="1"/>
      <c r="KNI1633" s="1"/>
      <c r="KNJ1633" s="1"/>
      <c r="KNK1633" s="1"/>
      <c r="KNL1633" s="1"/>
      <c r="KNM1633" s="1"/>
      <c r="KNN1633" s="1"/>
      <c r="KNO1633" s="1"/>
      <c r="KNP1633" s="1"/>
      <c r="KNQ1633" s="1"/>
      <c r="KNR1633" s="1"/>
      <c r="KNS1633" s="1"/>
      <c r="KNT1633" s="1"/>
      <c r="KNU1633" s="1"/>
      <c r="KNV1633" s="1"/>
      <c r="KNW1633" s="1"/>
      <c r="KNX1633" s="1"/>
      <c r="KNY1633" s="1"/>
      <c r="KNZ1633" s="1"/>
      <c r="KOA1633" s="1"/>
      <c r="KOB1633" s="1"/>
      <c r="KOC1633" s="1"/>
      <c r="KOD1633" s="1"/>
      <c r="KOE1633" s="1"/>
      <c r="KOF1633" s="1"/>
      <c r="KOG1633" s="1"/>
      <c r="KOH1633" s="1"/>
      <c r="KOI1633" s="1"/>
      <c r="KOJ1633" s="1"/>
      <c r="KOK1633" s="1"/>
      <c r="KOL1633" s="1"/>
      <c r="KOM1633" s="1"/>
      <c r="KON1633" s="1"/>
      <c r="KOO1633" s="1"/>
      <c r="KOP1633" s="1"/>
      <c r="KOQ1633" s="1"/>
      <c r="KOR1633" s="1"/>
      <c r="KOS1633" s="1"/>
      <c r="KOT1633" s="1"/>
      <c r="KOU1633" s="1"/>
      <c r="KOV1633" s="1"/>
      <c r="KOW1633" s="1"/>
      <c r="KOX1633" s="1"/>
      <c r="KOY1633" s="1"/>
      <c r="KOZ1633" s="1"/>
      <c r="KPA1633" s="1"/>
      <c r="KPB1633" s="1"/>
      <c r="KPC1633" s="1"/>
      <c r="KPD1633" s="1"/>
      <c r="KPE1633" s="1"/>
      <c r="KPF1633" s="1"/>
      <c r="KPG1633" s="1"/>
      <c r="KPH1633" s="1"/>
      <c r="KPI1633" s="1"/>
      <c r="KPJ1633" s="1"/>
      <c r="KPK1633" s="1"/>
      <c r="KPL1633" s="1"/>
      <c r="KPM1633" s="1"/>
      <c r="KPN1633" s="1"/>
      <c r="KPO1633" s="1"/>
      <c r="KPP1633" s="1"/>
      <c r="KPQ1633" s="1"/>
      <c r="KPR1633" s="1"/>
      <c r="KPS1633" s="1"/>
      <c r="KPT1633" s="1"/>
      <c r="KPU1633" s="1"/>
      <c r="KPV1633" s="1"/>
      <c r="KPW1633" s="1"/>
      <c r="KPX1633" s="1"/>
      <c r="KPY1633" s="1"/>
      <c r="KPZ1633" s="1"/>
      <c r="KQA1633" s="1"/>
      <c r="KQB1633" s="1"/>
      <c r="KQC1633" s="1"/>
      <c r="KQD1633" s="1"/>
      <c r="KQE1633" s="1"/>
      <c r="KQF1633" s="1"/>
      <c r="KQG1633" s="1"/>
      <c r="KQH1633" s="1"/>
      <c r="KQI1633" s="1"/>
      <c r="KQJ1633" s="1"/>
      <c r="KQK1633" s="1"/>
      <c r="KQL1633" s="1"/>
      <c r="KQM1633" s="1"/>
      <c r="KQN1633" s="1"/>
      <c r="KQO1633" s="1"/>
      <c r="KQP1633" s="1"/>
      <c r="KQQ1633" s="1"/>
      <c r="KQR1633" s="1"/>
      <c r="KQS1633" s="1"/>
      <c r="KQT1633" s="1"/>
      <c r="KQU1633" s="1"/>
      <c r="KQV1633" s="1"/>
      <c r="KQW1633" s="1"/>
      <c r="KQX1633" s="1"/>
      <c r="KQY1633" s="1"/>
      <c r="KQZ1633" s="1"/>
      <c r="KRA1633" s="1"/>
      <c r="KRB1633" s="1"/>
      <c r="KRC1633" s="1"/>
      <c r="KRD1633" s="1"/>
      <c r="KRE1633" s="1"/>
      <c r="KRF1633" s="1"/>
      <c r="KRG1633" s="1"/>
      <c r="KRH1633" s="1"/>
      <c r="KRI1633" s="1"/>
      <c r="KRJ1633" s="1"/>
      <c r="KRK1633" s="1"/>
      <c r="KRL1633" s="1"/>
      <c r="KRM1633" s="1"/>
      <c r="KRN1633" s="1"/>
      <c r="KRO1633" s="1"/>
      <c r="KRP1633" s="1"/>
      <c r="KRQ1633" s="1"/>
      <c r="KRR1633" s="1"/>
      <c r="KRS1633" s="1"/>
      <c r="KRT1633" s="1"/>
      <c r="KRU1633" s="1"/>
      <c r="KRV1633" s="1"/>
      <c r="KRW1633" s="1"/>
      <c r="KRX1633" s="1"/>
      <c r="KRY1633" s="1"/>
      <c r="KRZ1633" s="1"/>
      <c r="KSA1633" s="1"/>
      <c r="KSB1633" s="1"/>
      <c r="KSC1633" s="1"/>
      <c r="KSD1633" s="1"/>
      <c r="KSE1633" s="1"/>
      <c r="KSF1633" s="1"/>
      <c r="KSG1633" s="1"/>
      <c r="KSH1633" s="1"/>
      <c r="KSI1633" s="1"/>
      <c r="KSJ1633" s="1"/>
      <c r="KSK1633" s="1"/>
      <c r="KSL1633" s="1"/>
      <c r="KSM1633" s="1"/>
      <c r="KSN1633" s="1"/>
      <c r="KSO1633" s="1"/>
      <c r="KSP1633" s="1"/>
      <c r="KSQ1633" s="1"/>
      <c r="KSR1633" s="1"/>
      <c r="KSS1633" s="1"/>
      <c r="KST1633" s="1"/>
      <c r="KSU1633" s="1"/>
      <c r="KSV1633" s="1"/>
      <c r="KSW1633" s="1"/>
      <c r="KSX1633" s="1"/>
      <c r="KSY1633" s="1"/>
      <c r="KSZ1633" s="1"/>
      <c r="KTA1633" s="1"/>
      <c r="KTB1633" s="1"/>
      <c r="KTC1633" s="1"/>
      <c r="KTD1633" s="1"/>
      <c r="KTE1633" s="1"/>
      <c r="KTF1633" s="1"/>
      <c r="KTG1633" s="1"/>
      <c r="KTH1633" s="1"/>
      <c r="KTI1633" s="1"/>
      <c r="KTJ1633" s="1"/>
      <c r="KTK1633" s="1"/>
      <c r="KTL1633" s="1"/>
      <c r="KTM1633" s="1"/>
      <c r="KTN1633" s="1"/>
      <c r="KTO1633" s="1"/>
      <c r="KTP1633" s="1"/>
      <c r="KTQ1633" s="1"/>
      <c r="KTR1633" s="1"/>
      <c r="KTS1633" s="1"/>
      <c r="KTT1633" s="1"/>
      <c r="KTU1633" s="1"/>
      <c r="KTV1633" s="1"/>
      <c r="KTW1633" s="1"/>
      <c r="KTX1633" s="1"/>
      <c r="KTY1633" s="1"/>
      <c r="KTZ1633" s="1"/>
      <c r="KUA1633" s="1"/>
      <c r="KUB1633" s="1"/>
      <c r="KUC1633" s="1"/>
      <c r="KUD1633" s="1"/>
      <c r="KUE1633" s="1"/>
      <c r="KUF1633" s="1"/>
      <c r="KUG1633" s="1"/>
      <c r="KUH1633" s="1"/>
      <c r="KUI1633" s="1"/>
      <c r="KUJ1633" s="1"/>
      <c r="KUK1633" s="1"/>
      <c r="KUL1633" s="1"/>
      <c r="KUM1633" s="1"/>
      <c r="KUN1633" s="1"/>
      <c r="KUO1633" s="1"/>
      <c r="KUP1633" s="1"/>
      <c r="KUQ1633" s="1"/>
      <c r="KUR1633" s="1"/>
      <c r="KUS1633" s="1"/>
      <c r="KUT1633" s="1"/>
      <c r="KUU1633" s="1"/>
      <c r="KUV1633" s="1"/>
      <c r="KUW1633" s="1"/>
      <c r="KUX1633" s="1"/>
      <c r="KUY1633" s="1"/>
      <c r="KUZ1633" s="1"/>
      <c r="KVA1633" s="1"/>
      <c r="KVB1633" s="1"/>
      <c r="KVC1633" s="1"/>
      <c r="KVD1633" s="1"/>
      <c r="KVE1633" s="1"/>
      <c r="KVF1633" s="1"/>
      <c r="KVG1633" s="1"/>
      <c r="KVH1633" s="1"/>
      <c r="KVI1633" s="1"/>
      <c r="KVJ1633" s="1"/>
      <c r="KVK1633" s="1"/>
      <c r="KVL1633" s="1"/>
      <c r="KVM1633" s="1"/>
      <c r="KVN1633" s="1"/>
      <c r="KVO1633" s="1"/>
      <c r="KVP1633" s="1"/>
      <c r="KVQ1633" s="1"/>
      <c r="KVR1633" s="1"/>
      <c r="KVS1633" s="1"/>
      <c r="KVT1633" s="1"/>
      <c r="KVU1633" s="1"/>
      <c r="KVV1633" s="1"/>
      <c r="KVW1633" s="1"/>
      <c r="KVX1633" s="1"/>
      <c r="KVY1633" s="1"/>
      <c r="KVZ1633" s="1"/>
      <c r="KWA1633" s="1"/>
      <c r="KWB1633" s="1"/>
      <c r="KWC1633" s="1"/>
      <c r="KWD1633" s="1"/>
      <c r="KWE1633" s="1"/>
      <c r="KWF1633" s="1"/>
      <c r="KWG1633" s="1"/>
      <c r="KWH1633" s="1"/>
      <c r="KWI1633" s="1"/>
      <c r="KWJ1633" s="1"/>
      <c r="KWK1633" s="1"/>
      <c r="KWL1633" s="1"/>
      <c r="KWM1633" s="1"/>
      <c r="KWN1633" s="1"/>
      <c r="KWO1633" s="1"/>
      <c r="KWP1633" s="1"/>
      <c r="KWQ1633" s="1"/>
      <c r="KWR1633" s="1"/>
      <c r="KWS1633" s="1"/>
      <c r="KWT1633" s="1"/>
      <c r="KWU1633" s="1"/>
      <c r="KWV1633" s="1"/>
      <c r="KWW1633" s="1"/>
      <c r="KWX1633" s="1"/>
      <c r="KWY1633" s="1"/>
      <c r="KWZ1633" s="1"/>
      <c r="KXA1633" s="1"/>
      <c r="KXB1633" s="1"/>
      <c r="KXC1633" s="1"/>
      <c r="KXD1633" s="1"/>
      <c r="KXE1633" s="1"/>
      <c r="KXF1633" s="1"/>
      <c r="KXG1633" s="1"/>
      <c r="KXH1633" s="1"/>
      <c r="KXI1633" s="1"/>
      <c r="KXJ1633" s="1"/>
      <c r="KXK1633" s="1"/>
      <c r="KXL1633" s="1"/>
      <c r="KXM1633" s="1"/>
      <c r="KXN1633" s="1"/>
      <c r="KXO1633" s="1"/>
      <c r="KXP1633" s="1"/>
      <c r="KXQ1633" s="1"/>
      <c r="KXR1633" s="1"/>
      <c r="KXS1633" s="1"/>
      <c r="KXT1633" s="1"/>
      <c r="KXU1633" s="1"/>
      <c r="KXV1633" s="1"/>
      <c r="KXW1633" s="1"/>
      <c r="KXX1633" s="1"/>
      <c r="KXY1633" s="1"/>
      <c r="KXZ1633" s="1"/>
      <c r="KYA1633" s="1"/>
      <c r="KYB1633" s="1"/>
      <c r="KYC1633" s="1"/>
      <c r="KYD1633" s="1"/>
      <c r="KYE1633" s="1"/>
      <c r="KYF1633" s="1"/>
      <c r="KYG1633" s="1"/>
      <c r="KYH1633" s="1"/>
      <c r="KYI1633" s="1"/>
      <c r="KYJ1633" s="1"/>
      <c r="KYK1633" s="1"/>
      <c r="KYL1633" s="1"/>
      <c r="KYM1633" s="1"/>
      <c r="KYN1633" s="1"/>
      <c r="KYO1633" s="1"/>
      <c r="KYP1633" s="1"/>
      <c r="KYQ1633" s="1"/>
      <c r="KYR1633" s="1"/>
      <c r="KYS1633" s="1"/>
      <c r="KYT1633" s="1"/>
      <c r="KYU1633" s="1"/>
      <c r="KYV1633" s="1"/>
      <c r="KYW1633" s="1"/>
      <c r="KYX1633" s="1"/>
      <c r="KYY1633" s="1"/>
      <c r="KYZ1633" s="1"/>
      <c r="KZA1633" s="1"/>
      <c r="KZB1633" s="1"/>
      <c r="KZC1633" s="1"/>
      <c r="KZD1633" s="1"/>
      <c r="KZE1633" s="1"/>
      <c r="KZF1633" s="1"/>
      <c r="KZG1633" s="1"/>
      <c r="KZH1633" s="1"/>
      <c r="KZI1633" s="1"/>
      <c r="KZJ1633" s="1"/>
      <c r="KZK1633" s="1"/>
      <c r="KZL1633" s="1"/>
      <c r="KZM1633" s="1"/>
      <c r="KZN1633" s="1"/>
      <c r="KZO1633" s="1"/>
      <c r="KZP1633" s="1"/>
      <c r="KZQ1633" s="1"/>
      <c r="KZR1633" s="1"/>
      <c r="KZS1633" s="1"/>
      <c r="KZT1633" s="1"/>
      <c r="KZU1633" s="1"/>
      <c r="KZV1633" s="1"/>
      <c r="KZW1633" s="1"/>
      <c r="KZX1633" s="1"/>
      <c r="KZY1633" s="1"/>
      <c r="KZZ1633" s="1"/>
      <c r="LAA1633" s="1"/>
      <c r="LAB1633" s="1"/>
      <c r="LAC1633" s="1"/>
      <c r="LAD1633" s="1"/>
      <c r="LAE1633" s="1"/>
      <c r="LAF1633" s="1"/>
      <c r="LAG1633" s="1"/>
      <c r="LAH1633" s="1"/>
      <c r="LAI1633" s="1"/>
      <c r="LAJ1633" s="1"/>
      <c r="LAK1633" s="1"/>
      <c r="LAL1633" s="1"/>
      <c r="LAM1633" s="1"/>
      <c r="LAN1633" s="1"/>
      <c r="LAO1633" s="1"/>
      <c r="LAP1633" s="1"/>
      <c r="LAQ1633" s="1"/>
      <c r="LAR1633" s="1"/>
      <c r="LAS1633" s="1"/>
      <c r="LAT1633" s="1"/>
      <c r="LAU1633" s="1"/>
      <c r="LAV1633" s="1"/>
      <c r="LAW1633" s="1"/>
      <c r="LAX1633" s="1"/>
      <c r="LAY1633" s="1"/>
      <c r="LAZ1633" s="1"/>
      <c r="LBA1633" s="1"/>
      <c r="LBB1633" s="1"/>
      <c r="LBC1633" s="1"/>
      <c r="LBD1633" s="1"/>
      <c r="LBE1633" s="1"/>
      <c r="LBF1633" s="1"/>
      <c r="LBG1633" s="1"/>
      <c r="LBH1633" s="1"/>
      <c r="LBI1633" s="1"/>
      <c r="LBJ1633" s="1"/>
      <c r="LBK1633" s="1"/>
      <c r="LBL1633" s="1"/>
      <c r="LBM1633" s="1"/>
      <c r="LBN1633" s="1"/>
      <c r="LBO1633" s="1"/>
      <c r="LBP1633" s="1"/>
      <c r="LBQ1633" s="1"/>
      <c r="LBR1633" s="1"/>
      <c r="LBS1633" s="1"/>
      <c r="LBT1633" s="1"/>
      <c r="LBU1633" s="1"/>
      <c r="LBV1633" s="1"/>
      <c r="LBW1633" s="1"/>
      <c r="LBX1633" s="1"/>
      <c r="LBY1633" s="1"/>
      <c r="LBZ1633" s="1"/>
      <c r="LCA1633" s="1"/>
      <c r="LCB1633" s="1"/>
      <c r="LCC1633" s="1"/>
      <c r="LCD1633" s="1"/>
      <c r="LCE1633" s="1"/>
      <c r="LCF1633" s="1"/>
      <c r="LCG1633" s="1"/>
      <c r="LCH1633" s="1"/>
      <c r="LCI1633" s="1"/>
      <c r="LCJ1633" s="1"/>
      <c r="LCK1633" s="1"/>
      <c r="LCL1633" s="1"/>
      <c r="LCM1633" s="1"/>
      <c r="LCN1633" s="1"/>
      <c r="LCO1633" s="1"/>
      <c r="LCP1633" s="1"/>
      <c r="LCQ1633" s="1"/>
      <c r="LCR1633" s="1"/>
      <c r="LCS1633" s="1"/>
      <c r="LCT1633" s="1"/>
      <c r="LCU1633" s="1"/>
      <c r="LCV1633" s="1"/>
      <c r="LCW1633" s="1"/>
      <c r="LCX1633" s="1"/>
      <c r="LCY1633" s="1"/>
      <c r="LCZ1633" s="1"/>
      <c r="LDA1633" s="1"/>
      <c r="LDB1633" s="1"/>
      <c r="LDC1633" s="1"/>
      <c r="LDD1633" s="1"/>
      <c r="LDE1633" s="1"/>
      <c r="LDF1633" s="1"/>
      <c r="LDG1633" s="1"/>
      <c r="LDH1633" s="1"/>
      <c r="LDI1633" s="1"/>
      <c r="LDJ1633" s="1"/>
      <c r="LDK1633" s="1"/>
      <c r="LDL1633" s="1"/>
      <c r="LDM1633" s="1"/>
      <c r="LDN1633" s="1"/>
      <c r="LDO1633" s="1"/>
      <c r="LDP1633" s="1"/>
      <c r="LDQ1633" s="1"/>
      <c r="LDR1633" s="1"/>
      <c r="LDS1633" s="1"/>
      <c r="LDT1633" s="1"/>
      <c r="LDU1633" s="1"/>
      <c r="LDV1633" s="1"/>
      <c r="LDW1633" s="1"/>
      <c r="LDX1633" s="1"/>
      <c r="LDY1633" s="1"/>
      <c r="LDZ1633" s="1"/>
      <c r="LEA1633" s="1"/>
      <c r="LEB1633" s="1"/>
      <c r="LEC1633" s="1"/>
      <c r="LED1633" s="1"/>
      <c r="LEE1633" s="1"/>
      <c r="LEF1633" s="1"/>
      <c r="LEG1633" s="1"/>
      <c r="LEH1633" s="1"/>
      <c r="LEI1633" s="1"/>
      <c r="LEJ1633" s="1"/>
      <c r="LEK1633" s="1"/>
      <c r="LEL1633" s="1"/>
      <c r="LEM1633" s="1"/>
      <c r="LEN1633" s="1"/>
      <c r="LEO1633" s="1"/>
      <c r="LEP1633" s="1"/>
      <c r="LEQ1633" s="1"/>
      <c r="LER1633" s="1"/>
      <c r="LES1633" s="1"/>
      <c r="LET1633" s="1"/>
      <c r="LEU1633" s="1"/>
      <c r="LEV1633" s="1"/>
      <c r="LEW1633" s="1"/>
      <c r="LEX1633" s="1"/>
      <c r="LEY1633" s="1"/>
      <c r="LEZ1633" s="1"/>
      <c r="LFA1633" s="1"/>
      <c r="LFB1633" s="1"/>
      <c r="LFC1633" s="1"/>
      <c r="LFD1633" s="1"/>
      <c r="LFE1633" s="1"/>
      <c r="LFF1633" s="1"/>
      <c r="LFG1633" s="1"/>
      <c r="LFH1633" s="1"/>
      <c r="LFI1633" s="1"/>
      <c r="LFJ1633" s="1"/>
      <c r="LFK1633" s="1"/>
      <c r="LFL1633" s="1"/>
      <c r="LFM1633" s="1"/>
      <c r="LFN1633" s="1"/>
      <c r="LFO1633" s="1"/>
      <c r="LFP1633" s="1"/>
      <c r="LFQ1633" s="1"/>
      <c r="LFR1633" s="1"/>
      <c r="LFS1633" s="1"/>
      <c r="LFT1633" s="1"/>
      <c r="LFU1633" s="1"/>
      <c r="LFV1633" s="1"/>
      <c r="LFW1633" s="1"/>
      <c r="LFX1633" s="1"/>
      <c r="LFY1633" s="1"/>
      <c r="LFZ1633" s="1"/>
      <c r="LGA1633" s="1"/>
      <c r="LGB1633" s="1"/>
      <c r="LGC1633" s="1"/>
      <c r="LGD1633" s="1"/>
      <c r="LGE1633" s="1"/>
      <c r="LGF1633" s="1"/>
      <c r="LGG1633" s="1"/>
      <c r="LGH1633" s="1"/>
      <c r="LGI1633" s="1"/>
      <c r="LGJ1633" s="1"/>
      <c r="LGK1633" s="1"/>
      <c r="LGL1633" s="1"/>
      <c r="LGM1633" s="1"/>
      <c r="LGN1633" s="1"/>
      <c r="LGO1633" s="1"/>
      <c r="LGP1633" s="1"/>
      <c r="LGQ1633" s="1"/>
      <c r="LGR1633" s="1"/>
      <c r="LGS1633" s="1"/>
      <c r="LGT1633" s="1"/>
      <c r="LGU1633" s="1"/>
      <c r="LGV1633" s="1"/>
      <c r="LGW1633" s="1"/>
      <c r="LGX1633" s="1"/>
      <c r="LGY1633" s="1"/>
      <c r="LGZ1633" s="1"/>
      <c r="LHA1633" s="1"/>
      <c r="LHB1633" s="1"/>
      <c r="LHC1633" s="1"/>
      <c r="LHD1633" s="1"/>
      <c r="LHE1633" s="1"/>
      <c r="LHF1633" s="1"/>
      <c r="LHG1633" s="1"/>
      <c r="LHH1633" s="1"/>
      <c r="LHI1633" s="1"/>
      <c r="LHJ1633" s="1"/>
      <c r="LHK1633" s="1"/>
      <c r="LHL1633" s="1"/>
      <c r="LHM1633" s="1"/>
      <c r="LHN1633" s="1"/>
      <c r="LHO1633" s="1"/>
      <c r="LHP1633" s="1"/>
      <c r="LHQ1633" s="1"/>
      <c r="LHR1633" s="1"/>
      <c r="LHS1633" s="1"/>
      <c r="LHT1633" s="1"/>
      <c r="LHU1633" s="1"/>
      <c r="LHV1633" s="1"/>
      <c r="LHW1633" s="1"/>
      <c r="LHX1633" s="1"/>
      <c r="LHY1633" s="1"/>
      <c r="LHZ1633" s="1"/>
      <c r="LIA1633" s="1"/>
      <c r="LIB1633" s="1"/>
      <c r="LIC1633" s="1"/>
      <c r="LID1633" s="1"/>
      <c r="LIE1633" s="1"/>
      <c r="LIF1633" s="1"/>
      <c r="LIG1633" s="1"/>
      <c r="LIH1633" s="1"/>
      <c r="LII1633" s="1"/>
      <c r="LIJ1633" s="1"/>
      <c r="LIK1633" s="1"/>
      <c r="LIL1633" s="1"/>
      <c r="LIM1633" s="1"/>
      <c r="LIN1633" s="1"/>
      <c r="LIO1633" s="1"/>
      <c r="LIP1633" s="1"/>
      <c r="LIQ1633" s="1"/>
      <c r="LIR1633" s="1"/>
      <c r="LIS1633" s="1"/>
      <c r="LIT1633" s="1"/>
      <c r="LIU1633" s="1"/>
      <c r="LIV1633" s="1"/>
      <c r="LIW1633" s="1"/>
      <c r="LIX1633" s="1"/>
      <c r="LIY1633" s="1"/>
      <c r="LIZ1633" s="1"/>
      <c r="LJA1633" s="1"/>
      <c r="LJB1633" s="1"/>
      <c r="LJC1633" s="1"/>
      <c r="LJD1633" s="1"/>
      <c r="LJE1633" s="1"/>
      <c r="LJF1633" s="1"/>
      <c r="LJG1633" s="1"/>
      <c r="LJH1633" s="1"/>
      <c r="LJI1633" s="1"/>
      <c r="LJJ1633" s="1"/>
      <c r="LJK1633" s="1"/>
      <c r="LJL1633" s="1"/>
      <c r="LJM1633" s="1"/>
      <c r="LJN1633" s="1"/>
      <c r="LJO1633" s="1"/>
      <c r="LJP1633" s="1"/>
      <c r="LJQ1633" s="1"/>
      <c r="LJR1633" s="1"/>
      <c r="LJS1633" s="1"/>
      <c r="LJT1633" s="1"/>
      <c r="LJU1633" s="1"/>
      <c r="LJV1633" s="1"/>
      <c r="LJW1633" s="1"/>
      <c r="LJX1633" s="1"/>
      <c r="LJY1633" s="1"/>
      <c r="LJZ1633" s="1"/>
      <c r="LKA1633" s="1"/>
      <c r="LKB1633" s="1"/>
      <c r="LKC1633" s="1"/>
      <c r="LKD1633" s="1"/>
      <c r="LKE1633" s="1"/>
      <c r="LKF1633" s="1"/>
      <c r="LKG1633" s="1"/>
      <c r="LKH1633" s="1"/>
      <c r="LKI1633" s="1"/>
      <c r="LKJ1633" s="1"/>
      <c r="LKK1633" s="1"/>
      <c r="LKL1633" s="1"/>
      <c r="LKM1633" s="1"/>
      <c r="LKN1633" s="1"/>
      <c r="LKO1633" s="1"/>
      <c r="LKP1633" s="1"/>
      <c r="LKQ1633" s="1"/>
      <c r="LKR1633" s="1"/>
      <c r="LKS1633" s="1"/>
      <c r="LKT1633" s="1"/>
      <c r="LKU1633" s="1"/>
      <c r="LKV1633" s="1"/>
      <c r="LKW1633" s="1"/>
      <c r="LKX1633" s="1"/>
      <c r="LKY1633" s="1"/>
      <c r="LKZ1633" s="1"/>
      <c r="LLA1633" s="1"/>
      <c r="LLB1633" s="1"/>
      <c r="LLC1633" s="1"/>
      <c r="LLD1633" s="1"/>
      <c r="LLE1633" s="1"/>
      <c r="LLF1633" s="1"/>
      <c r="LLG1633" s="1"/>
      <c r="LLH1633" s="1"/>
      <c r="LLI1633" s="1"/>
      <c r="LLJ1633" s="1"/>
      <c r="LLK1633" s="1"/>
      <c r="LLL1633" s="1"/>
      <c r="LLM1633" s="1"/>
      <c r="LLN1633" s="1"/>
      <c r="LLO1633" s="1"/>
      <c r="LLP1633" s="1"/>
      <c r="LLQ1633" s="1"/>
      <c r="LLR1633" s="1"/>
      <c r="LLS1633" s="1"/>
      <c r="LLT1633" s="1"/>
      <c r="LLU1633" s="1"/>
      <c r="LLV1633" s="1"/>
      <c r="LLW1633" s="1"/>
      <c r="LLX1633" s="1"/>
      <c r="LLY1633" s="1"/>
      <c r="LLZ1633" s="1"/>
      <c r="LMA1633" s="1"/>
      <c r="LMB1633" s="1"/>
      <c r="LMC1633" s="1"/>
      <c r="LMD1633" s="1"/>
      <c r="LME1633" s="1"/>
      <c r="LMF1633" s="1"/>
      <c r="LMG1633" s="1"/>
      <c r="LMH1633" s="1"/>
      <c r="LMI1633" s="1"/>
      <c r="LMJ1633" s="1"/>
      <c r="LMK1633" s="1"/>
      <c r="LML1633" s="1"/>
      <c r="LMM1633" s="1"/>
      <c r="LMN1633" s="1"/>
      <c r="LMO1633" s="1"/>
      <c r="LMP1633" s="1"/>
      <c r="LMQ1633" s="1"/>
      <c r="LMR1633" s="1"/>
      <c r="LMS1633" s="1"/>
      <c r="LMT1633" s="1"/>
      <c r="LMU1633" s="1"/>
      <c r="LMV1633" s="1"/>
      <c r="LMW1633" s="1"/>
      <c r="LMX1633" s="1"/>
      <c r="LMY1633" s="1"/>
      <c r="LMZ1633" s="1"/>
      <c r="LNA1633" s="1"/>
      <c r="LNB1633" s="1"/>
      <c r="LNC1633" s="1"/>
      <c r="LND1633" s="1"/>
      <c r="LNE1633" s="1"/>
      <c r="LNF1633" s="1"/>
      <c r="LNG1633" s="1"/>
      <c r="LNH1633" s="1"/>
      <c r="LNI1633" s="1"/>
      <c r="LNJ1633" s="1"/>
      <c r="LNK1633" s="1"/>
      <c r="LNL1633" s="1"/>
      <c r="LNM1633" s="1"/>
      <c r="LNN1633" s="1"/>
      <c r="LNO1633" s="1"/>
      <c r="LNP1633" s="1"/>
      <c r="LNQ1633" s="1"/>
      <c r="LNR1633" s="1"/>
      <c r="LNS1633" s="1"/>
      <c r="LNT1633" s="1"/>
      <c r="LNU1633" s="1"/>
      <c r="LNV1633" s="1"/>
      <c r="LNW1633" s="1"/>
      <c r="LNX1633" s="1"/>
      <c r="LNY1633" s="1"/>
      <c r="LNZ1633" s="1"/>
      <c r="LOA1633" s="1"/>
      <c r="LOB1633" s="1"/>
      <c r="LOC1633" s="1"/>
      <c r="LOD1633" s="1"/>
      <c r="LOE1633" s="1"/>
      <c r="LOF1633" s="1"/>
      <c r="LOG1633" s="1"/>
      <c r="LOH1633" s="1"/>
      <c r="LOI1633" s="1"/>
      <c r="LOJ1633" s="1"/>
      <c r="LOK1633" s="1"/>
      <c r="LOL1633" s="1"/>
      <c r="LOM1633" s="1"/>
      <c r="LON1633" s="1"/>
      <c r="LOO1633" s="1"/>
      <c r="LOP1633" s="1"/>
      <c r="LOQ1633" s="1"/>
      <c r="LOR1633" s="1"/>
      <c r="LOS1633" s="1"/>
      <c r="LOT1633" s="1"/>
      <c r="LOU1633" s="1"/>
      <c r="LOV1633" s="1"/>
      <c r="LOW1633" s="1"/>
      <c r="LOX1633" s="1"/>
      <c r="LOY1633" s="1"/>
      <c r="LOZ1633" s="1"/>
      <c r="LPA1633" s="1"/>
      <c r="LPB1633" s="1"/>
      <c r="LPC1633" s="1"/>
      <c r="LPD1633" s="1"/>
      <c r="LPE1633" s="1"/>
      <c r="LPF1633" s="1"/>
      <c r="LPG1633" s="1"/>
      <c r="LPH1633" s="1"/>
      <c r="LPI1633" s="1"/>
      <c r="LPJ1633" s="1"/>
      <c r="LPK1633" s="1"/>
      <c r="LPL1633" s="1"/>
      <c r="LPM1633" s="1"/>
      <c r="LPN1633" s="1"/>
      <c r="LPO1633" s="1"/>
      <c r="LPP1633" s="1"/>
      <c r="LPQ1633" s="1"/>
      <c r="LPR1633" s="1"/>
      <c r="LPS1633" s="1"/>
      <c r="LPT1633" s="1"/>
      <c r="LPU1633" s="1"/>
      <c r="LPV1633" s="1"/>
      <c r="LPW1633" s="1"/>
      <c r="LPX1633" s="1"/>
      <c r="LPY1633" s="1"/>
      <c r="LPZ1633" s="1"/>
      <c r="LQA1633" s="1"/>
      <c r="LQB1633" s="1"/>
      <c r="LQC1633" s="1"/>
      <c r="LQD1633" s="1"/>
      <c r="LQE1633" s="1"/>
      <c r="LQF1633" s="1"/>
      <c r="LQG1633" s="1"/>
      <c r="LQH1633" s="1"/>
      <c r="LQI1633" s="1"/>
      <c r="LQJ1633" s="1"/>
      <c r="LQK1633" s="1"/>
      <c r="LQL1633" s="1"/>
      <c r="LQM1633" s="1"/>
      <c r="LQN1633" s="1"/>
      <c r="LQO1633" s="1"/>
      <c r="LQP1633" s="1"/>
      <c r="LQQ1633" s="1"/>
      <c r="LQR1633" s="1"/>
      <c r="LQS1633" s="1"/>
      <c r="LQT1633" s="1"/>
      <c r="LQU1633" s="1"/>
      <c r="LQV1633" s="1"/>
      <c r="LQW1633" s="1"/>
      <c r="LQX1633" s="1"/>
      <c r="LQY1633" s="1"/>
      <c r="LQZ1633" s="1"/>
      <c r="LRA1633" s="1"/>
      <c r="LRB1633" s="1"/>
      <c r="LRC1633" s="1"/>
      <c r="LRD1633" s="1"/>
      <c r="LRE1633" s="1"/>
      <c r="LRF1633" s="1"/>
      <c r="LRG1633" s="1"/>
      <c r="LRH1633" s="1"/>
      <c r="LRI1633" s="1"/>
      <c r="LRJ1633" s="1"/>
      <c r="LRK1633" s="1"/>
      <c r="LRL1633" s="1"/>
      <c r="LRM1633" s="1"/>
      <c r="LRN1633" s="1"/>
      <c r="LRO1633" s="1"/>
      <c r="LRP1633" s="1"/>
      <c r="LRQ1633" s="1"/>
      <c r="LRR1633" s="1"/>
      <c r="LRS1633" s="1"/>
      <c r="LRT1633" s="1"/>
      <c r="LRU1633" s="1"/>
      <c r="LRV1633" s="1"/>
      <c r="LRW1633" s="1"/>
      <c r="LRX1633" s="1"/>
      <c r="LRY1633" s="1"/>
      <c r="LRZ1633" s="1"/>
      <c r="LSA1633" s="1"/>
      <c r="LSB1633" s="1"/>
      <c r="LSC1633" s="1"/>
      <c r="LSD1633" s="1"/>
      <c r="LSE1633" s="1"/>
      <c r="LSF1633" s="1"/>
      <c r="LSG1633" s="1"/>
      <c r="LSH1633" s="1"/>
      <c r="LSI1633" s="1"/>
      <c r="LSJ1633" s="1"/>
      <c r="LSK1633" s="1"/>
      <c r="LSL1633" s="1"/>
      <c r="LSM1633" s="1"/>
      <c r="LSN1633" s="1"/>
      <c r="LSO1633" s="1"/>
      <c r="LSP1633" s="1"/>
      <c r="LSQ1633" s="1"/>
      <c r="LSR1633" s="1"/>
      <c r="LSS1633" s="1"/>
      <c r="LST1633" s="1"/>
      <c r="LSU1633" s="1"/>
      <c r="LSV1633" s="1"/>
      <c r="LSW1633" s="1"/>
      <c r="LSX1633" s="1"/>
      <c r="LSY1633" s="1"/>
      <c r="LSZ1633" s="1"/>
      <c r="LTA1633" s="1"/>
      <c r="LTB1633" s="1"/>
      <c r="LTC1633" s="1"/>
      <c r="LTD1633" s="1"/>
      <c r="LTE1633" s="1"/>
      <c r="LTF1633" s="1"/>
      <c r="LTG1633" s="1"/>
      <c r="LTH1633" s="1"/>
      <c r="LTI1633" s="1"/>
      <c r="LTJ1633" s="1"/>
      <c r="LTK1633" s="1"/>
      <c r="LTL1633" s="1"/>
      <c r="LTM1633" s="1"/>
      <c r="LTN1633" s="1"/>
      <c r="LTO1633" s="1"/>
      <c r="LTP1633" s="1"/>
      <c r="LTQ1633" s="1"/>
      <c r="LTR1633" s="1"/>
      <c r="LTS1633" s="1"/>
      <c r="LTT1633" s="1"/>
      <c r="LTU1633" s="1"/>
      <c r="LTV1633" s="1"/>
      <c r="LTW1633" s="1"/>
      <c r="LTX1633" s="1"/>
      <c r="LTY1633" s="1"/>
      <c r="LTZ1633" s="1"/>
      <c r="LUA1633" s="1"/>
      <c r="LUB1633" s="1"/>
      <c r="LUC1633" s="1"/>
      <c r="LUD1633" s="1"/>
      <c r="LUE1633" s="1"/>
      <c r="LUF1633" s="1"/>
      <c r="LUG1633" s="1"/>
      <c r="LUH1633" s="1"/>
      <c r="LUI1633" s="1"/>
      <c r="LUJ1633" s="1"/>
      <c r="LUK1633" s="1"/>
      <c r="LUL1633" s="1"/>
      <c r="LUM1633" s="1"/>
      <c r="LUN1633" s="1"/>
      <c r="LUO1633" s="1"/>
      <c r="LUP1633" s="1"/>
      <c r="LUQ1633" s="1"/>
      <c r="LUR1633" s="1"/>
      <c r="LUS1633" s="1"/>
      <c r="LUT1633" s="1"/>
      <c r="LUU1633" s="1"/>
      <c r="LUV1633" s="1"/>
      <c r="LUW1633" s="1"/>
      <c r="LUX1633" s="1"/>
      <c r="LUY1633" s="1"/>
      <c r="LUZ1633" s="1"/>
      <c r="LVA1633" s="1"/>
      <c r="LVB1633" s="1"/>
      <c r="LVC1633" s="1"/>
      <c r="LVD1633" s="1"/>
      <c r="LVE1633" s="1"/>
      <c r="LVF1633" s="1"/>
      <c r="LVG1633" s="1"/>
      <c r="LVH1633" s="1"/>
      <c r="LVI1633" s="1"/>
      <c r="LVJ1633" s="1"/>
      <c r="LVK1633" s="1"/>
      <c r="LVL1633" s="1"/>
      <c r="LVM1633" s="1"/>
      <c r="LVN1633" s="1"/>
      <c r="LVO1633" s="1"/>
      <c r="LVP1633" s="1"/>
      <c r="LVQ1633" s="1"/>
      <c r="LVR1633" s="1"/>
      <c r="LVS1633" s="1"/>
      <c r="LVT1633" s="1"/>
      <c r="LVU1633" s="1"/>
      <c r="LVV1633" s="1"/>
      <c r="LVW1633" s="1"/>
      <c r="LVX1633" s="1"/>
      <c r="LVY1633" s="1"/>
      <c r="LVZ1633" s="1"/>
      <c r="LWA1633" s="1"/>
      <c r="LWB1633" s="1"/>
      <c r="LWC1633" s="1"/>
      <c r="LWD1633" s="1"/>
      <c r="LWE1633" s="1"/>
      <c r="LWF1633" s="1"/>
      <c r="LWG1633" s="1"/>
      <c r="LWH1633" s="1"/>
      <c r="LWI1633" s="1"/>
      <c r="LWJ1633" s="1"/>
      <c r="LWK1633" s="1"/>
      <c r="LWL1633" s="1"/>
      <c r="LWM1633" s="1"/>
      <c r="LWN1633" s="1"/>
      <c r="LWO1633" s="1"/>
      <c r="LWP1633" s="1"/>
      <c r="LWQ1633" s="1"/>
      <c r="LWR1633" s="1"/>
      <c r="LWS1633" s="1"/>
      <c r="LWT1633" s="1"/>
      <c r="LWU1633" s="1"/>
      <c r="LWV1633" s="1"/>
      <c r="LWW1633" s="1"/>
      <c r="LWX1633" s="1"/>
      <c r="LWY1633" s="1"/>
      <c r="LWZ1633" s="1"/>
      <c r="LXA1633" s="1"/>
      <c r="LXB1633" s="1"/>
      <c r="LXC1633" s="1"/>
      <c r="LXD1633" s="1"/>
      <c r="LXE1633" s="1"/>
      <c r="LXF1633" s="1"/>
      <c r="LXG1633" s="1"/>
      <c r="LXH1633" s="1"/>
      <c r="LXI1633" s="1"/>
      <c r="LXJ1633" s="1"/>
      <c r="LXK1633" s="1"/>
      <c r="LXL1633" s="1"/>
      <c r="LXM1633" s="1"/>
      <c r="LXN1633" s="1"/>
      <c r="LXO1633" s="1"/>
      <c r="LXP1633" s="1"/>
      <c r="LXQ1633" s="1"/>
      <c r="LXR1633" s="1"/>
      <c r="LXS1633" s="1"/>
      <c r="LXT1633" s="1"/>
      <c r="LXU1633" s="1"/>
      <c r="LXV1633" s="1"/>
      <c r="LXW1633" s="1"/>
      <c r="LXX1633" s="1"/>
      <c r="LXY1633" s="1"/>
      <c r="LXZ1633" s="1"/>
      <c r="LYA1633" s="1"/>
      <c r="LYB1633" s="1"/>
      <c r="LYC1633" s="1"/>
      <c r="LYD1633" s="1"/>
      <c r="LYE1633" s="1"/>
      <c r="LYF1633" s="1"/>
      <c r="LYG1633" s="1"/>
      <c r="LYH1633" s="1"/>
      <c r="LYI1633" s="1"/>
      <c r="LYJ1633" s="1"/>
      <c r="LYK1633" s="1"/>
      <c r="LYL1633" s="1"/>
      <c r="LYM1633" s="1"/>
      <c r="LYN1633" s="1"/>
      <c r="LYO1633" s="1"/>
      <c r="LYP1633" s="1"/>
      <c r="LYQ1633" s="1"/>
      <c r="LYR1633" s="1"/>
      <c r="LYS1633" s="1"/>
      <c r="LYT1633" s="1"/>
      <c r="LYU1633" s="1"/>
      <c r="LYV1633" s="1"/>
      <c r="LYW1633" s="1"/>
      <c r="LYX1633" s="1"/>
      <c r="LYY1633" s="1"/>
      <c r="LYZ1633" s="1"/>
      <c r="LZA1633" s="1"/>
      <c r="LZB1633" s="1"/>
      <c r="LZC1633" s="1"/>
      <c r="LZD1633" s="1"/>
      <c r="LZE1633" s="1"/>
      <c r="LZF1633" s="1"/>
      <c r="LZG1633" s="1"/>
      <c r="LZH1633" s="1"/>
      <c r="LZI1633" s="1"/>
      <c r="LZJ1633" s="1"/>
      <c r="LZK1633" s="1"/>
      <c r="LZL1633" s="1"/>
      <c r="LZM1633" s="1"/>
      <c r="LZN1633" s="1"/>
      <c r="LZO1633" s="1"/>
      <c r="LZP1633" s="1"/>
      <c r="LZQ1633" s="1"/>
      <c r="LZR1633" s="1"/>
      <c r="LZS1633" s="1"/>
      <c r="LZT1633" s="1"/>
      <c r="LZU1633" s="1"/>
      <c r="LZV1633" s="1"/>
      <c r="LZW1633" s="1"/>
      <c r="LZX1633" s="1"/>
      <c r="LZY1633" s="1"/>
      <c r="LZZ1633" s="1"/>
      <c r="MAA1633" s="1"/>
      <c r="MAB1633" s="1"/>
      <c r="MAC1633" s="1"/>
      <c r="MAD1633" s="1"/>
      <c r="MAE1633" s="1"/>
      <c r="MAF1633" s="1"/>
      <c r="MAG1633" s="1"/>
      <c r="MAH1633" s="1"/>
      <c r="MAI1633" s="1"/>
      <c r="MAJ1633" s="1"/>
      <c r="MAK1633" s="1"/>
      <c r="MAL1633" s="1"/>
      <c r="MAM1633" s="1"/>
      <c r="MAN1633" s="1"/>
      <c r="MAO1633" s="1"/>
      <c r="MAP1633" s="1"/>
      <c r="MAQ1633" s="1"/>
      <c r="MAR1633" s="1"/>
      <c r="MAS1633" s="1"/>
      <c r="MAT1633" s="1"/>
      <c r="MAU1633" s="1"/>
      <c r="MAV1633" s="1"/>
      <c r="MAW1633" s="1"/>
      <c r="MAX1633" s="1"/>
      <c r="MAY1633" s="1"/>
      <c r="MAZ1633" s="1"/>
      <c r="MBA1633" s="1"/>
      <c r="MBB1633" s="1"/>
      <c r="MBC1633" s="1"/>
      <c r="MBD1633" s="1"/>
      <c r="MBE1633" s="1"/>
      <c r="MBF1633" s="1"/>
      <c r="MBG1633" s="1"/>
      <c r="MBH1633" s="1"/>
      <c r="MBI1633" s="1"/>
      <c r="MBJ1633" s="1"/>
      <c r="MBK1633" s="1"/>
      <c r="MBL1633" s="1"/>
      <c r="MBM1633" s="1"/>
      <c r="MBN1633" s="1"/>
      <c r="MBO1633" s="1"/>
      <c r="MBP1633" s="1"/>
      <c r="MBQ1633" s="1"/>
      <c r="MBR1633" s="1"/>
      <c r="MBS1633" s="1"/>
      <c r="MBT1633" s="1"/>
      <c r="MBU1633" s="1"/>
      <c r="MBV1633" s="1"/>
      <c r="MBW1633" s="1"/>
      <c r="MBX1633" s="1"/>
      <c r="MBY1633" s="1"/>
      <c r="MBZ1633" s="1"/>
      <c r="MCA1633" s="1"/>
      <c r="MCB1633" s="1"/>
      <c r="MCC1633" s="1"/>
      <c r="MCD1633" s="1"/>
      <c r="MCE1633" s="1"/>
      <c r="MCF1633" s="1"/>
      <c r="MCG1633" s="1"/>
      <c r="MCH1633" s="1"/>
      <c r="MCI1633" s="1"/>
      <c r="MCJ1633" s="1"/>
      <c r="MCK1633" s="1"/>
      <c r="MCL1633" s="1"/>
      <c r="MCM1633" s="1"/>
      <c r="MCN1633" s="1"/>
      <c r="MCO1633" s="1"/>
      <c r="MCP1633" s="1"/>
      <c r="MCQ1633" s="1"/>
      <c r="MCR1633" s="1"/>
      <c r="MCS1633" s="1"/>
      <c r="MCT1633" s="1"/>
      <c r="MCU1633" s="1"/>
      <c r="MCV1633" s="1"/>
      <c r="MCW1633" s="1"/>
      <c r="MCX1633" s="1"/>
      <c r="MCY1633" s="1"/>
      <c r="MCZ1633" s="1"/>
      <c r="MDA1633" s="1"/>
      <c r="MDB1633" s="1"/>
      <c r="MDC1633" s="1"/>
      <c r="MDD1633" s="1"/>
      <c r="MDE1633" s="1"/>
      <c r="MDF1633" s="1"/>
      <c r="MDG1633" s="1"/>
      <c r="MDH1633" s="1"/>
      <c r="MDI1633" s="1"/>
      <c r="MDJ1633" s="1"/>
      <c r="MDK1633" s="1"/>
      <c r="MDL1633" s="1"/>
      <c r="MDM1633" s="1"/>
      <c r="MDN1633" s="1"/>
      <c r="MDO1633" s="1"/>
      <c r="MDP1633" s="1"/>
      <c r="MDQ1633" s="1"/>
      <c r="MDR1633" s="1"/>
      <c r="MDS1633" s="1"/>
      <c r="MDT1633" s="1"/>
      <c r="MDU1633" s="1"/>
      <c r="MDV1633" s="1"/>
      <c r="MDW1633" s="1"/>
      <c r="MDX1633" s="1"/>
      <c r="MDY1633" s="1"/>
      <c r="MDZ1633" s="1"/>
      <c r="MEA1633" s="1"/>
      <c r="MEB1633" s="1"/>
      <c r="MEC1633" s="1"/>
      <c r="MED1633" s="1"/>
      <c r="MEE1633" s="1"/>
      <c r="MEF1633" s="1"/>
      <c r="MEG1633" s="1"/>
      <c r="MEH1633" s="1"/>
      <c r="MEI1633" s="1"/>
      <c r="MEJ1633" s="1"/>
      <c r="MEK1633" s="1"/>
      <c r="MEL1633" s="1"/>
      <c r="MEM1633" s="1"/>
      <c r="MEN1633" s="1"/>
      <c r="MEO1633" s="1"/>
      <c r="MEP1633" s="1"/>
      <c r="MEQ1633" s="1"/>
      <c r="MER1633" s="1"/>
      <c r="MES1633" s="1"/>
      <c r="MET1633" s="1"/>
      <c r="MEU1633" s="1"/>
      <c r="MEV1633" s="1"/>
      <c r="MEW1633" s="1"/>
      <c r="MEX1633" s="1"/>
      <c r="MEY1633" s="1"/>
      <c r="MEZ1633" s="1"/>
      <c r="MFA1633" s="1"/>
      <c r="MFB1633" s="1"/>
      <c r="MFC1633" s="1"/>
      <c r="MFD1633" s="1"/>
      <c r="MFE1633" s="1"/>
      <c r="MFF1633" s="1"/>
      <c r="MFG1633" s="1"/>
      <c r="MFH1633" s="1"/>
      <c r="MFI1633" s="1"/>
      <c r="MFJ1633" s="1"/>
      <c r="MFK1633" s="1"/>
      <c r="MFL1633" s="1"/>
      <c r="MFM1633" s="1"/>
      <c r="MFN1633" s="1"/>
      <c r="MFO1633" s="1"/>
      <c r="MFP1633" s="1"/>
      <c r="MFQ1633" s="1"/>
      <c r="MFR1633" s="1"/>
      <c r="MFS1633" s="1"/>
      <c r="MFT1633" s="1"/>
      <c r="MFU1633" s="1"/>
      <c r="MFV1633" s="1"/>
      <c r="MFW1633" s="1"/>
      <c r="MFX1633" s="1"/>
      <c r="MFY1633" s="1"/>
      <c r="MFZ1633" s="1"/>
      <c r="MGA1633" s="1"/>
      <c r="MGB1633" s="1"/>
      <c r="MGC1633" s="1"/>
      <c r="MGD1633" s="1"/>
      <c r="MGE1633" s="1"/>
      <c r="MGF1633" s="1"/>
      <c r="MGG1633" s="1"/>
      <c r="MGH1633" s="1"/>
      <c r="MGI1633" s="1"/>
      <c r="MGJ1633" s="1"/>
      <c r="MGK1633" s="1"/>
      <c r="MGL1633" s="1"/>
      <c r="MGM1633" s="1"/>
      <c r="MGN1633" s="1"/>
      <c r="MGO1633" s="1"/>
      <c r="MGP1633" s="1"/>
      <c r="MGQ1633" s="1"/>
      <c r="MGR1633" s="1"/>
      <c r="MGS1633" s="1"/>
      <c r="MGT1633" s="1"/>
      <c r="MGU1633" s="1"/>
      <c r="MGV1633" s="1"/>
      <c r="MGW1633" s="1"/>
      <c r="MGX1633" s="1"/>
      <c r="MGY1633" s="1"/>
      <c r="MGZ1633" s="1"/>
      <c r="MHA1633" s="1"/>
      <c r="MHB1633" s="1"/>
      <c r="MHC1633" s="1"/>
      <c r="MHD1633" s="1"/>
      <c r="MHE1633" s="1"/>
      <c r="MHF1633" s="1"/>
      <c r="MHG1633" s="1"/>
      <c r="MHH1633" s="1"/>
      <c r="MHI1633" s="1"/>
      <c r="MHJ1633" s="1"/>
      <c r="MHK1633" s="1"/>
      <c r="MHL1633" s="1"/>
      <c r="MHM1633" s="1"/>
      <c r="MHN1633" s="1"/>
      <c r="MHO1633" s="1"/>
      <c r="MHP1633" s="1"/>
      <c r="MHQ1633" s="1"/>
      <c r="MHR1633" s="1"/>
      <c r="MHS1633" s="1"/>
      <c r="MHT1633" s="1"/>
      <c r="MHU1633" s="1"/>
      <c r="MHV1633" s="1"/>
      <c r="MHW1633" s="1"/>
      <c r="MHX1633" s="1"/>
      <c r="MHY1633" s="1"/>
      <c r="MHZ1633" s="1"/>
      <c r="MIA1633" s="1"/>
      <c r="MIB1633" s="1"/>
      <c r="MIC1633" s="1"/>
      <c r="MID1633" s="1"/>
      <c r="MIE1633" s="1"/>
      <c r="MIF1633" s="1"/>
      <c r="MIG1633" s="1"/>
      <c r="MIH1633" s="1"/>
      <c r="MII1633" s="1"/>
      <c r="MIJ1633" s="1"/>
      <c r="MIK1633" s="1"/>
      <c r="MIL1633" s="1"/>
      <c r="MIM1633" s="1"/>
      <c r="MIN1633" s="1"/>
      <c r="MIO1633" s="1"/>
      <c r="MIP1633" s="1"/>
      <c r="MIQ1633" s="1"/>
      <c r="MIR1633" s="1"/>
      <c r="MIS1633" s="1"/>
      <c r="MIT1633" s="1"/>
      <c r="MIU1633" s="1"/>
      <c r="MIV1633" s="1"/>
      <c r="MIW1633" s="1"/>
      <c r="MIX1633" s="1"/>
      <c r="MIY1633" s="1"/>
      <c r="MIZ1633" s="1"/>
      <c r="MJA1633" s="1"/>
      <c r="MJB1633" s="1"/>
      <c r="MJC1633" s="1"/>
      <c r="MJD1633" s="1"/>
      <c r="MJE1633" s="1"/>
      <c r="MJF1633" s="1"/>
      <c r="MJG1633" s="1"/>
      <c r="MJH1633" s="1"/>
      <c r="MJI1633" s="1"/>
      <c r="MJJ1633" s="1"/>
      <c r="MJK1633" s="1"/>
      <c r="MJL1633" s="1"/>
      <c r="MJM1633" s="1"/>
      <c r="MJN1633" s="1"/>
      <c r="MJO1633" s="1"/>
      <c r="MJP1633" s="1"/>
      <c r="MJQ1633" s="1"/>
      <c r="MJR1633" s="1"/>
      <c r="MJS1633" s="1"/>
      <c r="MJT1633" s="1"/>
      <c r="MJU1633" s="1"/>
      <c r="MJV1633" s="1"/>
      <c r="MJW1633" s="1"/>
      <c r="MJX1633" s="1"/>
      <c r="MJY1633" s="1"/>
      <c r="MJZ1633" s="1"/>
      <c r="MKA1633" s="1"/>
      <c r="MKB1633" s="1"/>
      <c r="MKC1633" s="1"/>
      <c r="MKD1633" s="1"/>
      <c r="MKE1633" s="1"/>
      <c r="MKF1633" s="1"/>
      <c r="MKG1633" s="1"/>
      <c r="MKH1633" s="1"/>
      <c r="MKI1633" s="1"/>
      <c r="MKJ1633" s="1"/>
      <c r="MKK1633" s="1"/>
      <c r="MKL1633" s="1"/>
      <c r="MKM1633" s="1"/>
      <c r="MKN1633" s="1"/>
      <c r="MKO1633" s="1"/>
      <c r="MKP1633" s="1"/>
      <c r="MKQ1633" s="1"/>
      <c r="MKR1633" s="1"/>
      <c r="MKS1633" s="1"/>
      <c r="MKT1633" s="1"/>
      <c r="MKU1633" s="1"/>
      <c r="MKV1633" s="1"/>
      <c r="MKW1633" s="1"/>
      <c r="MKX1633" s="1"/>
      <c r="MKY1633" s="1"/>
      <c r="MKZ1633" s="1"/>
      <c r="MLA1633" s="1"/>
      <c r="MLB1633" s="1"/>
      <c r="MLC1633" s="1"/>
      <c r="MLD1633" s="1"/>
      <c r="MLE1633" s="1"/>
      <c r="MLF1633" s="1"/>
      <c r="MLG1633" s="1"/>
      <c r="MLH1633" s="1"/>
      <c r="MLI1633" s="1"/>
      <c r="MLJ1633" s="1"/>
      <c r="MLK1633" s="1"/>
      <c r="MLL1633" s="1"/>
      <c r="MLM1633" s="1"/>
      <c r="MLN1633" s="1"/>
      <c r="MLO1633" s="1"/>
      <c r="MLP1633" s="1"/>
      <c r="MLQ1633" s="1"/>
      <c r="MLR1633" s="1"/>
      <c r="MLS1633" s="1"/>
      <c r="MLT1633" s="1"/>
      <c r="MLU1633" s="1"/>
      <c r="MLV1633" s="1"/>
      <c r="MLW1633" s="1"/>
      <c r="MLX1633" s="1"/>
      <c r="MLY1633" s="1"/>
      <c r="MLZ1633" s="1"/>
      <c r="MMA1633" s="1"/>
      <c r="MMB1633" s="1"/>
      <c r="MMC1633" s="1"/>
      <c r="MMD1633" s="1"/>
      <c r="MME1633" s="1"/>
      <c r="MMF1633" s="1"/>
      <c r="MMG1633" s="1"/>
      <c r="MMH1633" s="1"/>
      <c r="MMI1633" s="1"/>
      <c r="MMJ1633" s="1"/>
      <c r="MMK1633" s="1"/>
      <c r="MML1633" s="1"/>
      <c r="MMM1633" s="1"/>
      <c r="MMN1633" s="1"/>
      <c r="MMO1633" s="1"/>
      <c r="MMP1633" s="1"/>
      <c r="MMQ1633" s="1"/>
      <c r="MMR1633" s="1"/>
      <c r="MMS1633" s="1"/>
      <c r="MMT1633" s="1"/>
      <c r="MMU1633" s="1"/>
      <c r="MMV1633" s="1"/>
      <c r="MMW1633" s="1"/>
      <c r="MMX1633" s="1"/>
      <c r="MMY1633" s="1"/>
      <c r="MMZ1633" s="1"/>
      <c r="MNA1633" s="1"/>
      <c r="MNB1633" s="1"/>
      <c r="MNC1633" s="1"/>
      <c r="MND1633" s="1"/>
      <c r="MNE1633" s="1"/>
      <c r="MNF1633" s="1"/>
      <c r="MNG1633" s="1"/>
      <c r="MNH1633" s="1"/>
      <c r="MNI1633" s="1"/>
      <c r="MNJ1633" s="1"/>
      <c r="MNK1633" s="1"/>
      <c r="MNL1633" s="1"/>
      <c r="MNM1633" s="1"/>
      <c r="MNN1633" s="1"/>
      <c r="MNO1633" s="1"/>
      <c r="MNP1633" s="1"/>
      <c r="MNQ1633" s="1"/>
      <c r="MNR1633" s="1"/>
      <c r="MNS1633" s="1"/>
      <c r="MNT1633" s="1"/>
      <c r="MNU1633" s="1"/>
      <c r="MNV1633" s="1"/>
      <c r="MNW1633" s="1"/>
      <c r="MNX1633" s="1"/>
      <c r="MNY1633" s="1"/>
      <c r="MNZ1633" s="1"/>
      <c r="MOA1633" s="1"/>
      <c r="MOB1633" s="1"/>
      <c r="MOC1633" s="1"/>
      <c r="MOD1633" s="1"/>
      <c r="MOE1633" s="1"/>
      <c r="MOF1633" s="1"/>
      <c r="MOG1633" s="1"/>
      <c r="MOH1633" s="1"/>
      <c r="MOI1633" s="1"/>
      <c r="MOJ1633" s="1"/>
      <c r="MOK1633" s="1"/>
      <c r="MOL1633" s="1"/>
      <c r="MOM1633" s="1"/>
      <c r="MON1633" s="1"/>
      <c r="MOO1633" s="1"/>
      <c r="MOP1633" s="1"/>
      <c r="MOQ1633" s="1"/>
      <c r="MOR1633" s="1"/>
      <c r="MOS1633" s="1"/>
      <c r="MOT1633" s="1"/>
      <c r="MOU1633" s="1"/>
      <c r="MOV1633" s="1"/>
      <c r="MOW1633" s="1"/>
      <c r="MOX1633" s="1"/>
      <c r="MOY1633" s="1"/>
      <c r="MOZ1633" s="1"/>
      <c r="MPA1633" s="1"/>
      <c r="MPB1633" s="1"/>
      <c r="MPC1633" s="1"/>
      <c r="MPD1633" s="1"/>
      <c r="MPE1633" s="1"/>
      <c r="MPF1633" s="1"/>
      <c r="MPG1633" s="1"/>
      <c r="MPH1633" s="1"/>
      <c r="MPI1633" s="1"/>
      <c r="MPJ1633" s="1"/>
      <c r="MPK1633" s="1"/>
      <c r="MPL1633" s="1"/>
      <c r="MPM1633" s="1"/>
      <c r="MPN1633" s="1"/>
      <c r="MPO1633" s="1"/>
      <c r="MPP1633" s="1"/>
      <c r="MPQ1633" s="1"/>
      <c r="MPR1633" s="1"/>
      <c r="MPS1633" s="1"/>
      <c r="MPT1633" s="1"/>
      <c r="MPU1633" s="1"/>
      <c r="MPV1633" s="1"/>
      <c r="MPW1633" s="1"/>
      <c r="MPX1633" s="1"/>
      <c r="MPY1633" s="1"/>
      <c r="MPZ1633" s="1"/>
      <c r="MQA1633" s="1"/>
      <c r="MQB1633" s="1"/>
      <c r="MQC1633" s="1"/>
      <c r="MQD1633" s="1"/>
      <c r="MQE1633" s="1"/>
      <c r="MQF1633" s="1"/>
      <c r="MQG1633" s="1"/>
      <c r="MQH1633" s="1"/>
      <c r="MQI1633" s="1"/>
      <c r="MQJ1633" s="1"/>
      <c r="MQK1633" s="1"/>
      <c r="MQL1633" s="1"/>
      <c r="MQM1633" s="1"/>
      <c r="MQN1633" s="1"/>
      <c r="MQO1633" s="1"/>
      <c r="MQP1633" s="1"/>
      <c r="MQQ1633" s="1"/>
      <c r="MQR1633" s="1"/>
      <c r="MQS1633" s="1"/>
      <c r="MQT1633" s="1"/>
      <c r="MQU1633" s="1"/>
      <c r="MQV1633" s="1"/>
      <c r="MQW1633" s="1"/>
      <c r="MQX1633" s="1"/>
      <c r="MQY1633" s="1"/>
      <c r="MQZ1633" s="1"/>
      <c r="MRA1633" s="1"/>
      <c r="MRB1633" s="1"/>
      <c r="MRC1633" s="1"/>
      <c r="MRD1633" s="1"/>
      <c r="MRE1633" s="1"/>
      <c r="MRF1633" s="1"/>
      <c r="MRG1633" s="1"/>
      <c r="MRH1633" s="1"/>
      <c r="MRI1633" s="1"/>
      <c r="MRJ1633" s="1"/>
      <c r="MRK1633" s="1"/>
      <c r="MRL1633" s="1"/>
      <c r="MRM1633" s="1"/>
      <c r="MRN1633" s="1"/>
      <c r="MRO1633" s="1"/>
      <c r="MRP1633" s="1"/>
      <c r="MRQ1633" s="1"/>
      <c r="MRR1633" s="1"/>
      <c r="MRS1633" s="1"/>
      <c r="MRT1633" s="1"/>
      <c r="MRU1633" s="1"/>
      <c r="MRV1633" s="1"/>
      <c r="MRW1633" s="1"/>
      <c r="MRX1633" s="1"/>
      <c r="MRY1633" s="1"/>
      <c r="MRZ1633" s="1"/>
      <c r="MSA1633" s="1"/>
      <c r="MSB1633" s="1"/>
      <c r="MSC1633" s="1"/>
      <c r="MSD1633" s="1"/>
      <c r="MSE1633" s="1"/>
      <c r="MSF1633" s="1"/>
      <c r="MSG1633" s="1"/>
      <c r="MSH1633" s="1"/>
      <c r="MSI1633" s="1"/>
      <c r="MSJ1633" s="1"/>
      <c r="MSK1633" s="1"/>
      <c r="MSL1633" s="1"/>
      <c r="MSM1633" s="1"/>
      <c r="MSN1633" s="1"/>
      <c r="MSO1633" s="1"/>
      <c r="MSP1633" s="1"/>
      <c r="MSQ1633" s="1"/>
      <c r="MSR1633" s="1"/>
      <c r="MSS1633" s="1"/>
      <c r="MST1633" s="1"/>
      <c r="MSU1633" s="1"/>
      <c r="MSV1633" s="1"/>
      <c r="MSW1633" s="1"/>
      <c r="MSX1633" s="1"/>
      <c r="MSY1633" s="1"/>
      <c r="MSZ1633" s="1"/>
      <c r="MTA1633" s="1"/>
      <c r="MTB1633" s="1"/>
      <c r="MTC1633" s="1"/>
      <c r="MTD1633" s="1"/>
      <c r="MTE1633" s="1"/>
      <c r="MTF1633" s="1"/>
      <c r="MTG1633" s="1"/>
      <c r="MTH1633" s="1"/>
      <c r="MTI1633" s="1"/>
      <c r="MTJ1633" s="1"/>
      <c r="MTK1633" s="1"/>
      <c r="MTL1633" s="1"/>
      <c r="MTM1633" s="1"/>
      <c r="MTN1633" s="1"/>
      <c r="MTO1633" s="1"/>
      <c r="MTP1633" s="1"/>
      <c r="MTQ1633" s="1"/>
      <c r="MTR1633" s="1"/>
      <c r="MTS1633" s="1"/>
      <c r="MTT1633" s="1"/>
      <c r="MTU1633" s="1"/>
      <c r="MTV1633" s="1"/>
      <c r="MTW1633" s="1"/>
      <c r="MTX1633" s="1"/>
      <c r="MTY1633" s="1"/>
      <c r="MTZ1633" s="1"/>
      <c r="MUA1633" s="1"/>
      <c r="MUB1633" s="1"/>
      <c r="MUC1633" s="1"/>
      <c r="MUD1633" s="1"/>
      <c r="MUE1633" s="1"/>
      <c r="MUF1633" s="1"/>
      <c r="MUG1633" s="1"/>
      <c r="MUH1633" s="1"/>
      <c r="MUI1633" s="1"/>
      <c r="MUJ1633" s="1"/>
      <c r="MUK1633" s="1"/>
      <c r="MUL1633" s="1"/>
      <c r="MUM1633" s="1"/>
      <c r="MUN1633" s="1"/>
      <c r="MUO1633" s="1"/>
      <c r="MUP1633" s="1"/>
      <c r="MUQ1633" s="1"/>
      <c r="MUR1633" s="1"/>
      <c r="MUS1633" s="1"/>
      <c r="MUT1633" s="1"/>
      <c r="MUU1633" s="1"/>
      <c r="MUV1633" s="1"/>
      <c r="MUW1633" s="1"/>
      <c r="MUX1633" s="1"/>
      <c r="MUY1633" s="1"/>
      <c r="MUZ1633" s="1"/>
      <c r="MVA1633" s="1"/>
      <c r="MVB1633" s="1"/>
      <c r="MVC1633" s="1"/>
      <c r="MVD1633" s="1"/>
      <c r="MVE1633" s="1"/>
      <c r="MVF1633" s="1"/>
      <c r="MVG1633" s="1"/>
      <c r="MVH1633" s="1"/>
      <c r="MVI1633" s="1"/>
      <c r="MVJ1633" s="1"/>
      <c r="MVK1633" s="1"/>
      <c r="MVL1633" s="1"/>
      <c r="MVM1633" s="1"/>
      <c r="MVN1633" s="1"/>
      <c r="MVO1633" s="1"/>
      <c r="MVP1633" s="1"/>
      <c r="MVQ1633" s="1"/>
      <c r="MVR1633" s="1"/>
      <c r="MVS1633" s="1"/>
      <c r="MVT1633" s="1"/>
      <c r="MVU1633" s="1"/>
      <c r="MVV1633" s="1"/>
      <c r="MVW1633" s="1"/>
      <c r="MVX1633" s="1"/>
      <c r="MVY1633" s="1"/>
      <c r="MVZ1633" s="1"/>
      <c r="MWA1633" s="1"/>
      <c r="MWB1633" s="1"/>
      <c r="MWC1633" s="1"/>
      <c r="MWD1633" s="1"/>
      <c r="MWE1633" s="1"/>
      <c r="MWF1633" s="1"/>
      <c r="MWG1633" s="1"/>
      <c r="MWH1633" s="1"/>
      <c r="MWI1633" s="1"/>
      <c r="MWJ1633" s="1"/>
      <c r="MWK1633" s="1"/>
      <c r="MWL1633" s="1"/>
      <c r="MWM1633" s="1"/>
      <c r="MWN1633" s="1"/>
      <c r="MWO1633" s="1"/>
      <c r="MWP1633" s="1"/>
      <c r="MWQ1633" s="1"/>
      <c r="MWR1633" s="1"/>
      <c r="MWS1633" s="1"/>
      <c r="MWT1633" s="1"/>
      <c r="MWU1633" s="1"/>
      <c r="MWV1633" s="1"/>
      <c r="MWW1633" s="1"/>
      <c r="MWX1633" s="1"/>
      <c r="MWY1633" s="1"/>
      <c r="MWZ1633" s="1"/>
      <c r="MXA1633" s="1"/>
      <c r="MXB1633" s="1"/>
      <c r="MXC1633" s="1"/>
      <c r="MXD1633" s="1"/>
      <c r="MXE1633" s="1"/>
      <c r="MXF1633" s="1"/>
      <c r="MXG1633" s="1"/>
      <c r="MXH1633" s="1"/>
      <c r="MXI1633" s="1"/>
      <c r="MXJ1633" s="1"/>
      <c r="MXK1633" s="1"/>
      <c r="MXL1633" s="1"/>
      <c r="MXM1633" s="1"/>
      <c r="MXN1633" s="1"/>
      <c r="MXO1633" s="1"/>
      <c r="MXP1633" s="1"/>
      <c r="MXQ1633" s="1"/>
      <c r="MXR1633" s="1"/>
      <c r="MXS1633" s="1"/>
      <c r="MXT1633" s="1"/>
      <c r="MXU1633" s="1"/>
      <c r="MXV1633" s="1"/>
      <c r="MXW1633" s="1"/>
      <c r="MXX1633" s="1"/>
      <c r="MXY1633" s="1"/>
      <c r="MXZ1633" s="1"/>
      <c r="MYA1633" s="1"/>
      <c r="MYB1633" s="1"/>
      <c r="MYC1633" s="1"/>
      <c r="MYD1633" s="1"/>
      <c r="MYE1633" s="1"/>
      <c r="MYF1633" s="1"/>
      <c r="MYG1633" s="1"/>
      <c r="MYH1633" s="1"/>
      <c r="MYI1633" s="1"/>
      <c r="MYJ1633" s="1"/>
      <c r="MYK1633" s="1"/>
      <c r="MYL1633" s="1"/>
      <c r="MYM1633" s="1"/>
      <c r="MYN1633" s="1"/>
      <c r="MYO1633" s="1"/>
      <c r="MYP1633" s="1"/>
      <c r="MYQ1633" s="1"/>
      <c r="MYR1633" s="1"/>
      <c r="MYS1633" s="1"/>
      <c r="MYT1633" s="1"/>
      <c r="MYU1633" s="1"/>
      <c r="MYV1633" s="1"/>
      <c r="MYW1633" s="1"/>
      <c r="MYX1633" s="1"/>
      <c r="MYY1633" s="1"/>
      <c r="MYZ1633" s="1"/>
      <c r="MZA1633" s="1"/>
      <c r="MZB1633" s="1"/>
      <c r="MZC1633" s="1"/>
      <c r="MZD1633" s="1"/>
      <c r="MZE1633" s="1"/>
      <c r="MZF1633" s="1"/>
      <c r="MZG1633" s="1"/>
      <c r="MZH1633" s="1"/>
      <c r="MZI1633" s="1"/>
      <c r="MZJ1633" s="1"/>
      <c r="MZK1633" s="1"/>
      <c r="MZL1633" s="1"/>
      <c r="MZM1633" s="1"/>
      <c r="MZN1633" s="1"/>
      <c r="MZO1633" s="1"/>
      <c r="MZP1633" s="1"/>
      <c r="MZQ1633" s="1"/>
      <c r="MZR1633" s="1"/>
      <c r="MZS1633" s="1"/>
      <c r="MZT1633" s="1"/>
      <c r="MZU1633" s="1"/>
      <c r="MZV1633" s="1"/>
      <c r="MZW1633" s="1"/>
      <c r="MZX1633" s="1"/>
      <c r="MZY1633" s="1"/>
      <c r="MZZ1633" s="1"/>
      <c r="NAA1633" s="1"/>
      <c r="NAB1633" s="1"/>
      <c r="NAC1633" s="1"/>
      <c r="NAD1633" s="1"/>
      <c r="NAE1633" s="1"/>
      <c r="NAF1633" s="1"/>
      <c r="NAG1633" s="1"/>
      <c r="NAH1633" s="1"/>
      <c r="NAI1633" s="1"/>
      <c r="NAJ1633" s="1"/>
      <c r="NAK1633" s="1"/>
      <c r="NAL1633" s="1"/>
      <c r="NAM1633" s="1"/>
      <c r="NAN1633" s="1"/>
      <c r="NAO1633" s="1"/>
      <c r="NAP1633" s="1"/>
      <c r="NAQ1633" s="1"/>
      <c r="NAR1633" s="1"/>
      <c r="NAS1633" s="1"/>
      <c r="NAT1633" s="1"/>
      <c r="NAU1633" s="1"/>
      <c r="NAV1633" s="1"/>
      <c r="NAW1633" s="1"/>
      <c r="NAX1633" s="1"/>
      <c r="NAY1633" s="1"/>
      <c r="NAZ1633" s="1"/>
      <c r="NBA1633" s="1"/>
      <c r="NBB1633" s="1"/>
      <c r="NBC1633" s="1"/>
      <c r="NBD1633" s="1"/>
      <c r="NBE1633" s="1"/>
      <c r="NBF1633" s="1"/>
      <c r="NBG1633" s="1"/>
      <c r="NBH1633" s="1"/>
      <c r="NBI1633" s="1"/>
      <c r="NBJ1633" s="1"/>
      <c r="NBK1633" s="1"/>
      <c r="NBL1633" s="1"/>
      <c r="NBM1633" s="1"/>
      <c r="NBN1633" s="1"/>
      <c r="NBO1633" s="1"/>
      <c r="NBP1633" s="1"/>
      <c r="NBQ1633" s="1"/>
      <c r="NBR1633" s="1"/>
      <c r="NBS1633" s="1"/>
      <c r="NBT1633" s="1"/>
      <c r="NBU1633" s="1"/>
      <c r="NBV1633" s="1"/>
      <c r="NBW1633" s="1"/>
      <c r="NBX1633" s="1"/>
      <c r="NBY1633" s="1"/>
      <c r="NBZ1633" s="1"/>
      <c r="NCA1633" s="1"/>
      <c r="NCB1633" s="1"/>
      <c r="NCC1633" s="1"/>
      <c r="NCD1633" s="1"/>
      <c r="NCE1633" s="1"/>
      <c r="NCF1633" s="1"/>
      <c r="NCG1633" s="1"/>
      <c r="NCH1633" s="1"/>
      <c r="NCI1633" s="1"/>
      <c r="NCJ1633" s="1"/>
      <c r="NCK1633" s="1"/>
      <c r="NCL1633" s="1"/>
      <c r="NCM1633" s="1"/>
      <c r="NCN1633" s="1"/>
      <c r="NCO1633" s="1"/>
      <c r="NCP1633" s="1"/>
      <c r="NCQ1633" s="1"/>
      <c r="NCR1633" s="1"/>
      <c r="NCS1633" s="1"/>
      <c r="NCT1633" s="1"/>
      <c r="NCU1633" s="1"/>
      <c r="NCV1633" s="1"/>
      <c r="NCW1633" s="1"/>
      <c r="NCX1633" s="1"/>
      <c r="NCY1633" s="1"/>
      <c r="NCZ1633" s="1"/>
      <c r="NDA1633" s="1"/>
      <c r="NDB1633" s="1"/>
      <c r="NDC1633" s="1"/>
      <c r="NDD1633" s="1"/>
      <c r="NDE1633" s="1"/>
      <c r="NDF1633" s="1"/>
      <c r="NDG1633" s="1"/>
      <c r="NDH1633" s="1"/>
      <c r="NDI1633" s="1"/>
      <c r="NDJ1633" s="1"/>
      <c r="NDK1633" s="1"/>
      <c r="NDL1633" s="1"/>
      <c r="NDM1633" s="1"/>
      <c r="NDN1633" s="1"/>
      <c r="NDO1633" s="1"/>
      <c r="NDP1633" s="1"/>
      <c r="NDQ1633" s="1"/>
      <c r="NDR1633" s="1"/>
      <c r="NDS1633" s="1"/>
      <c r="NDT1633" s="1"/>
      <c r="NDU1633" s="1"/>
      <c r="NDV1633" s="1"/>
      <c r="NDW1633" s="1"/>
      <c r="NDX1633" s="1"/>
      <c r="NDY1633" s="1"/>
      <c r="NDZ1633" s="1"/>
      <c r="NEA1633" s="1"/>
      <c r="NEB1633" s="1"/>
      <c r="NEC1633" s="1"/>
      <c r="NED1633" s="1"/>
      <c r="NEE1633" s="1"/>
      <c r="NEF1633" s="1"/>
      <c r="NEG1633" s="1"/>
      <c r="NEH1633" s="1"/>
      <c r="NEI1633" s="1"/>
      <c r="NEJ1633" s="1"/>
      <c r="NEK1633" s="1"/>
      <c r="NEL1633" s="1"/>
      <c r="NEM1633" s="1"/>
      <c r="NEN1633" s="1"/>
      <c r="NEO1633" s="1"/>
      <c r="NEP1633" s="1"/>
      <c r="NEQ1633" s="1"/>
      <c r="NER1633" s="1"/>
      <c r="NES1633" s="1"/>
      <c r="NET1633" s="1"/>
      <c r="NEU1633" s="1"/>
      <c r="NEV1633" s="1"/>
      <c r="NEW1633" s="1"/>
      <c r="NEX1633" s="1"/>
      <c r="NEY1633" s="1"/>
      <c r="NEZ1633" s="1"/>
      <c r="NFA1633" s="1"/>
      <c r="NFB1633" s="1"/>
      <c r="NFC1633" s="1"/>
      <c r="NFD1633" s="1"/>
      <c r="NFE1633" s="1"/>
      <c r="NFF1633" s="1"/>
      <c r="NFG1633" s="1"/>
      <c r="NFH1633" s="1"/>
      <c r="NFI1633" s="1"/>
      <c r="NFJ1633" s="1"/>
      <c r="NFK1633" s="1"/>
      <c r="NFL1633" s="1"/>
      <c r="NFM1633" s="1"/>
      <c r="NFN1633" s="1"/>
      <c r="NFO1633" s="1"/>
      <c r="NFP1633" s="1"/>
      <c r="NFQ1633" s="1"/>
      <c r="NFR1633" s="1"/>
      <c r="NFS1633" s="1"/>
      <c r="NFT1633" s="1"/>
      <c r="NFU1633" s="1"/>
      <c r="NFV1633" s="1"/>
      <c r="NFW1633" s="1"/>
      <c r="NFX1633" s="1"/>
      <c r="NFY1633" s="1"/>
      <c r="NFZ1633" s="1"/>
      <c r="NGA1633" s="1"/>
      <c r="NGB1633" s="1"/>
      <c r="NGC1633" s="1"/>
      <c r="NGD1633" s="1"/>
      <c r="NGE1633" s="1"/>
      <c r="NGF1633" s="1"/>
      <c r="NGG1633" s="1"/>
      <c r="NGH1633" s="1"/>
      <c r="NGI1633" s="1"/>
      <c r="NGJ1633" s="1"/>
      <c r="NGK1633" s="1"/>
      <c r="NGL1633" s="1"/>
      <c r="NGM1633" s="1"/>
      <c r="NGN1633" s="1"/>
      <c r="NGO1633" s="1"/>
      <c r="NGP1633" s="1"/>
      <c r="NGQ1633" s="1"/>
      <c r="NGR1633" s="1"/>
      <c r="NGS1633" s="1"/>
      <c r="NGT1633" s="1"/>
      <c r="NGU1633" s="1"/>
      <c r="NGV1633" s="1"/>
      <c r="NGW1633" s="1"/>
      <c r="NGX1633" s="1"/>
      <c r="NGY1633" s="1"/>
      <c r="NGZ1633" s="1"/>
      <c r="NHA1633" s="1"/>
      <c r="NHB1633" s="1"/>
      <c r="NHC1633" s="1"/>
      <c r="NHD1633" s="1"/>
      <c r="NHE1633" s="1"/>
      <c r="NHF1633" s="1"/>
      <c r="NHG1633" s="1"/>
      <c r="NHH1633" s="1"/>
      <c r="NHI1633" s="1"/>
      <c r="NHJ1633" s="1"/>
      <c r="NHK1633" s="1"/>
      <c r="NHL1633" s="1"/>
      <c r="NHM1633" s="1"/>
      <c r="NHN1633" s="1"/>
      <c r="NHO1633" s="1"/>
      <c r="NHP1633" s="1"/>
      <c r="NHQ1633" s="1"/>
      <c r="NHR1633" s="1"/>
      <c r="NHS1633" s="1"/>
      <c r="NHT1633" s="1"/>
      <c r="NHU1633" s="1"/>
      <c r="NHV1633" s="1"/>
      <c r="NHW1633" s="1"/>
      <c r="NHX1633" s="1"/>
      <c r="NHY1633" s="1"/>
      <c r="NHZ1633" s="1"/>
      <c r="NIA1633" s="1"/>
      <c r="NIB1633" s="1"/>
      <c r="NIC1633" s="1"/>
      <c r="NID1633" s="1"/>
      <c r="NIE1633" s="1"/>
      <c r="NIF1633" s="1"/>
      <c r="NIG1633" s="1"/>
      <c r="NIH1633" s="1"/>
      <c r="NII1633" s="1"/>
      <c r="NIJ1633" s="1"/>
      <c r="NIK1633" s="1"/>
      <c r="NIL1633" s="1"/>
      <c r="NIM1633" s="1"/>
      <c r="NIN1633" s="1"/>
      <c r="NIO1633" s="1"/>
      <c r="NIP1633" s="1"/>
      <c r="NIQ1633" s="1"/>
      <c r="NIR1633" s="1"/>
      <c r="NIS1633" s="1"/>
      <c r="NIT1633" s="1"/>
      <c r="NIU1633" s="1"/>
      <c r="NIV1633" s="1"/>
      <c r="NIW1633" s="1"/>
      <c r="NIX1633" s="1"/>
      <c r="NIY1633" s="1"/>
      <c r="NIZ1633" s="1"/>
      <c r="NJA1633" s="1"/>
      <c r="NJB1633" s="1"/>
      <c r="NJC1633" s="1"/>
      <c r="NJD1633" s="1"/>
      <c r="NJE1633" s="1"/>
      <c r="NJF1633" s="1"/>
      <c r="NJG1633" s="1"/>
      <c r="NJH1633" s="1"/>
      <c r="NJI1633" s="1"/>
      <c r="NJJ1633" s="1"/>
      <c r="NJK1633" s="1"/>
      <c r="NJL1633" s="1"/>
      <c r="NJM1633" s="1"/>
      <c r="NJN1633" s="1"/>
      <c r="NJO1633" s="1"/>
      <c r="NJP1633" s="1"/>
      <c r="NJQ1633" s="1"/>
      <c r="NJR1633" s="1"/>
      <c r="NJS1633" s="1"/>
      <c r="NJT1633" s="1"/>
      <c r="NJU1633" s="1"/>
      <c r="NJV1633" s="1"/>
      <c r="NJW1633" s="1"/>
      <c r="NJX1633" s="1"/>
      <c r="NJY1633" s="1"/>
      <c r="NJZ1633" s="1"/>
      <c r="NKA1633" s="1"/>
      <c r="NKB1633" s="1"/>
      <c r="NKC1633" s="1"/>
      <c r="NKD1633" s="1"/>
      <c r="NKE1633" s="1"/>
      <c r="NKF1633" s="1"/>
      <c r="NKG1633" s="1"/>
      <c r="NKH1633" s="1"/>
      <c r="NKI1633" s="1"/>
      <c r="NKJ1633" s="1"/>
      <c r="NKK1633" s="1"/>
      <c r="NKL1633" s="1"/>
      <c r="NKM1633" s="1"/>
      <c r="NKN1633" s="1"/>
      <c r="NKO1633" s="1"/>
      <c r="NKP1633" s="1"/>
      <c r="NKQ1633" s="1"/>
      <c r="NKR1633" s="1"/>
      <c r="NKS1633" s="1"/>
      <c r="NKT1633" s="1"/>
      <c r="NKU1633" s="1"/>
      <c r="NKV1633" s="1"/>
      <c r="NKW1633" s="1"/>
      <c r="NKX1633" s="1"/>
      <c r="NKY1633" s="1"/>
      <c r="NKZ1633" s="1"/>
      <c r="NLA1633" s="1"/>
      <c r="NLB1633" s="1"/>
      <c r="NLC1633" s="1"/>
      <c r="NLD1633" s="1"/>
      <c r="NLE1633" s="1"/>
      <c r="NLF1633" s="1"/>
      <c r="NLG1633" s="1"/>
      <c r="NLH1633" s="1"/>
      <c r="NLI1633" s="1"/>
      <c r="NLJ1633" s="1"/>
      <c r="NLK1633" s="1"/>
      <c r="NLL1633" s="1"/>
      <c r="NLM1633" s="1"/>
      <c r="NLN1633" s="1"/>
      <c r="NLO1633" s="1"/>
      <c r="NLP1633" s="1"/>
      <c r="NLQ1633" s="1"/>
      <c r="NLR1633" s="1"/>
      <c r="NLS1633" s="1"/>
      <c r="NLT1633" s="1"/>
      <c r="NLU1633" s="1"/>
      <c r="NLV1633" s="1"/>
      <c r="NLW1633" s="1"/>
      <c r="NLX1633" s="1"/>
      <c r="NLY1633" s="1"/>
      <c r="NLZ1633" s="1"/>
      <c r="NMA1633" s="1"/>
      <c r="NMB1633" s="1"/>
      <c r="NMC1633" s="1"/>
      <c r="NMD1633" s="1"/>
      <c r="NME1633" s="1"/>
      <c r="NMF1633" s="1"/>
      <c r="NMG1633" s="1"/>
      <c r="NMH1633" s="1"/>
      <c r="NMI1633" s="1"/>
      <c r="NMJ1633" s="1"/>
      <c r="NMK1633" s="1"/>
      <c r="NML1633" s="1"/>
      <c r="NMM1633" s="1"/>
      <c r="NMN1633" s="1"/>
      <c r="NMO1633" s="1"/>
      <c r="NMP1633" s="1"/>
      <c r="NMQ1633" s="1"/>
      <c r="NMR1633" s="1"/>
      <c r="NMS1633" s="1"/>
      <c r="NMT1633" s="1"/>
      <c r="NMU1633" s="1"/>
      <c r="NMV1633" s="1"/>
      <c r="NMW1633" s="1"/>
      <c r="NMX1633" s="1"/>
      <c r="NMY1633" s="1"/>
      <c r="NMZ1633" s="1"/>
      <c r="NNA1633" s="1"/>
      <c r="NNB1633" s="1"/>
      <c r="NNC1633" s="1"/>
      <c r="NND1633" s="1"/>
      <c r="NNE1633" s="1"/>
      <c r="NNF1633" s="1"/>
      <c r="NNG1633" s="1"/>
      <c r="NNH1633" s="1"/>
      <c r="NNI1633" s="1"/>
      <c r="NNJ1633" s="1"/>
      <c r="NNK1633" s="1"/>
      <c r="NNL1633" s="1"/>
      <c r="NNM1633" s="1"/>
      <c r="NNN1633" s="1"/>
      <c r="NNO1633" s="1"/>
      <c r="NNP1633" s="1"/>
      <c r="NNQ1633" s="1"/>
      <c r="NNR1633" s="1"/>
      <c r="NNS1633" s="1"/>
      <c r="NNT1633" s="1"/>
      <c r="NNU1633" s="1"/>
      <c r="NNV1633" s="1"/>
      <c r="NNW1633" s="1"/>
      <c r="NNX1633" s="1"/>
      <c r="NNY1633" s="1"/>
      <c r="NNZ1633" s="1"/>
      <c r="NOA1633" s="1"/>
      <c r="NOB1633" s="1"/>
      <c r="NOC1633" s="1"/>
      <c r="NOD1633" s="1"/>
      <c r="NOE1633" s="1"/>
      <c r="NOF1633" s="1"/>
      <c r="NOG1633" s="1"/>
      <c r="NOH1633" s="1"/>
      <c r="NOI1633" s="1"/>
      <c r="NOJ1633" s="1"/>
      <c r="NOK1633" s="1"/>
      <c r="NOL1633" s="1"/>
      <c r="NOM1633" s="1"/>
      <c r="NON1633" s="1"/>
      <c r="NOO1633" s="1"/>
      <c r="NOP1633" s="1"/>
      <c r="NOQ1633" s="1"/>
      <c r="NOR1633" s="1"/>
      <c r="NOS1633" s="1"/>
      <c r="NOT1633" s="1"/>
      <c r="NOU1633" s="1"/>
      <c r="NOV1633" s="1"/>
      <c r="NOW1633" s="1"/>
      <c r="NOX1633" s="1"/>
      <c r="NOY1633" s="1"/>
      <c r="NOZ1633" s="1"/>
      <c r="NPA1633" s="1"/>
      <c r="NPB1633" s="1"/>
      <c r="NPC1633" s="1"/>
      <c r="NPD1633" s="1"/>
      <c r="NPE1633" s="1"/>
      <c r="NPF1633" s="1"/>
      <c r="NPG1633" s="1"/>
      <c r="NPH1633" s="1"/>
      <c r="NPI1633" s="1"/>
      <c r="NPJ1633" s="1"/>
      <c r="NPK1633" s="1"/>
      <c r="NPL1633" s="1"/>
      <c r="NPM1633" s="1"/>
      <c r="NPN1633" s="1"/>
      <c r="NPO1633" s="1"/>
      <c r="NPP1633" s="1"/>
      <c r="NPQ1633" s="1"/>
      <c r="NPR1633" s="1"/>
      <c r="NPS1633" s="1"/>
      <c r="NPT1633" s="1"/>
      <c r="NPU1633" s="1"/>
      <c r="NPV1633" s="1"/>
      <c r="NPW1633" s="1"/>
      <c r="NPX1633" s="1"/>
      <c r="NPY1633" s="1"/>
      <c r="NPZ1633" s="1"/>
      <c r="NQA1633" s="1"/>
      <c r="NQB1633" s="1"/>
      <c r="NQC1633" s="1"/>
      <c r="NQD1633" s="1"/>
      <c r="NQE1633" s="1"/>
      <c r="NQF1633" s="1"/>
      <c r="NQG1633" s="1"/>
      <c r="NQH1633" s="1"/>
      <c r="NQI1633" s="1"/>
      <c r="NQJ1633" s="1"/>
      <c r="NQK1633" s="1"/>
      <c r="NQL1633" s="1"/>
      <c r="NQM1633" s="1"/>
      <c r="NQN1633" s="1"/>
      <c r="NQO1633" s="1"/>
      <c r="NQP1633" s="1"/>
      <c r="NQQ1633" s="1"/>
      <c r="NQR1633" s="1"/>
      <c r="NQS1633" s="1"/>
      <c r="NQT1633" s="1"/>
      <c r="NQU1633" s="1"/>
      <c r="NQV1633" s="1"/>
      <c r="NQW1633" s="1"/>
      <c r="NQX1633" s="1"/>
      <c r="NQY1633" s="1"/>
      <c r="NQZ1633" s="1"/>
      <c r="NRA1633" s="1"/>
      <c r="NRB1633" s="1"/>
      <c r="NRC1633" s="1"/>
      <c r="NRD1633" s="1"/>
      <c r="NRE1633" s="1"/>
      <c r="NRF1633" s="1"/>
      <c r="NRG1633" s="1"/>
      <c r="NRH1633" s="1"/>
      <c r="NRI1633" s="1"/>
      <c r="NRJ1633" s="1"/>
      <c r="NRK1633" s="1"/>
      <c r="NRL1633" s="1"/>
      <c r="NRM1633" s="1"/>
      <c r="NRN1633" s="1"/>
      <c r="NRO1633" s="1"/>
      <c r="NRP1633" s="1"/>
      <c r="NRQ1633" s="1"/>
      <c r="NRR1633" s="1"/>
      <c r="NRS1633" s="1"/>
      <c r="NRT1633" s="1"/>
      <c r="NRU1633" s="1"/>
      <c r="NRV1633" s="1"/>
      <c r="NRW1633" s="1"/>
      <c r="NRX1633" s="1"/>
      <c r="NRY1633" s="1"/>
      <c r="NRZ1633" s="1"/>
      <c r="NSA1633" s="1"/>
      <c r="NSB1633" s="1"/>
      <c r="NSC1633" s="1"/>
      <c r="NSD1633" s="1"/>
      <c r="NSE1633" s="1"/>
      <c r="NSF1633" s="1"/>
      <c r="NSG1633" s="1"/>
      <c r="NSH1633" s="1"/>
      <c r="NSI1633" s="1"/>
      <c r="NSJ1633" s="1"/>
      <c r="NSK1633" s="1"/>
      <c r="NSL1633" s="1"/>
      <c r="NSM1633" s="1"/>
      <c r="NSN1633" s="1"/>
      <c r="NSO1633" s="1"/>
      <c r="NSP1633" s="1"/>
      <c r="NSQ1633" s="1"/>
      <c r="NSR1633" s="1"/>
      <c r="NSS1633" s="1"/>
      <c r="NST1633" s="1"/>
      <c r="NSU1633" s="1"/>
      <c r="NSV1633" s="1"/>
      <c r="NSW1633" s="1"/>
      <c r="NSX1633" s="1"/>
      <c r="NSY1633" s="1"/>
      <c r="NSZ1633" s="1"/>
      <c r="NTA1633" s="1"/>
      <c r="NTB1633" s="1"/>
      <c r="NTC1633" s="1"/>
      <c r="NTD1633" s="1"/>
      <c r="NTE1633" s="1"/>
      <c r="NTF1633" s="1"/>
      <c r="NTG1633" s="1"/>
      <c r="NTH1633" s="1"/>
      <c r="NTI1633" s="1"/>
      <c r="NTJ1633" s="1"/>
      <c r="NTK1633" s="1"/>
      <c r="NTL1633" s="1"/>
      <c r="NTM1633" s="1"/>
      <c r="NTN1633" s="1"/>
      <c r="NTO1633" s="1"/>
      <c r="NTP1633" s="1"/>
      <c r="NTQ1633" s="1"/>
      <c r="NTR1633" s="1"/>
      <c r="NTS1633" s="1"/>
      <c r="NTT1633" s="1"/>
      <c r="NTU1633" s="1"/>
      <c r="NTV1633" s="1"/>
      <c r="NTW1633" s="1"/>
      <c r="NTX1633" s="1"/>
      <c r="NTY1633" s="1"/>
      <c r="NTZ1633" s="1"/>
      <c r="NUA1633" s="1"/>
      <c r="NUB1633" s="1"/>
      <c r="NUC1633" s="1"/>
      <c r="NUD1633" s="1"/>
      <c r="NUE1633" s="1"/>
      <c r="NUF1633" s="1"/>
      <c r="NUG1633" s="1"/>
      <c r="NUH1633" s="1"/>
      <c r="NUI1633" s="1"/>
      <c r="NUJ1633" s="1"/>
      <c r="NUK1633" s="1"/>
      <c r="NUL1633" s="1"/>
      <c r="NUM1633" s="1"/>
      <c r="NUN1633" s="1"/>
      <c r="NUO1633" s="1"/>
      <c r="NUP1633" s="1"/>
      <c r="NUQ1633" s="1"/>
      <c r="NUR1633" s="1"/>
      <c r="NUS1633" s="1"/>
      <c r="NUT1633" s="1"/>
      <c r="NUU1633" s="1"/>
      <c r="NUV1633" s="1"/>
      <c r="NUW1633" s="1"/>
      <c r="NUX1633" s="1"/>
      <c r="NUY1633" s="1"/>
      <c r="NUZ1633" s="1"/>
      <c r="NVA1633" s="1"/>
      <c r="NVB1633" s="1"/>
      <c r="NVC1633" s="1"/>
      <c r="NVD1633" s="1"/>
      <c r="NVE1633" s="1"/>
      <c r="NVF1633" s="1"/>
      <c r="NVG1633" s="1"/>
      <c r="NVH1633" s="1"/>
      <c r="NVI1633" s="1"/>
      <c r="NVJ1633" s="1"/>
      <c r="NVK1633" s="1"/>
      <c r="NVL1633" s="1"/>
      <c r="NVM1633" s="1"/>
      <c r="NVN1633" s="1"/>
      <c r="NVO1633" s="1"/>
      <c r="NVP1633" s="1"/>
      <c r="NVQ1633" s="1"/>
      <c r="NVR1633" s="1"/>
      <c r="NVS1633" s="1"/>
      <c r="NVT1633" s="1"/>
      <c r="NVU1633" s="1"/>
      <c r="NVV1633" s="1"/>
      <c r="NVW1633" s="1"/>
      <c r="NVX1633" s="1"/>
      <c r="NVY1633" s="1"/>
      <c r="NVZ1633" s="1"/>
      <c r="NWA1633" s="1"/>
      <c r="NWB1633" s="1"/>
      <c r="NWC1633" s="1"/>
      <c r="NWD1633" s="1"/>
      <c r="NWE1633" s="1"/>
      <c r="NWF1633" s="1"/>
      <c r="NWG1633" s="1"/>
      <c r="NWH1633" s="1"/>
      <c r="NWI1633" s="1"/>
      <c r="NWJ1633" s="1"/>
      <c r="NWK1633" s="1"/>
      <c r="NWL1633" s="1"/>
      <c r="NWM1633" s="1"/>
      <c r="NWN1633" s="1"/>
      <c r="NWO1633" s="1"/>
      <c r="NWP1633" s="1"/>
      <c r="NWQ1633" s="1"/>
      <c r="NWR1633" s="1"/>
      <c r="NWS1633" s="1"/>
      <c r="NWT1633" s="1"/>
      <c r="NWU1633" s="1"/>
      <c r="NWV1633" s="1"/>
      <c r="NWW1633" s="1"/>
      <c r="NWX1633" s="1"/>
      <c r="NWY1633" s="1"/>
      <c r="NWZ1633" s="1"/>
      <c r="NXA1633" s="1"/>
      <c r="NXB1633" s="1"/>
      <c r="NXC1633" s="1"/>
      <c r="NXD1633" s="1"/>
      <c r="NXE1633" s="1"/>
      <c r="NXF1633" s="1"/>
      <c r="NXG1633" s="1"/>
      <c r="NXH1633" s="1"/>
      <c r="NXI1633" s="1"/>
      <c r="NXJ1633" s="1"/>
      <c r="NXK1633" s="1"/>
      <c r="NXL1633" s="1"/>
      <c r="NXM1633" s="1"/>
      <c r="NXN1633" s="1"/>
      <c r="NXO1633" s="1"/>
      <c r="NXP1633" s="1"/>
      <c r="NXQ1633" s="1"/>
      <c r="NXR1633" s="1"/>
      <c r="NXS1633" s="1"/>
      <c r="NXT1633" s="1"/>
      <c r="NXU1633" s="1"/>
      <c r="NXV1633" s="1"/>
      <c r="NXW1633" s="1"/>
      <c r="NXX1633" s="1"/>
      <c r="NXY1633" s="1"/>
      <c r="NXZ1633" s="1"/>
      <c r="NYA1633" s="1"/>
      <c r="NYB1633" s="1"/>
      <c r="NYC1633" s="1"/>
      <c r="NYD1633" s="1"/>
      <c r="NYE1633" s="1"/>
      <c r="NYF1633" s="1"/>
      <c r="NYG1633" s="1"/>
      <c r="NYH1633" s="1"/>
      <c r="NYI1633" s="1"/>
      <c r="NYJ1633" s="1"/>
      <c r="NYK1633" s="1"/>
      <c r="NYL1633" s="1"/>
      <c r="NYM1633" s="1"/>
      <c r="NYN1633" s="1"/>
      <c r="NYO1633" s="1"/>
      <c r="NYP1633" s="1"/>
      <c r="NYQ1633" s="1"/>
      <c r="NYR1633" s="1"/>
      <c r="NYS1633" s="1"/>
      <c r="NYT1633" s="1"/>
      <c r="NYU1633" s="1"/>
      <c r="NYV1633" s="1"/>
      <c r="NYW1633" s="1"/>
      <c r="NYX1633" s="1"/>
      <c r="NYY1633" s="1"/>
      <c r="NYZ1633" s="1"/>
      <c r="NZA1633" s="1"/>
      <c r="NZB1633" s="1"/>
      <c r="NZC1633" s="1"/>
      <c r="NZD1633" s="1"/>
      <c r="NZE1633" s="1"/>
      <c r="NZF1633" s="1"/>
      <c r="NZG1633" s="1"/>
      <c r="NZH1633" s="1"/>
      <c r="NZI1633" s="1"/>
      <c r="NZJ1633" s="1"/>
      <c r="NZK1633" s="1"/>
      <c r="NZL1633" s="1"/>
      <c r="NZM1633" s="1"/>
      <c r="NZN1633" s="1"/>
      <c r="NZO1633" s="1"/>
      <c r="NZP1633" s="1"/>
      <c r="NZQ1633" s="1"/>
      <c r="NZR1633" s="1"/>
      <c r="NZS1633" s="1"/>
      <c r="NZT1633" s="1"/>
      <c r="NZU1633" s="1"/>
      <c r="NZV1633" s="1"/>
      <c r="NZW1633" s="1"/>
      <c r="NZX1633" s="1"/>
      <c r="NZY1633" s="1"/>
      <c r="NZZ1633" s="1"/>
      <c r="OAA1633" s="1"/>
      <c r="OAB1633" s="1"/>
      <c r="OAC1633" s="1"/>
      <c r="OAD1633" s="1"/>
      <c r="OAE1633" s="1"/>
      <c r="OAF1633" s="1"/>
      <c r="OAG1633" s="1"/>
      <c r="OAH1633" s="1"/>
      <c r="OAI1633" s="1"/>
      <c r="OAJ1633" s="1"/>
      <c r="OAK1633" s="1"/>
      <c r="OAL1633" s="1"/>
      <c r="OAM1633" s="1"/>
      <c r="OAN1633" s="1"/>
      <c r="OAO1633" s="1"/>
      <c r="OAP1633" s="1"/>
      <c r="OAQ1633" s="1"/>
      <c r="OAR1633" s="1"/>
      <c r="OAS1633" s="1"/>
      <c r="OAT1633" s="1"/>
      <c r="OAU1633" s="1"/>
      <c r="OAV1633" s="1"/>
      <c r="OAW1633" s="1"/>
      <c r="OAX1633" s="1"/>
      <c r="OAY1633" s="1"/>
      <c r="OAZ1633" s="1"/>
      <c r="OBA1633" s="1"/>
      <c r="OBB1633" s="1"/>
      <c r="OBC1633" s="1"/>
      <c r="OBD1633" s="1"/>
      <c r="OBE1633" s="1"/>
      <c r="OBF1633" s="1"/>
      <c r="OBG1633" s="1"/>
      <c r="OBH1633" s="1"/>
      <c r="OBI1633" s="1"/>
      <c r="OBJ1633" s="1"/>
      <c r="OBK1633" s="1"/>
      <c r="OBL1633" s="1"/>
      <c r="OBM1633" s="1"/>
      <c r="OBN1633" s="1"/>
      <c r="OBO1633" s="1"/>
      <c r="OBP1633" s="1"/>
      <c r="OBQ1633" s="1"/>
      <c r="OBR1633" s="1"/>
      <c r="OBS1633" s="1"/>
      <c r="OBT1633" s="1"/>
      <c r="OBU1633" s="1"/>
      <c r="OBV1633" s="1"/>
      <c r="OBW1633" s="1"/>
      <c r="OBX1633" s="1"/>
      <c r="OBY1633" s="1"/>
      <c r="OBZ1633" s="1"/>
      <c r="OCA1633" s="1"/>
      <c r="OCB1633" s="1"/>
      <c r="OCC1633" s="1"/>
      <c r="OCD1633" s="1"/>
      <c r="OCE1633" s="1"/>
      <c r="OCF1633" s="1"/>
      <c r="OCG1633" s="1"/>
      <c r="OCH1633" s="1"/>
      <c r="OCI1633" s="1"/>
      <c r="OCJ1633" s="1"/>
      <c r="OCK1633" s="1"/>
      <c r="OCL1633" s="1"/>
      <c r="OCM1633" s="1"/>
      <c r="OCN1633" s="1"/>
      <c r="OCO1633" s="1"/>
      <c r="OCP1633" s="1"/>
      <c r="OCQ1633" s="1"/>
      <c r="OCR1633" s="1"/>
      <c r="OCS1633" s="1"/>
      <c r="OCT1633" s="1"/>
      <c r="OCU1633" s="1"/>
      <c r="OCV1633" s="1"/>
      <c r="OCW1633" s="1"/>
      <c r="OCX1633" s="1"/>
      <c r="OCY1633" s="1"/>
      <c r="OCZ1633" s="1"/>
      <c r="ODA1633" s="1"/>
      <c r="ODB1633" s="1"/>
      <c r="ODC1633" s="1"/>
      <c r="ODD1633" s="1"/>
      <c r="ODE1633" s="1"/>
      <c r="ODF1633" s="1"/>
      <c r="ODG1633" s="1"/>
      <c r="ODH1633" s="1"/>
      <c r="ODI1633" s="1"/>
      <c r="ODJ1633" s="1"/>
      <c r="ODK1633" s="1"/>
      <c r="ODL1633" s="1"/>
      <c r="ODM1633" s="1"/>
      <c r="ODN1633" s="1"/>
      <c r="ODO1633" s="1"/>
      <c r="ODP1633" s="1"/>
      <c r="ODQ1633" s="1"/>
      <c r="ODR1633" s="1"/>
      <c r="ODS1633" s="1"/>
      <c r="ODT1633" s="1"/>
      <c r="ODU1633" s="1"/>
      <c r="ODV1633" s="1"/>
      <c r="ODW1633" s="1"/>
      <c r="ODX1633" s="1"/>
      <c r="ODY1633" s="1"/>
      <c r="ODZ1633" s="1"/>
      <c r="OEA1633" s="1"/>
      <c r="OEB1633" s="1"/>
      <c r="OEC1633" s="1"/>
      <c r="OED1633" s="1"/>
      <c r="OEE1633" s="1"/>
      <c r="OEF1633" s="1"/>
      <c r="OEG1633" s="1"/>
      <c r="OEH1633" s="1"/>
      <c r="OEI1633" s="1"/>
      <c r="OEJ1633" s="1"/>
      <c r="OEK1633" s="1"/>
      <c r="OEL1633" s="1"/>
      <c r="OEM1633" s="1"/>
      <c r="OEN1633" s="1"/>
      <c r="OEO1633" s="1"/>
      <c r="OEP1633" s="1"/>
      <c r="OEQ1633" s="1"/>
      <c r="OER1633" s="1"/>
      <c r="OES1633" s="1"/>
      <c r="OET1633" s="1"/>
      <c r="OEU1633" s="1"/>
      <c r="OEV1633" s="1"/>
      <c r="OEW1633" s="1"/>
      <c r="OEX1633" s="1"/>
      <c r="OEY1633" s="1"/>
      <c r="OEZ1633" s="1"/>
      <c r="OFA1633" s="1"/>
      <c r="OFB1633" s="1"/>
      <c r="OFC1633" s="1"/>
      <c r="OFD1633" s="1"/>
      <c r="OFE1633" s="1"/>
      <c r="OFF1633" s="1"/>
      <c r="OFG1633" s="1"/>
      <c r="OFH1633" s="1"/>
      <c r="OFI1633" s="1"/>
      <c r="OFJ1633" s="1"/>
      <c r="OFK1633" s="1"/>
      <c r="OFL1633" s="1"/>
      <c r="OFM1633" s="1"/>
      <c r="OFN1633" s="1"/>
      <c r="OFO1633" s="1"/>
      <c r="OFP1633" s="1"/>
      <c r="OFQ1633" s="1"/>
      <c r="OFR1633" s="1"/>
      <c r="OFS1633" s="1"/>
      <c r="OFT1633" s="1"/>
      <c r="OFU1633" s="1"/>
      <c r="OFV1633" s="1"/>
      <c r="OFW1633" s="1"/>
      <c r="OFX1633" s="1"/>
      <c r="OFY1633" s="1"/>
      <c r="OFZ1633" s="1"/>
      <c r="OGA1633" s="1"/>
      <c r="OGB1633" s="1"/>
      <c r="OGC1633" s="1"/>
      <c r="OGD1633" s="1"/>
      <c r="OGE1633" s="1"/>
      <c r="OGF1633" s="1"/>
      <c r="OGG1633" s="1"/>
      <c r="OGH1633" s="1"/>
      <c r="OGI1633" s="1"/>
      <c r="OGJ1633" s="1"/>
      <c r="OGK1633" s="1"/>
      <c r="OGL1633" s="1"/>
      <c r="OGM1633" s="1"/>
      <c r="OGN1633" s="1"/>
      <c r="OGO1633" s="1"/>
      <c r="OGP1633" s="1"/>
      <c r="OGQ1633" s="1"/>
      <c r="OGR1633" s="1"/>
      <c r="OGS1633" s="1"/>
      <c r="OGT1633" s="1"/>
      <c r="OGU1633" s="1"/>
      <c r="OGV1633" s="1"/>
      <c r="OGW1633" s="1"/>
      <c r="OGX1633" s="1"/>
      <c r="OGY1633" s="1"/>
      <c r="OGZ1633" s="1"/>
      <c r="OHA1633" s="1"/>
      <c r="OHB1633" s="1"/>
      <c r="OHC1633" s="1"/>
      <c r="OHD1633" s="1"/>
      <c r="OHE1633" s="1"/>
      <c r="OHF1633" s="1"/>
      <c r="OHG1633" s="1"/>
      <c r="OHH1633" s="1"/>
      <c r="OHI1633" s="1"/>
      <c r="OHJ1633" s="1"/>
      <c r="OHK1633" s="1"/>
      <c r="OHL1633" s="1"/>
      <c r="OHM1633" s="1"/>
      <c r="OHN1633" s="1"/>
      <c r="OHO1633" s="1"/>
      <c r="OHP1633" s="1"/>
      <c r="OHQ1633" s="1"/>
      <c r="OHR1633" s="1"/>
      <c r="OHS1633" s="1"/>
      <c r="OHT1633" s="1"/>
      <c r="OHU1633" s="1"/>
      <c r="OHV1633" s="1"/>
      <c r="OHW1633" s="1"/>
      <c r="OHX1633" s="1"/>
      <c r="OHY1633" s="1"/>
      <c r="OHZ1633" s="1"/>
      <c r="OIA1633" s="1"/>
      <c r="OIB1633" s="1"/>
      <c r="OIC1633" s="1"/>
      <c r="OID1633" s="1"/>
      <c r="OIE1633" s="1"/>
      <c r="OIF1633" s="1"/>
      <c r="OIG1633" s="1"/>
      <c r="OIH1633" s="1"/>
      <c r="OII1633" s="1"/>
      <c r="OIJ1633" s="1"/>
      <c r="OIK1633" s="1"/>
      <c r="OIL1633" s="1"/>
      <c r="OIM1633" s="1"/>
      <c r="OIN1633" s="1"/>
      <c r="OIO1633" s="1"/>
      <c r="OIP1633" s="1"/>
      <c r="OIQ1633" s="1"/>
      <c r="OIR1633" s="1"/>
      <c r="OIS1633" s="1"/>
      <c r="OIT1633" s="1"/>
      <c r="OIU1633" s="1"/>
      <c r="OIV1633" s="1"/>
      <c r="OIW1633" s="1"/>
      <c r="OIX1633" s="1"/>
      <c r="OIY1633" s="1"/>
      <c r="OIZ1633" s="1"/>
      <c r="OJA1633" s="1"/>
      <c r="OJB1633" s="1"/>
      <c r="OJC1633" s="1"/>
      <c r="OJD1633" s="1"/>
      <c r="OJE1633" s="1"/>
      <c r="OJF1633" s="1"/>
      <c r="OJG1633" s="1"/>
      <c r="OJH1633" s="1"/>
      <c r="OJI1633" s="1"/>
      <c r="OJJ1633" s="1"/>
      <c r="OJK1633" s="1"/>
      <c r="OJL1633" s="1"/>
      <c r="OJM1633" s="1"/>
      <c r="OJN1633" s="1"/>
      <c r="OJO1633" s="1"/>
      <c r="OJP1633" s="1"/>
      <c r="OJQ1633" s="1"/>
      <c r="OJR1633" s="1"/>
      <c r="OJS1633" s="1"/>
      <c r="OJT1633" s="1"/>
      <c r="OJU1633" s="1"/>
      <c r="OJV1633" s="1"/>
      <c r="OJW1633" s="1"/>
      <c r="OJX1633" s="1"/>
      <c r="OJY1633" s="1"/>
      <c r="OJZ1633" s="1"/>
      <c r="OKA1633" s="1"/>
      <c r="OKB1633" s="1"/>
      <c r="OKC1633" s="1"/>
      <c r="OKD1633" s="1"/>
      <c r="OKE1633" s="1"/>
      <c r="OKF1633" s="1"/>
      <c r="OKG1633" s="1"/>
      <c r="OKH1633" s="1"/>
      <c r="OKI1633" s="1"/>
      <c r="OKJ1633" s="1"/>
      <c r="OKK1633" s="1"/>
      <c r="OKL1633" s="1"/>
      <c r="OKM1633" s="1"/>
      <c r="OKN1633" s="1"/>
      <c r="OKO1633" s="1"/>
      <c r="OKP1633" s="1"/>
      <c r="OKQ1633" s="1"/>
      <c r="OKR1633" s="1"/>
      <c r="OKS1633" s="1"/>
      <c r="OKT1633" s="1"/>
      <c r="OKU1633" s="1"/>
      <c r="OKV1633" s="1"/>
      <c r="OKW1633" s="1"/>
      <c r="OKX1633" s="1"/>
      <c r="OKY1633" s="1"/>
      <c r="OKZ1633" s="1"/>
      <c r="OLA1633" s="1"/>
      <c r="OLB1633" s="1"/>
      <c r="OLC1633" s="1"/>
      <c r="OLD1633" s="1"/>
      <c r="OLE1633" s="1"/>
      <c r="OLF1633" s="1"/>
      <c r="OLG1633" s="1"/>
      <c r="OLH1633" s="1"/>
      <c r="OLI1633" s="1"/>
      <c r="OLJ1633" s="1"/>
      <c r="OLK1633" s="1"/>
      <c r="OLL1633" s="1"/>
      <c r="OLM1633" s="1"/>
      <c r="OLN1633" s="1"/>
      <c r="OLO1633" s="1"/>
      <c r="OLP1633" s="1"/>
      <c r="OLQ1633" s="1"/>
      <c r="OLR1633" s="1"/>
      <c r="OLS1633" s="1"/>
      <c r="OLT1633" s="1"/>
      <c r="OLU1633" s="1"/>
      <c r="OLV1633" s="1"/>
      <c r="OLW1633" s="1"/>
      <c r="OLX1633" s="1"/>
      <c r="OLY1633" s="1"/>
      <c r="OLZ1633" s="1"/>
      <c r="OMA1633" s="1"/>
      <c r="OMB1633" s="1"/>
      <c r="OMC1633" s="1"/>
      <c r="OMD1633" s="1"/>
      <c r="OME1633" s="1"/>
      <c r="OMF1633" s="1"/>
      <c r="OMG1633" s="1"/>
      <c r="OMH1633" s="1"/>
      <c r="OMI1633" s="1"/>
      <c r="OMJ1633" s="1"/>
      <c r="OMK1633" s="1"/>
      <c r="OML1633" s="1"/>
      <c r="OMM1633" s="1"/>
      <c r="OMN1633" s="1"/>
      <c r="OMO1633" s="1"/>
      <c r="OMP1633" s="1"/>
      <c r="OMQ1633" s="1"/>
      <c r="OMR1633" s="1"/>
      <c r="OMS1633" s="1"/>
      <c r="OMT1633" s="1"/>
      <c r="OMU1633" s="1"/>
      <c r="OMV1633" s="1"/>
      <c r="OMW1633" s="1"/>
      <c r="OMX1633" s="1"/>
      <c r="OMY1633" s="1"/>
      <c r="OMZ1633" s="1"/>
      <c r="ONA1633" s="1"/>
      <c r="ONB1633" s="1"/>
      <c r="ONC1633" s="1"/>
      <c r="OND1633" s="1"/>
      <c r="ONE1633" s="1"/>
      <c r="ONF1633" s="1"/>
      <c r="ONG1633" s="1"/>
      <c r="ONH1633" s="1"/>
      <c r="ONI1633" s="1"/>
      <c r="ONJ1633" s="1"/>
      <c r="ONK1633" s="1"/>
      <c r="ONL1633" s="1"/>
      <c r="ONM1633" s="1"/>
      <c r="ONN1633" s="1"/>
      <c r="ONO1633" s="1"/>
      <c r="ONP1633" s="1"/>
      <c r="ONQ1633" s="1"/>
      <c r="ONR1633" s="1"/>
      <c r="ONS1633" s="1"/>
      <c r="ONT1633" s="1"/>
      <c r="ONU1633" s="1"/>
      <c r="ONV1633" s="1"/>
      <c r="ONW1633" s="1"/>
      <c r="ONX1633" s="1"/>
      <c r="ONY1633" s="1"/>
      <c r="ONZ1633" s="1"/>
      <c r="OOA1633" s="1"/>
      <c r="OOB1633" s="1"/>
      <c r="OOC1633" s="1"/>
      <c r="OOD1633" s="1"/>
      <c r="OOE1633" s="1"/>
      <c r="OOF1633" s="1"/>
      <c r="OOG1633" s="1"/>
      <c r="OOH1633" s="1"/>
      <c r="OOI1633" s="1"/>
      <c r="OOJ1633" s="1"/>
      <c r="OOK1633" s="1"/>
      <c r="OOL1633" s="1"/>
      <c r="OOM1633" s="1"/>
      <c r="OON1633" s="1"/>
      <c r="OOO1633" s="1"/>
      <c r="OOP1633" s="1"/>
      <c r="OOQ1633" s="1"/>
      <c r="OOR1633" s="1"/>
      <c r="OOS1633" s="1"/>
      <c r="OOT1633" s="1"/>
      <c r="OOU1633" s="1"/>
      <c r="OOV1633" s="1"/>
      <c r="OOW1633" s="1"/>
      <c r="OOX1633" s="1"/>
      <c r="OOY1633" s="1"/>
      <c r="OOZ1633" s="1"/>
      <c r="OPA1633" s="1"/>
      <c r="OPB1633" s="1"/>
      <c r="OPC1633" s="1"/>
      <c r="OPD1633" s="1"/>
      <c r="OPE1633" s="1"/>
      <c r="OPF1633" s="1"/>
      <c r="OPG1633" s="1"/>
      <c r="OPH1633" s="1"/>
      <c r="OPI1633" s="1"/>
      <c r="OPJ1633" s="1"/>
      <c r="OPK1633" s="1"/>
      <c r="OPL1633" s="1"/>
      <c r="OPM1633" s="1"/>
      <c r="OPN1633" s="1"/>
      <c r="OPO1633" s="1"/>
      <c r="OPP1633" s="1"/>
      <c r="OPQ1633" s="1"/>
      <c r="OPR1633" s="1"/>
      <c r="OPS1633" s="1"/>
      <c r="OPT1633" s="1"/>
      <c r="OPU1633" s="1"/>
      <c r="OPV1633" s="1"/>
      <c r="OPW1633" s="1"/>
      <c r="OPX1633" s="1"/>
      <c r="OPY1633" s="1"/>
      <c r="OPZ1633" s="1"/>
      <c r="OQA1633" s="1"/>
      <c r="OQB1633" s="1"/>
      <c r="OQC1633" s="1"/>
      <c r="OQD1633" s="1"/>
      <c r="OQE1633" s="1"/>
      <c r="OQF1633" s="1"/>
      <c r="OQG1633" s="1"/>
      <c r="OQH1633" s="1"/>
      <c r="OQI1633" s="1"/>
      <c r="OQJ1633" s="1"/>
      <c r="OQK1633" s="1"/>
      <c r="OQL1633" s="1"/>
      <c r="OQM1633" s="1"/>
      <c r="OQN1633" s="1"/>
      <c r="OQO1633" s="1"/>
      <c r="OQP1633" s="1"/>
      <c r="OQQ1633" s="1"/>
      <c r="OQR1633" s="1"/>
      <c r="OQS1633" s="1"/>
      <c r="OQT1633" s="1"/>
      <c r="OQU1633" s="1"/>
      <c r="OQV1633" s="1"/>
      <c r="OQW1633" s="1"/>
      <c r="OQX1633" s="1"/>
      <c r="OQY1633" s="1"/>
      <c r="OQZ1633" s="1"/>
      <c r="ORA1633" s="1"/>
      <c r="ORB1633" s="1"/>
      <c r="ORC1633" s="1"/>
      <c r="ORD1633" s="1"/>
      <c r="ORE1633" s="1"/>
      <c r="ORF1633" s="1"/>
      <c r="ORG1633" s="1"/>
      <c r="ORH1633" s="1"/>
      <c r="ORI1633" s="1"/>
      <c r="ORJ1633" s="1"/>
      <c r="ORK1633" s="1"/>
      <c r="ORL1633" s="1"/>
      <c r="ORM1633" s="1"/>
      <c r="ORN1633" s="1"/>
      <c r="ORO1633" s="1"/>
      <c r="ORP1633" s="1"/>
      <c r="ORQ1633" s="1"/>
      <c r="ORR1633" s="1"/>
      <c r="ORS1633" s="1"/>
      <c r="ORT1633" s="1"/>
      <c r="ORU1633" s="1"/>
      <c r="ORV1633" s="1"/>
      <c r="ORW1633" s="1"/>
      <c r="ORX1633" s="1"/>
      <c r="ORY1633" s="1"/>
      <c r="ORZ1633" s="1"/>
      <c r="OSA1633" s="1"/>
      <c r="OSB1633" s="1"/>
      <c r="OSC1633" s="1"/>
      <c r="OSD1633" s="1"/>
      <c r="OSE1633" s="1"/>
      <c r="OSF1633" s="1"/>
      <c r="OSG1633" s="1"/>
      <c r="OSH1633" s="1"/>
      <c r="OSI1633" s="1"/>
      <c r="OSJ1633" s="1"/>
      <c r="OSK1633" s="1"/>
      <c r="OSL1633" s="1"/>
      <c r="OSM1633" s="1"/>
      <c r="OSN1633" s="1"/>
      <c r="OSO1633" s="1"/>
      <c r="OSP1633" s="1"/>
      <c r="OSQ1633" s="1"/>
      <c r="OSR1633" s="1"/>
      <c r="OSS1633" s="1"/>
      <c r="OST1633" s="1"/>
      <c r="OSU1633" s="1"/>
      <c r="OSV1633" s="1"/>
      <c r="OSW1633" s="1"/>
      <c r="OSX1633" s="1"/>
      <c r="OSY1633" s="1"/>
      <c r="OSZ1633" s="1"/>
      <c r="OTA1633" s="1"/>
      <c r="OTB1633" s="1"/>
      <c r="OTC1633" s="1"/>
      <c r="OTD1633" s="1"/>
      <c r="OTE1633" s="1"/>
      <c r="OTF1633" s="1"/>
      <c r="OTG1633" s="1"/>
      <c r="OTH1633" s="1"/>
      <c r="OTI1633" s="1"/>
      <c r="OTJ1633" s="1"/>
      <c r="OTK1633" s="1"/>
      <c r="OTL1633" s="1"/>
      <c r="OTM1633" s="1"/>
      <c r="OTN1633" s="1"/>
      <c r="OTO1633" s="1"/>
      <c r="OTP1633" s="1"/>
      <c r="OTQ1633" s="1"/>
      <c r="OTR1633" s="1"/>
      <c r="OTS1633" s="1"/>
      <c r="OTT1633" s="1"/>
      <c r="OTU1633" s="1"/>
      <c r="OTV1633" s="1"/>
      <c r="OTW1633" s="1"/>
      <c r="OTX1633" s="1"/>
      <c r="OTY1633" s="1"/>
      <c r="OTZ1633" s="1"/>
      <c r="OUA1633" s="1"/>
      <c r="OUB1633" s="1"/>
      <c r="OUC1633" s="1"/>
      <c r="OUD1633" s="1"/>
      <c r="OUE1633" s="1"/>
      <c r="OUF1633" s="1"/>
      <c r="OUG1633" s="1"/>
      <c r="OUH1633" s="1"/>
      <c r="OUI1633" s="1"/>
      <c r="OUJ1633" s="1"/>
      <c r="OUK1633" s="1"/>
      <c r="OUL1633" s="1"/>
      <c r="OUM1633" s="1"/>
      <c r="OUN1633" s="1"/>
      <c r="OUO1633" s="1"/>
      <c r="OUP1633" s="1"/>
      <c r="OUQ1633" s="1"/>
      <c r="OUR1633" s="1"/>
      <c r="OUS1633" s="1"/>
      <c r="OUT1633" s="1"/>
      <c r="OUU1633" s="1"/>
      <c r="OUV1633" s="1"/>
      <c r="OUW1633" s="1"/>
      <c r="OUX1633" s="1"/>
      <c r="OUY1633" s="1"/>
      <c r="OUZ1633" s="1"/>
      <c r="OVA1633" s="1"/>
      <c r="OVB1633" s="1"/>
      <c r="OVC1633" s="1"/>
      <c r="OVD1633" s="1"/>
      <c r="OVE1633" s="1"/>
      <c r="OVF1633" s="1"/>
      <c r="OVG1633" s="1"/>
      <c r="OVH1633" s="1"/>
      <c r="OVI1633" s="1"/>
      <c r="OVJ1633" s="1"/>
      <c r="OVK1633" s="1"/>
      <c r="OVL1633" s="1"/>
      <c r="OVM1633" s="1"/>
      <c r="OVN1633" s="1"/>
      <c r="OVO1633" s="1"/>
      <c r="OVP1633" s="1"/>
      <c r="OVQ1633" s="1"/>
      <c r="OVR1633" s="1"/>
      <c r="OVS1633" s="1"/>
      <c r="OVT1633" s="1"/>
      <c r="OVU1633" s="1"/>
      <c r="OVV1633" s="1"/>
      <c r="OVW1633" s="1"/>
      <c r="OVX1633" s="1"/>
      <c r="OVY1633" s="1"/>
      <c r="OVZ1633" s="1"/>
      <c r="OWA1633" s="1"/>
      <c r="OWB1633" s="1"/>
      <c r="OWC1633" s="1"/>
      <c r="OWD1633" s="1"/>
      <c r="OWE1633" s="1"/>
      <c r="OWF1633" s="1"/>
      <c r="OWG1633" s="1"/>
      <c r="OWH1633" s="1"/>
      <c r="OWI1633" s="1"/>
      <c r="OWJ1633" s="1"/>
      <c r="OWK1633" s="1"/>
      <c r="OWL1633" s="1"/>
      <c r="OWM1633" s="1"/>
      <c r="OWN1633" s="1"/>
      <c r="OWO1633" s="1"/>
      <c r="OWP1633" s="1"/>
      <c r="OWQ1633" s="1"/>
      <c r="OWR1633" s="1"/>
      <c r="OWS1633" s="1"/>
      <c r="OWT1633" s="1"/>
      <c r="OWU1633" s="1"/>
      <c r="OWV1633" s="1"/>
      <c r="OWW1633" s="1"/>
      <c r="OWX1633" s="1"/>
      <c r="OWY1633" s="1"/>
      <c r="OWZ1633" s="1"/>
      <c r="OXA1633" s="1"/>
      <c r="OXB1633" s="1"/>
      <c r="OXC1633" s="1"/>
      <c r="OXD1633" s="1"/>
      <c r="OXE1633" s="1"/>
      <c r="OXF1633" s="1"/>
      <c r="OXG1633" s="1"/>
      <c r="OXH1633" s="1"/>
      <c r="OXI1633" s="1"/>
      <c r="OXJ1633" s="1"/>
      <c r="OXK1633" s="1"/>
      <c r="OXL1633" s="1"/>
      <c r="OXM1633" s="1"/>
      <c r="OXN1633" s="1"/>
      <c r="OXO1633" s="1"/>
      <c r="OXP1633" s="1"/>
      <c r="OXQ1633" s="1"/>
      <c r="OXR1633" s="1"/>
      <c r="OXS1633" s="1"/>
      <c r="OXT1633" s="1"/>
      <c r="OXU1633" s="1"/>
      <c r="OXV1633" s="1"/>
      <c r="OXW1633" s="1"/>
      <c r="OXX1633" s="1"/>
      <c r="OXY1633" s="1"/>
      <c r="OXZ1633" s="1"/>
      <c r="OYA1633" s="1"/>
      <c r="OYB1633" s="1"/>
      <c r="OYC1633" s="1"/>
      <c r="OYD1633" s="1"/>
      <c r="OYE1633" s="1"/>
      <c r="OYF1633" s="1"/>
      <c r="OYG1633" s="1"/>
      <c r="OYH1633" s="1"/>
      <c r="OYI1633" s="1"/>
      <c r="OYJ1633" s="1"/>
      <c r="OYK1633" s="1"/>
      <c r="OYL1633" s="1"/>
      <c r="OYM1633" s="1"/>
      <c r="OYN1633" s="1"/>
      <c r="OYO1633" s="1"/>
      <c r="OYP1633" s="1"/>
      <c r="OYQ1633" s="1"/>
      <c r="OYR1633" s="1"/>
      <c r="OYS1633" s="1"/>
      <c r="OYT1633" s="1"/>
      <c r="OYU1633" s="1"/>
      <c r="OYV1633" s="1"/>
      <c r="OYW1633" s="1"/>
      <c r="OYX1633" s="1"/>
      <c r="OYY1633" s="1"/>
      <c r="OYZ1633" s="1"/>
      <c r="OZA1633" s="1"/>
      <c r="OZB1633" s="1"/>
      <c r="OZC1633" s="1"/>
      <c r="OZD1633" s="1"/>
      <c r="OZE1633" s="1"/>
      <c r="OZF1633" s="1"/>
      <c r="OZG1633" s="1"/>
      <c r="OZH1633" s="1"/>
      <c r="OZI1633" s="1"/>
      <c r="OZJ1633" s="1"/>
      <c r="OZK1633" s="1"/>
      <c r="OZL1633" s="1"/>
      <c r="OZM1633" s="1"/>
      <c r="OZN1633" s="1"/>
      <c r="OZO1633" s="1"/>
      <c r="OZP1633" s="1"/>
      <c r="OZQ1633" s="1"/>
      <c r="OZR1633" s="1"/>
      <c r="OZS1633" s="1"/>
      <c r="OZT1633" s="1"/>
      <c r="OZU1633" s="1"/>
      <c r="OZV1633" s="1"/>
      <c r="OZW1633" s="1"/>
      <c r="OZX1633" s="1"/>
      <c r="OZY1633" s="1"/>
      <c r="OZZ1633" s="1"/>
      <c r="PAA1633" s="1"/>
      <c r="PAB1633" s="1"/>
      <c r="PAC1633" s="1"/>
      <c r="PAD1633" s="1"/>
      <c r="PAE1633" s="1"/>
      <c r="PAF1633" s="1"/>
      <c r="PAG1633" s="1"/>
      <c r="PAH1633" s="1"/>
      <c r="PAI1633" s="1"/>
      <c r="PAJ1633" s="1"/>
      <c r="PAK1633" s="1"/>
      <c r="PAL1633" s="1"/>
      <c r="PAM1633" s="1"/>
      <c r="PAN1633" s="1"/>
      <c r="PAO1633" s="1"/>
      <c r="PAP1633" s="1"/>
      <c r="PAQ1633" s="1"/>
      <c r="PAR1633" s="1"/>
      <c r="PAS1633" s="1"/>
      <c r="PAT1633" s="1"/>
      <c r="PAU1633" s="1"/>
      <c r="PAV1633" s="1"/>
      <c r="PAW1633" s="1"/>
      <c r="PAX1633" s="1"/>
      <c r="PAY1633" s="1"/>
      <c r="PAZ1633" s="1"/>
      <c r="PBA1633" s="1"/>
      <c r="PBB1633" s="1"/>
      <c r="PBC1633" s="1"/>
      <c r="PBD1633" s="1"/>
      <c r="PBE1633" s="1"/>
      <c r="PBF1633" s="1"/>
      <c r="PBG1633" s="1"/>
      <c r="PBH1633" s="1"/>
      <c r="PBI1633" s="1"/>
      <c r="PBJ1633" s="1"/>
      <c r="PBK1633" s="1"/>
      <c r="PBL1633" s="1"/>
      <c r="PBM1633" s="1"/>
      <c r="PBN1633" s="1"/>
      <c r="PBO1633" s="1"/>
      <c r="PBP1633" s="1"/>
      <c r="PBQ1633" s="1"/>
      <c r="PBR1633" s="1"/>
      <c r="PBS1633" s="1"/>
      <c r="PBT1633" s="1"/>
      <c r="PBU1633" s="1"/>
      <c r="PBV1633" s="1"/>
      <c r="PBW1633" s="1"/>
      <c r="PBX1633" s="1"/>
      <c r="PBY1633" s="1"/>
      <c r="PBZ1633" s="1"/>
      <c r="PCA1633" s="1"/>
      <c r="PCB1633" s="1"/>
      <c r="PCC1633" s="1"/>
      <c r="PCD1633" s="1"/>
      <c r="PCE1633" s="1"/>
      <c r="PCF1633" s="1"/>
      <c r="PCG1633" s="1"/>
      <c r="PCH1633" s="1"/>
      <c r="PCI1633" s="1"/>
      <c r="PCJ1633" s="1"/>
      <c r="PCK1633" s="1"/>
      <c r="PCL1633" s="1"/>
      <c r="PCM1633" s="1"/>
      <c r="PCN1633" s="1"/>
      <c r="PCO1633" s="1"/>
      <c r="PCP1633" s="1"/>
      <c r="PCQ1633" s="1"/>
      <c r="PCR1633" s="1"/>
      <c r="PCS1633" s="1"/>
      <c r="PCT1633" s="1"/>
      <c r="PCU1633" s="1"/>
      <c r="PCV1633" s="1"/>
      <c r="PCW1633" s="1"/>
      <c r="PCX1633" s="1"/>
      <c r="PCY1633" s="1"/>
      <c r="PCZ1633" s="1"/>
      <c r="PDA1633" s="1"/>
      <c r="PDB1633" s="1"/>
      <c r="PDC1633" s="1"/>
      <c r="PDD1633" s="1"/>
      <c r="PDE1633" s="1"/>
      <c r="PDF1633" s="1"/>
      <c r="PDG1633" s="1"/>
      <c r="PDH1633" s="1"/>
      <c r="PDI1633" s="1"/>
      <c r="PDJ1633" s="1"/>
      <c r="PDK1633" s="1"/>
      <c r="PDL1633" s="1"/>
      <c r="PDM1633" s="1"/>
      <c r="PDN1633" s="1"/>
      <c r="PDO1633" s="1"/>
      <c r="PDP1633" s="1"/>
      <c r="PDQ1633" s="1"/>
      <c r="PDR1633" s="1"/>
      <c r="PDS1633" s="1"/>
      <c r="PDT1633" s="1"/>
      <c r="PDU1633" s="1"/>
      <c r="PDV1633" s="1"/>
      <c r="PDW1633" s="1"/>
      <c r="PDX1633" s="1"/>
      <c r="PDY1633" s="1"/>
      <c r="PDZ1633" s="1"/>
      <c r="PEA1633" s="1"/>
      <c r="PEB1633" s="1"/>
      <c r="PEC1633" s="1"/>
      <c r="PED1633" s="1"/>
      <c r="PEE1633" s="1"/>
      <c r="PEF1633" s="1"/>
      <c r="PEG1633" s="1"/>
      <c r="PEH1633" s="1"/>
      <c r="PEI1633" s="1"/>
      <c r="PEJ1633" s="1"/>
      <c r="PEK1633" s="1"/>
      <c r="PEL1633" s="1"/>
      <c r="PEM1633" s="1"/>
      <c r="PEN1633" s="1"/>
      <c r="PEO1633" s="1"/>
      <c r="PEP1633" s="1"/>
      <c r="PEQ1633" s="1"/>
      <c r="PER1633" s="1"/>
      <c r="PES1633" s="1"/>
      <c r="PET1633" s="1"/>
      <c r="PEU1633" s="1"/>
      <c r="PEV1633" s="1"/>
      <c r="PEW1633" s="1"/>
      <c r="PEX1633" s="1"/>
      <c r="PEY1633" s="1"/>
      <c r="PEZ1633" s="1"/>
      <c r="PFA1633" s="1"/>
      <c r="PFB1633" s="1"/>
      <c r="PFC1633" s="1"/>
      <c r="PFD1633" s="1"/>
      <c r="PFE1633" s="1"/>
      <c r="PFF1633" s="1"/>
      <c r="PFG1633" s="1"/>
      <c r="PFH1633" s="1"/>
      <c r="PFI1633" s="1"/>
      <c r="PFJ1633" s="1"/>
      <c r="PFK1633" s="1"/>
      <c r="PFL1633" s="1"/>
      <c r="PFM1633" s="1"/>
      <c r="PFN1633" s="1"/>
      <c r="PFO1633" s="1"/>
      <c r="PFP1633" s="1"/>
      <c r="PFQ1633" s="1"/>
      <c r="PFR1633" s="1"/>
      <c r="PFS1633" s="1"/>
      <c r="PFT1633" s="1"/>
      <c r="PFU1633" s="1"/>
      <c r="PFV1633" s="1"/>
      <c r="PFW1633" s="1"/>
      <c r="PFX1633" s="1"/>
      <c r="PFY1633" s="1"/>
      <c r="PFZ1633" s="1"/>
      <c r="PGA1633" s="1"/>
      <c r="PGB1633" s="1"/>
      <c r="PGC1633" s="1"/>
      <c r="PGD1633" s="1"/>
      <c r="PGE1633" s="1"/>
      <c r="PGF1633" s="1"/>
      <c r="PGG1633" s="1"/>
      <c r="PGH1633" s="1"/>
      <c r="PGI1633" s="1"/>
      <c r="PGJ1633" s="1"/>
      <c r="PGK1633" s="1"/>
      <c r="PGL1633" s="1"/>
      <c r="PGM1633" s="1"/>
      <c r="PGN1633" s="1"/>
      <c r="PGO1633" s="1"/>
      <c r="PGP1633" s="1"/>
      <c r="PGQ1633" s="1"/>
      <c r="PGR1633" s="1"/>
      <c r="PGS1633" s="1"/>
      <c r="PGT1633" s="1"/>
      <c r="PGU1633" s="1"/>
      <c r="PGV1633" s="1"/>
      <c r="PGW1633" s="1"/>
      <c r="PGX1633" s="1"/>
      <c r="PGY1633" s="1"/>
      <c r="PGZ1633" s="1"/>
      <c r="PHA1633" s="1"/>
      <c r="PHB1633" s="1"/>
      <c r="PHC1633" s="1"/>
      <c r="PHD1633" s="1"/>
      <c r="PHE1633" s="1"/>
      <c r="PHF1633" s="1"/>
      <c r="PHG1633" s="1"/>
      <c r="PHH1633" s="1"/>
      <c r="PHI1633" s="1"/>
      <c r="PHJ1633" s="1"/>
      <c r="PHK1633" s="1"/>
      <c r="PHL1633" s="1"/>
      <c r="PHM1633" s="1"/>
      <c r="PHN1633" s="1"/>
      <c r="PHO1633" s="1"/>
      <c r="PHP1633" s="1"/>
      <c r="PHQ1633" s="1"/>
      <c r="PHR1633" s="1"/>
      <c r="PHS1633" s="1"/>
      <c r="PHT1633" s="1"/>
      <c r="PHU1633" s="1"/>
      <c r="PHV1633" s="1"/>
      <c r="PHW1633" s="1"/>
      <c r="PHX1633" s="1"/>
      <c r="PHY1633" s="1"/>
      <c r="PHZ1633" s="1"/>
      <c r="PIA1633" s="1"/>
      <c r="PIB1633" s="1"/>
      <c r="PIC1633" s="1"/>
      <c r="PID1633" s="1"/>
      <c r="PIE1633" s="1"/>
      <c r="PIF1633" s="1"/>
      <c r="PIG1633" s="1"/>
      <c r="PIH1633" s="1"/>
      <c r="PII1633" s="1"/>
      <c r="PIJ1633" s="1"/>
      <c r="PIK1633" s="1"/>
      <c r="PIL1633" s="1"/>
      <c r="PIM1633" s="1"/>
      <c r="PIN1633" s="1"/>
      <c r="PIO1633" s="1"/>
      <c r="PIP1633" s="1"/>
      <c r="PIQ1633" s="1"/>
      <c r="PIR1633" s="1"/>
      <c r="PIS1633" s="1"/>
      <c r="PIT1633" s="1"/>
      <c r="PIU1633" s="1"/>
      <c r="PIV1633" s="1"/>
      <c r="PIW1633" s="1"/>
      <c r="PIX1633" s="1"/>
      <c r="PIY1633" s="1"/>
      <c r="PIZ1633" s="1"/>
      <c r="PJA1633" s="1"/>
      <c r="PJB1633" s="1"/>
      <c r="PJC1633" s="1"/>
      <c r="PJD1633" s="1"/>
      <c r="PJE1633" s="1"/>
      <c r="PJF1633" s="1"/>
      <c r="PJG1633" s="1"/>
      <c r="PJH1633" s="1"/>
      <c r="PJI1633" s="1"/>
      <c r="PJJ1633" s="1"/>
      <c r="PJK1633" s="1"/>
      <c r="PJL1633" s="1"/>
      <c r="PJM1633" s="1"/>
      <c r="PJN1633" s="1"/>
      <c r="PJO1633" s="1"/>
      <c r="PJP1633" s="1"/>
      <c r="PJQ1633" s="1"/>
      <c r="PJR1633" s="1"/>
      <c r="PJS1633" s="1"/>
      <c r="PJT1633" s="1"/>
      <c r="PJU1633" s="1"/>
      <c r="PJV1633" s="1"/>
      <c r="PJW1633" s="1"/>
      <c r="PJX1633" s="1"/>
      <c r="PJY1633" s="1"/>
      <c r="PJZ1633" s="1"/>
      <c r="PKA1633" s="1"/>
      <c r="PKB1633" s="1"/>
      <c r="PKC1633" s="1"/>
      <c r="PKD1633" s="1"/>
      <c r="PKE1633" s="1"/>
      <c r="PKF1633" s="1"/>
      <c r="PKG1633" s="1"/>
      <c r="PKH1633" s="1"/>
      <c r="PKI1633" s="1"/>
      <c r="PKJ1633" s="1"/>
      <c r="PKK1633" s="1"/>
      <c r="PKL1633" s="1"/>
      <c r="PKM1633" s="1"/>
      <c r="PKN1633" s="1"/>
      <c r="PKO1633" s="1"/>
      <c r="PKP1633" s="1"/>
      <c r="PKQ1633" s="1"/>
      <c r="PKR1633" s="1"/>
      <c r="PKS1633" s="1"/>
      <c r="PKT1633" s="1"/>
      <c r="PKU1633" s="1"/>
      <c r="PKV1633" s="1"/>
      <c r="PKW1633" s="1"/>
      <c r="PKX1633" s="1"/>
      <c r="PKY1633" s="1"/>
      <c r="PKZ1633" s="1"/>
      <c r="PLA1633" s="1"/>
      <c r="PLB1633" s="1"/>
      <c r="PLC1633" s="1"/>
      <c r="PLD1633" s="1"/>
      <c r="PLE1633" s="1"/>
      <c r="PLF1633" s="1"/>
      <c r="PLG1633" s="1"/>
      <c r="PLH1633" s="1"/>
      <c r="PLI1633" s="1"/>
      <c r="PLJ1633" s="1"/>
      <c r="PLK1633" s="1"/>
      <c r="PLL1633" s="1"/>
      <c r="PLM1633" s="1"/>
      <c r="PLN1633" s="1"/>
      <c r="PLO1633" s="1"/>
      <c r="PLP1633" s="1"/>
      <c r="PLQ1633" s="1"/>
      <c r="PLR1633" s="1"/>
      <c r="PLS1633" s="1"/>
      <c r="PLT1633" s="1"/>
      <c r="PLU1633" s="1"/>
      <c r="PLV1633" s="1"/>
      <c r="PLW1633" s="1"/>
      <c r="PLX1633" s="1"/>
      <c r="PLY1633" s="1"/>
      <c r="PLZ1633" s="1"/>
      <c r="PMA1633" s="1"/>
      <c r="PMB1633" s="1"/>
      <c r="PMC1633" s="1"/>
      <c r="PMD1633" s="1"/>
      <c r="PME1633" s="1"/>
      <c r="PMF1633" s="1"/>
      <c r="PMG1633" s="1"/>
      <c r="PMH1633" s="1"/>
      <c r="PMI1633" s="1"/>
      <c r="PMJ1633" s="1"/>
      <c r="PMK1633" s="1"/>
      <c r="PML1633" s="1"/>
      <c r="PMM1633" s="1"/>
      <c r="PMN1633" s="1"/>
      <c r="PMO1633" s="1"/>
      <c r="PMP1633" s="1"/>
      <c r="PMQ1633" s="1"/>
      <c r="PMR1633" s="1"/>
      <c r="PMS1633" s="1"/>
      <c r="PMT1633" s="1"/>
      <c r="PMU1633" s="1"/>
      <c r="PMV1633" s="1"/>
      <c r="PMW1633" s="1"/>
      <c r="PMX1633" s="1"/>
      <c r="PMY1633" s="1"/>
      <c r="PMZ1633" s="1"/>
      <c r="PNA1633" s="1"/>
      <c r="PNB1633" s="1"/>
      <c r="PNC1633" s="1"/>
      <c r="PND1633" s="1"/>
      <c r="PNE1633" s="1"/>
      <c r="PNF1633" s="1"/>
      <c r="PNG1633" s="1"/>
      <c r="PNH1633" s="1"/>
      <c r="PNI1633" s="1"/>
      <c r="PNJ1633" s="1"/>
      <c r="PNK1633" s="1"/>
      <c r="PNL1633" s="1"/>
      <c r="PNM1633" s="1"/>
      <c r="PNN1633" s="1"/>
      <c r="PNO1633" s="1"/>
      <c r="PNP1633" s="1"/>
      <c r="PNQ1633" s="1"/>
      <c r="PNR1633" s="1"/>
      <c r="PNS1633" s="1"/>
      <c r="PNT1633" s="1"/>
      <c r="PNU1633" s="1"/>
      <c r="PNV1633" s="1"/>
      <c r="PNW1633" s="1"/>
      <c r="PNX1633" s="1"/>
      <c r="PNY1633" s="1"/>
      <c r="PNZ1633" s="1"/>
      <c r="POA1633" s="1"/>
      <c r="POB1633" s="1"/>
      <c r="POC1633" s="1"/>
      <c r="POD1633" s="1"/>
      <c r="POE1633" s="1"/>
      <c r="POF1633" s="1"/>
      <c r="POG1633" s="1"/>
      <c r="POH1633" s="1"/>
      <c r="POI1633" s="1"/>
      <c r="POJ1633" s="1"/>
      <c r="POK1633" s="1"/>
      <c r="POL1633" s="1"/>
      <c r="POM1633" s="1"/>
      <c r="PON1633" s="1"/>
      <c r="POO1633" s="1"/>
      <c r="POP1633" s="1"/>
      <c r="POQ1633" s="1"/>
      <c r="POR1633" s="1"/>
      <c r="POS1633" s="1"/>
      <c r="POT1633" s="1"/>
      <c r="POU1633" s="1"/>
      <c r="POV1633" s="1"/>
      <c r="POW1633" s="1"/>
      <c r="POX1633" s="1"/>
      <c r="POY1633" s="1"/>
      <c r="POZ1633" s="1"/>
      <c r="PPA1633" s="1"/>
      <c r="PPB1633" s="1"/>
      <c r="PPC1633" s="1"/>
      <c r="PPD1633" s="1"/>
      <c r="PPE1633" s="1"/>
      <c r="PPF1633" s="1"/>
      <c r="PPG1633" s="1"/>
      <c r="PPH1633" s="1"/>
      <c r="PPI1633" s="1"/>
      <c r="PPJ1633" s="1"/>
      <c r="PPK1633" s="1"/>
      <c r="PPL1633" s="1"/>
      <c r="PPM1633" s="1"/>
      <c r="PPN1633" s="1"/>
      <c r="PPO1633" s="1"/>
      <c r="PPP1633" s="1"/>
      <c r="PPQ1633" s="1"/>
      <c r="PPR1633" s="1"/>
      <c r="PPS1633" s="1"/>
      <c r="PPT1633" s="1"/>
      <c r="PPU1633" s="1"/>
      <c r="PPV1633" s="1"/>
      <c r="PPW1633" s="1"/>
      <c r="PPX1633" s="1"/>
      <c r="PPY1633" s="1"/>
      <c r="PPZ1633" s="1"/>
      <c r="PQA1633" s="1"/>
      <c r="PQB1633" s="1"/>
      <c r="PQC1633" s="1"/>
      <c r="PQD1633" s="1"/>
      <c r="PQE1633" s="1"/>
      <c r="PQF1633" s="1"/>
      <c r="PQG1633" s="1"/>
      <c r="PQH1633" s="1"/>
      <c r="PQI1633" s="1"/>
      <c r="PQJ1633" s="1"/>
      <c r="PQK1633" s="1"/>
      <c r="PQL1633" s="1"/>
      <c r="PQM1633" s="1"/>
      <c r="PQN1633" s="1"/>
      <c r="PQO1633" s="1"/>
      <c r="PQP1633" s="1"/>
      <c r="PQQ1633" s="1"/>
      <c r="PQR1633" s="1"/>
      <c r="PQS1633" s="1"/>
      <c r="PQT1633" s="1"/>
      <c r="PQU1633" s="1"/>
      <c r="PQV1633" s="1"/>
      <c r="PQW1633" s="1"/>
      <c r="PQX1633" s="1"/>
      <c r="PQY1633" s="1"/>
      <c r="PQZ1633" s="1"/>
      <c r="PRA1633" s="1"/>
      <c r="PRB1633" s="1"/>
      <c r="PRC1633" s="1"/>
      <c r="PRD1633" s="1"/>
      <c r="PRE1633" s="1"/>
      <c r="PRF1633" s="1"/>
      <c r="PRG1633" s="1"/>
      <c r="PRH1633" s="1"/>
      <c r="PRI1633" s="1"/>
      <c r="PRJ1633" s="1"/>
      <c r="PRK1633" s="1"/>
      <c r="PRL1633" s="1"/>
      <c r="PRM1633" s="1"/>
      <c r="PRN1633" s="1"/>
      <c r="PRO1633" s="1"/>
      <c r="PRP1633" s="1"/>
      <c r="PRQ1633" s="1"/>
      <c r="PRR1633" s="1"/>
      <c r="PRS1633" s="1"/>
      <c r="PRT1633" s="1"/>
      <c r="PRU1633" s="1"/>
      <c r="PRV1633" s="1"/>
      <c r="PRW1633" s="1"/>
      <c r="PRX1633" s="1"/>
      <c r="PRY1633" s="1"/>
      <c r="PRZ1633" s="1"/>
      <c r="PSA1633" s="1"/>
      <c r="PSB1633" s="1"/>
      <c r="PSC1633" s="1"/>
      <c r="PSD1633" s="1"/>
      <c r="PSE1633" s="1"/>
      <c r="PSF1633" s="1"/>
      <c r="PSG1633" s="1"/>
      <c r="PSH1633" s="1"/>
      <c r="PSI1633" s="1"/>
      <c r="PSJ1633" s="1"/>
      <c r="PSK1633" s="1"/>
      <c r="PSL1633" s="1"/>
      <c r="PSM1633" s="1"/>
      <c r="PSN1633" s="1"/>
      <c r="PSO1633" s="1"/>
      <c r="PSP1633" s="1"/>
      <c r="PSQ1633" s="1"/>
      <c r="PSR1633" s="1"/>
      <c r="PSS1633" s="1"/>
      <c r="PST1633" s="1"/>
      <c r="PSU1633" s="1"/>
      <c r="PSV1633" s="1"/>
      <c r="PSW1633" s="1"/>
      <c r="PSX1633" s="1"/>
      <c r="PSY1633" s="1"/>
      <c r="PSZ1633" s="1"/>
      <c r="PTA1633" s="1"/>
      <c r="PTB1633" s="1"/>
      <c r="PTC1633" s="1"/>
      <c r="PTD1633" s="1"/>
      <c r="PTE1633" s="1"/>
      <c r="PTF1633" s="1"/>
      <c r="PTG1633" s="1"/>
      <c r="PTH1633" s="1"/>
      <c r="PTI1633" s="1"/>
      <c r="PTJ1633" s="1"/>
      <c r="PTK1633" s="1"/>
      <c r="PTL1633" s="1"/>
      <c r="PTM1633" s="1"/>
      <c r="PTN1633" s="1"/>
      <c r="PTO1633" s="1"/>
      <c r="PTP1633" s="1"/>
      <c r="PTQ1633" s="1"/>
      <c r="PTR1633" s="1"/>
      <c r="PTS1633" s="1"/>
      <c r="PTT1633" s="1"/>
      <c r="PTU1633" s="1"/>
      <c r="PTV1633" s="1"/>
      <c r="PTW1633" s="1"/>
      <c r="PTX1633" s="1"/>
      <c r="PTY1633" s="1"/>
      <c r="PTZ1633" s="1"/>
      <c r="PUA1633" s="1"/>
      <c r="PUB1633" s="1"/>
      <c r="PUC1633" s="1"/>
      <c r="PUD1633" s="1"/>
      <c r="PUE1633" s="1"/>
      <c r="PUF1633" s="1"/>
      <c r="PUG1633" s="1"/>
      <c r="PUH1633" s="1"/>
      <c r="PUI1633" s="1"/>
      <c r="PUJ1633" s="1"/>
      <c r="PUK1633" s="1"/>
      <c r="PUL1633" s="1"/>
      <c r="PUM1633" s="1"/>
      <c r="PUN1633" s="1"/>
      <c r="PUO1633" s="1"/>
      <c r="PUP1633" s="1"/>
      <c r="PUQ1633" s="1"/>
      <c r="PUR1633" s="1"/>
      <c r="PUS1633" s="1"/>
      <c r="PUT1633" s="1"/>
      <c r="PUU1633" s="1"/>
      <c r="PUV1633" s="1"/>
      <c r="PUW1633" s="1"/>
      <c r="PUX1633" s="1"/>
      <c r="PUY1633" s="1"/>
      <c r="PUZ1633" s="1"/>
      <c r="PVA1633" s="1"/>
      <c r="PVB1633" s="1"/>
      <c r="PVC1633" s="1"/>
      <c r="PVD1633" s="1"/>
      <c r="PVE1633" s="1"/>
      <c r="PVF1633" s="1"/>
      <c r="PVG1633" s="1"/>
      <c r="PVH1633" s="1"/>
      <c r="PVI1633" s="1"/>
      <c r="PVJ1633" s="1"/>
      <c r="PVK1633" s="1"/>
      <c r="PVL1633" s="1"/>
      <c r="PVM1633" s="1"/>
      <c r="PVN1633" s="1"/>
      <c r="PVO1633" s="1"/>
      <c r="PVP1633" s="1"/>
      <c r="PVQ1633" s="1"/>
      <c r="PVR1633" s="1"/>
      <c r="PVS1633" s="1"/>
      <c r="PVT1633" s="1"/>
      <c r="PVU1633" s="1"/>
      <c r="PVV1633" s="1"/>
      <c r="PVW1633" s="1"/>
      <c r="PVX1633" s="1"/>
      <c r="PVY1633" s="1"/>
      <c r="PVZ1633" s="1"/>
      <c r="PWA1633" s="1"/>
      <c r="PWB1633" s="1"/>
      <c r="PWC1633" s="1"/>
      <c r="PWD1633" s="1"/>
      <c r="PWE1633" s="1"/>
      <c r="PWF1633" s="1"/>
      <c r="PWG1633" s="1"/>
      <c r="PWH1633" s="1"/>
      <c r="PWI1633" s="1"/>
      <c r="PWJ1633" s="1"/>
      <c r="PWK1633" s="1"/>
      <c r="PWL1633" s="1"/>
      <c r="PWM1633" s="1"/>
      <c r="PWN1633" s="1"/>
      <c r="PWO1633" s="1"/>
      <c r="PWP1633" s="1"/>
      <c r="PWQ1633" s="1"/>
      <c r="PWR1633" s="1"/>
      <c r="PWS1633" s="1"/>
      <c r="PWT1633" s="1"/>
      <c r="PWU1633" s="1"/>
      <c r="PWV1633" s="1"/>
      <c r="PWW1633" s="1"/>
      <c r="PWX1633" s="1"/>
      <c r="PWY1633" s="1"/>
      <c r="PWZ1633" s="1"/>
      <c r="PXA1633" s="1"/>
      <c r="PXB1633" s="1"/>
      <c r="PXC1633" s="1"/>
      <c r="PXD1633" s="1"/>
      <c r="PXE1633" s="1"/>
      <c r="PXF1633" s="1"/>
      <c r="PXG1633" s="1"/>
      <c r="PXH1633" s="1"/>
      <c r="PXI1633" s="1"/>
      <c r="PXJ1633" s="1"/>
      <c r="PXK1633" s="1"/>
      <c r="PXL1633" s="1"/>
      <c r="PXM1633" s="1"/>
      <c r="PXN1633" s="1"/>
      <c r="PXO1633" s="1"/>
      <c r="PXP1633" s="1"/>
      <c r="PXQ1633" s="1"/>
      <c r="PXR1633" s="1"/>
      <c r="PXS1633" s="1"/>
      <c r="PXT1633" s="1"/>
      <c r="PXU1633" s="1"/>
      <c r="PXV1633" s="1"/>
      <c r="PXW1633" s="1"/>
      <c r="PXX1633" s="1"/>
      <c r="PXY1633" s="1"/>
      <c r="PXZ1633" s="1"/>
      <c r="PYA1633" s="1"/>
      <c r="PYB1633" s="1"/>
      <c r="PYC1633" s="1"/>
      <c r="PYD1633" s="1"/>
      <c r="PYE1633" s="1"/>
      <c r="PYF1633" s="1"/>
      <c r="PYG1633" s="1"/>
      <c r="PYH1633" s="1"/>
      <c r="PYI1633" s="1"/>
      <c r="PYJ1633" s="1"/>
      <c r="PYK1633" s="1"/>
      <c r="PYL1633" s="1"/>
      <c r="PYM1633" s="1"/>
      <c r="PYN1633" s="1"/>
      <c r="PYO1633" s="1"/>
      <c r="PYP1633" s="1"/>
      <c r="PYQ1633" s="1"/>
      <c r="PYR1633" s="1"/>
      <c r="PYS1633" s="1"/>
      <c r="PYT1633" s="1"/>
      <c r="PYU1633" s="1"/>
      <c r="PYV1633" s="1"/>
      <c r="PYW1633" s="1"/>
      <c r="PYX1633" s="1"/>
      <c r="PYY1633" s="1"/>
      <c r="PYZ1633" s="1"/>
      <c r="PZA1633" s="1"/>
      <c r="PZB1633" s="1"/>
      <c r="PZC1633" s="1"/>
      <c r="PZD1633" s="1"/>
      <c r="PZE1633" s="1"/>
      <c r="PZF1633" s="1"/>
      <c r="PZG1633" s="1"/>
      <c r="PZH1633" s="1"/>
      <c r="PZI1633" s="1"/>
      <c r="PZJ1633" s="1"/>
      <c r="PZK1633" s="1"/>
      <c r="PZL1633" s="1"/>
      <c r="PZM1633" s="1"/>
      <c r="PZN1633" s="1"/>
      <c r="PZO1633" s="1"/>
      <c r="PZP1633" s="1"/>
      <c r="PZQ1633" s="1"/>
      <c r="PZR1633" s="1"/>
      <c r="PZS1633" s="1"/>
      <c r="PZT1633" s="1"/>
      <c r="PZU1633" s="1"/>
      <c r="PZV1633" s="1"/>
      <c r="PZW1633" s="1"/>
      <c r="PZX1633" s="1"/>
      <c r="PZY1633" s="1"/>
      <c r="PZZ1633" s="1"/>
      <c r="QAA1633" s="1"/>
      <c r="QAB1633" s="1"/>
      <c r="QAC1633" s="1"/>
      <c r="QAD1633" s="1"/>
      <c r="QAE1633" s="1"/>
      <c r="QAF1633" s="1"/>
      <c r="QAG1633" s="1"/>
      <c r="QAH1633" s="1"/>
      <c r="QAI1633" s="1"/>
      <c r="QAJ1633" s="1"/>
      <c r="QAK1633" s="1"/>
      <c r="QAL1633" s="1"/>
      <c r="QAM1633" s="1"/>
      <c r="QAN1633" s="1"/>
      <c r="QAO1633" s="1"/>
      <c r="QAP1633" s="1"/>
      <c r="QAQ1633" s="1"/>
      <c r="QAR1633" s="1"/>
      <c r="QAS1633" s="1"/>
      <c r="QAT1633" s="1"/>
      <c r="QAU1633" s="1"/>
      <c r="QAV1633" s="1"/>
      <c r="QAW1633" s="1"/>
      <c r="QAX1633" s="1"/>
      <c r="QAY1633" s="1"/>
      <c r="QAZ1633" s="1"/>
      <c r="QBA1633" s="1"/>
      <c r="QBB1633" s="1"/>
      <c r="QBC1633" s="1"/>
      <c r="QBD1633" s="1"/>
      <c r="QBE1633" s="1"/>
      <c r="QBF1633" s="1"/>
      <c r="QBG1633" s="1"/>
      <c r="QBH1633" s="1"/>
      <c r="QBI1633" s="1"/>
      <c r="QBJ1633" s="1"/>
      <c r="QBK1633" s="1"/>
      <c r="QBL1633" s="1"/>
      <c r="QBM1633" s="1"/>
      <c r="QBN1633" s="1"/>
      <c r="QBO1633" s="1"/>
      <c r="QBP1633" s="1"/>
      <c r="QBQ1633" s="1"/>
      <c r="QBR1633" s="1"/>
      <c r="QBS1633" s="1"/>
      <c r="QBT1633" s="1"/>
      <c r="QBU1633" s="1"/>
      <c r="QBV1633" s="1"/>
      <c r="QBW1633" s="1"/>
      <c r="QBX1633" s="1"/>
      <c r="QBY1633" s="1"/>
      <c r="QBZ1633" s="1"/>
      <c r="QCA1633" s="1"/>
      <c r="QCB1633" s="1"/>
      <c r="QCC1633" s="1"/>
      <c r="QCD1633" s="1"/>
      <c r="QCE1633" s="1"/>
      <c r="QCF1633" s="1"/>
      <c r="QCG1633" s="1"/>
      <c r="QCH1633" s="1"/>
      <c r="QCI1633" s="1"/>
      <c r="QCJ1633" s="1"/>
      <c r="QCK1633" s="1"/>
      <c r="QCL1633" s="1"/>
      <c r="QCM1633" s="1"/>
      <c r="QCN1633" s="1"/>
      <c r="QCO1633" s="1"/>
      <c r="QCP1633" s="1"/>
      <c r="QCQ1633" s="1"/>
      <c r="QCR1633" s="1"/>
      <c r="QCS1633" s="1"/>
      <c r="QCT1633" s="1"/>
      <c r="QCU1633" s="1"/>
      <c r="QCV1633" s="1"/>
      <c r="QCW1633" s="1"/>
      <c r="QCX1633" s="1"/>
      <c r="QCY1633" s="1"/>
      <c r="QCZ1633" s="1"/>
      <c r="QDA1633" s="1"/>
      <c r="QDB1633" s="1"/>
      <c r="QDC1633" s="1"/>
      <c r="QDD1633" s="1"/>
      <c r="QDE1633" s="1"/>
      <c r="QDF1633" s="1"/>
      <c r="QDG1633" s="1"/>
      <c r="QDH1633" s="1"/>
      <c r="QDI1633" s="1"/>
      <c r="QDJ1633" s="1"/>
      <c r="QDK1633" s="1"/>
      <c r="QDL1633" s="1"/>
      <c r="QDM1633" s="1"/>
      <c r="QDN1633" s="1"/>
      <c r="QDO1633" s="1"/>
      <c r="QDP1633" s="1"/>
      <c r="QDQ1633" s="1"/>
      <c r="QDR1633" s="1"/>
      <c r="QDS1633" s="1"/>
      <c r="QDT1633" s="1"/>
      <c r="QDU1633" s="1"/>
      <c r="QDV1633" s="1"/>
      <c r="QDW1633" s="1"/>
      <c r="QDX1633" s="1"/>
      <c r="QDY1633" s="1"/>
      <c r="QDZ1633" s="1"/>
      <c r="QEA1633" s="1"/>
      <c r="QEB1633" s="1"/>
      <c r="QEC1633" s="1"/>
      <c r="QED1633" s="1"/>
      <c r="QEE1633" s="1"/>
      <c r="QEF1633" s="1"/>
      <c r="QEG1633" s="1"/>
      <c r="QEH1633" s="1"/>
      <c r="QEI1633" s="1"/>
      <c r="QEJ1633" s="1"/>
      <c r="QEK1633" s="1"/>
      <c r="QEL1633" s="1"/>
      <c r="QEM1633" s="1"/>
      <c r="QEN1633" s="1"/>
      <c r="QEO1633" s="1"/>
      <c r="QEP1633" s="1"/>
      <c r="QEQ1633" s="1"/>
      <c r="QER1633" s="1"/>
      <c r="QES1633" s="1"/>
      <c r="QET1633" s="1"/>
      <c r="QEU1633" s="1"/>
      <c r="QEV1633" s="1"/>
      <c r="QEW1633" s="1"/>
      <c r="QEX1633" s="1"/>
      <c r="QEY1633" s="1"/>
      <c r="QEZ1633" s="1"/>
      <c r="QFA1633" s="1"/>
      <c r="QFB1633" s="1"/>
      <c r="QFC1633" s="1"/>
      <c r="QFD1633" s="1"/>
      <c r="QFE1633" s="1"/>
      <c r="QFF1633" s="1"/>
      <c r="QFG1633" s="1"/>
      <c r="QFH1633" s="1"/>
      <c r="QFI1633" s="1"/>
      <c r="QFJ1633" s="1"/>
      <c r="QFK1633" s="1"/>
      <c r="QFL1633" s="1"/>
      <c r="QFM1633" s="1"/>
      <c r="QFN1633" s="1"/>
      <c r="QFO1633" s="1"/>
      <c r="QFP1633" s="1"/>
      <c r="QFQ1633" s="1"/>
      <c r="QFR1633" s="1"/>
      <c r="QFS1633" s="1"/>
      <c r="QFT1633" s="1"/>
      <c r="QFU1633" s="1"/>
      <c r="QFV1633" s="1"/>
      <c r="QFW1633" s="1"/>
      <c r="QFX1633" s="1"/>
      <c r="QFY1633" s="1"/>
      <c r="QFZ1633" s="1"/>
      <c r="QGA1633" s="1"/>
      <c r="QGB1633" s="1"/>
      <c r="QGC1633" s="1"/>
      <c r="QGD1633" s="1"/>
      <c r="QGE1633" s="1"/>
      <c r="QGF1633" s="1"/>
      <c r="QGG1633" s="1"/>
      <c r="QGH1633" s="1"/>
      <c r="QGI1633" s="1"/>
      <c r="QGJ1633" s="1"/>
      <c r="QGK1633" s="1"/>
      <c r="QGL1633" s="1"/>
      <c r="QGM1633" s="1"/>
      <c r="QGN1633" s="1"/>
      <c r="QGO1633" s="1"/>
      <c r="QGP1633" s="1"/>
      <c r="QGQ1633" s="1"/>
      <c r="QGR1633" s="1"/>
      <c r="QGS1633" s="1"/>
      <c r="QGT1633" s="1"/>
      <c r="QGU1633" s="1"/>
      <c r="QGV1633" s="1"/>
      <c r="QGW1633" s="1"/>
      <c r="QGX1633" s="1"/>
      <c r="QGY1633" s="1"/>
      <c r="QGZ1633" s="1"/>
      <c r="QHA1633" s="1"/>
      <c r="QHB1633" s="1"/>
      <c r="QHC1633" s="1"/>
      <c r="QHD1633" s="1"/>
      <c r="QHE1633" s="1"/>
      <c r="QHF1633" s="1"/>
      <c r="QHG1633" s="1"/>
      <c r="QHH1633" s="1"/>
      <c r="QHI1633" s="1"/>
      <c r="QHJ1633" s="1"/>
      <c r="QHK1633" s="1"/>
      <c r="QHL1633" s="1"/>
      <c r="QHM1633" s="1"/>
      <c r="QHN1633" s="1"/>
      <c r="QHO1633" s="1"/>
      <c r="QHP1633" s="1"/>
      <c r="QHQ1633" s="1"/>
      <c r="QHR1633" s="1"/>
      <c r="QHS1633" s="1"/>
      <c r="QHT1633" s="1"/>
      <c r="QHU1633" s="1"/>
      <c r="QHV1633" s="1"/>
      <c r="QHW1633" s="1"/>
      <c r="QHX1633" s="1"/>
      <c r="QHY1633" s="1"/>
      <c r="QHZ1633" s="1"/>
      <c r="QIA1633" s="1"/>
      <c r="QIB1633" s="1"/>
      <c r="QIC1633" s="1"/>
      <c r="QID1633" s="1"/>
      <c r="QIE1633" s="1"/>
      <c r="QIF1633" s="1"/>
      <c r="QIG1633" s="1"/>
      <c r="QIH1633" s="1"/>
      <c r="QII1633" s="1"/>
      <c r="QIJ1633" s="1"/>
      <c r="QIK1633" s="1"/>
      <c r="QIL1633" s="1"/>
      <c r="QIM1633" s="1"/>
      <c r="QIN1633" s="1"/>
      <c r="QIO1633" s="1"/>
      <c r="QIP1633" s="1"/>
      <c r="QIQ1633" s="1"/>
      <c r="QIR1633" s="1"/>
      <c r="QIS1633" s="1"/>
      <c r="QIT1633" s="1"/>
      <c r="QIU1633" s="1"/>
      <c r="QIV1633" s="1"/>
      <c r="QIW1633" s="1"/>
      <c r="QIX1633" s="1"/>
      <c r="QIY1633" s="1"/>
      <c r="QIZ1633" s="1"/>
      <c r="QJA1633" s="1"/>
      <c r="QJB1633" s="1"/>
      <c r="QJC1633" s="1"/>
      <c r="QJD1633" s="1"/>
      <c r="QJE1633" s="1"/>
      <c r="QJF1633" s="1"/>
      <c r="QJG1633" s="1"/>
      <c r="QJH1633" s="1"/>
      <c r="QJI1633" s="1"/>
      <c r="QJJ1633" s="1"/>
      <c r="QJK1633" s="1"/>
      <c r="QJL1633" s="1"/>
      <c r="QJM1633" s="1"/>
      <c r="QJN1633" s="1"/>
      <c r="QJO1633" s="1"/>
      <c r="QJP1633" s="1"/>
      <c r="QJQ1633" s="1"/>
      <c r="QJR1633" s="1"/>
      <c r="QJS1633" s="1"/>
      <c r="QJT1633" s="1"/>
      <c r="QJU1633" s="1"/>
      <c r="QJV1633" s="1"/>
      <c r="QJW1633" s="1"/>
      <c r="QJX1633" s="1"/>
      <c r="QJY1633" s="1"/>
      <c r="QJZ1633" s="1"/>
      <c r="QKA1633" s="1"/>
      <c r="QKB1633" s="1"/>
      <c r="QKC1633" s="1"/>
      <c r="QKD1633" s="1"/>
      <c r="QKE1633" s="1"/>
      <c r="QKF1633" s="1"/>
      <c r="QKG1633" s="1"/>
      <c r="QKH1633" s="1"/>
      <c r="QKI1633" s="1"/>
      <c r="QKJ1633" s="1"/>
      <c r="QKK1633" s="1"/>
      <c r="QKL1633" s="1"/>
      <c r="QKM1633" s="1"/>
      <c r="QKN1633" s="1"/>
      <c r="QKO1633" s="1"/>
      <c r="QKP1633" s="1"/>
      <c r="QKQ1633" s="1"/>
      <c r="QKR1633" s="1"/>
      <c r="QKS1633" s="1"/>
      <c r="QKT1633" s="1"/>
      <c r="QKU1633" s="1"/>
      <c r="QKV1633" s="1"/>
      <c r="QKW1633" s="1"/>
      <c r="QKX1633" s="1"/>
      <c r="QKY1633" s="1"/>
      <c r="QKZ1633" s="1"/>
      <c r="QLA1633" s="1"/>
      <c r="QLB1633" s="1"/>
      <c r="QLC1633" s="1"/>
      <c r="QLD1633" s="1"/>
      <c r="QLE1633" s="1"/>
      <c r="QLF1633" s="1"/>
      <c r="QLG1633" s="1"/>
      <c r="QLH1633" s="1"/>
      <c r="QLI1633" s="1"/>
      <c r="QLJ1633" s="1"/>
      <c r="QLK1633" s="1"/>
      <c r="QLL1633" s="1"/>
      <c r="QLM1633" s="1"/>
      <c r="QLN1633" s="1"/>
      <c r="QLO1633" s="1"/>
      <c r="QLP1633" s="1"/>
      <c r="QLQ1633" s="1"/>
      <c r="QLR1633" s="1"/>
      <c r="QLS1633" s="1"/>
      <c r="QLT1633" s="1"/>
      <c r="QLU1633" s="1"/>
      <c r="QLV1633" s="1"/>
      <c r="QLW1633" s="1"/>
      <c r="QLX1633" s="1"/>
      <c r="QLY1633" s="1"/>
      <c r="QLZ1633" s="1"/>
      <c r="QMA1633" s="1"/>
      <c r="QMB1633" s="1"/>
      <c r="QMC1633" s="1"/>
      <c r="QMD1633" s="1"/>
      <c r="QME1633" s="1"/>
      <c r="QMF1633" s="1"/>
      <c r="QMG1633" s="1"/>
      <c r="QMH1633" s="1"/>
      <c r="QMI1633" s="1"/>
      <c r="QMJ1633" s="1"/>
      <c r="QMK1633" s="1"/>
      <c r="QML1633" s="1"/>
      <c r="QMM1633" s="1"/>
      <c r="QMN1633" s="1"/>
      <c r="QMO1633" s="1"/>
      <c r="QMP1633" s="1"/>
      <c r="QMQ1633" s="1"/>
      <c r="QMR1633" s="1"/>
      <c r="QMS1633" s="1"/>
      <c r="QMT1633" s="1"/>
      <c r="QMU1633" s="1"/>
      <c r="QMV1633" s="1"/>
      <c r="QMW1633" s="1"/>
      <c r="QMX1633" s="1"/>
      <c r="QMY1633" s="1"/>
      <c r="QMZ1633" s="1"/>
      <c r="QNA1633" s="1"/>
      <c r="QNB1633" s="1"/>
      <c r="QNC1633" s="1"/>
      <c r="QND1633" s="1"/>
      <c r="QNE1633" s="1"/>
      <c r="QNF1633" s="1"/>
      <c r="QNG1633" s="1"/>
      <c r="QNH1633" s="1"/>
      <c r="QNI1633" s="1"/>
      <c r="QNJ1633" s="1"/>
      <c r="QNK1633" s="1"/>
      <c r="QNL1633" s="1"/>
      <c r="QNM1633" s="1"/>
      <c r="QNN1633" s="1"/>
      <c r="QNO1633" s="1"/>
      <c r="QNP1633" s="1"/>
      <c r="QNQ1633" s="1"/>
      <c r="QNR1633" s="1"/>
      <c r="QNS1633" s="1"/>
      <c r="QNT1633" s="1"/>
      <c r="QNU1633" s="1"/>
      <c r="QNV1633" s="1"/>
      <c r="QNW1633" s="1"/>
      <c r="QNX1633" s="1"/>
      <c r="QNY1633" s="1"/>
      <c r="QNZ1633" s="1"/>
      <c r="QOA1633" s="1"/>
      <c r="QOB1633" s="1"/>
      <c r="QOC1633" s="1"/>
      <c r="QOD1633" s="1"/>
      <c r="QOE1633" s="1"/>
      <c r="QOF1633" s="1"/>
      <c r="QOG1633" s="1"/>
      <c r="QOH1633" s="1"/>
      <c r="QOI1633" s="1"/>
      <c r="QOJ1633" s="1"/>
      <c r="QOK1633" s="1"/>
      <c r="QOL1633" s="1"/>
      <c r="QOM1633" s="1"/>
      <c r="QON1633" s="1"/>
      <c r="QOO1633" s="1"/>
      <c r="QOP1633" s="1"/>
      <c r="QOQ1633" s="1"/>
      <c r="QOR1633" s="1"/>
      <c r="QOS1633" s="1"/>
      <c r="QOT1633" s="1"/>
      <c r="QOU1633" s="1"/>
      <c r="QOV1633" s="1"/>
      <c r="QOW1633" s="1"/>
      <c r="QOX1633" s="1"/>
      <c r="QOY1633" s="1"/>
      <c r="QOZ1633" s="1"/>
      <c r="QPA1633" s="1"/>
      <c r="QPB1633" s="1"/>
      <c r="QPC1633" s="1"/>
      <c r="QPD1633" s="1"/>
      <c r="QPE1633" s="1"/>
      <c r="QPF1633" s="1"/>
      <c r="QPG1633" s="1"/>
      <c r="QPH1633" s="1"/>
      <c r="QPI1633" s="1"/>
      <c r="QPJ1633" s="1"/>
      <c r="QPK1633" s="1"/>
      <c r="QPL1633" s="1"/>
      <c r="QPM1633" s="1"/>
      <c r="QPN1633" s="1"/>
      <c r="QPO1633" s="1"/>
      <c r="QPP1633" s="1"/>
      <c r="QPQ1633" s="1"/>
      <c r="QPR1633" s="1"/>
      <c r="QPS1633" s="1"/>
      <c r="QPT1633" s="1"/>
      <c r="QPU1633" s="1"/>
      <c r="QPV1633" s="1"/>
      <c r="QPW1633" s="1"/>
      <c r="QPX1633" s="1"/>
      <c r="QPY1633" s="1"/>
      <c r="QPZ1633" s="1"/>
      <c r="QQA1633" s="1"/>
      <c r="QQB1633" s="1"/>
      <c r="QQC1633" s="1"/>
      <c r="QQD1633" s="1"/>
      <c r="QQE1633" s="1"/>
      <c r="QQF1633" s="1"/>
      <c r="QQG1633" s="1"/>
      <c r="QQH1633" s="1"/>
      <c r="QQI1633" s="1"/>
      <c r="QQJ1633" s="1"/>
      <c r="QQK1633" s="1"/>
      <c r="QQL1633" s="1"/>
      <c r="QQM1633" s="1"/>
      <c r="QQN1633" s="1"/>
      <c r="QQO1633" s="1"/>
      <c r="QQP1633" s="1"/>
      <c r="QQQ1633" s="1"/>
      <c r="QQR1633" s="1"/>
      <c r="QQS1633" s="1"/>
      <c r="QQT1633" s="1"/>
      <c r="QQU1633" s="1"/>
      <c r="QQV1633" s="1"/>
      <c r="QQW1633" s="1"/>
      <c r="QQX1633" s="1"/>
      <c r="QQY1633" s="1"/>
      <c r="QQZ1633" s="1"/>
      <c r="QRA1633" s="1"/>
      <c r="QRB1633" s="1"/>
      <c r="QRC1633" s="1"/>
      <c r="QRD1633" s="1"/>
      <c r="QRE1633" s="1"/>
      <c r="QRF1633" s="1"/>
      <c r="QRG1633" s="1"/>
      <c r="QRH1633" s="1"/>
      <c r="QRI1633" s="1"/>
      <c r="QRJ1633" s="1"/>
      <c r="QRK1633" s="1"/>
      <c r="QRL1633" s="1"/>
      <c r="QRM1633" s="1"/>
      <c r="QRN1633" s="1"/>
      <c r="QRO1633" s="1"/>
      <c r="QRP1633" s="1"/>
      <c r="QRQ1633" s="1"/>
      <c r="QRR1633" s="1"/>
      <c r="QRS1633" s="1"/>
      <c r="QRT1633" s="1"/>
      <c r="QRU1633" s="1"/>
      <c r="QRV1633" s="1"/>
      <c r="QRW1633" s="1"/>
      <c r="QRX1633" s="1"/>
      <c r="QRY1633" s="1"/>
      <c r="QRZ1633" s="1"/>
      <c r="QSA1633" s="1"/>
      <c r="QSB1633" s="1"/>
      <c r="QSC1633" s="1"/>
      <c r="QSD1633" s="1"/>
      <c r="QSE1633" s="1"/>
      <c r="QSF1633" s="1"/>
      <c r="QSG1633" s="1"/>
      <c r="QSH1633" s="1"/>
      <c r="QSI1633" s="1"/>
      <c r="QSJ1633" s="1"/>
      <c r="QSK1633" s="1"/>
      <c r="QSL1633" s="1"/>
      <c r="QSM1633" s="1"/>
      <c r="QSN1633" s="1"/>
      <c r="QSO1633" s="1"/>
      <c r="QSP1633" s="1"/>
      <c r="QSQ1633" s="1"/>
      <c r="QSR1633" s="1"/>
      <c r="QSS1633" s="1"/>
      <c r="QST1633" s="1"/>
      <c r="QSU1633" s="1"/>
      <c r="QSV1633" s="1"/>
      <c r="QSW1633" s="1"/>
      <c r="QSX1633" s="1"/>
      <c r="QSY1633" s="1"/>
      <c r="QSZ1633" s="1"/>
      <c r="QTA1633" s="1"/>
      <c r="QTB1633" s="1"/>
      <c r="QTC1633" s="1"/>
      <c r="QTD1633" s="1"/>
      <c r="QTE1633" s="1"/>
      <c r="QTF1633" s="1"/>
      <c r="QTG1633" s="1"/>
      <c r="QTH1633" s="1"/>
      <c r="QTI1633" s="1"/>
      <c r="QTJ1633" s="1"/>
      <c r="QTK1633" s="1"/>
      <c r="QTL1633" s="1"/>
      <c r="QTM1633" s="1"/>
      <c r="QTN1633" s="1"/>
      <c r="QTO1633" s="1"/>
      <c r="QTP1633" s="1"/>
      <c r="QTQ1633" s="1"/>
      <c r="QTR1633" s="1"/>
      <c r="QTS1633" s="1"/>
      <c r="QTT1633" s="1"/>
      <c r="QTU1633" s="1"/>
      <c r="QTV1633" s="1"/>
      <c r="QTW1633" s="1"/>
      <c r="QTX1633" s="1"/>
      <c r="QTY1633" s="1"/>
      <c r="QTZ1633" s="1"/>
      <c r="QUA1633" s="1"/>
      <c r="QUB1633" s="1"/>
      <c r="QUC1633" s="1"/>
      <c r="QUD1633" s="1"/>
      <c r="QUE1633" s="1"/>
      <c r="QUF1633" s="1"/>
      <c r="QUG1633" s="1"/>
      <c r="QUH1633" s="1"/>
      <c r="QUI1633" s="1"/>
      <c r="QUJ1633" s="1"/>
      <c r="QUK1633" s="1"/>
      <c r="QUL1633" s="1"/>
      <c r="QUM1633" s="1"/>
      <c r="QUN1633" s="1"/>
      <c r="QUO1633" s="1"/>
      <c r="QUP1633" s="1"/>
      <c r="QUQ1633" s="1"/>
      <c r="QUR1633" s="1"/>
      <c r="QUS1633" s="1"/>
      <c r="QUT1633" s="1"/>
      <c r="QUU1633" s="1"/>
      <c r="QUV1633" s="1"/>
      <c r="QUW1633" s="1"/>
      <c r="QUX1633" s="1"/>
      <c r="QUY1633" s="1"/>
      <c r="QUZ1633" s="1"/>
      <c r="QVA1633" s="1"/>
      <c r="QVB1633" s="1"/>
      <c r="QVC1633" s="1"/>
      <c r="QVD1633" s="1"/>
      <c r="QVE1633" s="1"/>
      <c r="QVF1633" s="1"/>
      <c r="QVG1633" s="1"/>
      <c r="QVH1633" s="1"/>
      <c r="QVI1633" s="1"/>
      <c r="QVJ1633" s="1"/>
      <c r="QVK1633" s="1"/>
      <c r="QVL1633" s="1"/>
      <c r="QVM1633" s="1"/>
      <c r="QVN1633" s="1"/>
      <c r="QVO1633" s="1"/>
      <c r="QVP1633" s="1"/>
      <c r="QVQ1633" s="1"/>
      <c r="QVR1633" s="1"/>
      <c r="QVS1633" s="1"/>
      <c r="QVT1633" s="1"/>
      <c r="QVU1633" s="1"/>
      <c r="QVV1633" s="1"/>
      <c r="QVW1633" s="1"/>
      <c r="QVX1633" s="1"/>
      <c r="QVY1633" s="1"/>
      <c r="QVZ1633" s="1"/>
      <c r="QWA1633" s="1"/>
      <c r="QWB1633" s="1"/>
      <c r="QWC1633" s="1"/>
      <c r="QWD1633" s="1"/>
      <c r="QWE1633" s="1"/>
      <c r="QWF1633" s="1"/>
      <c r="QWG1633" s="1"/>
      <c r="QWH1633" s="1"/>
      <c r="QWI1633" s="1"/>
      <c r="QWJ1633" s="1"/>
      <c r="QWK1633" s="1"/>
      <c r="QWL1633" s="1"/>
      <c r="QWM1633" s="1"/>
      <c r="QWN1633" s="1"/>
      <c r="QWO1633" s="1"/>
      <c r="QWP1633" s="1"/>
      <c r="QWQ1633" s="1"/>
      <c r="QWR1633" s="1"/>
      <c r="QWS1633" s="1"/>
      <c r="QWT1633" s="1"/>
      <c r="QWU1633" s="1"/>
      <c r="QWV1633" s="1"/>
      <c r="QWW1633" s="1"/>
      <c r="QWX1633" s="1"/>
      <c r="QWY1633" s="1"/>
      <c r="QWZ1633" s="1"/>
      <c r="QXA1633" s="1"/>
      <c r="QXB1633" s="1"/>
      <c r="QXC1633" s="1"/>
      <c r="QXD1633" s="1"/>
      <c r="QXE1633" s="1"/>
      <c r="QXF1633" s="1"/>
      <c r="QXG1633" s="1"/>
      <c r="QXH1633" s="1"/>
      <c r="QXI1633" s="1"/>
      <c r="QXJ1633" s="1"/>
      <c r="QXK1633" s="1"/>
      <c r="QXL1633" s="1"/>
      <c r="QXM1633" s="1"/>
      <c r="QXN1633" s="1"/>
      <c r="QXO1633" s="1"/>
      <c r="QXP1633" s="1"/>
      <c r="QXQ1633" s="1"/>
      <c r="QXR1633" s="1"/>
      <c r="QXS1633" s="1"/>
      <c r="QXT1633" s="1"/>
      <c r="QXU1633" s="1"/>
      <c r="QXV1633" s="1"/>
      <c r="QXW1633" s="1"/>
      <c r="QXX1633" s="1"/>
      <c r="QXY1633" s="1"/>
      <c r="QXZ1633" s="1"/>
      <c r="QYA1633" s="1"/>
      <c r="QYB1633" s="1"/>
      <c r="QYC1633" s="1"/>
      <c r="QYD1633" s="1"/>
      <c r="QYE1633" s="1"/>
      <c r="QYF1633" s="1"/>
      <c r="QYG1633" s="1"/>
      <c r="QYH1633" s="1"/>
      <c r="QYI1633" s="1"/>
      <c r="QYJ1633" s="1"/>
      <c r="QYK1633" s="1"/>
      <c r="QYL1633" s="1"/>
      <c r="QYM1633" s="1"/>
      <c r="QYN1633" s="1"/>
      <c r="QYO1633" s="1"/>
      <c r="QYP1633" s="1"/>
      <c r="QYQ1633" s="1"/>
      <c r="QYR1633" s="1"/>
      <c r="QYS1633" s="1"/>
      <c r="QYT1633" s="1"/>
      <c r="QYU1633" s="1"/>
      <c r="QYV1633" s="1"/>
      <c r="QYW1633" s="1"/>
      <c r="QYX1633" s="1"/>
      <c r="QYY1633" s="1"/>
      <c r="QYZ1633" s="1"/>
      <c r="QZA1633" s="1"/>
      <c r="QZB1633" s="1"/>
      <c r="QZC1633" s="1"/>
      <c r="QZD1633" s="1"/>
      <c r="QZE1633" s="1"/>
      <c r="QZF1633" s="1"/>
      <c r="QZG1633" s="1"/>
      <c r="QZH1633" s="1"/>
      <c r="QZI1633" s="1"/>
      <c r="QZJ1633" s="1"/>
      <c r="QZK1633" s="1"/>
      <c r="QZL1633" s="1"/>
      <c r="QZM1633" s="1"/>
      <c r="QZN1633" s="1"/>
      <c r="QZO1633" s="1"/>
      <c r="QZP1633" s="1"/>
      <c r="QZQ1633" s="1"/>
      <c r="QZR1633" s="1"/>
      <c r="QZS1633" s="1"/>
      <c r="QZT1633" s="1"/>
      <c r="QZU1633" s="1"/>
      <c r="QZV1633" s="1"/>
      <c r="QZW1633" s="1"/>
      <c r="QZX1633" s="1"/>
      <c r="QZY1633" s="1"/>
      <c r="QZZ1633" s="1"/>
      <c r="RAA1633" s="1"/>
      <c r="RAB1633" s="1"/>
      <c r="RAC1633" s="1"/>
      <c r="RAD1633" s="1"/>
      <c r="RAE1633" s="1"/>
      <c r="RAF1633" s="1"/>
      <c r="RAG1633" s="1"/>
      <c r="RAH1633" s="1"/>
      <c r="RAI1633" s="1"/>
      <c r="RAJ1633" s="1"/>
      <c r="RAK1633" s="1"/>
      <c r="RAL1633" s="1"/>
      <c r="RAM1633" s="1"/>
      <c r="RAN1633" s="1"/>
      <c r="RAO1633" s="1"/>
      <c r="RAP1633" s="1"/>
      <c r="RAQ1633" s="1"/>
      <c r="RAR1633" s="1"/>
      <c r="RAS1633" s="1"/>
      <c r="RAT1633" s="1"/>
      <c r="RAU1633" s="1"/>
      <c r="RAV1633" s="1"/>
      <c r="RAW1633" s="1"/>
      <c r="RAX1633" s="1"/>
      <c r="RAY1633" s="1"/>
      <c r="RAZ1633" s="1"/>
      <c r="RBA1633" s="1"/>
      <c r="RBB1633" s="1"/>
      <c r="RBC1633" s="1"/>
      <c r="RBD1633" s="1"/>
      <c r="RBE1633" s="1"/>
      <c r="RBF1633" s="1"/>
      <c r="RBG1633" s="1"/>
      <c r="RBH1633" s="1"/>
      <c r="RBI1633" s="1"/>
      <c r="RBJ1633" s="1"/>
      <c r="RBK1633" s="1"/>
      <c r="RBL1633" s="1"/>
      <c r="RBM1633" s="1"/>
      <c r="RBN1633" s="1"/>
      <c r="RBO1633" s="1"/>
      <c r="RBP1633" s="1"/>
      <c r="RBQ1633" s="1"/>
      <c r="RBR1633" s="1"/>
      <c r="RBS1633" s="1"/>
      <c r="RBT1633" s="1"/>
      <c r="RBU1633" s="1"/>
      <c r="RBV1633" s="1"/>
      <c r="RBW1633" s="1"/>
      <c r="RBX1633" s="1"/>
      <c r="RBY1633" s="1"/>
      <c r="RBZ1633" s="1"/>
      <c r="RCA1633" s="1"/>
      <c r="RCB1633" s="1"/>
      <c r="RCC1633" s="1"/>
      <c r="RCD1633" s="1"/>
      <c r="RCE1633" s="1"/>
      <c r="RCF1633" s="1"/>
      <c r="RCG1633" s="1"/>
      <c r="RCH1633" s="1"/>
      <c r="RCI1633" s="1"/>
      <c r="RCJ1633" s="1"/>
      <c r="RCK1633" s="1"/>
      <c r="RCL1633" s="1"/>
      <c r="RCM1633" s="1"/>
      <c r="RCN1633" s="1"/>
      <c r="RCO1633" s="1"/>
      <c r="RCP1633" s="1"/>
      <c r="RCQ1633" s="1"/>
      <c r="RCR1633" s="1"/>
      <c r="RCS1633" s="1"/>
      <c r="RCT1633" s="1"/>
      <c r="RCU1633" s="1"/>
      <c r="RCV1633" s="1"/>
      <c r="RCW1633" s="1"/>
      <c r="RCX1633" s="1"/>
      <c r="RCY1633" s="1"/>
      <c r="RCZ1633" s="1"/>
      <c r="RDA1633" s="1"/>
      <c r="RDB1633" s="1"/>
      <c r="RDC1633" s="1"/>
      <c r="RDD1633" s="1"/>
      <c r="RDE1633" s="1"/>
      <c r="RDF1633" s="1"/>
      <c r="RDG1633" s="1"/>
      <c r="RDH1633" s="1"/>
      <c r="RDI1633" s="1"/>
      <c r="RDJ1633" s="1"/>
      <c r="RDK1633" s="1"/>
      <c r="RDL1633" s="1"/>
      <c r="RDM1633" s="1"/>
      <c r="RDN1633" s="1"/>
      <c r="RDO1633" s="1"/>
      <c r="RDP1633" s="1"/>
      <c r="RDQ1633" s="1"/>
      <c r="RDR1633" s="1"/>
      <c r="RDS1633" s="1"/>
      <c r="RDT1633" s="1"/>
      <c r="RDU1633" s="1"/>
      <c r="RDV1633" s="1"/>
      <c r="RDW1633" s="1"/>
      <c r="RDX1633" s="1"/>
      <c r="RDY1633" s="1"/>
      <c r="RDZ1633" s="1"/>
      <c r="REA1633" s="1"/>
      <c r="REB1633" s="1"/>
      <c r="REC1633" s="1"/>
      <c r="RED1633" s="1"/>
      <c r="REE1633" s="1"/>
      <c r="REF1633" s="1"/>
      <c r="REG1633" s="1"/>
      <c r="REH1633" s="1"/>
      <c r="REI1633" s="1"/>
      <c r="REJ1633" s="1"/>
      <c r="REK1633" s="1"/>
      <c r="REL1633" s="1"/>
      <c r="REM1633" s="1"/>
      <c r="REN1633" s="1"/>
      <c r="REO1633" s="1"/>
      <c r="REP1633" s="1"/>
      <c r="REQ1633" s="1"/>
      <c r="RER1633" s="1"/>
      <c r="RES1633" s="1"/>
      <c r="RET1633" s="1"/>
      <c r="REU1633" s="1"/>
      <c r="REV1633" s="1"/>
      <c r="REW1633" s="1"/>
      <c r="REX1633" s="1"/>
      <c r="REY1633" s="1"/>
      <c r="REZ1633" s="1"/>
      <c r="RFA1633" s="1"/>
      <c r="RFB1633" s="1"/>
      <c r="RFC1633" s="1"/>
      <c r="RFD1633" s="1"/>
      <c r="RFE1633" s="1"/>
      <c r="RFF1633" s="1"/>
      <c r="RFG1633" s="1"/>
      <c r="RFH1633" s="1"/>
      <c r="RFI1633" s="1"/>
      <c r="RFJ1633" s="1"/>
      <c r="RFK1633" s="1"/>
      <c r="RFL1633" s="1"/>
      <c r="RFM1633" s="1"/>
      <c r="RFN1633" s="1"/>
      <c r="RFO1633" s="1"/>
      <c r="RFP1633" s="1"/>
      <c r="RFQ1633" s="1"/>
      <c r="RFR1633" s="1"/>
      <c r="RFS1633" s="1"/>
      <c r="RFT1633" s="1"/>
      <c r="RFU1633" s="1"/>
      <c r="RFV1633" s="1"/>
      <c r="RFW1633" s="1"/>
      <c r="RFX1633" s="1"/>
      <c r="RFY1633" s="1"/>
      <c r="RFZ1633" s="1"/>
      <c r="RGA1633" s="1"/>
      <c r="RGB1633" s="1"/>
      <c r="RGC1633" s="1"/>
      <c r="RGD1633" s="1"/>
      <c r="RGE1633" s="1"/>
      <c r="RGF1633" s="1"/>
      <c r="RGG1633" s="1"/>
      <c r="RGH1633" s="1"/>
      <c r="RGI1633" s="1"/>
      <c r="RGJ1633" s="1"/>
      <c r="RGK1633" s="1"/>
      <c r="RGL1633" s="1"/>
      <c r="RGM1633" s="1"/>
      <c r="RGN1633" s="1"/>
      <c r="RGO1633" s="1"/>
      <c r="RGP1633" s="1"/>
      <c r="RGQ1633" s="1"/>
      <c r="RGR1633" s="1"/>
      <c r="RGS1633" s="1"/>
      <c r="RGT1633" s="1"/>
      <c r="RGU1633" s="1"/>
      <c r="RGV1633" s="1"/>
      <c r="RGW1633" s="1"/>
      <c r="RGX1633" s="1"/>
      <c r="RGY1633" s="1"/>
      <c r="RGZ1633" s="1"/>
      <c r="RHA1633" s="1"/>
      <c r="RHB1633" s="1"/>
      <c r="RHC1633" s="1"/>
      <c r="RHD1633" s="1"/>
      <c r="RHE1633" s="1"/>
      <c r="RHF1633" s="1"/>
      <c r="RHG1633" s="1"/>
      <c r="RHH1633" s="1"/>
      <c r="RHI1633" s="1"/>
      <c r="RHJ1633" s="1"/>
      <c r="RHK1633" s="1"/>
      <c r="RHL1633" s="1"/>
      <c r="RHM1633" s="1"/>
      <c r="RHN1633" s="1"/>
      <c r="RHO1633" s="1"/>
      <c r="RHP1633" s="1"/>
      <c r="RHQ1633" s="1"/>
      <c r="RHR1633" s="1"/>
      <c r="RHS1633" s="1"/>
      <c r="RHT1633" s="1"/>
      <c r="RHU1633" s="1"/>
      <c r="RHV1633" s="1"/>
      <c r="RHW1633" s="1"/>
      <c r="RHX1633" s="1"/>
      <c r="RHY1633" s="1"/>
      <c r="RHZ1633" s="1"/>
      <c r="RIA1633" s="1"/>
      <c r="RIB1633" s="1"/>
      <c r="RIC1633" s="1"/>
      <c r="RID1633" s="1"/>
      <c r="RIE1633" s="1"/>
      <c r="RIF1633" s="1"/>
      <c r="RIG1633" s="1"/>
      <c r="RIH1633" s="1"/>
      <c r="RII1633" s="1"/>
      <c r="RIJ1633" s="1"/>
      <c r="RIK1633" s="1"/>
      <c r="RIL1633" s="1"/>
      <c r="RIM1633" s="1"/>
      <c r="RIN1633" s="1"/>
      <c r="RIO1633" s="1"/>
      <c r="RIP1633" s="1"/>
      <c r="RIQ1633" s="1"/>
      <c r="RIR1633" s="1"/>
      <c r="RIS1633" s="1"/>
      <c r="RIT1633" s="1"/>
      <c r="RIU1633" s="1"/>
      <c r="RIV1633" s="1"/>
      <c r="RIW1633" s="1"/>
      <c r="RIX1633" s="1"/>
      <c r="RIY1633" s="1"/>
      <c r="RIZ1633" s="1"/>
      <c r="RJA1633" s="1"/>
      <c r="RJB1633" s="1"/>
      <c r="RJC1633" s="1"/>
      <c r="RJD1633" s="1"/>
      <c r="RJE1633" s="1"/>
      <c r="RJF1633" s="1"/>
      <c r="RJG1633" s="1"/>
      <c r="RJH1633" s="1"/>
      <c r="RJI1633" s="1"/>
      <c r="RJJ1633" s="1"/>
      <c r="RJK1633" s="1"/>
      <c r="RJL1633" s="1"/>
      <c r="RJM1633" s="1"/>
      <c r="RJN1633" s="1"/>
      <c r="RJO1633" s="1"/>
      <c r="RJP1633" s="1"/>
      <c r="RJQ1633" s="1"/>
      <c r="RJR1633" s="1"/>
      <c r="RJS1633" s="1"/>
      <c r="RJT1633" s="1"/>
      <c r="RJU1633" s="1"/>
      <c r="RJV1633" s="1"/>
      <c r="RJW1633" s="1"/>
      <c r="RJX1633" s="1"/>
      <c r="RJY1633" s="1"/>
      <c r="RJZ1633" s="1"/>
      <c r="RKA1633" s="1"/>
      <c r="RKB1633" s="1"/>
      <c r="RKC1633" s="1"/>
      <c r="RKD1633" s="1"/>
      <c r="RKE1633" s="1"/>
      <c r="RKF1633" s="1"/>
      <c r="RKG1633" s="1"/>
      <c r="RKH1633" s="1"/>
      <c r="RKI1633" s="1"/>
      <c r="RKJ1633" s="1"/>
      <c r="RKK1633" s="1"/>
      <c r="RKL1633" s="1"/>
      <c r="RKM1633" s="1"/>
      <c r="RKN1633" s="1"/>
      <c r="RKO1633" s="1"/>
      <c r="RKP1633" s="1"/>
      <c r="RKQ1633" s="1"/>
      <c r="RKR1633" s="1"/>
      <c r="RKS1633" s="1"/>
      <c r="RKT1633" s="1"/>
      <c r="RKU1633" s="1"/>
      <c r="RKV1633" s="1"/>
      <c r="RKW1633" s="1"/>
      <c r="RKX1633" s="1"/>
      <c r="RKY1633" s="1"/>
      <c r="RKZ1633" s="1"/>
      <c r="RLA1633" s="1"/>
      <c r="RLB1633" s="1"/>
      <c r="RLC1633" s="1"/>
      <c r="RLD1633" s="1"/>
      <c r="RLE1633" s="1"/>
      <c r="RLF1633" s="1"/>
      <c r="RLG1633" s="1"/>
      <c r="RLH1633" s="1"/>
      <c r="RLI1633" s="1"/>
      <c r="RLJ1633" s="1"/>
      <c r="RLK1633" s="1"/>
      <c r="RLL1633" s="1"/>
      <c r="RLM1633" s="1"/>
      <c r="RLN1633" s="1"/>
      <c r="RLO1633" s="1"/>
      <c r="RLP1633" s="1"/>
      <c r="RLQ1633" s="1"/>
      <c r="RLR1633" s="1"/>
      <c r="RLS1633" s="1"/>
      <c r="RLT1633" s="1"/>
      <c r="RLU1633" s="1"/>
      <c r="RLV1633" s="1"/>
      <c r="RLW1633" s="1"/>
      <c r="RLX1633" s="1"/>
      <c r="RLY1633" s="1"/>
      <c r="RLZ1633" s="1"/>
      <c r="RMA1633" s="1"/>
      <c r="RMB1633" s="1"/>
      <c r="RMC1633" s="1"/>
      <c r="RMD1633" s="1"/>
      <c r="RME1633" s="1"/>
      <c r="RMF1633" s="1"/>
      <c r="RMG1633" s="1"/>
      <c r="RMH1633" s="1"/>
      <c r="RMI1633" s="1"/>
      <c r="RMJ1633" s="1"/>
      <c r="RMK1633" s="1"/>
      <c r="RML1633" s="1"/>
      <c r="RMM1633" s="1"/>
      <c r="RMN1633" s="1"/>
      <c r="RMO1633" s="1"/>
      <c r="RMP1633" s="1"/>
      <c r="RMQ1633" s="1"/>
      <c r="RMR1633" s="1"/>
      <c r="RMS1633" s="1"/>
      <c r="RMT1633" s="1"/>
      <c r="RMU1633" s="1"/>
      <c r="RMV1633" s="1"/>
      <c r="RMW1633" s="1"/>
      <c r="RMX1633" s="1"/>
      <c r="RMY1633" s="1"/>
      <c r="RMZ1633" s="1"/>
      <c r="RNA1633" s="1"/>
      <c r="RNB1633" s="1"/>
      <c r="RNC1633" s="1"/>
      <c r="RND1633" s="1"/>
      <c r="RNE1633" s="1"/>
      <c r="RNF1633" s="1"/>
      <c r="RNG1633" s="1"/>
      <c r="RNH1633" s="1"/>
      <c r="RNI1633" s="1"/>
      <c r="RNJ1633" s="1"/>
      <c r="RNK1633" s="1"/>
      <c r="RNL1633" s="1"/>
      <c r="RNM1633" s="1"/>
      <c r="RNN1633" s="1"/>
      <c r="RNO1633" s="1"/>
      <c r="RNP1633" s="1"/>
      <c r="RNQ1633" s="1"/>
      <c r="RNR1633" s="1"/>
      <c r="RNS1633" s="1"/>
      <c r="RNT1633" s="1"/>
      <c r="RNU1633" s="1"/>
      <c r="RNV1633" s="1"/>
      <c r="RNW1633" s="1"/>
      <c r="RNX1633" s="1"/>
      <c r="RNY1633" s="1"/>
      <c r="RNZ1633" s="1"/>
      <c r="ROA1633" s="1"/>
      <c r="ROB1633" s="1"/>
      <c r="ROC1633" s="1"/>
      <c r="ROD1633" s="1"/>
      <c r="ROE1633" s="1"/>
      <c r="ROF1633" s="1"/>
      <c r="ROG1633" s="1"/>
      <c r="ROH1633" s="1"/>
      <c r="ROI1633" s="1"/>
      <c r="ROJ1633" s="1"/>
      <c r="ROK1633" s="1"/>
      <c r="ROL1633" s="1"/>
      <c r="ROM1633" s="1"/>
      <c r="RON1633" s="1"/>
      <c r="ROO1633" s="1"/>
      <c r="ROP1633" s="1"/>
      <c r="ROQ1633" s="1"/>
      <c r="ROR1633" s="1"/>
      <c r="ROS1633" s="1"/>
      <c r="ROT1633" s="1"/>
      <c r="ROU1633" s="1"/>
      <c r="ROV1633" s="1"/>
      <c r="ROW1633" s="1"/>
      <c r="ROX1633" s="1"/>
      <c r="ROY1633" s="1"/>
      <c r="ROZ1633" s="1"/>
      <c r="RPA1633" s="1"/>
      <c r="RPB1633" s="1"/>
      <c r="RPC1633" s="1"/>
      <c r="RPD1633" s="1"/>
      <c r="RPE1633" s="1"/>
      <c r="RPF1633" s="1"/>
      <c r="RPG1633" s="1"/>
      <c r="RPH1633" s="1"/>
      <c r="RPI1633" s="1"/>
      <c r="RPJ1633" s="1"/>
      <c r="RPK1633" s="1"/>
      <c r="RPL1633" s="1"/>
      <c r="RPM1633" s="1"/>
      <c r="RPN1633" s="1"/>
      <c r="RPO1633" s="1"/>
      <c r="RPP1633" s="1"/>
      <c r="RPQ1633" s="1"/>
      <c r="RPR1633" s="1"/>
      <c r="RPS1633" s="1"/>
      <c r="RPT1633" s="1"/>
      <c r="RPU1633" s="1"/>
      <c r="RPV1633" s="1"/>
      <c r="RPW1633" s="1"/>
      <c r="RPX1633" s="1"/>
      <c r="RPY1633" s="1"/>
      <c r="RPZ1633" s="1"/>
      <c r="RQA1633" s="1"/>
      <c r="RQB1633" s="1"/>
      <c r="RQC1633" s="1"/>
      <c r="RQD1633" s="1"/>
      <c r="RQE1633" s="1"/>
      <c r="RQF1633" s="1"/>
      <c r="RQG1633" s="1"/>
      <c r="RQH1633" s="1"/>
      <c r="RQI1633" s="1"/>
      <c r="RQJ1633" s="1"/>
      <c r="RQK1633" s="1"/>
      <c r="RQL1633" s="1"/>
      <c r="RQM1633" s="1"/>
      <c r="RQN1633" s="1"/>
      <c r="RQO1633" s="1"/>
      <c r="RQP1633" s="1"/>
      <c r="RQQ1633" s="1"/>
      <c r="RQR1633" s="1"/>
      <c r="RQS1633" s="1"/>
      <c r="RQT1633" s="1"/>
      <c r="RQU1633" s="1"/>
      <c r="RQV1633" s="1"/>
      <c r="RQW1633" s="1"/>
      <c r="RQX1633" s="1"/>
      <c r="RQY1633" s="1"/>
      <c r="RQZ1633" s="1"/>
      <c r="RRA1633" s="1"/>
      <c r="RRB1633" s="1"/>
      <c r="RRC1633" s="1"/>
      <c r="RRD1633" s="1"/>
      <c r="RRE1633" s="1"/>
      <c r="RRF1633" s="1"/>
      <c r="RRG1633" s="1"/>
      <c r="RRH1633" s="1"/>
      <c r="RRI1633" s="1"/>
      <c r="RRJ1633" s="1"/>
      <c r="RRK1633" s="1"/>
      <c r="RRL1633" s="1"/>
      <c r="RRM1633" s="1"/>
      <c r="RRN1633" s="1"/>
      <c r="RRO1633" s="1"/>
      <c r="RRP1633" s="1"/>
      <c r="RRQ1633" s="1"/>
      <c r="RRR1633" s="1"/>
      <c r="RRS1633" s="1"/>
      <c r="RRT1633" s="1"/>
      <c r="RRU1633" s="1"/>
      <c r="RRV1633" s="1"/>
      <c r="RRW1633" s="1"/>
      <c r="RRX1633" s="1"/>
      <c r="RRY1633" s="1"/>
      <c r="RRZ1633" s="1"/>
      <c r="RSA1633" s="1"/>
      <c r="RSB1633" s="1"/>
      <c r="RSC1633" s="1"/>
      <c r="RSD1633" s="1"/>
      <c r="RSE1633" s="1"/>
      <c r="RSF1633" s="1"/>
      <c r="RSG1633" s="1"/>
      <c r="RSH1633" s="1"/>
      <c r="RSI1633" s="1"/>
      <c r="RSJ1633" s="1"/>
      <c r="RSK1633" s="1"/>
      <c r="RSL1633" s="1"/>
      <c r="RSM1633" s="1"/>
      <c r="RSN1633" s="1"/>
      <c r="RSO1633" s="1"/>
      <c r="RSP1633" s="1"/>
      <c r="RSQ1633" s="1"/>
      <c r="RSR1633" s="1"/>
      <c r="RSS1633" s="1"/>
      <c r="RST1633" s="1"/>
      <c r="RSU1633" s="1"/>
      <c r="RSV1633" s="1"/>
      <c r="RSW1633" s="1"/>
      <c r="RSX1633" s="1"/>
      <c r="RSY1633" s="1"/>
      <c r="RSZ1633" s="1"/>
      <c r="RTA1633" s="1"/>
      <c r="RTB1633" s="1"/>
      <c r="RTC1633" s="1"/>
      <c r="RTD1633" s="1"/>
      <c r="RTE1633" s="1"/>
      <c r="RTF1633" s="1"/>
      <c r="RTG1633" s="1"/>
      <c r="RTH1633" s="1"/>
      <c r="RTI1633" s="1"/>
      <c r="RTJ1633" s="1"/>
      <c r="RTK1633" s="1"/>
      <c r="RTL1633" s="1"/>
      <c r="RTM1633" s="1"/>
      <c r="RTN1633" s="1"/>
      <c r="RTO1633" s="1"/>
      <c r="RTP1633" s="1"/>
      <c r="RTQ1633" s="1"/>
      <c r="RTR1633" s="1"/>
      <c r="RTS1633" s="1"/>
      <c r="RTT1633" s="1"/>
      <c r="RTU1633" s="1"/>
      <c r="RTV1633" s="1"/>
      <c r="RTW1633" s="1"/>
      <c r="RTX1633" s="1"/>
      <c r="RTY1633" s="1"/>
      <c r="RTZ1633" s="1"/>
      <c r="RUA1633" s="1"/>
      <c r="RUB1633" s="1"/>
      <c r="RUC1633" s="1"/>
      <c r="RUD1633" s="1"/>
      <c r="RUE1633" s="1"/>
      <c r="RUF1633" s="1"/>
      <c r="RUG1633" s="1"/>
      <c r="RUH1633" s="1"/>
      <c r="RUI1633" s="1"/>
      <c r="RUJ1633" s="1"/>
      <c r="RUK1633" s="1"/>
      <c r="RUL1633" s="1"/>
      <c r="RUM1633" s="1"/>
      <c r="RUN1633" s="1"/>
      <c r="RUO1633" s="1"/>
      <c r="RUP1633" s="1"/>
      <c r="RUQ1633" s="1"/>
      <c r="RUR1633" s="1"/>
      <c r="RUS1633" s="1"/>
      <c r="RUT1633" s="1"/>
      <c r="RUU1633" s="1"/>
      <c r="RUV1633" s="1"/>
      <c r="RUW1633" s="1"/>
      <c r="RUX1633" s="1"/>
      <c r="RUY1633" s="1"/>
      <c r="RUZ1633" s="1"/>
      <c r="RVA1633" s="1"/>
      <c r="RVB1633" s="1"/>
      <c r="RVC1633" s="1"/>
      <c r="RVD1633" s="1"/>
      <c r="RVE1633" s="1"/>
      <c r="RVF1633" s="1"/>
      <c r="RVG1633" s="1"/>
      <c r="RVH1633" s="1"/>
      <c r="RVI1633" s="1"/>
      <c r="RVJ1633" s="1"/>
      <c r="RVK1633" s="1"/>
      <c r="RVL1633" s="1"/>
      <c r="RVM1633" s="1"/>
      <c r="RVN1633" s="1"/>
      <c r="RVO1633" s="1"/>
      <c r="RVP1633" s="1"/>
      <c r="RVQ1633" s="1"/>
      <c r="RVR1633" s="1"/>
      <c r="RVS1633" s="1"/>
      <c r="RVT1633" s="1"/>
      <c r="RVU1633" s="1"/>
      <c r="RVV1633" s="1"/>
      <c r="RVW1633" s="1"/>
      <c r="RVX1633" s="1"/>
      <c r="RVY1633" s="1"/>
      <c r="RVZ1633" s="1"/>
      <c r="RWA1633" s="1"/>
      <c r="RWB1633" s="1"/>
      <c r="RWC1633" s="1"/>
      <c r="RWD1633" s="1"/>
      <c r="RWE1633" s="1"/>
      <c r="RWF1633" s="1"/>
      <c r="RWG1633" s="1"/>
      <c r="RWH1633" s="1"/>
      <c r="RWI1633" s="1"/>
      <c r="RWJ1633" s="1"/>
      <c r="RWK1633" s="1"/>
      <c r="RWL1633" s="1"/>
      <c r="RWM1633" s="1"/>
      <c r="RWN1633" s="1"/>
      <c r="RWO1633" s="1"/>
      <c r="RWP1633" s="1"/>
      <c r="RWQ1633" s="1"/>
      <c r="RWR1633" s="1"/>
      <c r="RWS1633" s="1"/>
      <c r="RWT1633" s="1"/>
      <c r="RWU1633" s="1"/>
      <c r="RWV1633" s="1"/>
      <c r="RWW1633" s="1"/>
      <c r="RWX1633" s="1"/>
      <c r="RWY1633" s="1"/>
      <c r="RWZ1633" s="1"/>
      <c r="RXA1633" s="1"/>
      <c r="RXB1633" s="1"/>
      <c r="RXC1633" s="1"/>
      <c r="RXD1633" s="1"/>
      <c r="RXE1633" s="1"/>
      <c r="RXF1633" s="1"/>
      <c r="RXG1633" s="1"/>
      <c r="RXH1633" s="1"/>
      <c r="RXI1633" s="1"/>
      <c r="RXJ1633" s="1"/>
      <c r="RXK1633" s="1"/>
      <c r="RXL1633" s="1"/>
      <c r="RXM1633" s="1"/>
      <c r="RXN1633" s="1"/>
      <c r="RXO1633" s="1"/>
      <c r="RXP1633" s="1"/>
      <c r="RXQ1633" s="1"/>
      <c r="RXR1633" s="1"/>
      <c r="RXS1633" s="1"/>
      <c r="RXT1633" s="1"/>
      <c r="RXU1633" s="1"/>
      <c r="RXV1633" s="1"/>
      <c r="RXW1633" s="1"/>
      <c r="RXX1633" s="1"/>
      <c r="RXY1633" s="1"/>
      <c r="RXZ1633" s="1"/>
      <c r="RYA1633" s="1"/>
      <c r="RYB1633" s="1"/>
      <c r="RYC1633" s="1"/>
      <c r="RYD1633" s="1"/>
      <c r="RYE1633" s="1"/>
      <c r="RYF1633" s="1"/>
      <c r="RYG1633" s="1"/>
      <c r="RYH1633" s="1"/>
      <c r="RYI1633" s="1"/>
      <c r="RYJ1633" s="1"/>
      <c r="RYK1633" s="1"/>
      <c r="RYL1633" s="1"/>
      <c r="RYM1633" s="1"/>
      <c r="RYN1633" s="1"/>
      <c r="RYO1633" s="1"/>
      <c r="RYP1633" s="1"/>
      <c r="RYQ1633" s="1"/>
      <c r="RYR1633" s="1"/>
      <c r="RYS1633" s="1"/>
      <c r="RYT1633" s="1"/>
      <c r="RYU1633" s="1"/>
      <c r="RYV1633" s="1"/>
      <c r="RYW1633" s="1"/>
      <c r="RYX1633" s="1"/>
      <c r="RYY1633" s="1"/>
      <c r="RYZ1633" s="1"/>
      <c r="RZA1633" s="1"/>
      <c r="RZB1633" s="1"/>
      <c r="RZC1633" s="1"/>
      <c r="RZD1633" s="1"/>
      <c r="RZE1633" s="1"/>
      <c r="RZF1633" s="1"/>
      <c r="RZG1633" s="1"/>
      <c r="RZH1633" s="1"/>
      <c r="RZI1633" s="1"/>
      <c r="RZJ1633" s="1"/>
      <c r="RZK1633" s="1"/>
      <c r="RZL1633" s="1"/>
      <c r="RZM1633" s="1"/>
      <c r="RZN1633" s="1"/>
      <c r="RZO1633" s="1"/>
      <c r="RZP1633" s="1"/>
      <c r="RZQ1633" s="1"/>
      <c r="RZR1633" s="1"/>
      <c r="RZS1633" s="1"/>
      <c r="RZT1633" s="1"/>
      <c r="RZU1633" s="1"/>
      <c r="RZV1633" s="1"/>
      <c r="RZW1633" s="1"/>
      <c r="RZX1633" s="1"/>
      <c r="RZY1633" s="1"/>
      <c r="RZZ1633" s="1"/>
      <c r="SAA1633" s="1"/>
      <c r="SAB1633" s="1"/>
      <c r="SAC1633" s="1"/>
      <c r="SAD1633" s="1"/>
      <c r="SAE1633" s="1"/>
      <c r="SAF1633" s="1"/>
      <c r="SAG1633" s="1"/>
      <c r="SAH1633" s="1"/>
      <c r="SAI1633" s="1"/>
      <c r="SAJ1633" s="1"/>
      <c r="SAK1633" s="1"/>
      <c r="SAL1633" s="1"/>
      <c r="SAM1633" s="1"/>
      <c r="SAN1633" s="1"/>
      <c r="SAO1633" s="1"/>
      <c r="SAP1633" s="1"/>
      <c r="SAQ1633" s="1"/>
      <c r="SAR1633" s="1"/>
      <c r="SAS1633" s="1"/>
      <c r="SAT1633" s="1"/>
      <c r="SAU1633" s="1"/>
      <c r="SAV1633" s="1"/>
      <c r="SAW1633" s="1"/>
      <c r="SAX1633" s="1"/>
      <c r="SAY1633" s="1"/>
      <c r="SAZ1633" s="1"/>
      <c r="SBA1633" s="1"/>
      <c r="SBB1633" s="1"/>
      <c r="SBC1633" s="1"/>
      <c r="SBD1633" s="1"/>
      <c r="SBE1633" s="1"/>
      <c r="SBF1633" s="1"/>
      <c r="SBG1633" s="1"/>
      <c r="SBH1633" s="1"/>
      <c r="SBI1633" s="1"/>
      <c r="SBJ1633" s="1"/>
      <c r="SBK1633" s="1"/>
      <c r="SBL1633" s="1"/>
      <c r="SBM1633" s="1"/>
      <c r="SBN1633" s="1"/>
      <c r="SBO1633" s="1"/>
      <c r="SBP1633" s="1"/>
      <c r="SBQ1633" s="1"/>
      <c r="SBR1633" s="1"/>
      <c r="SBS1633" s="1"/>
      <c r="SBT1633" s="1"/>
      <c r="SBU1633" s="1"/>
      <c r="SBV1633" s="1"/>
      <c r="SBW1633" s="1"/>
      <c r="SBX1633" s="1"/>
      <c r="SBY1633" s="1"/>
      <c r="SBZ1633" s="1"/>
      <c r="SCA1633" s="1"/>
      <c r="SCB1633" s="1"/>
      <c r="SCC1633" s="1"/>
      <c r="SCD1633" s="1"/>
      <c r="SCE1633" s="1"/>
      <c r="SCF1633" s="1"/>
      <c r="SCG1633" s="1"/>
      <c r="SCH1633" s="1"/>
      <c r="SCI1633" s="1"/>
      <c r="SCJ1633" s="1"/>
      <c r="SCK1633" s="1"/>
      <c r="SCL1633" s="1"/>
      <c r="SCM1633" s="1"/>
      <c r="SCN1633" s="1"/>
      <c r="SCO1633" s="1"/>
      <c r="SCP1633" s="1"/>
      <c r="SCQ1633" s="1"/>
      <c r="SCR1633" s="1"/>
      <c r="SCS1633" s="1"/>
      <c r="SCT1633" s="1"/>
      <c r="SCU1633" s="1"/>
      <c r="SCV1633" s="1"/>
      <c r="SCW1633" s="1"/>
      <c r="SCX1633" s="1"/>
      <c r="SCY1633" s="1"/>
      <c r="SCZ1633" s="1"/>
      <c r="SDA1633" s="1"/>
      <c r="SDB1633" s="1"/>
      <c r="SDC1633" s="1"/>
      <c r="SDD1633" s="1"/>
      <c r="SDE1633" s="1"/>
      <c r="SDF1633" s="1"/>
      <c r="SDG1633" s="1"/>
      <c r="SDH1633" s="1"/>
      <c r="SDI1633" s="1"/>
      <c r="SDJ1633" s="1"/>
      <c r="SDK1633" s="1"/>
      <c r="SDL1633" s="1"/>
      <c r="SDM1633" s="1"/>
      <c r="SDN1633" s="1"/>
      <c r="SDO1633" s="1"/>
      <c r="SDP1633" s="1"/>
      <c r="SDQ1633" s="1"/>
      <c r="SDR1633" s="1"/>
      <c r="SDS1633" s="1"/>
      <c r="SDT1633" s="1"/>
      <c r="SDU1633" s="1"/>
      <c r="SDV1633" s="1"/>
      <c r="SDW1633" s="1"/>
      <c r="SDX1633" s="1"/>
      <c r="SDY1633" s="1"/>
      <c r="SDZ1633" s="1"/>
      <c r="SEA1633" s="1"/>
      <c r="SEB1633" s="1"/>
      <c r="SEC1633" s="1"/>
      <c r="SED1633" s="1"/>
      <c r="SEE1633" s="1"/>
      <c r="SEF1633" s="1"/>
      <c r="SEG1633" s="1"/>
      <c r="SEH1633" s="1"/>
      <c r="SEI1633" s="1"/>
      <c r="SEJ1633" s="1"/>
      <c r="SEK1633" s="1"/>
      <c r="SEL1633" s="1"/>
      <c r="SEM1633" s="1"/>
      <c r="SEN1633" s="1"/>
      <c r="SEO1633" s="1"/>
      <c r="SEP1633" s="1"/>
      <c r="SEQ1633" s="1"/>
      <c r="SER1633" s="1"/>
      <c r="SES1633" s="1"/>
      <c r="SET1633" s="1"/>
      <c r="SEU1633" s="1"/>
      <c r="SEV1633" s="1"/>
      <c r="SEW1633" s="1"/>
      <c r="SEX1633" s="1"/>
      <c r="SEY1633" s="1"/>
      <c r="SEZ1633" s="1"/>
      <c r="SFA1633" s="1"/>
      <c r="SFB1633" s="1"/>
      <c r="SFC1633" s="1"/>
      <c r="SFD1633" s="1"/>
      <c r="SFE1633" s="1"/>
      <c r="SFF1633" s="1"/>
      <c r="SFG1633" s="1"/>
      <c r="SFH1633" s="1"/>
      <c r="SFI1633" s="1"/>
      <c r="SFJ1633" s="1"/>
      <c r="SFK1633" s="1"/>
      <c r="SFL1633" s="1"/>
      <c r="SFM1633" s="1"/>
      <c r="SFN1633" s="1"/>
      <c r="SFO1633" s="1"/>
      <c r="SFP1633" s="1"/>
      <c r="SFQ1633" s="1"/>
      <c r="SFR1633" s="1"/>
      <c r="SFS1633" s="1"/>
      <c r="SFT1633" s="1"/>
      <c r="SFU1633" s="1"/>
      <c r="SFV1633" s="1"/>
      <c r="SFW1633" s="1"/>
      <c r="SFX1633" s="1"/>
      <c r="SFY1633" s="1"/>
      <c r="SFZ1633" s="1"/>
      <c r="SGA1633" s="1"/>
      <c r="SGB1633" s="1"/>
      <c r="SGC1633" s="1"/>
      <c r="SGD1633" s="1"/>
      <c r="SGE1633" s="1"/>
      <c r="SGF1633" s="1"/>
      <c r="SGG1633" s="1"/>
      <c r="SGH1633" s="1"/>
      <c r="SGI1633" s="1"/>
      <c r="SGJ1633" s="1"/>
      <c r="SGK1633" s="1"/>
      <c r="SGL1633" s="1"/>
      <c r="SGM1633" s="1"/>
      <c r="SGN1633" s="1"/>
      <c r="SGO1633" s="1"/>
      <c r="SGP1633" s="1"/>
      <c r="SGQ1633" s="1"/>
      <c r="SGR1633" s="1"/>
      <c r="SGS1633" s="1"/>
      <c r="SGT1633" s="1"/>
      <c r="SGU1633" s="1"/>
      <c r="SGV1633" s="1"/>
      <c r="SGW1633" s="1"/>
      <c r="SGX1633" s="1"/>
      <c r="SGY1633" s="1"/>
      <c r="SGZ1633" s="1"/>
      <c r="SHA1633" s="1"/>
      <c r="SHB1633" s="1"/>
      <c r="SHC1633" s="1"/>
      <c r="SHD1633" s="1"/>
      <c r="SHE1633" s="1"/>
      <c r="SHF1633" s="1"/>
      <c r="SHG1633" s="1"/>
      <c r="SHH1633" s="1"/>
      <c r="SHI1633" s="1"/>
      <c r="SHJ1633" s="1"/>
      <c r="SHK1633" s="1"/>
      <c r="SHL1633" s="1"/>
      <c r="SHM1633" s="1"/>
      <c r="SHN1633" s="1"/>
      <c r="SHO1633" s="1"/>
      <c r="SHP1633" s="1"/>
      <c r="SHQ1633" s="1"/>
      <c r="SHR1633" s="1"/>
      <c r="SHS1633" s="1"/>
      <c r="SHT1633" s="1"/>
      <c r="SHU1633" s="1"/>
      <c r="SHV1633" s="1"/>
      <c r="SHW1633" s="1"/>
      <c r="SHX1633" s="1"/>
      <c r="SHY1633" s="1"/>
      <c r="SHZ1633" s="1"/>
      <c r="SIA1633" s="1"/>
      <c r="SIB1633" s="1"/>
      <c r="SIC1633" s="1"/>
      <c r="SID1633" s="1"/>
      <c r="SIE1633" s="1"/>
      <c r="SIF1633" s="1"/>
      <c r="SIG1633" s="1"/>
      <c r="SIH1633" s="1"/>
      <c r="SII1633" s="1"/>
      <c r="SIJ1633" s="1"/>
      <c r="SIK1633" s="1"/>
      <c r="SIL1633" s="1"/>
      <c r="SIM1633" s="1"/>
      <c r="SIN1633" s="1"/>
      <c r="SIO1633" s="1"/>
      <c r="SIP1633" s="1"/>
      <c r="SIQ1633" s="1"/>
      <c r="SIR1633" s="1"/>
      <c r="SIS1633" s="1"/>
      <c r="SIT1633" s="1"/>
      <c r="SIU1633" s="1"/>
      <c r="SIV1633" s="1"/>
      <c r="SIW1633" s="1"/>
      <c r="SIX1633" s="1"/>
      <c r="SIY1633" s="1"/>
      <c r="SIZ1633" s="1"/>
      <c r="SJA1633" s="1"/>
      <c r="SJB1633" s="1"/>
      <c r="SJC1633" s="1"/>
      <c r="SJD1633" s="1"/>
      <c r="SJE1633" s="1"/>
      <c r="SJF1633" s="1"/>
      <c r="SJG1633" s="1"/>
      <c r="SJH1633" s="1"/>
      <c r="SJI1633" s="1"/>
      <c r="SJJ1633" s="1"/>
      <c r="SJK1633" s="1"/>
      <c r="SJL1633" s="1"/>
      <c r="SJM1633" s="1"/>
      <c r="SJN1633" s="1"/>
      <c r="SJO1633" s="1"/>
      <c r="SJP1633" s="1"/>
      <c r="SJQ1633" s="1"/>
      <c r="SJR1633" s="1"/>
      <c r="SJS1633" s="1"/>
      <c r="SJT1633" s="1"/>
      <c r="SJU1633" s="1"/>
      <c r="SJV1633" s="1"/>
      <c r="SJW1633" s="1"/>
      <c r="SJX1633" s="1"/>
      <c r="SJY1633" s="1"/>
      <c r="SJZ1633" s="1"/>
      <c r="SKA1633" s="1"/>
      <c r="SKB1633" s="1"/>
      <c r="SKC1633" s="1"/>
      <c r="SKD1633" s="1"/>
      <c r="SKE1633" s="1"/>
      <c r="SKF1633" s="1"/>
      <c r="SKG1633" s="1"/>
      <c r="SKH1633" s="1"/>
      <c r="SKI1633" s="1"/>
      <c r="SKJ1633" s="1"/>
      <c r="SKK1633" s="1"/>
      <c r="SKL1633" s="1"/>
      <c r="SKM1633" s="1"/>
      <c r="SKN1633" s="1"/>
      <c r="SKO1633" s="1"/>
      <c r="SKP1633" s="1"/>
      <c r="SKQ1633" s="1"/>
      <c r="SKR1633" s="1"/>
      <c r="SKS1633" s="1"/>
      <c r="SKT1633" s="1"/>
      <c r="SKU1633" s="1"/>
      <c r="SKV1633" s="1"/>
      <c r="SKW1633" s="1"/>
      <c r="SKX1633" s="1"/>
      <c r="SKY1633" s="1"/>
      <c r="SKZ1633" s="1"/>
      <c r="SLA1633" s="1"/>
      <c r="SLB1633" s="1"/>
      <c r="SLC1633" s="1"/>
      <c r="SLD1633" s="1"/>
      <c r="SLE1633" s="1"/>
      <c r="SLF1633" s="1"/>
      <c r="SLG1633" s="1"/>
      <c r="SLH1633" s="1"/>
      <c r="SLI1633" s="1"/>
      <c r="SLJ1633" s="1"/>
      <c r="SLK1633" s="1"/>
      <c r="SLL1633" s="1"/>
      <c r="SLM1633" s="1"/>
      <c r="SLN1633" s="1"/>
      <c r="SLO1633" s="1"/>
      <c r="SLP1633" s="1"/>
      <c r="SLQ1633" s="1"/>
      <c r="SLR1633" s="1"/>
      <c r="SLS1633" s="1"/>
      <c r="SLT1633" s="1"/>
      <c r="SLU1633" s="1"/>
      <c r="SLV1633" s="1"/>
      <c r="SLW1633" s="1"/>
      <c r="SLX1633" s="1"/>
      <c r="SLY1633" s="1"/>
      <c r="SLZ1633" s="1"/>
      <c r="SMA1633" s="1"/>
      <c r="SMB1633" s="1"/>
      <c r="SMC1633" s="1"/>
      <c r="SMD1633" s="1"/>
      <c r="SME1633" s="1"/>
      <c r="SMF1633" s="1"/>
      <c r="SMG1633" s="1"/>
      <c r="SMH1633" s="1"/>
      <c r="SMI1633" s="1"/>
      <c r="SMJ1633" s="1"/>
      <c r="SMK1633" s="1"/>
      <c r="SML1633" s="1"/>
      <c r="SMM1633" s="1"/>
      <c r="SMN1633" s="1"/>
      <c r="SMO1633" s="1"/>
      <c r="SMP1633" s="1"/>
      <c r="SMQ1633" s="1"/>
      <c r="SMR1633" s="1"/>
      <c r="SMS1633" s="1"/>
      <c r="SMT1633" s="1"/>
      <c r="SMU1633" s="1"/>
      <c r="SMV1633" s="1"/>
      <c r="SMW1633" s="1"/>
      <c r="SMX1633" s="1"/>
      <c r="SMY1633" s="1"/>
      <c r="SMZ1633" s="1"/>
      <c r="SNA1633" s="1"/>
      <c r="SNB1633" s="1"/>
      <c r="SNC1633" s="1"/>
      <c r="SND1633" s="1"/>
      <c r="SNE1633" s="1"/>
      <c r="SNF1633" s="1"/>
      <c r="SNG1633" s="1"/>
      <c r="SNH1633" s="1"/>
      <c r="SNI1633" s="1"/>
      <c r="SNJ1633" s="1"/>
      <c r="SNK1633" s="1"/>
      <c r="SNL1633" s="1"/>
      <c r="SNM1633" s="1"/>
      <c r="SNN1633" s="1"/>
      <c r="SNO1633" s="1"/>
      <c r="SNP1633" s="1"/>
      <c r="SNQ1633" s="1"/>
      <c r="SNR1633" s="1"/>
      <c r="SNS1633" s="1"/>
      <c r="SNT1633" s="1"/>
      <c r="SNU1633" s="1"/>
      <c r="SNV1633" s="1"/>
      <c r="SNW1633" s="1"/>
      <c r="SNX1633" s="1"/>
      <c r="SNY1633" s="1"/>
      <c r="SNZ1633" s="1"/>
      <c r="SOA1633" s="1"/>
      <c r="SOB1633" s="1"/>
      <c r="SOC1633" s="1"/>
      <c r="SOD1633" s="1"/>
      <c r="SOE1633" s="1"/>
      <c r="SOF1633" s="1"/>
      <c r="SOG1633" s="1"/>
      <c r="SOH1633" s="1"/>
      <c r="SOI1633" s="1"/>
      <c r="SOJ1633" s="1"/>
      <c r="SOK1633" s="1"/>
      <c r="SOL1633" s="1"/>
      <c r="SOM1633" s="1"/>
      <c r="SON1633" s="1"/>
      <c r="SOO1633" s="1"/>
      <c r="SOP1633" s="1"/>
      <c r="SOQ1633" s="1"/>
      <c r="SOR1633" s="1"/>
      <c r="SOS1633" s="1"/>
      <c r="SOT1633" s="1"/>
      <c r="SOU1633" s="1"/>
      <c r="SOV1633" s="1"/>
      <c r="SOW1633" s="1"/>
      <c r="SOX1633" s="1"/>
      <c r="SOY1633" s="1"/>
      <c r="SOZ1633" s="1"/>
      <c r="SPA1633" s="1"/>
      <c r="SPB1633" s="1"/>
      <c r="SPC1633" s="1"/>
      <c r="SPD1633" s="1"/>
      <c r="SPE1633" s="1"/>
      <c r="SPF1633" s="1"/>
      <c r="SPG1633" s="1"/>
      <c r="SPH1633" s="1"/>
      <c r="SPI1633" s="1"/>
      <c r="SPJ1633" s="1"/>
      <c r="SPK1633" s="1"/>
      <c r="SPL1633" s="1"/>
      <c r="SPM1633" s="1"/>
      <c r="SPN1633" s="1"/>
      <c r="SPO1633" s="1"/>
      <c r="SPP1633" s="1"/>
      <c r="SPQ1633" s="1"/>
      <c r="SPR1633" s="1"/>
      <c r="SPS1633" s="1"/>
      <c r="SPT1633" s="1"/>
      <c r="SPU1633" s="1"/>
      <c r="SPV1633" s="1"/>
      <c r="SPW1633" s="1"/>
      <c r="SPX1633" s="1"/>
      <c r="SPY1633" s="1"/>
      <c r="SPZ1633" s="1"/>
      <c r="SQA1633" s="1"/>
      <c r="SQB1633" s="1"/>
      <c r="SQC1633" s="1"/>
      <c r="SQD1633" s="1"/>
      <c r="SQE1633" s="1"/>
      <c r="SQF1633" s="1"/>
      <c r="SQG1633" s="1"/>
      <c r="SQH1633" s="1"/>
      <c r="SQI1633" s="1"/>
      <c r="SQJ1633" s="1"/>
      <c r="SQK1633" s="1"/>
      <c r="SQL1633" s="1"/>
      <c r="SQM1633" s="1"/>
      <c r="SQN1633" s="1"/>
      <c r="SQO1633" s="1"/>
      <c r="SQP1633" s="1"/>
      <c r="SQQ1633" s="1"/>
      <c r="SQR1633" s="1"/>
      <c r="SQS1633" s="1"/>
      <c r="SQT1633" s="1"/>
      <c r="SQU1633" s="1"/>
      <c r="SQV1633" s="1"/>
      <c r="SQW1633" s="1"/>
      <c r="SQX1633" s="1"/>
      <c r="SQY1633" s="1"/>
      <c r="SQZ1633" s="1"/>
      <c r="SRA1633" s="1"/>
      <c r="SRB1633" s="1"/>
      <c r="SRC1633" s="1"/>
      <c r="SRD1633" s="1"/>
      <c r="SRE1633" s="1"/>
      <c r="SRF1633" s="1"/>
      <c r="SRG1633" s="1"/>
      <c r="SRH1633" s="1"/>
      <c r="SRI1633" s="1"/>
      <c r="SRJ1633" s="1"/>
      <c r="SRK1633" s="1"/>
      <c r="SRL1633" s="1"/>
      <c r="SRM1633" s="1"/>
      <c r="SRN1633" s="1"/>
      <c r="SRO1633" s="1"/>
      <c r="SRP1633" s="1"/>
      <c r="SRQ1633" s="1"/>
      <c r="SRR1633" s="1"/>
      <c r="SRS1633" s="1"/>
      <c r="SRT1633" s="1"/>
      <c r="SRU1633" s="1"/>
      <c r="SRV1633" s="1"/>
      <c r="SRW1633" s="1"/>
      <c r="SRX1633" s="1"/>
      <c r="SRY1633" s="1"/>
      <c r="SRZ1633" s="1"/>
      <c r="SSA1633" s="1"/>
      <c r="SSB1633" s="1"/>
      <c r="SSC1633" s="1"/>
      <c r="SSD1633" s="1"/>
      <c r="SSE1633" s="1"/>
      <c r="SSF1633" s="1"/>
      <c r="SSG1633" s="1"/>
      <c r="SSH1633" s="1"/>
      <c r="SSI1633" s="1"/>
      <c r="SSJ1633" s="1"/>
      <c r="SSK1633" s="1"/>
      <c r="SSL1633" s="1"/>
      <c r="SSM1633" s="1"/>
      <c r="SSN1633" s="1"/>
      <c r="SSO1633" s="1"/>
      <c r="SSP1633" s="1"/>
      <c r="SSQ1633" s="1"/>
      <c r="SSR1633" s="1"/>
      <c r="SSS1633" s="1"/>
      <c r="SST1633" s="1"/>
      <c r="SSU1633" s="1"/>
      <c r="SSV1633" s="1"/>
      <c r="SSW1633" s="1"/>
      <c r="SSX1633" s="1"/>
      <c r="SSY1633" s="1"/>
      <c r="SSZ1633" s="1"/>
      <c r="STA1633" s="1"/>
      <c r="STB1633" s="1"/>
      <c r="STC1633" s="1"/>
      <c r="STD1633" s="1"/>
      <c r="STE1633" s="1"/>
      <c r="STF1633" s="1"/>
      <c r="STG1633" s="1"/>
      <c r="STH1633" s="1"/>
      <c r="STI1633" s="1"/>
      <c r="STJ1633" s="1"/>
      <c r="STK1633" s="1"/>
      <c r="STL1633" s="1"/>
      <c r="STM1633" s="1"/>
      <c r="STN1633" s="1"/>
      <c r="STO1633" s="1"/>
      <c r="STP1633" s="1"/>
      <c r="STQ1633" s="1"/>
      <c r="STR1633" s="1"/>
      <c r="STS1633" s="1"/>
      <c r="STT1633" s="1"/>
      <c r="STU1633" s="1"/>
      <c r="STV1633" s="1"/>
      <c r="STW1633" s="1"/>
      <c r="STX1633" s="1"/>
      <c r="STY1633" s="1"/>
      <c r="STZ1633" s="1"/>
      <c r="SUA1633" s="1"/>
      <c r="SUB1633" s="1"/>
      <c r="SUC1633" s="1"/>
      <c r="SUD1633" s="1"/>
      <c r="SUE1633" s="1"/>
      <c r="SUF1633" s="1"/>
      <c r="SUG1633" s="1"/>
      <c r="SUH1633" s="1"/>
      <c r="SUI1633" s="1"/>
      <c r="SUJ1633" s="1"/>
      <c r="SUK1633" s="1"/>
      <c r="SUL1633" s="1"/>
      <c r="SUM1633" s="1"/>
      <c r="SUN1633" s="1"/>
      <c r="SUO1633" s="1"/>
      <c r="SUP1633" s="1"/>
      <c r="SUQ1633" s="1"/>
      <c r="SUR1633" s="1"/>
      <c r="SUS1633" s="1"/>
      <c r="SUT1633" s="1"/>
      <c r="SUU1633" s="1"/>
      <c r="SUV1633" s="1"/>
      <c r="SUW1633" s="1"/>
      <c r="SUX1633" s="1"/>
      <c r="SUY1633" s="1"/>
      <c r="SUZ1633" s="1"/>
      <c r="SVA1633" s="1"/>
      <c r="SVB1633" s="1"/>
      <c r="SVC1633" s="1"/>
      <c r="SVD1633" s="1"/>
      <c r="SVE1633" s="1"/>
      <c r="SVF1633" s="1"/>
      <c r="SVG1633" s="1"/>
      <c r="SVH1633" s="1"/>
      <c r="SVI1633" s="1"/>
      <c r="SVJ1633" s="1"/>
      <c r="SVK1633" s="1"/>
      <c r="SVL1633" s="1"/>
      <c r="SVM1633" s="1"/>
      <c r="SVN1633" s="1"/>
      <c r="SVO1633" s="1"/>
      <c r="SVP1633" s="1"/>
      <c r="SVQ1633" s="1"/>
      <c r="SVR1633" s="1"/>
      <c r="SVS1633" s="1"/>
      <c r="SVT1633" s="1"/>
      <c r="SVU1633" s="1"/>
      <c r="SVV1633" s="1"/>
      <c r="SVW1633" s="1"/>
      <c r="SVX1633" s="1"/>
      <c r="SVY1633" s="1"/>
      <c r="SVZ1633" s="1"/>
      <c r="SWA1633" s="1"/>
      <c r="SWB1633" s="1"/>
      <c r="SWC1633" s="1"/>
      <c r="SWD1633" s="1"/>
      <c r="SWE1633" s="1"/>
      <c r="SWF1633" s="1"/>
      <c r="SWG1633" s="1"/>
      <c r="SWH1633" s="1"/>
      <c r="SWI1633" s="1"/>
      <c r="SWJ1633" s="1"/>
      <c r="SWK1633" s="1"/>
      <c r="SWL1633" s="1"/>
      <c r="SWM1633" s="1"/>
      <c r="SWN1633" s="1"/>
      <c r="SWO1633" s="1"/>
      <c r="SWP1633" s="1"/>
      <c r="SWQ1633" s="1"/>
      <c r="SWR1633" s="1"/>
      <c r="SWS1633" s="1"/>
      <c r="SWT1633" s="1"/>
      <c r="SWU1633" s="1"/>
      <c r="SWV1633" s="1"/>
      <c r="SWW1633" s="1"/>
      <c r="SWX1633" s="1"/>
      <c r="SWY1633" s="1"/>
      <c r="SWZ1633" s="1"/>
      <c r="SXA1633" s="1"/>
      <c r="SXB1633" s="1"/>
      <c r="SXC1633" s="1"/>
      <c r="SXD1633" s="1"/>
      <c r="SXE1633" s="1"/>
      <c r="SXF1633" s="1"/>
      <c r="SXG1633" s="1"/>
      <c r="SXH1633" s="1"/>
      <c r="SXI1633" s="1"/>
      <c r="SXJ1633" s="1"/>
      <c r="SXK1633" s="1"/>
      <c r="SXL1633" s="1"/>
      <c r="SXM1633" s="1"/>
      <c r="SXN1633" s="1"/>
      <c r="SXO1633" s="1"/>
      <c r="SXP1633" s="1"/>
      <c r="SXQ1633" s="1"/>
      <c r="SXR1633" s="1"/>
      <c r="SXS1633" s="1"/>
      <c r="SXT1633" s="1"/>
      <c r="SXU1633" s="1"/>
      <c r="SXV1633" s="1"/>
      <c r="SXW1633" s="1"/>
      <c r="SXX1633" s="1"/>
      <c r="SXY1633" s="1"/>
      <c r="SXZ1633" s="1"/>
      <c r="SYA1633" s="1"/>
      <c r="SYB1633" s="1"/>
      <c r="SYC1633" s="1"/>
      <c r="SYD1633" s="1"/>
      <c r="SYE1633" s="1"/>
      <c r="SYF1633" s="1"/>
      <c r="SYG1633" s="1"/>
      <c r="SYH1633" s="1"/>
      <c r="SYI1633" s="1"/>
      <c r="SYJ1633" s="1"/>
      <c r="SYK1633" s="1"/>
      <c r="SYL1633" s="1"/>
      <c r="SYM1633" s="1"/>
      <c r="SYN1633" s="1"/>
      <c r="SYO1633" s="1"/>
      <c r="SYP1633" s="1"/>
      <c r="SYQ1633" s="1"/>
      <c r="SYR1633" s="1"/>
      <c r="SYS1633" s="1"/>
      <c r="SYT1633" s="1"/>
      <c r="SYU1633" s="1"/>
      <c r="SYV1633" s="1"/>
      <c r="SYW1633" s="1"/>
      <c r="SYX1633" s="1"/>
      <c r="SYY1633" s="1"/>
      <c r="SYZ1633" s="1"/>
      <c r="SZA1633" s="1"/>
      <c r="SZB1633" s="1"/>
      <c r="SZC1633" s="1"/>
      <c r="SZD1633" s="1"/>
      <c r="SZE1633" s="1"/>
      <c r="SZF1633" s="1"/>
      <c r="SZG1633" s="1"/>
      <c r="SZH1633" s="1"/>
      <c r="SZI1633" s="1"/>
      <c r="SZJ1633" s="1"/>
      <c r="SZK1633" s="1"/>
      <c r="SZL1633" s="1"/>
      <c r="SZM1633" s="1"/>
      <c r="SZN1633" s="1"/>
      <c r="SZO1633" s="1"/>
      <c r="SZP1633" s="1"/>
      <c r="SZQ1633" s="1"/>
      <c r="SZR1633" s="1"/>
      <c r="SZS1633" s="1"/>
      <c r="SZT1633" s="1"/>
      <c r="SZU1633" s="1"/>
      <c r="SZV1633" s="1"/>
      <c r="SZW1633" s="1"/>
      <c r="SZX1633" s="1"/>
      <c r="SZY1633" s="1"/>
      <c r="SZZ1633" s="1"/>
      <c r="TAA1633" s="1"/>
      <c r="TAB1633" s="1"/>
      <c r="TAC1633" s="1"/>
      <c r="TAD1633" s="1"/>
      <c r="TAE1633" s="1"/>
      <c r="TAF1633" s="1"/>
      <c r="TAG1633" s="1"/>
      <c r="TAH1633" s="1"/>
      <c r="TAI1633" s="1"/>
      <c r="TAJ1633" s="1"/>
      <c r="TAK1633" s="1"/>
      <c r="TAL1633" s="1"/>
      <c r="TAM1633" s="1"/>
      <c r="TAN1633" s="1"/>
      <c r="TAO1633" s="1"/>
      <c r="TAP1633" s="1"/>
      <c r="TAQ1633" s="1"/>
      <c r="TAR1633" s="1"/>
      <c r="TAS1633" s="1"/>
      <c r="TAT1633" s="1"/>
      <c r="TAU1633" s="1"/>
      <c r="TAV1633" s="1"/>
      <c r="TAW1633" s="1"/>
      <c r="TAX1633" s="1"/>
      <c r="TAY1633" s="1"/>
      <c r="TAZ1633" s="1"/>
      <c r="TBA1633" s="1"/>
      <c r="TBB1633" s="1"/>
      <c r="TBC1633" s="1"/>
      <c r="TBD1633" s="1"/>
      <c r="TBE1633" s="1"/>
      <c r="TBF1633" s="1"/>
      <c r="TBG1633" s="1"/>
      <c r="TBH1633" s="1"/>
      <c r="TBI1633" s="1"/>
      <c r="TBJ1633" s="1"/>
      <c r="TBK1633" s="1"/>
      <c r="TBL1633" s="1"/>
      <c r="TBM1633" s="1"/>
      <c r="TBN1633" s="1"/>
      <c r="TBO1633" s="1"/>
      <c r="TBP1633" s="1"/>
      <c r="TBQ1633" s="1"/>
      <c r="TBR1633" s="1"/>
      <c r="TBS1633" s="1"/>
      <c r="TBT1633" s="1"/>
      <c r="TBU1633" s="1"/>
      <c r="TBV1633" s="1"/>
      <c r="TBW1633" s="1"/>
      <c r="TBX1633" s="1"/>
      <c r="TBY1633" s="1"/>
      <c r="TBZ1633" s="1"/>
      <c r="TCA1633" s="1"/>
      <c r="TCB1633" s="1"/>
      <c r="TCC1633" s="1"/>
      <c r="TCD1633" s="1"/>
      <c r="TCE1633" s="1"/>
      <c r="TCF1633" s="1"/>
      <c r="TCG1633" s="1"/>
      <c r="TCH1633" s="1"/>
      <c r="TCI1633" s="1"/>
      <c r="TCJ1633" s="1"/>
      <c r="TCK1633" s="1"/>
      <c r="TCL1633" s="1"/>
      <c r="TCM1633" s="1"/>
      <c r="TCN1633" s="1"/>
      <c r="TCO1633" s="1"/>
      <c r="TCP1633" s="1"/>
      <c r="TCQ1633" s="1"/>
      <c r="TCR1633" s="1"/>
      <c r="TCS1633" s="1"/>
      <c r="TCT1633" s="1"/>
      <c r="TCU1633" s="1"/>
      <c r="TCV1633" s="1"/>
      <c r="TCW1633" s="1"/>
      <c r="TCX1633" s="1"/>
      <c r="TCY1633" s="1"/>
      <c r="TCZ1633" s="1"/>
      <c r="TDA1633" s="1"/>
      <c r="TDB1633" s="1"/>
      <c r="TDC1633" s="1"/>
      <c r="TDD1633" s="1"/>
      <c r="TDE1633" s="1"/>
      <c r="TDF1633" s="1"/>
      <c r="TDG1633" s="1"/>
      <c r="TDH1633" s="1"/>
      <c r="TDI1633" s="1"/>
      <c r="TDJ1633" s="1"/>
      <c r="TDK1633" s="1"/>
      <c r="TDL1633" s="1"/>
      <c r="TDM1633" s="1"/>
      <c r="TDN1633" s="1"/>
      <c r="TDO1633" s="1"/>
      <c r="TDP1633" s="1"/>
      <c r="TDQ1633" s="1"/>
      <c r="TDR1633" s="1"/>
      <c r="TDS1633" s="1"/>
      <c r="TDT1633" s="1"/>
      <c r="TDU1633" s="1"/>
      <c r="TDV1633" s="1"/>
      <c r="TDW1633" s="1"/>
      <c r="TDX1633" s="1"/>
      <c r="TDY1633" s="1"/>
      <c r="TDZ1633" s="1"/>
      <c r="TEA1633" s="1"/>
      <c r="TEB1633" s="1"/>
      <c r="TEC1633" s="1"/>
      <c r="TED1633" s="1"/>
      <c r="TEE1633" s="1"/>
      <c r="TEF1633" s="1"/>
      <c r="TEG1633" s="1"/>
      <c r="TEH1633" s="1"/>
      <c r="TEI1633" s="1"/>
      <c r="TEJ1633" s="1"/>
      <c r="TEK1633" s="1"/>
      <c r="TEL1633" s="1"/>
      <c r="TEM1633" s="1"/>
      <c r="TEN1633" s="1"/>
      <c r="TEO1633" s="1"/>
      <c r="TEP1633" s="1"/>
      <c r="TEQ1633" s="1"/>
      <c r="TER1633" s="1"/>
      <c r="TES1633" s="1"/>
      <c r="TET1633" s="1"/>
      <c r="TEU1633" s="1"/>
      <c r="TEV1633" s="1"/>
      <c r="TEW1633" s="1"/>
      <c r="TEX1633" s="1"/>
      <c r="TEY1633" s="1"/>
      <c r="TEZ1633" s="1"/>
      <c r="TFA1633" s="1"/>
      <c r="TFB1633" s="1"/>
      <c r="TFC1633" s="1"/>
      <c r="TFD1633" s="1"/>
      <c r="TFE1633" s="1"/>
      <c r="TFF1633" s="1"/>
      <c r="TFG1633" s="1"/>
      <c r="TFH1633" s="1"/>
      <c r="TFI1633" s="1"/>
      <c r="TFJ1633" s="1"/>
      <c r="TFK1633" s="1"/>
      <c r="TFL1633" s="1"/>
      <c r="TFM1633" s="1"/>
      <c r="TFN1633" s="1"/>
      <c r="TFO1633" s="1"/>
      <c r="TFP1633" s="1"/>
      <c r="TFQ1633" s="1"/>
      <c r="TFR1633" s="1"/>
      <c r="TFS1633" s="1"/>
      <c r="TFT1633" s="1"/>
      <c r="TFU1633" s="1"/>
      <c r="TFV1633" s="1"/>
      <c r="TFW1633" s="1"/>
      <c r="TFX1633" s="1"/>
      <c r="TFY1633" s="1"/>
      <c r="TFZ1633" s="1"/>
      <c r="TGA1633" s="1"/>
      <c r="TGB1633" s="1"/>
      <c r="TGC1633" s="1"/>
      <c r="TGD1633" s="1"/>
      <c r="TGE1633" s="1"/>
      <c r="TGF1633" s="1"/>
      <c r="TGG1633" s="1"/>
      <c r="TGH1633" s="1"/>
      <c r="TGI1633" s="1"/>
      <c r="TGJ1633" s="1"/>
      <c r="TGK1633" s="1"/>
      <c r="TGL1633" s="1"/>
      <c r="TGM1633" s="1"/>
      <c r="TGN1633" s="1"/>
      <c r="TGO1633" s="1"/>
      <c r="TGP1633" s="1"/>
      <c r="TGQ1633" s="1"/>
      <c r="TGR1633" s="1"/>
      <c r="TGS1633" s="1"/>
      <c r="TGT1633" s="1"/>
      <c r="TGU1633" s="1"/>
      <c r="TGV1633" s="1"/>
      <c r="TGW1633" s="1"/>
      <c r="TGX1633" s="1"/>
      <c r="TGY1633" s="1"/>
      <c r="TGZ1633" s="1"/>
      <c r="THA1633" s="1"/>
      <c r="THB1633" s="1"/>
      <c r="THC1633" s="1"/>
      <c r="THD1633" s="1"/>
      <c r="THE1633" s="1"/>
      <c r="THF1633" s="1"/>
      <c r="THG1633" s="1"/>
      <c r="THH1633" s="1"/>
      <c r="THI1633" s="1"/>
      <c r="THJ1633" s="1"/>
      <c r="THK1633" s="1"/>
      <c r="THL1633" s="1"/>
      <c r="THM1633" s="1"/>
      <c r="THN1633" s="1"/>
      <c r="THO1633" s="1"/>
      <c r="THP1633" s="1"/>
      <c r="THQ1633" s="1"/>
      <c r="THR1633" s="1"/>
      <c r="THS1633" s="1"/>
      <c r="THT1633" s="1"/>
      <c r="THU1633" s="1"/>
      <c r="THV1633" s="1"/>
      <c r="THW1633" s="1"/>
      <c r="THX1633" s="1"/>
      <c r="THY1633" s="1"/>
      <c r="THZ1633" s="1"/>
      <c r="TIA1633" s="1"/>
      <c r="TIB1633" s="1"/>
      <c r="TIC1633" s="1"/>
      <c r="TID1633" s="1"/>
      <c r="TIE1633" s="1"/>
      <c r="TIF1633" s="1"/>
      <c r="TIG1633" s="1"/>
      <c r="TIH1633" s="1"/>
      <c r="TII1633" s="1"/>
      <c r="TIJ1633" s="1"/>
      <c r="TIK1633" s="1"/>
      <c r="TIL1633" s="1"/>
      <c r="TIM1633" s="1"/>
      <c r="TIN1633" s="1"/>
      <c r="TIO1633" s="1"/>
      <c r="TIP1633" s="1"/>
      <c r="TIQ1633" s="1"/>
      <c r="TIR1633" s="1"/>
      <c r="TIS1633" s="1"/>
      <c r="TIT1633" s="1"/>
      <c r="TIU1633" s="1"/>
      <c r="TIV1633" s="1"/>
      <c r="TIW1633" s="1"/>
      <c r="TIX1633" s="1"/>
      <c r="TIY1633" s="1"/>
      <c r="TIZ1633" s="1"/>
      <c r="TJA1633" s="1"/>
      <c r="TJB1633" s="1"/>
      <c r="TJC1633" s="1"/>
      <c r="TJD1633" s="1"/>
      <c r="TJE1633" s="1"/>
      <c r="TJF1633" s="1"/>
      <c r="TJG1633" s="1"/>
      <c r="TJH1633" s="1"/>
      <c r="TJI1633" s="1"/>
      <c r="TJJ1633" s="1"/>
      <c r="TJK1633" s="1"/>
      <c r="TJL1633" s="1"/>
      <c r="TJM1633" s="1"/>
      <c r="TJN1633" s="1"/>
      <c r="TJO1633" s="1"/>
      <c r="TJP1633" s="1"/>
      <c r="TJQ1633" s="1"/>
      <c r="TJR1633" s="1"/>
      <c r="TJS1633" s="1"/>
      <c r="TJT1633" s="1"/>
      <c r="TJU1633" s="1"/>
      <c r="TJV1633" s="1"/>
      <c r="TJW1633" s="1"/>
      <c r="TJX1633" s="1"/>
      <c r="TJY1633" s="1"/>
      <c r="TJZ1633" s="1"/>
      <c r="TKA1633" s="1"/>
      <c r="TKB1633" s="1"/>
      <c r="TKC1633" s="1"/>
      <c r="TKD1633" s="1"/>
      <c r="TKE1633" s="1"/>
      <c r="TKF1633" s="1"/>
      <c r="TKG1633" s="1"/>
      <c r="TKH1633" s="1"/>
      <c r="TKI1633" s="1"/>
      <c r="TKJ1633" s="1"/>
      <c r="TKK1633" s="1"/>
      <c r="TKL1633" s="1"/>
      <c r="TKM1633" s="1"/>
      <c r="TKN1633" s="1"/>
      <c r="TKO1633" s="1"/>
      <c r="TKP1633" s="1"/>
      <c r="TKQ1633" s="1"/>
      <c r="TKR1633" s="1"/>
      <c r="TKS1633" s="1"/>
      <c r="TKT1633" s="1"/>
      <c r="TKU1633" s="1"/>
      <c r="TKV1633" s="1"/>
      <c r="TKW1633" s="1"/>
      <c r="TKX1633" s="1"/>
      <c r="TKY1633" s="1"/>
      <c r="TKZ1633" s="1"/>
      <c r="TLA1633" s="1"/>
      <c r="TLB1633" s="1"/>
      <c r="TLC1633" s="1"/>
      <c r="TLD1633" s="1"/>
      <c r="TLE1633" s="1"/>
      <c r="TLF1633" s="1"/>
      <c r="TLG1633" s="1"/>
      <c r="TLH1633" s="1"/>
      <c r="TLI1633" s="1"/>
      <c r="TLJ1633" s="1"/>
      <c r="TLK1633" s="1"/>
      <c r="TLL1633" s="1"/>
      <c r="TLM1633" s="1"/>
      <c r="TLN1633" s="1"/>
      <c r="TLO1633" s="1"/>
      <c r="TLP1633" s="1"/>
      <c r="TLQ1633" s="1"/>
      <c r="TLR1633" s="1"/>
      <c r="TLS1633" s="1"/>
      <c r="TLT1633" s="1"/>
      <c r="TLU1633" s="1"/>
      <c r="TLV1633" s="1"/>
      <c r="TLW1633" s="1"/>
      <c r="TLX1633" s="1"/>
      <c r="TLY1633" s="1"/>
      <c r="TLZ1633" s="1"/>
      <c r="TMA1633" s="1"/>
      <c r="TMB1633" s="1"/>
      <c r="TMC1633" s="1"/>
      <c r="TMD1633" s="1"/>
      <c r="TME1633" s="1"/>
      <c r="TMF1633" s="1"/>
      <c r="TMG1633" s="1"/>
      <c r="TMH1633" s="1"/>
      <c r="TMI1633" s="1"/>
      <c r="TMJ1633" s="1"/>
      <c r="TMK1633" s="1"/>
      <c r="TML1633" s="1"/>
      <c r="TMM1633" s="1"/>
      <c r="TMN1633" s="1"/>
      <c r="TMO1633" s="1"/>
      <c r="TMP1633" s="1"/>
      <c r="TMQ1633" s="1"/>
      <c r="TMR1633" s="1"/>
      <c r="TMS1633" s="1"/>
      <c r="TMT1633" s="1"/>
      <c r="TMU1633" s="1"/>
      <c r="TMV1633" s="1"/>
      <c r="TMW1633" s="1"/>
      <c r="TMX1633" s="1"/>
      <c r="TMY1633" s="1"/>
      <c r="TMZ1633" s="1"/>
      <c r="TNA1633" s="1"/>
      <c r="TNB1633" s="1"/>
      <c r="TNC1633" s="1"/>
      <c r="TND1633" s="1"/>
      <c r="TNE1633" s="1"/>
      <c r="TNF1633" s="1"/>
      <c r="TNG1633" s="1"/>
      <c r="TNH1633" s="1"/>
      <c r="TNI1633" s="1"/>
      <c r="TNJ1633" s="1"/>
      <c r="TNK1633" s="1"/>
      <c r="TNL1633" s="1"/>
      <c r="TNM1633" s="1"/>
      <c r="TNN1633" s="1"/>
      <c r="TNO1633" s="1"/>
      <c r="TNP1633" s="1"/>
      <c r="TNQ1633" s="1"/>
      <c r="TNR1633" s="1"/>
      <c r="TNS1633" s="1"/>
      <c r="TNT1633" s="1"/>
      <c r="TNU1633" s="1"/>
      <c r="TNV1633" s="1"/>
      <c r="TNW1633" s="1"/>
      <c r="TNX1633" s="1"/>
      <c r="TNY1633" s="1"/>
      <c r="TNZ1633" s="1"/>
      <c r="TOA1633" s="1"/>
      <c r="TOB1633" s="1"/>
      <c r="TOC1633" s="1"/>
      <c r="TOD1633" s="1"/>
      <c r="TOE1633" s="1"/>
      <c r="TOF1633" s="1"/>
      <c r="TOG1633" s="1"/>
      <c r="TOH1633" s="1"/>
      <c r="TOI1633" s="1"/>
      <c r="TOJ1633" s="1"/>
      <c r="TOK1633" s="1"/>
      <c r="TOL1633" s="1"/>
      <c r="TOM1633" s="1"/>
      <c r="TON1633" s="1"/>
      <c r="TOO1633" s="1"/>
      <c r="TOP1633" s="1"/>
      <c r="TOQ1633" s="1"/>
      <c r="TOR1633" s="1"/>
      <c r="TOS1633" s="1"/>
      <c r="TOT1633" s="1"/>
      <c r="TOU1633" s="1"/>
      <c r="TOV1633" s="1"/>
      <c r="TOW1633" s="1"/>
      <c r="TOX1633" s="1"/>
      <c r="TOY1633" s="1"/>
      <c r="TOZ1633" s="1"/>
      <c r="TPA1633" s="1"/>
      <c r="TPB1633" s="1"/>
      <c r="TPC1633" s="1"/>
      <c r="TPD1633" s="1"/>
      <c r="TPE1633" s="1"/>
      <c r="TPF1633" s="1"/>
      <c r="TPG1633" s="1"/>
      <c r="TPH1633" s="1"/>
      <c r="TPI1633" s="1"/>
      <c r="TPJ1633" s="1"/>
      <c r="TPK1633" s="1"/>
      <c r="TPL1633" s="1"/>
      <c r="TPM1633" s="1"/>
      <c r="TPN1633" s="1"/>
      <c r="TPO1633" s="1"/>
      <c r="TPP1633" s="1"/>
      <c r="TPQ1633" s="1"/>
      <c r="TPR1633" s="1"/>
      <c r="TPS1633" s="1"/>
      <c r="TPT1633" s="1"/>
      <c r="TPU1633" s="1"/>
      <c r="TPV1633" s="1"/>
      <c r="TPW1633" s="1"/>
      <c r="TPX1633" s="1"/>
      <c r="TPY1633" s="1"/>
      <c r="TPZ1633" s="1"/>
      <c r="TQA1633" s="1"/>
      <c r="TQB1633" s="1"/>
      <c r="TQC1633" s="1"/>
      <c r="TQD1633" s="1"/>
      <c r="TQE1633" s="1"/>
      <c r="TQF1633" s="1"/>
      <c r="TQG1633" s="1"/>
      <c r="TQH1633" s="1"/>
      <c r="TQI1633" s="1"/>
      <c r="TQJ1633" s="1"/>
      <c r="TQK1633" s="1"/>
      <c r="TQL1633" s="1"/>
      <c r="TQM1633" s="1"/>
      <c r="TQN1633" s="1"/>
      <c r="TQO1633" s="1"/>
      <c r="TQP1633" s="1"/>
      <c r="TQQ1633" s="1"/>
      <c r="TQR1633" s="1"/>
      <c r="TQS1633" s="1"/>
      <c r="TQT1633" s="1"/>
      <c r="TQU1633" s="1"/>
      <c r="TQV1633" s="1"/>
      <c r="TQW1633" s="1"/>
      <c r="TQX1633" s="1"/>
      <c r="TQY1633" s="1"/>
      <c r="TQZ1633" s="1"/>
      <c r="TRA1633" s="1"/>
      <c r="TRB1633" s="1"/>
      <c r="TRC1633" s="1"/>
      <c r="TRD1633" s="1"/>
      <c r="TRE1633" s="1"/>
      <c r="TRF1633" s="1"/>
      <c r="TRG1633" s="1"/>
      <c r="TRH1633" s="1"/>
      <c r="TRI1633" s="1"/>
      <c r="TRJ1633" s="1"/>
      <c r="TRK1633" s="1"/>
      <c r="TRL1633" s="1"/>
      <c r="TRM1633" s="1"/>
      <c r="TRN1633" s="1"/>
      <c r="TRO1633" s="1"/>
      <c r="TRP1633" s="1"/>
      <c r="TRQ1633" s="1"/>
      <c r="TRR1633" s="1"/>
      <c r="TRS1633" s="1"/>
      <c r="TRT1633" s="1"/>
      <c r="TRU1633" s="1"/>
      <c r="TRV1633" s="1"/>
      <c r="TRW1633" s="1"/>
      <c r="TRX1633" s="1"/>
      <c r="TRY1633" s="1"/>
      <c r="TRZ1633" s="1"/>
      <c r="TSA1633" s="1"/>
      <c r="TSB1633" s="1"/>
      <c r="TSC1633" s="1"/>
      <c r="TSD1633" s="1"/>
      <c r="TSE1633" s="1"/>
      <c r="TSF1633" s="1"/>
      <c r="TSG1633" s="1"/>
      <c r="TSH1633" s="1"/>
      <c r="TSI1633" s="1"/>
      <c r="TSJ1633" s="1"/>
      <c r="TSK1633" s="1"/>
      <c r="TSL1633" s="1"/>
      <c r="TSM1633" s="1"/>
      <c r="TSN1633" s="1"/>
      <c r="TSO1633" s="1"/>
      <c r="TSP1633" s="1"/>
      <c r="TSQ1633" s="1"/>
      <c r="TSR1633" s="1"/>
      <c r="TSS1633" s="1"/>
      <c r="TST1633" s="1"/>
      <c r="TSU1633" s="1"/>
      <c r="TSV1633" s="1"/>
      <c r="TSW1633" s="1"/>
      <c r="TSX1633" s="1"/>
      <c r="TSY1633" s="1"/>
      <c r="TSZ1633" s="1"/>
      <c r="TTA1633" s="1"/>
      <c r="TTB1633" s="1"/>
      <c r="TTC1633" s="1"/>
      <c r="TTD1633" s="1"/>
      <c r="TTE1633" s="1"/>
      <c r="TTF1633" s="1"/>
      <c r="TTG1633" s="1"/>
      <c r="TTH1633" s="1"/>
      <c r="TTI1633" s="1"/>
      <c r="TTJ1633" s="1"/>
      <c r="TTK1633" s="1"/>
      <c r="TTL1633" s="1"/>
      <c r="TTM1633" s="1"/>
      <c r="TTN1633" s="1"/>
      <c r="TTO1633" s="1"/>
      <c r="TTP1633" s="1"/>
      <c r="TTQ1633" s="1"/>
      <c r="TTR1633" s="1"/>
      <c r="TTS1633" s="1"/>
      <c r="TTT1633" s="1"/>
      <c r="TTU1633" s="1"/>
      <c r="TTV1633" s="1"/>
      <c r="TTW1633" s="1"/>
      <c r="TTX1633" s="1"/>
      <c r="TTY1633" s="1"/>
      <c r="TTZ1633" s="1"/>
      <c r="TUA1633" s="1"/>
      <c r="TUB1633" s="1"/>
      <c r="TUC1633" s="1"/>
      <c r="TUD1633" s="1"/>
      <c r="TUE1633" s="1"/>
      <c r="TUF1633" s="1"/>
      <c r="TUG1633" s="1"/>
      <c r="TUH1633" s="1"/>
      <c r="TUI1633" s="1"/>
      <c r="TUJ1633" s="1"/>
      <c r="TUK1633" s="1"/>
      <c r="TUL1633" s="1"/>
      <c r="TUM1633" s="1"/>
      <c r="TUN1633" s="1"/>
      <c r="TUO1633" s="1"/>
      <c r="TUP1633" s="1"/>
      <c r="TUQ1633" s="1"/>
      <c r="TUR1633" s="1"/>
      <c r="TUS1633" s="1"/>
      <c r="TUT1633" s="1"/>
      <c r="TUU1633" s="1"/>
      <c r="TUV1633" s="1"/>
      <c r="TUW1633" s="1"/>
      <c r="TUX1633" s="1"/>
      <c r="TUY1633" s="1"/>
      <c r="TUZ1633" s="1"/>
      <c r="TVA1633" s="1"/>
      <c r="TVB1633" s="1"/>
      <c r="TVC1633" s="1"/>
      <c r="TVD1633" s="1"/>
      <c r="TVE1633" s="1"/>
      <c r="TVF1633" s="1"/>
      <c r="TVG1633" s="1"/>
      <c r="TVH1633" s="1"/>
      <c r="TVI1633" s="1"/>
      <c r="TVJ1633" s="1"/>
      <c r="TVK1633" s="1"/>
      <c r="TVL1633" s="1"/>
      <c r="TVM1633" s="1"/>
      <c r="TVN1633" s="1"/>
      <c r="TVO1633" s="1"/>
      <c r="TVP1633" s="1"/>
      <c r="TVQ1633" s="1"/>
      <c r="TVR1633" s="1"/>
      <c r="TVS1633" s="1"/>
      <c r="TVT1633" s="1"/>
      <c r="TVU1633" s="1"/>
      <c r="TVV1633" s="1"/>
      <c r="TVW1633" s="1"/>
      <c r="TVX1633" s="1"/>
      <c r="TVY1633" s="1"/>
      <c r="TVZ1633" s="1"/>
      <c r="TWA1633" s="1"/>
      <c r="TWB1633" s="1"/>
      <c r="TWC1633" s="1"/>
      <c r="TWD1633" s="1"/>
      <c r="TWE1633" s="1"/>
      <c r="TWF1633" s="1"/>
      <c r="TWG1633" s="1"/>
      <c r="TWH1633" s="1"/>
      <c r="TWI1633" s="1"/>
      <c r="TWJ1633" s="1"/>
      <c r="TWK1633" s="1"/>
      <c r="TWL1633" s="1"/>
      <c r="TWM1633" s="1"/>
      <c r="TWN1633" s="1"/>
      <c r="TWO1633" s="1"/>
      <c r="TWP1633" s="1"/>
      <c r="TWQ1633" s="1"/>
      <c r="TWR1633" s="1"/>
      <c r="TWS1633" s="1"/>
      <c r="TWT1633" s="1"/>
      <c r="TWU1633" s="1"/>
      <c r="TWV1633" s="1"/>
      <c r="TWW1633" s="1"/>
      <c r="TWX1633" s="1"/>
      <c r="TWY1633" s="1"/>
      <c r="TWZ1633" s="1"/>
      <c r="TXA1633" s="1"/>
      <c r="TXB1633" s="1"/>
      <c r="TXC1633" s="1"/>
      <c r="TXD1633" s="1"/>
      <c r="TXE1633" s="1"/>
      <c r="TXF1633" s="1"/>
      <c r="TXG1633" s="1"/>
      <c r="TXH1633" s="1"/>
      <c r="TXI1633" s="1"/>
      <c r="TXJ1633" s="1"/>
      <c r="TXK1633" s="1"/>
      <c r="TXL1633" s="1"/>
      <c r="TXM1633" s="1"/>
      <c r="TXN1633" s="1"/>
      <c r="TXO1633" s="1"/>
      <c r="TXP1633" s="1"/>
      <c r="TXQ1633" s="1"/>
      <c r="TXR1633" s="1"/>
      <c r="TXS1633" s="1"/>
      <c r="TXT1633" s="1"/>
      <c r="TXU1633" s="1"/>
      <c r="TXV1633" s="1"/>
      <c r="TXW1633" s="1"/>
      <c r="TXX1633" s="1"/>
      <c r="TXY1633" s="1"/>
      <c r="TXZ1633" s="1"/>
      <c r="TYA1633" s="1"/>
      <c r="TYB1633" s="1"/>
      <c r="TYC1633" s="1"/>
      <c r="TYD1633" s="1"/>
      <c r="TYE1633" s="1"/>
      <c r="TYF1633" s="1"/>
      <c r="TYG1633" s="1"/>
      <c r="TYH1633" s="1"/>
      <c r="TYI1633" s="1"/>
      <c r="TYJ1633" s="1"/>
      <c r="TYK1633" s="1"/>
      <c r="TYL1633" s="1"/>
      <c r="TYM1633" s="1"/>
      <c r="TYN1633" s="1"/>
      <c r="TYO1633" s="1"/>
      <c r="TYP1633" s="1"/>
      <c r="TYQ1633" s="1"/>
      <c r="TYR1633" s="1"/>
      <c r="TYS1633" s="1"/>
      <c r="TYT1633" s="1"/>
      <c r="TYU1633" s="1"/>
      <c r="TYV1633" s="1"/>
      <c r="TYW1633" s="1"/>
      <c r="TYX1633" s="1"/>
      <c r="TYY1633" s="1"/>
      <c r="TYZ1633" s="1"/>
      <c r="TZA1633" s="1"/>
      <c r="TZB1633" s="1"/>
      <c r="TZC1633" s="1"/>
      <c r="TZD1633" s="1"/>
      <c r="TZE1633" s="1"/>
      <c r="TZF1633" s="1"/>
      <c r="TZG1633" s="1"/>
      <c r="TZH1633" s="1"/>
      <c r="TZI1633" s="1"/>
      <c r="TZJ1633" s="1"/>
      <c r="TZK1633" s="1"/>
      <c r="TZL1633" s="1"/>
      <c r="TZM1633" s="1"/>
      <c r="TZN1633" s="1"/>
      <c r="TZO1633" s="1"/>
      <c r="TZP1633" s="1"/>
      <c r="TZQ1633" s="1"/>
      <c r="TZR1633" s="1"/>
      <c r="TZS1633" s="1"/>
      <c r="TZT1633" s="1"/>
      <c r="TZU1633" s="1"/>
      <c r="TZV1633" s="1"/>
      <c r="TZW1633" s="1"/>
      <c r="TZX1633" s="1"/>
      <c r="TZY1633" s="1"/>
      <c r="TZZ1633" s="1"/>
      <c r="UAA1633" s="1"/>
      <c r="UAB1633" s="1"/>
      <c r="UAC1633" s="1"/>
      <c r="UAD1633" s="1"/>
      <c r="UAE1633" s="1"/>
      <c r="UAF1633" s="1"/>
      <c r="UAG1633" s="1"/>
      <c r="UAH1633" s="1"/>
      <c r="UAI1633" s="1"/>
      <c r="UAJ1633" s="1"/>
      <c r="UAK1633" s="1"/>
      <c r="UAL1633" s="1"/>
      <c r="UAM1633" s="1"/>
      <c r="UAN1633" s="1"/>
      <c r="UAO1633" s="1"/>
      <c r="UAP1633" s="1"/>
      <c r="UAQ1633" s="1"/>
      <c r="UAR1633" s="1"/>
      <c r="UAS1633" s="1"/>
      <c r="UAT1633" s="1"/>
      <c r="UAU1633" s="1"/>
      <c r="UAV1633" s="1"/>
      <c r="UAW1633" s="1"/>
      <c r="UAX1633" s="1"/>
      <c r="UAY1633" s="1"/>
      <c r="UAZ1633" s="1"/>
      <c r="UBA1633" s="1"/>
      <c r="UBB1633" s="1"/>
      <c r="UBC1633" s="1"/>
      <c r="UBD1633" s="1"/>
      <c r="UBE1633" s="1"/>
      <c r="UBF1633" s="1"/>
      <c r="UBG1633" s="1"/>
      <c r="UBH1633" s="1"/>
      <c r="UBI1633" s="1"/>
      <c r="UBJ1633" s="1"/>
      <c r="UBK1633" s="1"/>
      <c r="UBL1633" s="1"/>
      <c r="UBM1633" s="1"/>
      <c r="UBN1633" s="1"/>
      <c r="UBO1633" s="1"/>
      <c r="UBP1633" s="1"/>
      <c r="UBQ1633" s="1"/>
      <c r="UBR1633" s="1"/>
      <c r="UBS1633" s="1"/>
      <c r="UBT1633" s="1"/>
      <c r="UBU1633" s="1"/>
      <c r="UBV1633" s="1"/>
      <c r="UBW1633" s="1"/>
      <c r="UBX1633" s="1"/>
      <c r="UBY1633" s="1"/>
      <c r="UBZ1633" s="1"/>
      <c r="UCA1633" s="1"/>
      <c r="UCB1633" s="1"/>
      <c r="UCC1633" s="1"/>
      <c r="UCD1633" s="1"/>
      <c r="UCE1633" s="1"/>
      <c r="UCF1633" s="1"/>
      <c r="UCG1633" s="1"/>
      <c r="UCH1633" s="1"/>
      <c r="UCI1633" s="1"/>
      <c r="UCJ1633" s="1"/>
      <c r="UCK1633" s="1"/>
      <c r="UCL1633" s="1"/>
      <c r="UCM1633" s="1"/>
      <c r="UCN1633" s="1"/>
      <c r="UCO1633" s="1"/>
      <c r="UCP1633" s="1"/>
      <c r="UCQ1633" s="1"/>
      <c r="UCR1633" s="1"/>
      <c r="UCS1633" s="1"/>
      <c r="UCT1633" s="1"/>
      <c r="UCU1633" s="1"/>
      <c r="UCV1633" s="1"/>
      <c r="UCW1633" s="1"/>
      <c r="UCX1633" s="1"/>
      <c r="UCY1633" s="1"/>
      <c r="UCZ1633" s="1"/>
      <c r="UDA1633" s="1"/>
      <c r="UDB1633" s="1"/>
      <c r="UDC1633" s="1"/>
      <c r="UDD1633" s="1"/>
      <c r="UDE1633" s="1"/>
      <c r="UDF1633" s="1"/>
      <c r="UDG1633" s="1"/>
      <c r="UDH1633" s="1"/>
      <c r="UDI1633" s="1"/>
      <c r="UDJ1633" s="1"/>
      <c r="UDK1633" s="1"/>
      <c r="UDL1633" s="1"/>
      <c r="UDM1633" s="1"/>
      <c r="UDN1633" s="1"/>
      <c r="UDO1633" s="1"/>
      <c r="UDP1633" s="1"/>
      <c r="UDQ1633" s="1"/>
      <c r="UDR1633" s="1"/>
      <c r="UDS1633" s="1"/>
      <c r="UDT1633" s="1"/>
      <c r="UDU1633" s="1"/>
      <c r="UDV1633" s="1"/>
      <c r="UDW1633" s="1"/>
      <c r="UDX1633" s="1"/>
      <c r="UDY1633" s="1"/>
      <c r="UDZ1633" s="1"/>
      <c r="UEA1633" s="1"/>
      <c r="UEB1633" s="1"/>
      <c r="UEC1633" s="1"/>
      <c r="UED1633" s="1"/>
      <c r="UEE1633" s="1"/>
      <c r="UEF1633" s="1"/>
      <c r="UEG1633" s="1"/>
      <c r="UEH1633" s="1"/>
      <c r="UEI1633" s="1"/>
      <c r="UEJ1633" s="1"/>
      <c r="UEK1633" s="1"/>
      <c r="UEL1633" s="1"/>
      <c r="UEM1633" s="1"/>
      <c r="UEN1633" s="1"/>
      <c r="UEO1633" s="1"/>
      <c r="UEP1633" s="1"/>
      <c r="UEQ1633" s="1"/>
      <c r="UER1633" s="1"/>
      <c r="UES1633" s="1"/>
      <c r="UET1633" s="1"/>
      <c r="UEU1633" s="1"/>
      <c r="UEV1633" s="1"/>
      <c r="UEW1633" s="1"/>
      <c r="UEX1633" s="1"/>
      <c r="UEY1633" s="1"/>
      <c r="UEZ1633" s="1"/>
      <c r="UFA1633" s="1"/>
      <c r="UFB1633" s="1"/>
      <c r="UFC1633" s="1"/>
      <c r="UFD1633" s="1"/>
      <c r="UFE1633" s="1"/>
      <c r="UFF1633" s="1"/>
      <c r="UFG1633" s="1"/>
      <c r="UFH1633" s="1"/>
      <c r="UFI1633" s="1"/>
      <c r="UFJ1633" s="1"/>
      <c r="UFK1633" s="1"/>
      <c r="UFL1633" s="1"/>
      <c r="UFM1633" s="1"/>
      <c r="UFN1633" s="1"/>
      <c r="UFO1633" s="1"/>
      <c r="UFP1633" s="1"/>
      <c r="UFQ1633" s="1"/>
      <c r="UFR1633" s="1"/>
      <c r="UFS1633" s="1"/>
      <c r="UFT1633" s="1"/>
      <c r="UFU1633" s="1"/>
      <c r="UFV1633" s="1"/>
      <c r="UFW1633" s="1"/>
      <c r="UFX1633" s="1"/>
      <c r="UFY1633" s="1"/>
      <c r="UFZ1633" s="1"/>
      <c r="UGA1633" s="1"/>
      <c r="UGB1633" s="1"/>
      <c r="UGC1633" s="1"/>
      <c r="UGD1633" s="1"/>
      <c r="UGE1633" s="1"/>
      <c r="UGF1633" s="1"/>
      <c r="UGG1633" s="1"/>
      <c r="UGH1633" s="1"/>
      <c r="UGI1633" s="1"/>
      <c r="UGJ1633" s="1"/>
      <c r="UGK1633" s="1"/>
      <c r="UGL1633" s="1"/>
      <c r="UGM1633" s="1"/>
      <c r="UGN1633" s="1"/>
      <c r="UGO1633" s="1"/>
      <c r="UGP1633" s="1"/>
      <c r="UGQ1633" s="1"/>
      <c r="UGR1633" s="1"/>
      <c r="UGS1633" s="1"/>
      <c r="UGT1633" s="1"/>
      <c r="UGU1633" s="1"/>
      <c r="UGV1633" s="1"/>
      <c r="UGW1633" s="1"/>
      <c r="UGX1633" s="1"/>
      <c r="UGY1633" s="1"/>
      <c r="UGZ1633" s="1"/>
      <c r="UHA1633" s="1"/>
      <c r="UHB1633" s="1"/>
      <c r="UHC1633" s="1"/>
      <c r="UHD1633" s="1"/>
      <c r="UHE1633" s="1"/>
      <c r="UHF1633" s="1"/>
      <c r="UHG1633" s="1"/>
      <c r="UHH1633" s="1"/>
      <c r="UHI1633" s="1"/>
      <c r="UHJ1633" s="1"/>
      <c r="UHK1633" s="1"/>
      <c r="UHL1633" s="1"/>
      <c r="UHM1633" s="1"/>
      <c r="UHN1633" s="1"/>
      <c r="UHO1633" s="1"/>
      <c r="UHP1633" s="1"/>
      <c r="UHQ1633" s="1"/>
      <c r="UHR1633" s="1"/>
      <c r="UHS1633" s="1"/>
      <c r="UHT1633" s="1"/>
      <c r="UHU1633" s="1"/>
      <c r="UHV1633" s="1"/>
      <c r="UHW1633" s="1"/>
      <c r="UHX1633" s="1"/>
      <c r="UHY1633" s="1"/>
      <c r="UHZ1633" s="1"/>
      <c r="UIA1633" s="1"/>
      <c r="UIB1633" s="1"/>
      <c r="UIC1633" s="1"/>
      <c r="UID1633" s="1"/>
      <c r="UIE1633" s="1"/>
      <c r="UIF1633" s="1"/>
      <c r="UIG1633" s="1"/>
      <c r="UIH1633" s="1"/>
      <c r="UII1633" s="1"/>
      <c r="UIJ1633" s="1"/>
      <c r="UIK1633" s="1"/>
      <c r="UIL1633" s="1"/>
      <c r="UIM1633" s="1"/>
      <c r="UIN1633" s="1"/>
      <c r="UIO1633" s="1"/>
      <c r="UIP1633" s="1"/>
      <c r="UIQ1633" s="1"/>
      <c r="UIR1633" s="1"/>
      <c r="UIS1633" s="1"/>
      <c r="UIT1633" s="1"/>
      <c r="UIU1633" s="1"/>
      <c r="UIV1633" s="1"/>
      <c r="UIW1633" s="1"/>
      <c r="UIX1633" s="1"/>
      <c r="UIY1633" s="1"/>
      <c r="UIZ1633" s="1"/>
      <c r="UJA1633" s="1"/>
      <c r="UJB1633" s="1"/>
      <c r="UJC1633" s="1"/>
      <c r="UJD1633" s="1"/>
      <c r="UJE1633" s="1"/>
      <c r="UJF1633" s="1"/>
      <c r="UJG1633" s="1"/>
      <c r="UJH1633" s="1"/>
      <c r="UJI1633" s="1"/>
      <c r="UJJ1633" s="1"/>
      <c r="UJK1633" s="1"/>
      <c r="UJL1633" s="1"/>
      <c r="UJM1633" s="1"/>
      <c r="UJN1633" s="1"/>
      <c r="UJO1633" s="1"/>
      <c r="UJP1633" s="1"/>
      <c r="UJQ1633" s="1"/>
      <c r="UJR1633" s="1"/>
      <c r="UJS1633" s="1"/>
      <c r="UJT1633" s="1"/>
      <c r="UJU1633" s="1"/>
      <c r="UJV1633" s="1"/>
      <c r="UJW1633" s="1"/>
      <c r="UJX1633" s="1"/>
      <c r="UJY1633" s="1"/>
      <c r="UJZ1633" s="1"/>
      <c r="UKA1633" s="1"/>
      <c r="UKB1633" s="1"/>
      <c r="UKC1633" s="1"/>
      <c r="UKD1633" s="1"/>
      <c r="UKE1633" s="1"/>
      <c r="UKF1633" s="1"/>
      <c r="UKG1633" s="1"/>
      <c r="UKH1633" s="1"/>
      <c r="UKI1633" s="1"/>
      <c r="UKJ1633" s="1"/>
      <c r="UKK1633" s="1"/>
      <c r="UKL1633" s="1"/>
      <c r="UKM1633" s="1"/>
      <c r="UKN1633" s="1"/>
      <c r="UKO1633" s="1"/>
      <c r="UKP1633" s="1"/>
      <c r="UKQ1633" s="1"/>
      <c r="UKR1633" s="1"/>
      <c r="UKS1633" s="1"/>
      <c r="UKT1633" s="1"/>
      <c r="UKU1633" s="1"/>
      <c r="UKV1633" s="1"/>
      <c r="UKW1633" s="1"/>
      <c r="UKX1633" s="1"/>
      <c r="UKY1633" s="1"/>
      <c r="UKZ1633" s="1"/>
      <c r="ULA1633" s="1"/>
      <c r="ULB1633" s="1"/>
      <c r="ULC1633" s="1"/>
      <c r="ULD1633" s="1"/>
      <c r="ULE1633" s="1"/>
      <c r="ULF1633" s="1"/>
      <c r="ULG1633" s="1"/>
      <c r="ULH1633" s="1"/>
      <c r="ULI1633" s="1"/>
      <c r="ULJ1633" s="1"/>
      <c r="ULK1633" s="1"/>
      <c r="ULL1633" s="1"/>
      <c r="ULM1633" s="1"/>
      <c r="ULN1633" s="1"/>
      <c r="ULO1633" s="1"/>
      <c r="ULP1633" s="1"/>
      <c r="ULQ1633" s="1"/>
      <c r="ULR1633" s="1"/>
      <c r="ULS1633" s="1"/>
      <c r="ULT1633" s="1"/>
      <c r="ULU1633" s="1"/>
      <c r="ULV1633" s="1"/>
      <c r="ULW1633" s="1"/>
      <c r="ULX1633" s="1"/>
      <c r="ULY1633" s="1"/>
      <c r="ULZ1633" s="1"/>
      <c r="UMA1633" s="1"/>
      <c r="UMB1633" s="1"/>
      <c r="UMC1633" s="1"/>
      <c r="UMD1633" s="1"/>
      <c r="UME1633" s="1"/>
      <c r="UMF1633" s="1"/>
      <c r="UMG1633" s="1"/>
      <c r="UMH1633" s="1"/>
      <c r="UMI1633" s="1"/>
      <c r="UMJ1633" s="1"/>
      <c r="UMK1633" s="1"/>
      <c r="UML1633" s="1"/>
      <c r="UMM1633" s="1"/>
      <c r="UMN1633" s="1"/>
      <c r="UMO1633" s="1"/>
      <c r="UMP1633" s="1"/>
      <c r="UMQ1633" s="1"/>
      <c r="UMR1633" s="1"/>
      <c r="UMS1633" s="1"/>
      <c r="UMT1633" s="1"/>
      <c r="UMU1633" s="1"/>
      <c r="UMV1633" s="1"/>
      <c r="UMW1633" s="1"/>
      <c r="UMX1633" s="1"/>
      <c r="UMY1633" s="1"/>
      <c r="UMZ1633" s="1"/>
      <c r="UNA1633" s="1"/>
      <c r="UNB1633" s="1"/>
      <c r="UNC1633" s="1"/>
      <c r="UND1633" s="1"/>
      <c r="UNE1633" s="1"/>
      <c r="UNF1633" s="1"/>
      <c r="UNG1633" s="1"/>
      <c r="UNH1633" s="1"/>
      <c r="UNI1633" s="1"/>
      <c r="UNJ1633" s="1"/>
      <c r="UNK1633" s="1"/>
      <c r="UNL1633" s="1"/>
      <c r="UNM1633" s="1"/>
      <c r="UNN1633" s="1"/>
      <c r="UNO1633" s="1"/>
      <c r="UNP1633" s="1"/>
      <c r="UNQ1633" s="1"/>
      <c r="UNR1633" s="1"/>
      <c r="UNS1633" s="1"/>
      <c r="UNT1633" s="1"/>
      <c r="UNU1633" s="1"/>
      <c r="UNV1633" s="1"/>
      <c r="UNW1633" s="1"/>
      <c r="UNX1633" s="1"/>
      <c r="UNY1633" s="1"/>
      <c r="UNZ1633" s="1"/>
      <c r="UOA1633" s="1"/>
      <c r="UOB1633" s="1"/>
      <c r="UOC1633" s="1"/>
      <c r="UOD1633" s="1"/>
      <c r="UOE1633" s="1"/>
      <c r="UOF1633" s="1"/>
      <c r="UOG1633" s="1"/>
      <c r="UOH1633" s="1"/>
      <c r="UOI1633" s="1"/>
      <c r="UOJ1633" s="1"/>
      <c r="UOK1633" s="1"/>
      <c r="UOL1633" s="1"/>
      <c r="UOM1633" s="1"/>
      <c r="UON1633" s="1"/>
      <c r="UOO1633" s="1"/>
      <c r="UOP1633" s="1"/>
      <c r="UOQ1633" s="1"/>
      <c r="UOR1633" s="1"/>
      <c r="UOS1633" s="1"/>
      <c r="UOT1633" s="1"/>
      <c r="UOU1633" s="1"/>
      <c r="UOV1633" s="1"/>
      <c r="UOW1633" s="1"/>
      <c r="UOX1633" s="1"/>
      <c r="UOY1633" s="1"/>
      <c r="UOZ1633" s="1"/>
      <c r="UPA1633" s="1"/>
      <c r="UPB1633" s="1"/>
      <c r="UPC1633" s="1"/>
      <c r="UPD1633" s="1"/>
      <c r="UPE1633" s="1"/>
      <c r="UPF1633" s="1"/>
      <c r="UPG1633" s="1"/>
      <c r="UPH1633" s="1"/>
      <c r="UPI1633" s="1"/>
      <c r="UPJ1633" s="1"/>
      <c r="UPK1633" s="1"/>
      <c r="UPL1633" s="1"/>
      <c r="UPM1633" s="1"/>
      <c r="UPN1633" s="1"/>
      <c r="UPO1633" s="1"/>
      <c r="UPP1633" s="1"/>
      <c r="UPQ1633" s="1"/>
      <c r="UPR1633" s="1"/>
      <c r="UPS1633" s="1"/>
      <c r="UPT1633" s="1"/>
      <c r="UPU1633" s="1"/>
      <c r="UPV1633" s="1"/>
      <c r="UPW1633" s="1"/>
      <c r="UPX1633" s="1"/>
      <c r="UPY1633" s="1"/>
      <c r="UPZ1633" s="1"/>
      <c r="UQA1633" s="1"/>
      <c r="UQB1633" s="1"/>
      <c r="UQC1633" s="1"/>
      <c r="UQD1633" s="1"/>
      <c r="UQE1633" s="1"/>
      <c r="UQF1633" s="1"/>
      <c r="UQG1633" s="1"/>
      <c r="UQH1633" s="1"/>
      <c r="UQI1633" s="1"/>
      <c r="UQJ1633" s="1"/>
      <c r="UQK1633" s="1"/>
      <c r="UQL1633" s="1"/>
      <c r="UQM1633" s="1"/>
      <c r="UQN1633" s="1"/>
      <c r="UQO1633" s="1"/>
      <c r="UQP1633" s="1"/>
      <c r="UQQ1633" s="1"/>
      <c r="UQR1633" s="1"/>
      <c r="UQS1633" s="1"/>
      <c r="UQT1633" s="1"/>
      <c r="UQU1633" s="1"/>
      <c r="UQV1633" s="1"/>
      <c r="UQW1633" s="1"/>
      <c r="UQX1633" s="1"/>
      <c r="UQY1633" s="1"/>
      <c r="UQZ1633" s="1"/>
      <c r="URA1633" s="1"/>
      <c r="URB1633" s="1"/>
      <c r="URC1633" s="1"/>
      <c r="URD1633" s="1"/>
      <c r="URE1633" s="1"/>
      <c r="URF1633" s="1"/>
      <c r="URG1633" s="1"/>
      <c r="URH1633" s="1"/>
      <c r="URI1633" s="1"/>
      <c r="URJ1633" s="1"/>
      <c r="URK1633" s="1"/>
      <c r="URL1633" s="1"/>
      <c r="URM1633" s="1"/>
      <c r="URN1633" s="1"/>
      <c r="URO1633" s="1"/>
      <c r="URP1633" s="1"/>
      <c r="URQ1633" s="1"/>
      <c r="URR1633" s="1"/>
      <c r="URS1633" s="1"/>
      <c r="URT1633" s="1"/>
      <c r="URU1633" s="1"/>
      <c r="URV1633" s="1"/>
      <c r="URW1633" s="1"/>
      <c r="URX1633" s="1"/>
      <c r="URY1633" s="1"/>
      <c r="URZ1633" s="1"/>
      <c r="USA1633" s="1"/>
      <c r="USB1633" s="1"/>
      <c r="USC1633" s="1"/>
      <c r="USD1633" s="1"/>
      <c r="USE1633" s="1"/>
      <c r="USF1633" s="1"/>
      <c r="USG1633" s="1"/>
      <c r="USH1633" s="1"/>
      <c r="USI1633" s="1"/>
      <c r="USJ1633" s="1"/>
      <c r="USK1633" s="1"/>
      <c r="USL1633" s="1"/>
      <c r="USM1633" s="1"/>
      <c r="USN1633" s="1"/>
      <c r="USO1633" s="1"/>
      <c r="USP1633" s="1"/>
      <c r="USQ1633" s="1"/>
      <c r="USR1633" s="1"/>
      <c r="USS1633" s="1"/>
      <c r="UST1633" s="1"/>
      <c r="USU1633" s="1"/>
      <c r="USV1633" s="1"/>
      <c r="USW1633" s="1"/>
      <c r="USX1633" s="1"/>
      <c r="USY1633" s="1"/>
      <c r="USZ1633" s="1"/>
      <c r="UTA1633" s="1"/>
      <c r="UTB1633" s="1"/>
      <c r="UTC1633" s="1"/>
      <c r="UTD1633" s="1"/>
      <c r="UTE1633" s="1"/>
      <c r="UTF1633" s="1"/>
      <c r="UTG1633" s="1"/>
      <c r="UTH1633" s="1"/>
      <c r="UTI1633" s="1"/>
      <c r="UTJ1633" s="1"/>
      <c r="UTK1633" s="1"/>
      <c r="UTL1633" s="1"/>
      <c r="UTM1633" s="1"/>
      <c r="UTN1633" s="1"/>
      <c r="UTO1633" s="1"/>
      <c r="UTP1633" s="1"/>
      <c r="UTQ1633" s="1"/>
      <c r="UTR1633" s="1"/>
      <c r="UTS1633" s="1"/>
      <c r="UTT1633" s="1"/>
      <c r="UTU1633" s="1"/>
      <c r="UTV1633" s="1"/>
      <c r="UTW1633" s="1"/>
      <c r="UTX1633" s="1"/>
      <c r="UTY1633" s="1"/>
      <c r="UTZ1633" s="1"/>
      <c r="UUA1633" s="1"/>
      <c r="UUB1633" s="1"/>
      <c r="UUC1633" s="1"/>
      <c r="UUD1633" s="1"/>
      <c r="UUE1633" s="1"/>
      <c r="UUF1633" s="1"/>
      <c r="UUG1633" s="1"/>
      <c r="UUH1633" s="1"/>
      <c r="UUI1633" s="1"/>
      <c r="UUJ1633" s="1"/>
      <c r="UUK1633" s="1"/>
      <c r="UUL1633" s="1"/>
      <c r="UUM1633" s="1"/>
      <c r="UUN1633" s="1"/>
      <c r="UUO1633" s="1"/>
      <c r="UUP1633" s="1"/>
      <c r="UUQ1633" s="1"/>
      <c r="UUR1633" s="1"/>
      <c r="UUS1633" s="1"/>
      <c r="UUT1633" s="1"/>
      <c r="UUU1633" s="1"/>
      <c r="UUV1633" s="1"/>
      <c r="UUW1633" s="1"/>
      <c r="UUX1633" s="1"/>
      <c r="UUY1633" s="1"/>
      <c r="UUZ1633" s="1"/>
      <c r="UVA1633" s="1"/>
      <c r="UVB1633" s="1"/>
      <c r="UVC1633" s="1"/>
      <c r="UVD1633" s="1"/>
      <c r="UVE1633" s="1"/>
      <c r="UVF1633" s="1"/>
      <c r="UVG1633" s="1"/>
      <c r="UVH1633" s="1"/>
      <c r="UVI1633" s="1"/>
      <c r="UVJ1633" s="1"/>
      <c r="UVK1633" s="1"/>
      <c r="UVL1633" s="1"/>
      <c r="UVM1633" s="1"/>
      <c r="UVN1633" s="1"/>
      <c r="UVO1633" s="1"/>
      <c r="UVP1633" s="1"/>
      <c r="UVQ1633" s="1"/>
      <c r="UVR1633" s="1"/>
      <c r="UVS1633" s="1"/>
      <c r="UVT1633" s="1"/>
      <c r="UVU1633" s="1"/>
      <c r="UVV1633" s="1"/>
      <c r="UVW1633" s="1"/>
      <c r="UVX1633" s="1"/>
      <c r="UVY1633" s="1"/>
      <c r="UVZ1633" s="1"/>
      <c r="UWA1633" s="1"/>
      <c r="UWB1633" s="1"/>
      <c r="UWC1633" s="1"/>
      <c r="UWD1633" s="1"/>
      <c r="UWE1633" s="1"/>
      <c r="UWF1633" s="1"/>
      <c r="UWG1633" s="1"/>
      <c r="UWH1633" s="1"/>
      <c r="UWI1633" s="1"/>
      <c r="UWJ1633" s="1"/>
      <c r="UWK1633" s="1"/>
      <c r="UWL1633" s="1"/>
      <c r="UWM1633" s="1"/>
      <c r="UWN1633" s="1"/>
      <c r="UWO1633" s="1"/>
      <c r="UWP1633" s="1"/>
      <c r="UWQ1633" s="1"/>
      <c r="UWR1633" s="1"/>
      <c r="UWS1633" s="1"/>
      <c r="UWT1633" s="1"/>
      <c r="UWU1633" s="1"/>
      <c r="UWV1633" s="1"/>
      <c r="UWW1633" s="1"/>
      <c r="UWX1633" s="1"/>
      <c r="UWY1633" s="1"/>
      <c r="UWZ1633" s="1"/>
      <c r="UXA1633" s="1"/>
      <c r="UXB1633" s="1"/>
      <c r="UXC1633" s="1"/>
      <c r="UXD1633" s="1"/>
      <c r="UXE1633" s="1"/>
      <c r="UXF1633" s="1"/>
      <c r="UXG1633" s="1"/>
      <c r="UXH1633" s="1"/>
      <c r="UXI1633" s="1"/>
      <c r="UXJ1633" s="1"/>
      <c r="UXK1633" s="1"/>
      <c r="UXL1633" s="1"/>
      <c r="UXM1633" s="1"/>
      <c r="UXN1633" s="1"/>
      <c r="UXO1633" s="1"/>
      <c r="UXP1633" s="1"/>
      <c r="UXQ1633" s="1"/>
      <c r="UXR1633" s="1"/>
      <c r="UXS1633" s="1"/>
      <c r="UXT1633" s="1"/>
      <c r="UXU1633" s="1"/>
      <c r="UXV1633" s="1"/>
      <c r="UXW1633" s="1"/>
      <c r="UXX1633" s="1"/>
      <c r="UXY1633" s="1"/>
      <c r="UXZ1633" s="1"/>
      <c r="UYA1633" s="1"/>
      <c r="UYB1633" s="1"/>
      <c r="UYC1633" s="1"/>
      <c r="UYD1633" s="1"/>
      <c r="UYE1633" s="1"/>
      <c r="UYF1633" s="1"/>
      <c r="UYG1633" s="1"/>
      <c r="UYH1633" s="1"/>
      <c r="UYI1633" s="1"/>
      <c r="UYJ1633" s="1"/>
      <c r="UYK1633" s="1"/>
      <c r="UYL1633" s="1"/>
      <c r="UYM1633" s="1"/>
      <c r="UYN1633" s="1"/>
      <c r="UYO1633" s="1"/>
      <c r="UYP1633" s="1"/>
      <c r="UYQ1633" s="1"/>
      <c r="UYR1633" s="1"/>
      <c r="UYS1633" s="1"/>
      <c r="UYT1633" s="1"/>
      <c r="UYU1633" s="1"/>
      <c r="UYV1633" s="1"/>
      <c r="UYW1633" s="1"/>
      <c r="UYX1633" s="1"/>
      <c r="UYY1633" s="1"/>
      <c r="UYZ1633" s="1"/>
      <c r="UZA1633" s="1"/>
      <c r="UZB1633" s="1"/>
      <c r="UZC1633" s="1"/>
      <c r="UZD1633" s="1"/>
      <c r="UZE1633" s="1"/>
      <c r="UZF1633" s="1"/>
      <c r="UZG1633" s="1"/>
      <c r="UZH1633" s="1"/>
      <c r="UZI1633" s="1"/>
      <c r="UZJ1633" s="1"/>
      <c r="UZK1633" s="1"/>
      <c r="UZL1633" s="1"/>
      <c r="UZM1633" s="1"/>
      <c r="UZN1633" s="1"/>
      <c r="UZO1633" s="1"/>
      <c r="UZP1633" s="1"/>
      <c r="UZQ1633" s="1"/>
      <c r="UZR1633" s="1"/>
      <c r="UZS1633" s="1"/>
      <c r="UZT1633" s="1"/>
      <c r="UZU1633" s="1"/>
      <c r="UZV1633" s="1"/>
      <c r="UZW1633" s="1"/>
      <c r="UZX1633" s="1"/>
      <c r="UZY1633" s="1"/>
      <c r="UZZ1633" s="1"/>
      <c r="VAA1633" s="1"/>
      <c r="VAB1633" s="1"/>
      <c r="VAC1633" s="1"/>
      <c r="VAD1633" s="1"/>
      <c r="VAE1633" s="1"/>
      <c r="VAF1633" s="1"/>
      <c r="VAG1633" s="1"/>
      <c r="VAH1633" s="1"/>
      <c r="VAI1633" s="1"/>
      <c r="VAJ1633" s="1"/>
      <c r="VAK1633" s="1"/>
      <c r="VAL1633" s="1"/>
      <c r="VAM1633" s="1"/>
      <c r="VAN1633" s="1"/>
      <c r="VAO1633" s="1"/>
      <c r="VAP1633" s="1"/>
      <c r="VAQ1633" s="1"/>
      <c r="VAR1633" s="1"/>
      <c r="VAS1633" s="1"/>
      <c r="VAT1633" s="1"/>
      <c r="VAU1633" s="1"/>
      <c r="VAV1633" s="1"/>
      <c r="VAW1633" s="1"/>
      <c r="VAX1633" s="1"/>
      <c r="VAY1633" s="1"/>
      <c r="VAZ1633" s="1"/>
      <c r="VBA1633" s="1"/>
      <c r="VBB1633" s="1"/>
      <c r="VBC1633" s="1"/>
      <c r="VBD1633" s="1"/>
      <c r="VBE1633" s="1"/>
      <c r="VBF1633" s="1"/>
      <c r="VBG1633" s="1"/>
      <c r="VBH1633" s="1"/>
      <c r="VBI1633" s="1"/>
      <c r="VBJ1633" s="1"/>
      <c r="VBK1633" s="1"/>
      <c r="VBL1633" s="1"/>
      <c r="VBM1633" s="1"/>
      <c r="VBN1633" s="1"/>
      <c r="VBO1633" s="1"/>
      <c r="VBP1633" s="1"/>
      <c r="VBQ1633" s="1"/>
      <c r="VBR1633" s="1"/>
      <c r="VBS1633" s="1"/>
      <c r="VBT1633" s="1"/>
      <c r="VBU1633" s="1"/>
      <c r="VBV1633" s="1"/>
      <c r="VBW1633" s="1"/>
      <c r="VBX1633" s="1"/>
      <c r="VBY1633" s="1"/>
      <c r="VBZ1633" s="1"/>
      <c r="VCA1633" s="1"/>
      <c r="VCB1633" s="1"/>
      <c r="VCC1633" s="1"/>
      <c r="VCD1633" s="1"/>
      <c r="VCE1633" s="1"/>
      <c r="VCF1633" s="1"/>
      <c r="VCG1633" s="1"/>
      <c r="VCH1633" s="1"/>
      <c r="VCI1633" s="1"/>
      <c r="VCJ1633" s="1"/>
      <c r="VCK1633" s="1"/>
      <c r="VCL1633" s="1"/>
      <c r="VCM1633" s="1"/>
      <c r="VCN1633" s="1"/>
      <c r="VCO1633" s="1"/>
      <c r="VCP1633" s="1"/>
      <c r="VCQ1633" s="1"/>
      <c r="VCR1633" s="1"/>
      <c r="VCS1633" s="1"/>
      <c r="VCT1633" s="1"/>
      <c r="VCU1633" s="1"/>
      <c r="VCV1633" s="1"/>
      <c r="VCW1633" s="1"/>
      <c r="VCX1633" s="1"/>
      <c r="VCY1633" s="1"/>
      <c r="VCZ1633" s="1"/>
      <c r="VDA1633" s="1"/>
      <c r="VDB1633" s="1"/>
      <c r="VDC1633" s="1"/>
      <c r="VDD1633" s="1"/>
      <c r="VDE1633" s="1"/>
      <c r="VDF1633" s="1"/>
      <c r="VDG1633" s="1"/>
      <c r="VDH1633" s="1"/>
      <c r="VDI1633" s="1"/>
      <c r="VDJ1633" s="1"/>
      <c r="VDK1633" s="1"/>
      <c r="VDL1633" s="1"/>
      <c r="VDM1633" s="1"/>
      <c r="VDN1633" s="1"/>
      <c r="VDO1633" s="1"/>
      <c r="VDP1633" s="1"/>
      <c r="VDQ1633" s="1"/>
      <c r="VDR1633" s="1"/>
      <c r="VDS1633" s="1"/>
      <c r="VDT1633" s="1"/>
      <c r="VDU1633" s="1"/>
      <c r="VDV1633" s="1"/>
      <c r="VDW1633" s="1"/>
      <c r="VDX1633" s="1"/>
      <c r="VDY1633" s="1"/>
      <c r="VDZ1633" s="1"/>
      <c r="VEA1633" s="1"/>
      <c r="VEB1633" s="1"/>
      <c r="VEC1633" s="1"/>
      <c r="VED1633" s="1"/>
      <c r="VEE1633" s="1"/>
      <c r="VEF1633" s="1"/>
      <c r="VEG1633" s="1"/>
      <c r="VEH1633" s="1"/>
      <c r="VEI1633" s="1"/>
      <c r="VEJ1633" s="1"/>
      <c r="VEK1633" s="1"/>
      <c r="VEL1633" s="1"/>
      <c r="VEM1633" s="1"/>
      <c r="VEN1633" s="1"/>
      <c r="VEO1633" s="1"/>
      <c r="VEP1633" s="1"/>
      <c r="VEQ1633" s="1"/>
      <c r="VER1633" s="1"/>
      <c r="VES1633" s="1"/>
      <c r="VET1633" s="1"/>
      <c r="VEU1633" s="1"/>
      <c r="VEV1633" s="1"/>
      <c r="VEW1633" s="1"/>
      <c r="VEX1633" s="1"/>
      <c r="VEY1633" s="1"/>
      <c r="VEZ1633" s="1"/>
      <c r="VFA1633" s="1"/>
      <c r="VFB1633" s="1"/>
      <c r="VFC1633" s="1"/>
      <c r="VFD1633" s="1"/>
      <c r="VFE1633" s="1"/>
      <c r="VFF1633" s="1"/>
      <c r="VFG1633" s="1"/>
      <c r="VFH1633" s="1"/>
      <c r="VFI1633" s="1"/>
      <c r="VFJ1633" s="1"/>
      <c r="VFK1633" s="1"/>
      <c r="VFL1633" s="1"/>
      <c r="VFM1633" s="1"/>
      <c r="VFN1633" s="1"/>
      <c r="VFO1633" s="1"/>
      <c r="VFP1633" s="1"/>
      <c r="VFQ1633" s="1"/>
      <c r="VFR1633" s="1"/>
      <c r="VFS1633" s="1"/>
      <c r="VFT1633" s="1"/>
      <c r="VFU1633" s="1"/>
      <c r="VFV1633" s="1"/>
      <c r="VFW1633" s="1"/>
      <c r="VFX1633" s="1"/>
      <c r="VFY1633" s="1"/>
      <c r="VFZ1633" s="1"/>
      <c r="VGA1633" s="1"/>
      <c r="VGB1633" s="1"/>
      <c r="VGC1633" s="1"/>
      <c r="VGD1633" s="1"/>
      <c r="VGE1633" s="1"/>
      <c r="VGF1633" s="1"/>
      <c r="VGG1633" s="1"/>
      <c r="VGH1633" s="1"/>
      <c r="VGI1633" s="1"/>
      <c r="VGJ1633" s="1"/>
      <c r="VGK1633" s="1"/>
      <c r="VGL1633" s="1"/>
      <c r="VGM1633" s="1"/>
      <c r="VGN1633" s="1"/>
      <c r="VGO1633" s="1"/>
      <c r="VGP1633" s="1"/>
      <c r="VGQ1633" s="1"/>
      <c r="VGR1633" s="1"/>
      <c r="VGS1633" s="1"/>
      <c r="VGT1633" s="1"/>
      <c r="VGU1633" s="1"/>
      <c r="VGV1633" s="1"/>
      <c r="VGW1633" s="1"/>
      <c r="VGX1633" s="1"/>
      <c r="VGY1633" s="1"/>
      <c r="VGZ1633" s="1"/>
      <c r="VHA1633" s="1"/>
      <c r="VHB1633" s="1"/>
      <c r="VHC1633" s="1"/>
      <c r="VHD1633" s="1"/>
      <c r="VHE1633" s="1"/>
      <c r="VHF1633" s="1"/>
      <c r="VHG1633" s="1"/>
      <c r="VHH1633" s="1"/>
      <c r="VHI1633" s="1"/>
      <c r="VHJ1633" s="1"/>
      <c r="VHK1633" s="1"/>
      <c r="VHL1633" s="1"/>
      <c r="VHM1633" s="1"/>
      <c r="VHN1633" s="1"/>
      <c r="VHO1633" s="1"/>
      <c r="VHP1633" s="1"/>
      <c r="VHQ1633" s="1"/>
      <c r="VHR1633" s="1"/>
      <c r="VHS1633" s="1"/>
      <c r="VHT1633" s="1"/>
      <c r="VHU1633" s="1"/>
      <c r="VHV1633" s="1"/>
      <c r="VHW1633" s="1"/>
      <c r="VHX1633" s="1"/>
      <c r="VHY1633" s="1"/>
      <c r="VHZ1633" s="1"/>
      <c r="VIA1633" s="1"/>
      <c r="VIB1633" s="1"/>
      <c r="VIC1633" s="1"/>
      <c r="VID1633" s="1"/>
      <c r="VIE1633" s="1"/>
      <c r="VIF1633" s="1"/>
      <c r="VIG1633" s="1"/>
      <c r="VIH1633" s="1"/>
      <c r="VII1633" s="1"/>
      <c r="VIJ1633" s="1"/>
      <c r="VIK1633" s="1"/>
      <c r="VIL1633" s="1"/>
      <c r="VIM1633" s="1"/>
      <c r="VIN1633" s="1"/>
      <c r="VIO1633" s="1"/>
      <c r="VIP1633" s="1"/>
      <c r="VIQ1633" s="1"/>
      <c r="VIR1633" s="1"/>
      <c r="VIS1633" s="1"/>
      <c r="VIT1633" s="1"/>
      <c r="VIU1633" s="1"/>
      <c r="VIV1633" s="1"/>
      <c r="VIW1633" s="1"/>
      <c r="VIX1633" s="1"/>
      <c r="VIY1633" s="1"/>
      <c r="VIZ1633" s="1"/>
      <c r="VJA1633" s="1"/>
      <c r="VJB1633" s="1"/>
      <c r="VJC1633" s="1"/>
      <c r="VJD1633" s="1"/>
      <c r="VJE1633" s="1"/>
      <c r="VJF1633" s="1"/>
      <c r="VJG1633" s="1"/>
      <c r="VJH1633" s="1"/>
      <c r="VJI1633" s="1"/>
      <c r="VJJ1633" s="1"/>
      <c r="VJK1633" s="1"/>
      <c r="VJL1633" s="1"/>
      <c r="VJM1633" s="1"/>
      <c r="VJN1633" s="1"/>
      <c r="VJO1633" s="1"/>
      <c r="VJP1633" s="1"/>
      <c r="VJQ1633" s="1"/>
      <c r="VJR1633" s="1"/>
      <c r="VJS1633" s="1"/>
      <c r="VJT1633" s="1"/>
      <c r="VJU1633" s="1"/>
      <c r="VJV1633" s="1"/>
      <c r="VJW1633" s="1"/>
      <c r="VJX1633" s="1"/>
      <c r="VJY1633" s="1"/>
      <c r="VJZ1633" s="1"/>
      <c r="VKA1633" s="1"/>
      <c r="VKB1633" s="1"/>
      <c r="VKC1633" s="1"/>
      <c r="VKD1633" s="1"/>
      <c r="VKE1633" s="1"/>
      <c r="VKF1633" s="1"/>
      <c r="VKG1633" s="1"/>
      <c r="VKH1633" s="1"/>
      <c r="VKI1633" s="1"/>
      <c r="VKJ1633" s="1"/>
      <c r="VKK1633" s="1"/>
      <c r="VKL1633" s="1"/>
      <c r="VKM1633" s="1"/>
      <c r="VKN1633" s="1"/>
      <c r="VKO1633" s="1"/>
      <c r="VKP1633" s="1"/>
      <c r="VKQ1633" s="1"/>
      <c r="VKR1633" s="1"/>
      <c r="VKS1633" s="1"/>
      <c r="VKT1633" s="1"/>
      <c r="VKU1633" s="1"/>
      <c r="VKV1633" s="1"/>
      <c r="VKW1633" s="1"/>
      <c r="VKX1633" s="1"/>
      <c r="VKY1633" s="1"/>
      <c r="VKZ1633" s="1"/>
      <c r="VLA1633" s="1"/>
      <c r="VLB1633" s="1"/>
      <c r="VLC1633" s="1"/>
      <c r="VLD1633" s="1"/>
      <c r="VLE1633" s="1"/>
      <c r="VLF1633" s="1"/>
      <c r="VLG1633" s="1"/>
      <c r="VLH1633" s="1"/>
      <c r="VLI1633" s="1"/>
      <c r="VLJ1633" s="1"/>
      <c r="VLK1633" s="1"/>
      <c r="VLL1633" s="1"/>
      <c r="VLM1633" s="1"/>
      <c r="VLN1633" s="1"/>
      <c r="VLO1633" s="1"/>
      <c r="VLP1633" s="1"/>
      <c r="VLQ1633" s="1"/>
      <c r="VLR1633" s="1"/>
      <c r="VLS1633" s="1"/>
      <c r="VLT1633" s="1"/>
      <c r="VLU1633" s="1"/>
      <c r="VLV1633" s="1"/>
      <c r="VLW1633" s="1"/>
      <c r="VLX1633" s="1"/>
      <c r="VLY1633" s="1"/>
      <c r="VLZ1633" s="1"/>
      <c r="VMA1633" s="1"/>
      <c r="VMB1633" s="1"/>
      <c r="VMC1633" s="1"/>
      <c r="VMD1633" s="1"/>
      <c r="VME1633" s="1"/>
      <c r="VMF1633" s="1"/>
      <c r="VMG1633" s="1"/>
      <c r="VMH1633" s="1"/>
      <c r="VMI1633" s="1"/>
      <c r="VMJ1633" s="1"/>
      <c r="VMK1633" s="1"/>
      <c r="VML1633" s="1"/>
      <c r="VMM1633" s="1"/>
      <c r="VMN1633" s="1"/>
      <c r="VMO1633" s="1"/>
      <c r="VMP1633" s="1"/>
      <c r="VMQ1633" s="1"/>
      <c r="VMR1633" s="1"/>
      <c r="VMS1633" s="1"/>
      <c r="VMT1633" s="1"/>
      <c r="VMU1633" s="1"/>
      <c r="VMV1633" s="1"/>
      <c r="VMW1633" s="1"/>
      <c r="VMX1633" s="1"/>
      <c r="VMY1633" s="1"/>
      <c r="VMZ1633" s="1"/>
      <c r="VNA1633" s="1"/>
      <c r="VNB1633" s="1"/>
      <c r="VNC1633" s="1"/>
      <c r="VND1633" s="1"/>
      <c r="VNE1633" s="1"/>
      <c r="VNF1633" s="1"/>
      <c r="VNG1633" s="1"/>
      <c r="VNH1633" s="1"/>
      <c r="VNI1633" s="1"/>
      <c r="VNJ1633" s="1"/>
      <c r="VNK1633" s="1"/>
      <c r="VNL1633" s="1"/>
      <c r="VNM1633" s="1"/>
      <c r="VNN1633" s="1"/>
      <c r="VNO1633" s="1"/>
      <c r="VNP1633" s="1"/>
      <c r="VNQ1633" s="1"/>
      <c r="VNR1633" s="1"/>
      <c r="VNS1633" s="1"/>
      <c r="VNT1633" s="1"/>
      <c r="VNU1633" s="1"/>
      <c r="VNV1633" s="1"/>
      <c r="VNW1633" s="1"/>
      <c r="VNX1633" s="1"/>
      <c r="VNY1633" s="1"/>
      <c r="VNZ1633" s="1"/>
      <c r="VOA1633" s="1"/>
      <c r="VOB1633" s="1"/>
      <c r="VOC1633" s="1"/>
      <c r="VOD1633" s="1"/>
      <c r="VOE1633" s="1"/>
      <c r="VOF1633" s="1"/>
      <c r="VOG1633" s="1"/>
      <c r="VOH1633" s="1"/>
      <c r="VOI1633" s="1"/>
      <c r="VOJ1633" s="1"/>
      <c r="VOK1633" s="1"/>
      <c r="VOL1633" s="1"/>
      <c r="VOM1633" s="1"/>
      <c r="VON1633" s="1"/>
      <c r="VOO1633" s="1"/>
      <c r="VOP1633" s="1"/>
      <c r="VOQ1633" s="1"/>
      <c r="VOR1633" s="1"/>
      <c r="VOS1633" s="1"/>
      <c r="VOT1633" s="1"/>
      <c r="VOU1633" s="1"/>
      <c r="VOV1633" s="1"/>
      <c r="VOW1633" s="1"/>
      <c r="VOX1633" s="1"/>
      <c r="VOY1633" s="1"/>
      <c r="VOZ1633" s="1"/>
      <c r="VPA1633" s="1"/>
      <c r="VPB1633" s="1"/>
      <c r="VPC1633" s="1"/>
      <c r="VPD1633" s="1"/>
      <c r="VPE1633" s="1"/>
      <c r="VPF1633" s="1"/>
      <c r="VPG1633" s="1"/>
      <c r="VPH1633" s="1"/>
      <c r="VPI1633" s="1"/>
      <c r="VPJ1633" s="1"/>
      <c r="VPK1633" s="1"/>
      <c r="VPL1633" s="1"/>
      <c r="VPM1633" s="1"/>
      <c r="VPN1633" s="1"/>
      <c r="VPO1633" s="1"/>
      <c r="VPP1633" s="1"/>
      <c r="VPQ1633" s="1"/>
      <c r="VPR1633" s="1"/>
      <c r="VPS1633" s="1"/>
      <c r="VPT1633" s="1"/>
      <c r="VPU1633" s="1"/>
      <c r="VPV1633" s="1"/>
      <c r="VPW1633" s="1"/>
      <c r="VPX1633" s="1"/>
      <c r="VPY1633" s="1"/>
      <c r="VPZ1633" s="1"/>
      <c r="VQA1633" s="1"/>
      <c r="VQB1633" s="1"/>
      <c r="VQC1633" s="1"/>
      <c r="VQD1633" s="1"/>
      <c r="VQE1633" s="1"/>
      <c r="VQF1633" s="1"/>
      <c r="VQG1633" s="1"/>
      <c r="VQH1633" s="1"/>
      <c r="VQI1633" s="1"/>
      <c r="VQJ1633" s="1"/>
      <c r="VQK1633" s="1"/>
      <c r="VQL1633" s="1"/>
      <c r="VQM1633" s="1"/>
      <c r="VQN1633" s="1"/>
      <c r="VQO1633" s="1"/>
      <c r="VQP1633" s="1"/>
      <c r="VQQ1633" s="1"/>
      <c r="VQR1633" s="1"/>
      <c r="VQS1633" s="1"/>
      <c r="VQT1633" s="1"/>
      <c r="VQU1633" s="1"/>
      <c r="VQV1633" s="1"/>
      <c r="VQW1633" s="1"/>
      <c r="VQX1633" s="1"/>
      <c r="VQY1633" s="1"/>
      <c r="VQZ1633" s="1"/>
      <c r="VRA1633" s="1"/>
      <c r="VRB1633" s="1"/>
      <c r="VRC1633" s="1"/>
      <c r="VRD1633" s="1"/>
      <c r="VRE1633" s="1"/>
      <c r="VRF1633" s="1"/>
      <c r="VRG1633" s="1"/>
      <c r="VRH1633" s="1"/>
      <c r="VRI1633" s="1"/>
      <c r="VRJ1633" s="1"/>
      <c r="VRK1633" s="1"/>
      <c r="VRL1633" s="1"/>
      <c r="VRM1633" s="1"/>
      <c r="VRN1633" s="1"/>
      <c r="VRO1633" s="1"/>
      <c r="VRP1633" s="1"/>
      <c r="VRQ1633" s="1"/>
      <c r="VRR1633" s="1"/>
      <c r="VRS1633" s="1"/>
      <c r="VRT1633" s="1"/>
      <c r="VRU1633" s="1"/>
      <c r="VRV1633" s="1"/>
      <c r="VRW1633" s="1"/>
      <c r="VRX1633" s="1"/>
      <c r="VRY1633" s="1"/>
      <c r="VRZ1633" s="1"/>
      <c r="VSA1633" s="1"/>
      <c r="VSB1633" s="1"/>
      <c r="VSC1633" s="1"/>
      <c r="VSD1633" s="1"/>
      <c r="VSE1633" s="1"/>
      <c r="VSF1633" s="1"/>
      <c r="VSG1633" s="1"/>
      <c r="VSH1633" s="1"/>
      <c r="VSI1633" s="1"/>
      <c r="VSJ1633" s="1"/>
      <c r="VSK1633" s="1"/>
      <c r="VSL1633" s="1"/>
      <c r="VSM1633" s="1"/>
      <c r="VSN1633" s="1"/>
      <c r="VSO1633" s="1"/>
      <c r="VSP1633" s="1"/>
      <c r="VSQ1633" s="1"/>
      <c r="VSR1633" s="1"/>
      <c r="VSS1633" s="1"/>
      <c r="VST1633" s="1"/>
      <c r="VSU1633" s="1"/>
      <c r="VSV1633" s="1"/>
      <c r="VSW1633" s="1"/>
      <c r="VSX1633" s="1"/>
      <c r="VSY1633" s="1"/>
      <c r="VSZ1633" s="1"/>
      <c r="VTA1633" s="1"/>
      <c r="VTB1633" s="1"/>
      <c r="VTC1633" s="1"/>
      <c r="VTD1633" s="1"/>
      <c r="VTE1633" s="1"/>
      <c r="VTF1633" s="1"/>
      <c r="VTG1633" s="1"/>
      <c r="VTH1633" s="1"/>
      <c r="VTI1633" s="1"/>
      <c r="VTJ1633" s="1"/>
      <c r="VTK1633" s="1"/>
      <c r="VTL1633" s="1"/>
      <c r="VTM1633" s="1"/>
      <c r="VTN1633" s="1"/>
      <c r="VTO1633" s="1"/>
      <c r="VTP1633" s="1"/>
      <c r="VTQ1633" s="1"/>
      <c r="VTR1633" s="1"/>
      <c r="VTS1633" s="1"/>
      <c r="VTT1633" s="1"/>
      <c r="VTU1633" s="1"/>
      <c r="VTV1633" s="1"/>
      <c r="VTW1633" s="1"/>
      <c r="VTX1633" s="1"/>
      <c r="VTY1633" s="1"/>
      <c r="VTZ1633" s="1"/>
      <c r="VUA1633" s="1"/>
      <c r="VUB1633" s="1"/>
      <c r="VUC1633" s="1"/>
      <c r="VUD1633" s="1"/>
      <c r="VUE1633" s="1"/>
      <c r="VUF1633" s="1"/>
      <c r="VUG1633" s="1"/>
      <c r="VUH1633" s="1"/>
      <c r="VUI1633" s="1"/>
      <c r="VUJ1633" s="1"/>
      <c r="VUK1633" s="1"/>
      <c r="VUL1633" s="1"/>
      <c r="VUM1633" s="1"/>
      <c r="VUN1633" s="1"/>
      <c r="VUO1633" s="1"/>
      <c r="VUP1633" s="1"/>
      <c r="VUQ1633" s="1"/>
      <c r="VUR1633" s="1"/>
      <c r="VUS1633" s="1"/>
      <c r="VUT1633" s="1"/>
      <c r="VUU1633" s="1"/>
      <c r="VUV1633" s="1"/>
      <c r="VUW1633" s="1"/>
      <c r="VUX1633" s="1"/>
      <c r="VUY1633" s="1"/>
      <c r="VUZ1633" s="1"/>
      <c r="VVA1633" s="1"/>
      <c r="VVB1633" s="1"/>
      <c r="VVC1633" s="1"/>
      <c r="VVD1633" s="1"/>
      <c r="VVE1633" s="1"/>
      <c r="VVF1633" s="1"/>
      <c r="VVG1633" s="1"/>
      <c r="VVH1633" s="1"/>
      <c r="VVI1633" s="1"/>
      <c r="VVJ1633" s="1"/>
      <c r="VVK1633" s="1"/>
      <c r="VVL1633" s="1"/>
      <c r="VVM1633" s="1"/>
      <c r="VVN1633" s="1"/>
      <c r="VVO1633" s="1"/>
      <c r="VVP1633" s="1"/>
      <c r="VVQ1633" s="1"/>
      <c r="VVR1633" s="1"/>
      <c r="VVS1633" s="1"/>
      <c r="VVT1633" s="1"/>
      <c r="VVU1633" s="1"/>
      <c r="VVV1633" s="1"/>
      <c r="VVW1633" s="1"/>
      <c r="VVX1633" s="1"/>
      <c r="VVY1633" s="1"/>
      <c r="VVZ1633" s="1"/>
      <c r="VWA1633" s="1"/>
      <c r="VWB1633" s="1"/>
      <c r="VWC1633" s="1"/>
      <c r="VWD1633" s="1"/>
      <c r="VWE1633" s="1"/>
      <c r="VWF1633" s="1"/>
      <c r="VWG1633" s="1"/>
      <c r="VWH1633" s="1"/>
      <c r="VWI1633" s="1"/>
      <c r="VWJ1633" s="1"/>
      <c r="VWK1633" s="1"/>
      <c r="VWL1633" s="1"/>
      <c r="VWM1633" s="1"/>
      <c r="VWN1633" s="1"/>
      <c r="VWO1633" s="1"/>
      <c r="VWP1633" s="1"/>
      <c r="VWQ1633" s="1"/>
      <c r="VWR1633" s="1"/>
      <c r="VWS1633" s="1"/>
      <c r="VWT1633" s="1"/>
      <c r="VWU1633" s="1"/>
      <c r="VWV1633" s="1"/>
      <c r="VWW1633" s="1"/>
      <c r="VWX1633" s="1"/>
      <c r="VWY1633" s="1"/>
      <c r="VWZ1633" s="1"/>
      <c r="VXA1633" s="1"/>
      <c r="VXB1633" s="1"/>
      <c r="VXC1633" s="1"/>
      <c r="VXD1633" s="1"/>
      <c r="VXE1633" s="1"/>
      <c r="VXF1633" s="1"/>
      <c r="VXG1633" s="1"/>
      <c r="VXH1633" s="1"/>
      <c r="VXI1633" s="1"/>
      <c r="VXJ1633" s="1"/>
      <c r="VXK1633" s="1"/>
      <c r="VXL1633" s="1"/>
      <c r="VXM1633" s="1"/>
      <c r="VXN1633" s="1"/>
      <c r="VXO1633" s="1"/>
      <c r="VXP1633" s="1"/>
      <c r="VXQ1633" s="1"/>
      <c r="VXR1633" s="1"/>
      <c r="VXS1633" s="1"/>
      <c r="VXT1633" s="1"/>
      <c r="VXU1633" s="1"/>
      <c r="VXV1633" s="1"/>
      <c r="VXW1633" s="1"/>
      <c r="VXX1633" s="1"/>
      <c r="VXY1633" s="1"/>
      <c r="VXZ1633" s="1"/>
      <c r="VYA1633" s="1"/>
      <c r="VYB1633" s="1"/>
      <c r="VYC1633" s="1"/>
      <c r="VYD1633" s="1"/>
      <c r="VYE1633" s="1"/>
      <c r="VYF1633" s="1"/>
      <c r="VYG1633" s="1"/>
      <c r="VYH1633" s="1"/>
      <c r="VYI1633" s="1"/>
      <c r="VYJ1633" s="1"/>
      <c r="VYK1633" s="1"/>
      <c r="VYL1633" s="1"/>
      <c r="VYM1633" s="1"/>
      <c r="VYN1633" s="1"/>
      <c r="VYO1633" s="1"/>
      <c r="VYP1633" s="1"/>
      <c r="VYQ1633" s="1"/>
      <c r="VYR1633" s="1"/>
      <c r="VYS1633" s="1"/>
      <c r="VYT1633" s="1"/>
      <c r="VYU1633" s="1"/>
      <c r="VYV1633" s="1"/>
      <c r="VYW1633" s="1"/>
      <c r="VYX1633" s="1"/>
      <c r="VYY1633" s="1"/>
      <c r="VYZ1633" s="1"/>
      <c r="VZA1633" s="1"/>
      <c r="VZB1633" s="1"/>
      <c r="VZC1633" s="1"/>
      <c r="VZD1633" s="1"/>
      <c r="VZE1633" s="1"/>
      <c r="VZF1633" s="1"/>
      <c r="VZG1633" s="1"/>
      <c r="VZH1633" s="1"/>
      <c r="VZI1633" s="1"/>
      <c r="VZJ1633" s="1"/>
      <c r="VZK1633" s="1"/>
      <c r="VZL1633" s="1"/>
      <c r="VZM1633" s="1"/>
      <c r="VZN1633" s="1"/>
      <c r="VZO1633" s="1"/>
      <c r="VZP1633" s="1"/>
      <c r="VZQ1633" s="1"/>
      <c r="VZR1633" s="1"/>
      <c r="VZS1633" s="1"/>
      <c r="VZT1633" s="1"/>
      <c r="VZU1633" s="1"/>
      <c r="VZV1633" s="1"/>
      <c r="VZW1633" s="1"/>
      <c r="VZX1633" s="1"/>
      <c r="VZY1633" s="1"/>
      <c r="VZZ1633" s="1"/>
      <c r="WAA1633" s="1"/>
      <c r="WAB1633" s="1"/>
      <c r="WAC1633" s="1"/>
      <c r="WAD1633" s="1"/>
      <c r="WAE1633" s="1"/>
      <c r="WAF1633" s="1"/>
      <c r="WAG1633" s="1"/>
      <c r="WAH1633" s="1"/>
      <c r="WAI1633" s="1"/>
      <c r="WAJ1633" s="1"/>
      <c r="WAK1633" s="1"/>
      <c r="WAL1633" s="1"/>
      <c r="WAM1633" s="1"/>
      <c r="WAN1633" s="1"/>
      <c r="WAO1633" s="1"/>
      <c r="WAP1633" s="1"/>
      <c r="WAQ1633" s="1"/>
      <c r="WAR1633" s="1"/>
      <c r="WAS1633" s="1"/>
      <c r="WAT1633" s="1"/>
      <c r="WAU1633" s="1"/>
      <c r="WAV1633" s="1"/>
      <c r="WAW1633" s="1"/>
      <c r="WAX1633" s="1"/>
      <c r="WAY1633" s="1"/>
      <c r="WAZ1633" s="1"/>
      <c r="WBA1633" s="1"/>
      <c r="WBB1633" s="1"/>
      <c r="WBC1633" s="1"/>
      <c r="WBD1633" s="1"/>
      <c r="WBE1633" s="1"/>
      <c r="WBF1633" s="1"/>
      <c r="WBG1633" s="1"/>
      <c r="WBH1633" s="1"/>
      <c r="WBI1633" s="1"/>
      <c r="WBJ1633" s="1"/>
      <c r="WBK1633" s="1"/>
      <c r="WBL1633" s="1"/>
      <c r="WBM1633" s="1"/>
      <c r="WBN1633" s="1"/>
      <c r="WBO1633" s="1"/>
      <c r="WBP1633" s="1"/>
      <c r="WBQ1633" s="1"/>
      <c r="WBR1633" s="1"/>
      <c r="WBS1633" s="1"/>
      <c r="WBT1633" s="1"/>
      <c r="WBU1633" s="1"/>
      <c r="WBV1633" s="1"/>
      <c r="WBW1633" s="1"/>
      <c r="WBX1633" s="1"/>
      <c r="WBY1633" s="1"/>
      <c r="WBZ1633" s="1"/>
      <c r="WCA1633" s="1"/>
      <c r="WCB1633" s="1"/>
      <c r="WCC1633" s="1"/>
      <c r="WCD1633" s="1"/>
      <c r="WCE1633" s="1"/>
      <c r="WCF1633" s="1"/>
      <c r="WCG1633" s="1"/>
      <c r="WCH1633" s="1"/>
      <c r="WCI1633" s="1"/>
      <c r="WCJ1633" s="1"/>
      <c r="WCK1633" s="1"/>
      <c r="WCL1633" s="1"/>
      <c r="WCM1633" s="1"/>
      <c r="WCN1633" s="1"/>
      <c r="WCO1633" s="1"/>
      <c r="WCP1633" s="1"/>
      <c r="WCQ1633" s="1"/>
      <c r="WCR1633" s="1"/>
      <c r="WCS1633" s="1"/>
      <c r="WCT1633" s="1"/>
      <c r="WCU1633" s="1"/>
      <c r="WCV1633" s="1"/>
      <c r="WCW1633" s="1"/>
      <c r="WCX1633" s="1"/>
      <c r="WCY1633" s="1"/>
      <c r="WCZ1633" s="1"/>
      <c r="WDA1633" s="1"/>
      <c r="WDB1633" s="1"/>
      <c r="WDC1633" s="1"/>
      <c r="WDD1633" s="1"/>
      <c r="WDE1633" s="1"/>
      <c r="WDF1633" s="1"/>
      <c r="WDG1633" s="1"/>
      <c r="WDH1633" s="1"/>
      <c r="WDI1633" s="1"/>
      <c r="WDJ1633" s="1"/>
      <c r="WDK1633" s="1"/>
      <c r="WDL1633" s="1"/>
      <c r="WDM1633" s="1"/>
      <c r="WDN1633" s="1"/>
      <c r="WDO1633" s="1"/>
      <c r="WDP1633" s="1"/>
      <c r="WDQ1633" s="1"/>
      <c r="WDR1633" s="1"/>
      <c r="WDS1633" s="1"/>
      <c r="WDT1633" s="1"/>
      <c r="WDU1633" s="1"/>
      <c r="WDV1633" s="1"/>
      <c r="WDW1633" s="1"/>
      <c r="WDX1633" s="1"/>
      <c r="WDY1633" s="1"/>
      <c r="WDZ1633" s="1"/>
      <c r="WEA1633" s="1"/>
      <c r="WEB1633" s="1"/>
      <c r="WEC1633" s="1"/>
      <c r="WED1633" s="1"/>
      <c r="WEE1633" s="1"/>
      <c r="WEF1633" s="1"/>
      <c r="WEG1633" s="1"/>
      <c r="WEH1633" s="1"/>
      <c r="WEI1633" s="1"/>
      <c r="WEJ1633" s="1"/>
      <c r="WEK1633" s="1"/>
      <c r="WEL1633" s="1"/>
      <c r="WEM1633" s="1"/>
      <c r="WEN1633" s="1"/>
      <c r="WEO1633" s="1"/>
      <c r="WEP1633" s="1"/>
      <c r="WEQ1633" s="1"/>
      <c r="WER1633" s="1"/>
      <c r="WES1633" s="1"/>
      <c r="WET1633" s="1"/>
      <c r="WEU1633" s="1"/>
      <c r="WEV1633" s="1"/>
      <c r="WEW1633" s="1"/>
      <c r="WEX1633" s="1"/>
      <c r="WEY1633" s="1"/>
      <c r="WEZ1633" s="1"/>
      <c r="WFA1633" s="1"/>
      <c r="WFB1633" s="1"/>
      <c r="WFC1633" s="1"/>
      <c r="WFD1633" s="1"/>
      <c r="WFE1633" s="1"/>
      <c r="WFF1633" s="1"/>
      <c r="WFG1633" s="1"/>
      <c r="WFH1633" s="1"/>
      <c r="WFI1633" s="1"/>
      <c r="WFJ1633" s="1"/>
      <c r="WFK1633" s="1"/>
      <c r="WFL1633" s="1"/>
      <c r="WFM1633" s="1"/>
      <c r="WFN1633" s="1"/>
      <c r="WFO1633" s="1"/>
      <c r="WFP1633" s="1"/>
      <c r="WFQ1633" s="1"/>
      <c r="WFR1633" s="1"/>
      <c r="WFS1633" s="1"/>
      <c r="WFT1633" s="1"/>
      <c r="WFU1633" s="1"/>
      <c r="WFV1633" s="1"/>
      <c r="WFW1633" s="1"/>
      <c r="WFX1633" s="1"/>
      <c r="WFY1633" s="1"/>
      <c r="WFZ1633" s="1"/>
      <c r="WGA1633" s="1"/>
      <c r="WGB1633" s="1"/>
      <c r="WGC1633" s="1"/>
      <c r="WGD1633" s="1"/>
      <c r="WGE1633" s="1"/>
      <c r="WGF1633" s="1"/>
      <c r="WGG1633" s="1"/>
      <c r="WGH1633" s="1"/>
      <c r="WGI1633" s="1"/>
      <c r="WGJ1633" s="1"/>
      <c r="WGK1633" s="1"/>
      <c r="WGL1633" s="1"/>
      <c r="WGM1633" s="1"/>
      <c r="WGN1633" s="1"/>
      <c r="WGO1633" s="1"/>
      <c r="WGP1633" s="1"/>
      <c r="WGQ1633" s="1"/>
      <c r="WGR1633" s="1"/>
      <c r="WGS1633" s="1"/>
      <c r="WGT1633" s="1"/>
      <c r="WGU1633" s="1"/>
      <c r="WGV1633" s="1"/>
      <c r="WGW1633" s="1"/>
      <c r="WGX1633" s="1"/>
      <c r="WGY1633" s="1"/>
      <c r="WGZ1633" s="1"/>
      <c r="WHA1633" s="1"/>
      <c r="WHB1633" s="1"/>
      <c r="WHC1633" s="1"/>
      <c r="WHD1633" s="1"/>
      <c r="WHE1633" s="1"/>
      <c r="WHF1633" s="1"/>
      <c r="WHG1633" s="1"/>
      <c r="WHH1633" s="1"/>
      <c r="WHI1633" s="1"/>
      <c r="WHJ1633" s="1"/>
      <c r="WHK1633" s="1"/>
      <c r="WHL1633" s="1"/>
      <c r="WHM1633" s="1"/>
      <c r="WHN1633" s="1"/>
      <c r="WHO1633" s="1"/>
      <c r="WHP1633" s="1"/>
      <c r="WHQ1633" s="1"/>
      <c r="WHR1633" s="1"/>
      <c r="WHS1633" s="1"/>
      <c r="WHT1633" s="1"/>
      <c r="WHU1633" s="1"/>
      <c r="WHV1633" s="1"/>
      <c r="WHW1633" s="1"/>
      <c r="WHX1633" s="1"/>
      <c r="WHY1633" s="1"/>
      <c r="WHZ1633" s="1"/>
      <c r="WIA1633" s="1"/>
      <c r="WIB1633" s="1"/>
      <c r="WIC1633" s="1"/>
      <c r="WID1633" s="1"/>
      <c r="WIE1633" s="1"/>
      <c r="WIF1633" s="1"/>
      <c r="WIG1633" s="1"/>
      <c r="WIH1633" s="1"/>
      <c r="WII1633" s="1"/>
      <c r="WIJ1633" s="1"/>
      <c r="WIK1633" s="1"/>
      <c r="WIL1633" s="1"/>
      <c r="WIM1633" s="1"/>
      <c r="WIN1633" s="1"/>
      <c r="WIO1633" s="1"/>
      <c r="WIP1633" s="1"/>
      <c r="WIQ1633" s="1"/>
      <c r="WIR1633" s="1"/>
      <c r="WIS1633" s="1"/>
      <c r="WIT1633" s="1"/>
      <c r="WIU1633" s="1"/>
      <c r="WIV1633" s="1"/>
      <c r="WIW1633" s="1"/>
      <c r="WIX1633" s="1"/>
      <c r="WIY1633" s="1"/>
      <c r="WIZ1633" s="1"/>
      <c r="WJA1633" s="1"/>
      <c r="WJB1633" s="1"/>
      <c r="WJC1633" s="1"/>
      <c r="WJD1633" s="1"/>
      <c r="WJE1633" s="1"/>
      <c r="WJF1633" s="1"/>
      <c r="WJG1633" s="1"/>
      <c r="WJH1633" s="1"/>
      <c r="WJI1633" s="1"/>
      <c r="WJJ1633" s="1"/>
      <c r="WJK1633" s="1"/>
      <c r="WJL1633" s="1"/>
      <c r="WJM1633" s="1"/>
      <c r="WJN1633" s="1"/>
      <c r="WJO1633" s="1"/>
      <c r="WJP1633" s="1"/>
      <c r="WJQ1633" s="1"/>
      <c r="WJR1633" s="1"/>
      <c r="WJS1633" s="1"/>
      <c r="WJT1633" s="1"/>
      <c r="WJU1633" s="1"/>
      <c r="WJV1633" s="1"/>
      <c r="WJW1633" s="1"/>
      <c r="WJX1633" s="1"/>
      <c r="WJY1633" s="1"/>
      <c r="WJZ1633" s="1"/>
      <c r="WKA1633" s="1"/>
      <c r="WKB1633" s="1"/>
      <c r="WKC1633" s="1"/>
      <c r="WKD1633" s="1"/>
      <c r="WKE1633" s="1"/>
      <c r="WKF1633" s="1"/>
      <c r="WKG1633" s="1"/>
      <c r="WKH1633" s="1"/>
      <c r="WKI1633" s="1"/>
      <c r="WKJ1633" s="1"/>
      <c r="WKK1633" s="1"/>
      <c r="WKL1633" s="1"/>
      <c r="WKM1633" s="1"/>
      <c r="WKN1633" s="1"/>
      <c r="WKO1633" s="1"/>
      <c r="WKP1633" s="1"/>
      <c r="WKQ1633" s="1"/>
      <c r="WKR1633" s="1"/>
      <c r="WKS1633" s="1"/>
      <c r="WKT1633" s="1"/>
      <c r="WKU1633" s="1"/>
      <c r="WKV1633" s="1"/>
      <c r="WKW1633" s="1"/>
      <c r="WKX1633" s="1"/>
      <c r="WKY1633" s="1"/>
      <c r="WKZ1633" s="1"/>
      <c r="WLA1633" s="1"/>
      <c r="WLB1633" s="1"/>
      <c r="WLC1633" s="1"/>
      <c r="WLD1633" s="1"/>
      <c r="WLE1633" s="1"/>
      <c r="WLF1633" s="1"/>
      <c r="WLG1633" s="1"/>
      <c r="WLH1633" s="1"/>
      <c r="WLI1633" s="1"/>
      <c r="WLJ1633" s="1"/>
      <c r="WLK1633" s="1"/>
      <c r="WLL1633" s="1"/>
      <c r="WLM1633" s="1"/>
      <c r="WLN1633" s="1"/>
      <c r="WLO1633" s="1"/>
      <c r="WLP1633" s="1"/>
      <c r="WLQ1633" s="1"/>
      <c r="WLR1633" s="1"/>
      <c r="WLS1633" s="1"/>
      <c r="WLT1633" s="1"/>
      <c r="WLU1633" s="1"/>
      <c r="WLV1633" s="1"/>
      <c r="WLW1633" s="1"/>
      <c r="WLX1633" s="1"/>
      <c r="WLY1633" s="1"/>
      <c r="WLZ1633" s="1"/>
      <c r="WMA1633" s="1"/>
      <c r="WMB1633" s="1"/>
      <c r="WMC1633" s="1"/>
      <c r="WMD1633" s="1"/>
      <c r="WME1633" s="1"/>
      <c r="WMF1633" s="1"/>
      <c r="WMG1633" s="1"/>
      <c r="WMH1633" s="1"/>
      <c r="WMI1633" s="1"/>
      <c r="WMJ1633" s="1"/>
      <c r="WMK1633" s="1"/>
      <c r="WML1633" s="1"/>
      <c r="WMM1633" s="1"/>
      <c r="WMN1633" s="1"/>
      <c r="WMO1633" s="1"/>
      <c r="WMP1633" s="1"/>
      <c r="WMQ1633" s="1"/>
      <c r="WMR1633" s="1"/>
      <c r="WMS1633" s="1"/>
      <c r="WMT1633" s="1"/>
      <c r="WMU1633" s="1"/>
      <c r="WMV1633" s="1"/>
      <c r="WMW1633" s="1"/>
      <c r="WMX1633" s="1"/>
      <c r="WMY1633" s="1"/>
      <c r="WMZ1633" s="1"/>
      <c r="WNA1633" s="1"/>
      <c r="WNB1633" s="1"/>
      <c r="WNC1633" s="1"/>
      <c r="WND1633" s="1"/>
      <c r="WNE1633" s="1"/>
      <c r="WNF1633" s="1"/>
      <c r="WNG1633" s="1"/>
      <c r="WNH1633" s="1"/>
      <c r="WNI1633" s="1"/>
      <c r="WNJ1633" s="1"/>
      <c r="WNK1633" s="1"/>
      <c r="WNL1633" s="1"/>
      <c r="WNM1633" s="1"/>
      <c r="WNN1633" s="1"/>
      <c r="WNO1633" s="1"/>
      <c r="WNP1633" s="1"/>
      <c r="WNQ1633" s="1"/>
      <c r="WNR1633" s="1"/>
      <c r="WNS1633" s="1"/>
      <c r="WNT1633" s="1"/>
      <c r="WNU1633" s="1"/>
      <c r="WNV1633" s="1"/>
      <c r="WNW1633" s="1"/>
      <c r="WNX1633" s="1"/>
      <c r="WNY1633" s="1"/>
      <c r="WNZ1633" s="1"/>
      <c r="WOA1633" s="1"/>
      <c r="WOB1633" s="1"/>
      <c r="WOC1633" s="1"/>
      <c r="WOD1633" s="1"/>
      <c r="WOE1633" s="1"/>
      <c r="WOF1633" s="1"/>
      <c r="WOG1633" s="1"/>
      <c r="WOH1633" s="1"/>
      <c r="WOI1633" s="1"/>
      <c r="WOJ1633" s="1"/>
      <c r="WOK1633" s="1"/>
      <c r="WOL1633" s="1"/>
      <c r="WOM1633" s="1"/>
      <c r="WON1633" s="1"/>
      <c r="WOO1633" s="1"/>
      <c r="WOP1633" s="1"/>
      <c r="WOQ1633" s="1"/>
      <c r="WOR1633" s="1"/>
      <c r="WOS1633" s="1"/>
      <c r="WOT1633" s="1"/>
      <c r="WOU1633" s="1"/>
      <c r="WOV1633" s="1"/>
      <c r="WOW1633" s="1"/>
      <c r="WOX1633" s="1"/>
      <c r="WOY1633" s="1"/>
      <c r="WOZ1633" s="1"/>
      <c r="WPA1633" s="1"/>
      <c r="WPB1633" s="1"/>
      <c r="WPC1633" s="1"/>
      <c r="WPD1633" s="1"/>
      <c r="WPE1633" s="1"/>
      <c r="WPF1633" s="1"/>
      <c r="WPG1633" s="1"/>
      <c r="WPH1633" s="1"/>
      <c r="WPI1633" s="1"/>
      <c r="WPJ1633" s="1"/>
      <c r="WPK1633" s="1"/>
      <c r="WPL1633" s="1"/>
      <c r="WPM1633" s="1"/>
      <c r="WPN1633" s="1"/>
      <c r="WPO1633" s="1"/>
      <c r="WPP1633" s="1"/>
      <c r="WPQ1633" s="1"/>
      <c r="WPR1633" s="1"/>
      <c r="WPS1633" s="1"/>
      <c r="WPT1633" s="1"/>
      <c r="WPU1633" s="1"/>
      <c r="WPV1633" s="1"/>
      <c r="WPW1633" s="1"/>
      <c r="WPX1633" s="1"/>
      <c r="WPY1633" s="1"/>
      <c r="WPZ1633" s="1"/>
      <c r="WQA1633" s="1"/>
      <c r="WQB1633" s="1"/>
      <c r="WQC1633" s="1"/>
      <c r="WQD1633" s="1"/>
      <c r="WQE1633" s="1"/>
      <c r="WQF1633" s="1"/>
      <c r="WQG1633" s="1"/>
      <c r="WQH1633" s="1"/>
      <c r="WQI1633" s="1"/>
      <c r="WQJ1633" s="1"/>
      <c r="WQK1633" s="1"/>
      <c r="WQL1633" s="1"/>
      <c r="WQM1633" s="1"/>
      <c r="WQN1633" s="1"/>
      <c r="WQO1633" s="1"/>
      <c r="WQP1633" s="1"/>
      <c r="WQQ1633" s="1"/>
      <c r="WQR1633" s="1"/>
      <c r="WQS1633" s="1"/>
      <c r="WQT1633" s="1"/>
      <c r="WQU1633" s="1"/>
      <c r="WQV1633" s="1"/>
      <c r="WQW1633" s="1"/>
      <c r="WQX1633" s="1"/>
      <c r="WQY1633" s="1"/>
      <c r="WQZ1633" s="1"/>
      <c r="WRA1633" s="1"/>
      <c r="WRB1633" s="1"/>
      <c r="WRC1633" s="1"/>
      <c r="WRD1633" s="1"/>
      <c r="WRE1633" s="1"/>
      <c r="WRF1633" s="1"/>
      <c r="WRG1633" s="1"/>
      <c r="WRH1633" s="1"/>
      <c r="WRI1633" s="1"/>
      <c r="WRJ1633" s="1"/>
      <c r="WRK1633" s="1"/>
      <c r="WRL1633" s="1"/>
      <c r="WRM1633" s="1"/>
      <c r="WRN1633" s="1"/>
      <c r="WRO1633" s="1"/>
      <c r="WRP1633" s="1"/>
      <c r="WRQ1633" s="1"/>
      <c r="WRR1633" s="1"/>
      <c r="WRS1633" s="1"/>
      <c r="WRT1633" s="1"/>
      <c r="WRU1633" s="1"/>
      <c r="WRV1633" s="1"/>
      <c r="WRW1633" s="1"/>
      <c r="WRX1633" s="1"/>
      <c r="WRY1633" s="1"/>
      <c r="WRZ1633" s="1"/>
      <c r="WSA1633" s="1"/>
      <c r="WSB1633" s="1"/>
      <c r="WSC1633" s="1"/>
      <c r="WSD1633" s="1"/>
      <c r="WSE1633" s="1"/>
      <c r="WSF1633" s="1"/>
      <c r="WSG1633" s="1"/>
      <c r="WSH1633" s="1"/>
      <c r="WSI1633" s="1"/>
      <c r="WSJ1633" s="1"/>
      <c r="WSK1633" s="1"/>
      <c r="WSL1633" s="1"/>
      <c r="WSM1633" s="1"/>
      <c r="WSN1633" s="1"/>
      <c r="WSO1633" s="1"/>
      <c r="WSP1633" s="1"/>
      <c r="WSQ1633" s="1"/>
      <c r="WSR1633" s="1"/>
      <c r="WSS1633" s="1"/>
      <c r="WST1633" s="1"/>
      <c r="WSU1633" s="1"/>
      <c r="WSV1633" s="1"/>
      <c r="WSW1633" s="1"/>
      <c r="WSX1633" s="1"/>
      <c r="WSY1633" s="1"/>
      <c r="WSZ1633" s="1"/>
      <c r="WTA1633" s="1"/>
      <c r="WTB1633" s="1"/>
      <c r="WTC1633" s="1"/>
      <c r="WTD1633" s="1"/>
      <c r="WTE1633" s="1"/>
      <c r="WTF1633" s="1"/>
      <c r="WTG1633" s="1"/>
      <c r="WTH1633" s="1"/>
      <c r="WTI1633" s="1"/>
      <c r="WTJ1633" s="1"/>
      <c r="WTK1633" s="1"/>
      <c r="WTL1633" s="1"/>
      <c r="WTM1633" s="1"/>
      <c r="WTN1633" s="1"/>
      <c r="WTO1633" s="1"/>
      <c r="WTP1633" s="1"/>
      <c r="WTQ1633" s="1"/>
      <c r="WTR1633" s="1"/>
      <c r="WTS1633" s="1"/>
      <c r="WTT1633" s="1"/>
      <c r="WTU1633" s="1"/>
      <c r="WTV1633" s="1"/>
      <c r="WTW1633" s="1"/>
      <c r="WTX1633" s="1"/>
      <c r="WTY1633" s="1"/>
      <c r="WTZ1633" s="1"/>
      <c r="WUA1633" s="1"/>
      <c r="WUB1633" s="1"/>
      <c r="WUC1633" s="1"/>
      <c r="WUD1633" s="1"/>
      <c r="WUE1633" s="1"/>
      <c r="WUF1633" s="1"/>
      <c r="WUG1633" s="1"/>
      <c r="WUH1633" s="1"/>
      <c r="WUI1633" s="1"/>
      <c r="WUJ1633" s="1"/>
      <c r="WUK1633" s="1"/>
      <c r="WUL1633" s="1"/>
      <c r="WUM1633" s="1"/>
      <c r="WUN1633" s="1"/>
      <c r="WUO1633" s="1"/>
      <c r="WUP1633" s="1"/>
      <c r="WUQ1633" s="1"/>
      <c r="WUR1633" s="1"/>
      <c r="WUS1633" s="1"/>
      <c r="WUT1633" s="1"/>
      <c r="WUU1633" s="1"/>
      <c r="WUV1633" s="1"/>
      <c r="WUW1633" s="1"/>
      <c r="WUX1633" s="1"/>
      <c r="WUY1633" s="1"/>
      <c r="WUZ1633" s="1"/>
      <c r="WVA1633" s="1"/>
      <c r="WVB1633" s="1"/>
      <c r="WVC1633" s="1"/>
      <c r="WVD1633" s="1"/>
      <c r="WVE1633" s="1"/>
      <c r="WVF1633" s="1"/>
      <c r="WVG1633" s="1"/>
      <c r="WVH1633" s="1"/>
      <c r="WVI1633" s="1"/>
      <c r="WVJ1633" s="1"/>
      <c r="WVK1633" s="1"/>
      <c r="WVL1633" s="1"/>
      <c r="WVM1633" s="1"/>
      <c r="WVN1633" s="1"/>
      <c r="WVO1633" s="1"/>
      <c r="WVP1633" s="1"/>
      <c r="WVQ1633" s="1"/>
      <c r="WVR1633" s="1"/>
      <c r="WVS1633" s="1"/>
      <c r="WVT1633" s="1"/>
      <c r="WVU1633" s="1"/>
      <c r="WVV1633" s="1"/>
      <c r="WVW1633" s="1"/>
      <c r="WVX1633" s="1"/>
      <c r="WVY1633" s="1"/>
      <c r="WVZ1633" s="1"/>
      <c r="WWA1633" s="1"/>
      <c r="WWB1633" s="1"/>
      <c r="WWC1633" s="1"/>
      <c r="WWD1633" s="1"/>
      <c r="WWE1633" s="1"/>
      <c r="WWF1633" s="1"/>
      <c r="WWG1633" s="1"/>
      <c r="WWH1633" s="1"/>
      <c r="WWI1633" s="1"/>
      <c r="WWJ1633" s="1"/>
      <c r="WWK1633" s="1"/>
      <c r="WWL1633" s="1"/>
      <c r="WWM1633" s="1"/>
      <c r="WWN1633" s="1"/>
      <c r="WWO1633" s="1"/>
      <c r="WWP1633" s="1"/>
      <c r="WWQ1633" s="1"/>
      <c r="WWR1633" s="1"/>
      <c r="WWS1633" s="1"/>
      <c r="WWT1633" s="1"/>
      <c r="WWU1633" s="1"/>
      <c r="WWV1633" s="1"/>
      <c r="WWW1633" s="1"/>
      <c r="WWX1633" s="1"/>
      <c r="WWY1633" s="1"/>
      <c r="WWZ1633" s="1"/>
      <c r="WXA1633" s="1"/>
      <c r="WXB1633" s="1"/>
      <c r="WXC1633" s="1"/>
      <c r="WXD1633" s="1"/>
      <c r="WXE1633" s="1"/>
      <c r="WXF1633" s="1"/>
      <c r="WXG1633" s="1"/>
      <c r="WXH1633" s="1"/>
      <c r="WXI1633" s="1"/>
      <c r="WXJ1633" s="1"/>
      <c r="WXK1633" s="1"/>
      <c r="WXL1633" s="1"/>
      <c r="WXM1633" s="1"/>
      <c r="WXN1633" s="1"/>
      <c r="WXO1633" s="1"/>
      <c r="WXP1633" s="1"/>
      <c r="WXQ1633" s="1"/>
      <c r="WXR1633" s="1"/>
      <c r="WXS1633" s="1"/>
      <c r="WXT1633" s="1"/>
      <c r="WXU1633" s="1"/>
      <c r="WXV1633" s="1"/>
      <c r="WXW1633" s="1"/>
      <c r="WXX1633" s="1"/>
      <c r="WXY1633" s="1"/>
      <c r="WXZ1633" s="1"/>
      <c r="WYA1633" s="1"/>
      <c r="WYB1633" s="1"/>
      <c r="WYC1633" s="1"/>
      <c r="WYD1633" s="1"/>
      <c r="WYE1633" s="1"/>
      <c r="WYF1633" s="1"/>
      <c r="WYG1633" s="1"/>
      <c r="WYH1633" s="1"/>
      <c r="WYI1633" s="1"/>
      <c r="WYJ1633" s="1"/>
      <c r="WYK1633" s="1"/>
      <c r="WYL1633" s="1"/>
      <c r="WYM1633" s="1"/>
      <c r="WYN1633" s="1"/>
      <c r="WYO1633" s="1"/>
      <c r="WYP1633" s="1"/>
      <c r="WYQ1633" s="1"/>
      <c r="WYR1633" s="1"/>
      <c r="WYS1633" s="1"/>
      <c r="WYT1633" s="1"/>
      <c r="WYU1633" s="1"/>
      <c r="WYV1633" s="1"/>
      <c r="WYW1633" s="1"/>
      <c r="WYX1633" s="1"/>
      <c r="WYY1633" s="1"/>
      <c r="WYZ1633" s="1"/>
      <c r="WZA1633" s="1"/>
      <c r="WZB1633" s="1"/>
      <c r="WZC1633" s="1"/>
      <c r="WZD1633" s="1"/>
      <c r="WZE1633" s="1"/>
      <c r="WZF1633" s="1"/>
      <c r="WZG1633" s="1"/>
      <c r="WZH1633" s="1"/>
      <c r="WZI1633" s="1"/>
      <c r="WZJ1633" s="1"/>
      <c r="WZK1633" s="1"/>
      <c r="WZL1633" s="1"/>
      <c r="WZM1633" s="1"/>
      <c r="WZN1633" s="1"/>
      <c r="WZO1633" s="1"/>
      <c r="WZP1633" s="1"/>
      <c r="WZQ1633" s="1"/>
      <c r="WZR1633" s="1"/>
      <c r="WZS1633" s="1"/>
      <c r="WZT1633" s="1"/>
      <c r="WZU1633" s="1"/>
      <c r="WZV1633" s="1"/>
      <c r="WZW1633" s="1"/>
      <c r="WZX1633" s="1"/>
      <c r="WZY1633" s="1"/>
      <c r="WZZ1633" s="1"/>
      <c r="XAA1633" s="1"/>
      <c r="XAB1633" s="1"/>
      <c r="XAC1633" s="1"/>
      <c r="XAD1633" s="1"/>
      <c r="XAE1633" s="1"/>
      <c r="XAF1633" s="1"/>
      <c r="XAG1633" s="1"/>
      <c r="XAH1633" s="1"/>
      <c r="XAI1633" s="1"/>
      <c r="XAJ1633" s="1"/>
      <c r="XAK1633" s="1"/>
      <c r="XAL1633" s="1"/>
      <c r="XAM1633" s="1"/>
      <c r="XAN1633" s="1"/>
      <c r="XAO1633" s="1"/>
      <c r="XAP1633" s="1"/>
      <c r="XAQ1633" s="1"/>
      <c r="XAR1633" s="1"/>
      <c r="XAS1633" s="1"/>
      <c r="XAT1633" s="1"/>
      <c r="XAU1633" s="1"/>
      <c r="XAV1633" s="1"/>
      <c r="XAW1633" s="1"/>
      <c r="XAX1633" s="1"/>
      <c r="XAY1633" s="1"/>
      <c r="XAZ1633" s="1"/>
      <c r="XBA1633" s="1"/>
      <c r="XBB1633" s="1"/>
      <c r="XBC1633" s="1"/>
      <c r="XBD1633" s="1"/>
      <c r="XBE1633" s="1"/>
      <c r="XBF1633" s="1"/>
      <c r="XBG1633" s="1"/>
      <c r="XBH1633" s="1"/>
      <c r="XBI1633" s="1"/>
      <c r="XBJ1633" s="1"/>
      <c r="XBK1633" s="1"/>
      <c r="XBL1633" s="1"/>
      <c r="XBM1633" s="1"/>
      <c r="XBN1633" s="1"/>
      <c r="XBO1633" s="1"/>
      <c r="XBP1633" s="1"/>
      <c r="XBQ1633" s="1"/>
      <c r="XBR1633" s="1"/>
      <c r="XBS1633" s="1"/>
      <c r="XBT1633" s="1"/>
      <c r="XBU1633" s="1"/>
      <c r="XBV1633" s="1"/>
      <c r="XBW1633" s="1"/>
      <c r="XBX1633" s="1"/>
      <c r="XBY1633" s="1"/>
      <c r="XBZ1633" s="1"/>
      <c r="XCA1633" s="1"/>
      <c r="XCB1633" s="1"/>
      <c r="XCC1633" s="1"/>
      <c r="XCD1633" s="1"/>
      <c r="XCE1633" s="1"/>
      <c r="XCF1633" s="1"/>
      <c r="XCG1633" s="1"/>
      <c r="XCH1633" s="1"/>
      <c r="XCI1633" s="1"/>
      <c r="XCJ1633" s="1"/>
      <c r="XCK1633" s="1"/>
      <c r="XCL1633" s="1"/>
      <c r="XCM1633" s="1"/>
      <c r="XCN1633" s="1"/>
      <c r="XCO1633" s="1"/>
      <c r="XCP1633" s="1"/>
      <c r="XCQ1633" s="1"/>
      <c r="XCR1633" s="1"/>
      <c r="XCS1633" s="1"/>
      <c r="XCT1633" s="1"/>
      <c r="XCU1633" s="1"/>
      <c r="XCV1633" s="1"/>
      <c r="XCW1633" s="1"/>
      <c r="XCX1633" s="1"/>
      <c r="XCY1633" s="1"/>
      <c r="XCZ1633" s="1"/>
      <c r="XDA1633" s="1"/>
      <c r="XDB1633" s="1"/>
      <c r="XDC1633" s="1"/>
      <c r="XDD1633" s="1"/>
      <c r="XDE1633" s="1"/>
      <c r="XDF1633" s="1"/>
      <c r="XDG1633" s="1"/>
      <c r="XDH1633" s="1"/>
      <c r="XDI1633" s="1"/>
      <c r="XDJ1633" s="1"/>
      <c r="XDK1633" s="1"/>
      <c r="XDL1633" s="1"/>
      <c r="XDM1633" s="1"/>
      <c r="XDN1633" s="1"/>
      <c r="XDO1633" s="1"/>
      <c r="XDP1633" s="1"/>
      <c r="XDQ1633" s="1"/>
      <c r="XDR1633" s="1"/>
      <c r="XDS1633" s="1"/>
    </row>
    <row r="1634" spans="1:16347" s="26" customFormat="1" x14ac:dyDescent="0.25">
      <c r="A1634" s="1" t="s">
        <v>1014</v>
      </c>
      <c r="B1634" s="1" t="s">
        <v>1347</v>
      </c>
      <c r="C1634" s="1">
        <v>388</v>
      </c>
      <c r="D1634" s="1">
        <v>0.5</v>
      </c>
      <c r="E1634" s="3">
        <f t="shared" si="104"/>
        <v>194</v>
      </c>
      <c r="F1634" s="1">
        <f t="shared" si="105"/>
        <v>232.79999999999998</v>
      </c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  <c r="BF1634" s="1"/>
      <c r="BG1634" s="1"/>
      <c r="BH1634" s="1"/>
      <c r="BI1634" s="1"/>
      <c r="BJ1634" s="1"/>
      <c r="BK1634" s="1"/>
      <c r="BL1634" s="1"/>
      <c r="BM1634" s="1"/>
      <c r="BN1634" s="1"/>
      <c r="BO1634" s="1"/>
      <c r="BP1634" s="1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  <c r="CC1634" s="1"/>
      <c r="CD1634" s="1"/>
      <c r="CE1634" s="1"/>
      <c r="CF1634" s="1"/>
      <c r="CG1634" s="1"/>
      <c r="CH1634" s="1"/>
      <c r="CI1634" s="1"/>
      <c r="CJ1634" s="1"/>
      <c r="CK1634" s="1"/>
      <c r="CL1634" s="1"/>
      <c r="CM1634" s="1"/>
      <c r="CN1634" s="1"/>
      <c r="CO1634" s="1"/>
      <c r="CP1634" s="1"/>
      <c r="CQ1634" s="1"/>
      <c r="CR1634" s="1"/>
      <c r="CS1634" s="1"/>
      <c r="CT1634" s="1"/>
      <c r="CU1634" s="1"/>
      <c r="CV1634" s="1"/>
      <c r="CW1634" s="1"/>
      <c r="CX1634" s="1"/>
      <c r="CY1634" s="1"/>
      <c r="CZ1634" s="1"/>
      <c r="DA1634" s="1"/>
      <c r="DB1634" s="1"/>
      <c r="DC1634" s="1"/>
      <c r="DD1634" s="1"/>
      <c r="DE1634" s="1"/>
      <c r="DF1634" s="1"/>
      <c r="DG1634" s="1"/>
      <c r="DH1634" s="1"/>
      <c r="DI1634" s="1"/>
      <c r="DJ1634" s="1"/>
      <c r="DK1634" s="1"/>
      <c r="DL1634" s="1"/>
      <c r="DM1634" s="1"/>
      <c r="DN1634" s="1"/>
      <c r="DO1634" s="1"/>
      <c r="DP1634" s="1"/>
      <c r="DQ1634" s="1"/>
      <c r="DR1634" s="1"/>
      <c r="DS1634" s="1"/>
      <c r="DT1634" s="1"/>
      <c r="DU1634" s="1"/>
      <c r="DV1634" s="1"/>
      <c r="DW1634" s="1"/>
      <c r="DX1634" s="1"/>
      <c r="DY1634" s="1"/>
      <c r="DZ1634" s="1"/>
      <c r="EA1634" s="1"/>
      <c r="EB1634" s="1"/>
      <c r="EC1634" s="1"/>
      <c r="ED1634" s="1"/>
      <c r="EE1634" s="1"/>
      <c r="EF1634" s="1"/>
      <c r="EG1634" s="1"/>
      <c r="EH1634" s="1"/>
      <c r="EI1634" s="1"/>
      <c r="EJ1634" s="1"/>
      <c r="EK1634" s="1"/>
      <c r="EL1634" s="1"/>
      <c r="EM1634" s="1"/>
      <c r="EN1634" s="1"/>
      <c r="EO1634" s="1"/>
      <c r="EP1634" s="1"/>
      <c r="EQ1634" s="1"/>
      <c r="ER1634" s="1"/>
      <c r="ES1634" s="1"/>
      <c r="ET1634" s="1"/>
      <c r="EU1634" s="1"/>
      <c r="EV1634" s="1"/>
      <c r="EW1634" s="1"/>
      <c r="EX1634" s="1"/>
      <c r="EY1634" s="1"/>
      <c r="EZ1634" s="1"/>
      <c r="FA1634" s="1"/>
      <c r="FB1634" s="1"/>
      <c r="FC1634" s="1"/>
      <c r="FD1634" s="1"/>
      <c r="FE1634" s="1"/>
      <c r="FF1634" s="1"/>
      <c r="FG1634" s="1"/>
      <c r="FH1634" s="1"/>
      <c r="FI1634" s="1"/>
      <c r="FJ1634" s="1"/>
      <c r="FK1634" s="1"/>
      <c r="FL1634" s="1"/>
      <c r="FM1634" s="1"/>
      <c r="FN1634" s="1"/>
      <c r="FO1634" s="1"/>
      <c r="FP1634" s="1"/>
      <c r="FQ1634" s="1"/>
      <c r="FR1634" s="1"/>
      <c r="FS1634" s="1"/>
      <c r="FT1634" s="1"/>
      <c r="FU1634" s="1"/>
      <c r="FV1634" s="1"/>
      <c r="FW1634" s="1"/>
      <c r="FX1634" s="1"/>
      <c r="FY1634" s="1"/>
      <c r="FZ1634" s="1"/>
      <c r="GA1634" s="1"/>
      <c r="GB1634" s="1"/>
      <c r="GC1634" s="1"/>
      <c r="GD1634" s="1"/>
      <c r="GE1634" s="1"/>
      <c r="GF1634" s="1"/>
      <c r="GG1634" s="1"/>
      <c r="GH1634" s="1"/>
      <c r="GI1634" s="1"/>
      <c r="GJ1634" s="1"/>
      <c r="GK1634" s="1"/>
      <c r="GL1634" s="1"/>
      <c r="GM1634" s="1"/>
      <c r="GN1634" s="1"/>
      <c r="GO1634" s="1"/>
      <c r="GP1634" s="1"/>
      <c r="GQ1634" s="1"/>
      <c r="GR1634" s="1"/>
      <c r="GS1634" s="1"/>
      <c r="GT1634" s="1"/>
      <c r="GU1634" s="1"/>
      <c r="GV1634" s="1"/>
      <c r="GW1634" s="1"/>
      <c r="GX1634" s="1"/>
      <c r="GY1634" s="1"/>
      <c r="GZ1634" s="1"/>
      <c r="HA1634" s="1"/>
      <c r="HB1634" s="1"/>
      <c r="HC1634" s="1"/>
      <c r="HD1634" s="1"/>
      <c r="HE1634" s="1"/>
      <c r="HF1634" s="1"/>
      <c r="HG1634" s="1"/>
      <c r="HH1634" s="1"/>
      <c r="HI1634" s="1"/>
      <c r="HJ1634" s="1"/>
      <c r="HK1634" s="1"/>
      <c r="HL1634" s="1"/>
      <c r="HM1634" s="1"/>
      <c r="HN1634" s="1"/>
      <c r="HO1634" s="1"/>
      <c r="HP1634" s="1"/>
      <c r="HQ1634" s="1"/>
      <c r="HR1634" s="1"/>
      <c r="HS1634" s="1"/>
      <c r="HT1634" s="1"/>
      <c r="HU1634" s="1"/>
      <c r="HV1634" s="1"/>
      <c r="HW1634" s="1"/>
      <c r="HX1634" s="1"/>
      <c r="HY1634" s="1"/>
      <c r="HZ1634" s="1"/>
      <c r="IA1634" s="1"/>
      <c r="IB1634" s="1"/>
      <c r="IC1634" s="1"/>
      <c r="ID1634" s="1"/>
      <c r="IE1634" s="1"/>
      <c r="IF1634" s="1"/>
      <c r="IG1634" s="1"/>
      <c r="IH1634" s="1"/>
      <c r="II1634" s="1"/>
      <c r="IJ1634" s="1"/>
      <c r="IK1634" s="1"/>
      <c r="IL1634" s="1"/>
      <c r="IM1634" s="1"/>
      <c r="IN1634" s="1"/>
      <c r="IO1634" s="1"/>
      <c r="IP1634" s="1"/>
      <c r="IQ1634" s="1"/>
      <c r="IR1634" s="1"/>
      <c r="IS1634" s="1"/>
      <c r="IT1634" s="1"/>
      <c r="IU1634" s="1"/>
      <c r="IV1634" s="1"/>
      <c r="IW1634" s="1"/>
      <c r="IX1634" s="1"/>
      <c r="IY1634" s="1"/>
      <c r="IZ1634" s="1"/>
      <c r="JA1634" s="1"/>
      <c r="JB1634" s="1"/>
      <c r="JC1634" s="1"/>
      <c r="JD1634" s="1"/>
      <c r="JE1634" s="1"/>
      <c r="JF1634" s="1"/>
      <c r="JG1634" s="1"/>
      <c r="JH1634" s="1"/>
      <c r="JI1634" s="1"/>
      <c r="JJ1634" s="1"/>
      <c r="JK1634" s="1"/>
      <c r="JL1634" s="1"/>
      <c r="JM1634" s="1"/>
      <c r="JN1634" s="1"/>
      <c r="JO1634" s="1"/>
      <c r="JP1634" s="1"/>
      <c r="JQ1634" s="1"/>
      <c r="JR1634" s="1"/>
      <c r="JS1634" s="1"/>
      <c r="JT1634" s="1"/>
      <c r="JU1634" s="1"/>
      <c r="JV1634" s="1"/>
      <c r="JW1634" s="1"/>
      <c r="JX1634" s="1"/>
      <c r="JY1634" s="1"/>
      <c r="JZ1634" s="1"/>
      <c r="KA1634" s="1"/>
      <c r="KB1634" s="1"/>
      <c r="KC1634" s="1"/>
      <c r="KD1634" s="1"/>
      <c r="KE1634" s="1"/>
      <c r="KF1634" s="1"/>
      <c r="KG1634" s="1"/>
      <c r="KH1634" s="1"/>
      <c r="KI1634" s="1"/>
      <c r="KJ1634" s="1"/>
      <c r="KK1634" s="1"/>
      <c r="KL1634" s="1"/>
      <c r="KM1634" s="1"/>
      <c r="KN1634" s="1"/>
      <c r="KO1634" s="1"/>
      <c r="KP1634" s="1"/>
      <c r="KQ1634" s="1"/>
      <c r="KR1634" s="1"/>
      <c r="KS1634" s="1"/>
      <c r="KT1634" s="1"/>
      <c r="KU1634" s="1"/>
      <c r="KV1634" s="1"/>
      <c r="KW1634" s="1"/>
      <c r="KX1634" s="1"/>
      <c r="KY1634" s="1"/>
      <c r="KZ1634" s="1"/>
      <c r="LA1634" s="1"/>
      <c r="LB1634" s="1"/>
      <c r="LC1634" s="1"/>
      <c r="LD1634" s="1"/>
      <c r="LE1634" s="1"/>
      <c r="LF1634" s="1"/>
      <c r="LG1634" s="1"/>
      <c r="LH1634" s="1"/>
      <c r="LI1634" s="1"/>
      <c r="LJ1634" s="1"/>
      <c r="LK1634" s="1"/>
      <c r="LL1634" s="1"/>
      <c r="LM1634" s="1"/>
      <c r="LN1634" s="1"/>
      <c r="LO1634" s="1"/>
      <c r="LP1634" s="1"/>
      <c r="LQ1634" s="1"/>
      <c r="LR1634" s="1"/>
      <c r="LS1634" s="1"/>
      <c r="LT1634" s="1"/>
      <c r="LU1634" s="1"/>
      <c r="LV1634" s="1"/>
      <c r="LW1634" s="1"/>
      <c r="LX1634" s="1"/>
      <c r="LY1634" s="1"/>
      <c r="LZ1634" s="1"/>
      <c r="MA1634" s="1"/>
      <c r="MB1634" s="1"/>
      <c r="MC1634" s="1"/>
      <c r="MD1634" s="1"/>
      <c r="ME1634" s="1"/>
      <c r="MF1634" s="1"/>
      <c r="MG1634" s="1"/>
      <c r="MH1634" s="1"/>
      <c r="MI1634" s="1"/>
      <c r="MJ1634" s="1"/>
      <c r="MK1634" s="1"/>
      <c r="ML1634" s="1"/>
      <c r="MM1634" s="1"/>
      <c r="MN1634" s="1"/>
      <c r="MO1634" s="1"/>
      <c r="MP1634" s="1"/>
      <c r="MQ1634" s="1"/>
      <c r="MR1634" s="1"/>
      <c r="MS1634" s="1"/>
      <c r="MT1634" s="1"/>
      <c r="MU1634" s="1"/>
      <c r="MV1634" s="1"/>
      <c r="MW1634" s="1"/>
      <c r="MX1634" s="1"/>
      <c r="MY1634" s="1"/>
      <c r="MZ1634" s="1"/>
      <c r="NA1634" s="1"/>
      <c r="NB1634" s="1"/>
      <c r="NC1634" s="1"/>
      <c r="ND1634" s="1"/>
      <c r="NE1634" s="1"/>
      <c r="NF1634" s="1"/>
      <c r="NG1634" s="1"/>
      <c r="NH1634" s="1"/>
      <c r="NI1634" s="1"/>
      <c r="NJ1634" s="1"/>
      <c r="NK1634" s="1"/>
      <c r="NL1634" s="1"/>
      <c r="NM1634" s="1"/>
      <c r="NN1634" s="1"/>
      <c r="NO1634" s="1"/>
      <c r="NP1634" s="1"/>
      <c r="NQ1634" s="1"/>
      <c r="NR1634" s="1"/>
      <c r="NS1634" s="1"/>
      <c r="NT1634" s="1"/>
      <c r="NU1634" s="1"/>
      <c r="NV1634" s="1"/>
      <c r="NW1634" s="1"/>
      <c r="NX1634" s="1"/>
      <c r="NY1634" s="1"/>
      <c r="NZ1634" s="1"/>
      <c r="OA1634" s="1"/>
      <c r="OB1634" s="1"/>
      <c r="OC1634" s="1"/>
      <c r="OD1634" s="1"/>
      <c r="OE1634" s="1"/>
      <c r="OF1634" s="1"/>
      <c r="OG1634" s="1"/>
      <c r="OH1634" s="1"/>
      <c r="OI1634" s="1"/>
      <c r="OJ1634" s="1"/>
      <c r="OK1634" s="1"/>
      <c r="OL1634" s="1"/>
      <c r="OM1634" s="1"/>
      <c r="ON1634" s="1"/>
      <c r="OO1634" s="1"/>
      <c r="OP1634" s="1"/>
      <c r="OQ1634" s="1"/>
      <c r="OR1634" s="1"/>
      <c r="OS1634" s="1"/>
      <c r="OT1634" s="1"/>
      <c r="OU1634" s="1"/>
      <c r="OV1634" s="1"/>
      <c r="OW1634" s="1"/>
      <c r="OX1634" s="1"/>
      <c r="OY1634" s="1"/>
      <c r="OZ1634" s="1"/>
      <c r="PA1634" s="1"/>
      <c r="PB1634" s="1"/>
      <c r="PC1634" s="1"/>
      <c r="PD1634" s="1"/>
      <c r="PE1634" s="1"/>
      <c r="PF1634" s="1"/>
      <c r="PG1634" s="1"/>
      <c r="PH1634" s="1"/>
      <c r="PI1634" s="1"/>
      <c r="PJ1634" s="1"/>
      <c r="PK1634" s="1"/>
      <c r="PL1634" s="1"/>
      <c r="PM1634" s="1"/>
      <c r="PN1634" s="1"/>
      <c r="PO1634" s="1"/>
      <c r="PP1634" s="1"/>
      <c r="PQ1634" s="1"/>
      <c r="PR1634" s="1"/>
      <c r="PS1634" s="1"/>
      <c r="PT1634" s="1"/>
      <c r="PU1634" s="1"/>
      <c r="PV1634" s="1"/>
      <c r="PW1634" s="1"/>
      <c r="PX1634" s="1"/>
      <c r="PY1634" s="1"/>
      <c r="PZ1634" s="1"/>
      <c r="QA1634" s="1"/>
      <c r="QB1634" s="1"/>
      <c r="QC1634" s="1"/>
      <c r="QD1634" s="1"/>
      <c r="QE1634" s="1"/>
      <c r="QF1634" s="1"/>
      <c r="QG1634" s="1"/>
      <c r="QH1634" s="1"/>
      <c r="QI1634" s="1"/>
      <c r="QJ1634" s="1"/>
      <c r="QK1634" s="1"/>
      <c r="QL1634" s="1"/>
      <c r="QM1634" s="1"/>
      <c r="QN1634" s="1"/>
      <c r="QO1634" s="1"/>
      <c r="QP1634" s="1"/>
      <c r="QQ1634" s="1"/>
      <c r="QR1634" s="1"/>
      <c r="QS1634" s="1"/>
      <c r="QT1634" s="1"/>
      <c r="QU1634" s="1"/>
      <c r="QV1634" s="1"/>
      <c r="QW1634" s="1"/>
      <c r="QX1634" s="1"/>
      <c r="QY1634" s="1"/>
      <c r="QZ1634" s="1"/>
      <c r="RA1634" s="1"/>
      <c r="RB1634" s="1"/>
      <c r="RC1634" s="1"/>
      <c r="RD1634" s="1"/>
      <c r="RE1634" s="1"/>
      <c r="RF1634" s="1"/>
      <c r="RG1634" s="1"/>
      <c r="RH1634" s="1"/>
      <c r="RI1634" s="1"/>
      <c r="RJ1634" s="1"/>
      <c r="RK1634" s="1"/>
      <c r="RL1634" s="1"/>
      <c r="RM1634" s="1"/>
      <c r="RN1634" s="1"/>
      <c r="RO1634" s="1"/>
      <c r="RP1634" s="1"/>
      <c r="RQ1634" s="1"/>
      <c r="RR1634" s="1"/>
      <c r="RS1634" s="1"/>
      <c r="RT1634" s="1"/>
      <c r="RU1634" s="1"/>
      <c r="RV1634" s="1"/>
      <c r="RW1634" s="1"/>
      <c r="RX1634" s="1"/>
      <c r="RY1634" s="1"/>
      <c r="RZ1634" s="1"/>
      <c r="SA1634" s="1"/>
      <c r="SB1634" s="1"/>
      <c r="SC1634" s="1"/>
      <c r="SD1634" s="1"/>
      <c r="SE1634" s="1"/>
      <c r="SF1634" s="1"/>
      <c r="SG1634" s="1"/>
      <c r="SH1634" s="1"/>
      <c r="SI1634" s="1"/>
      <c r="SJ1634" s="1"/>
      <c r="SK1634" s="1"/>
      <c r="SL1634" s="1"/>
      <c r="SM1634" s="1"/>
      <c r="SN1634" s="1"/>
      <c r="SO1634" s="1"/>
      <c r="SP1634" s="1"/>
      <c r="SQ1634" s="1"/>
      <c r="SR1634" s="1"/>
      <c r="SS1634" s="1"/>
      <c r="ST1634" s="1"/>
      <c r="SU1634" s="1"/>
      <c r="SV1634" s="1"/>
      <c r="SW1634" s="1"/>
      <c r="SX1634" s="1"/>
      <c r="SY1634" s="1"/>
      <c r="SZ1634" s="1"/>
      <c r="TA1634" s="1"/>
      <c r="TB1634" s="1"/>
      <c r="TC1634" s="1"/>
      <c r="TD1634" s="1"/>
      <c r="TE1634" s="1"/>
      <c r="TF1634" s="1"/>
      <c r="TG1634" s="1"/>
      <c r="TH1634" s="1"/>
      <c r="TI1634" s="1"/>
      <c r="TJ1634" s="1"/>
      <c r="TK1634" s="1"/>
      <c r="TL1634" s="1"/>
      <c r="TM1634" s="1"/>
      <c r="TN1634" s="1"/>
      <c r="TO1634" s="1"/>
      <c r="TP1634" s="1"/>
      <c r="TQ1634" s="1"/>
      <c r="TR1634" s="1"/>
      <c r="TS1634" s="1"/>
      <c r="TT1634" s="1"/>
      <c r="TU1634" s="1"/>
      <c r="TV1634" s="1"/>
      <c r="TW1634" s="1"/>
      <c r="TX1634" s="1"/>
      <c r="TY1634" s="1"/>
      <c r="TZ1634" s="1"/>
      <c r="UA1634" s="1"/>
      <c r="UB1634" s="1"/>
      <c r="UC1634" s="1"/>
      <c r="UD1634" s="1"/>
      <c r="UE1634" s="1"/>
      <c r="UF1634" s="1"/>
      <c r="UG1634" s="1"/>
      <c r="UH1634" s="1"/>
      <c r="UI1634" s="1"/>
      <c r="UJ1634" s="1"/>
      <c r="UK1634" s="1"/>
      <c r="UL1634" s="1"/>
      <c r="UM1634" s="1"/>
      <c r="UN1634" s="1"/>
      <c r="UO1634" s="1"/>
      <c r="UP1634" s="1"/>
      <c r="UQ1634" s="1"/>
      <c r="UR1634" s="1"/>
      <c r="US1634" s="1"/>
      <c r="UT1634" s="1"/>
      <c r="UU1634" s="1"/>
      <c r="UV1634" s="1"/>
      <c r="UW1634" s="1"/>
      <c r="UX1634" s="1"/>
      <c r="UY1634" s="1"/>
      <c r="UZ1634" s="1"/>
      <c r="VA1634" s="1"/>
      <c r="VB1634" s="1"/>
      <c r="VC1634" s="1"/>
      <c r="VD1634" s="1"/>
      <c r="VE1634" s="1"/>
      <c r="VF1634" s="1"/>
      <c r="VG1634" s="1"/>
      <c r="VH1634" s="1"/>
      <c r="VI1634" s="1"/>
      <c r="VJ1634" s="1"/>
      <c r="VK1634" s="1"/>
      <c r="VL1634" s="1"/>
      <c r="VM1634" s="1"/>
      <c r="VN1634" s="1"/>
      <c r="VO1634" s="1"/>
      <c r="VP1634" s="1"/>
      <c r="VQ1634" s="1"/>
      <c r="VR1634" s="1"/>
      <c r="VS1634" s="1"/>
      <c r="VT1634" s="1"/>
      <c r="VU1634" s="1"/>
      <c r="VV1634" s="1"/>
      <c r="VW1634" s="1"/>
      <c r="VX1634" s="1"/>
      <c r="VY1634" s="1"/>
      <c r="VZ1634" s="1"/>
      <c r="WA1634" s="1"/>
      <c r="WB1634" s="1"/>
      <c r="WC1634" s="1"/>
      <c r="WD1634" s="1"/>
      <c r="WE1634" s="1"/>
      <c r="WF1634" s="1"/>
      <c r="WG1634" s="1"/>
      <c r="WH1634" s="1"/>
      <c r="WI1634" s="1"/>
      <c r="WJ1634" s="1"/>
      <c r="WK1634" s="1"/>
      <c r="WL1634" s="1"/>
      <c r="WM1634" s="1"/>
      <c r="WN1634" s="1"/>
      <c r="WO1634" s="1"/>
      <c r="WP1634" s="1"/>
      <c r="WQ1634" s="1"/>
      <c r="WR1634" s="1"/>
      <c r="WS1634" s="1"/>
      <c r="WT1634" s="1"/>
      <c r="WU1634" s="1"/>
      <c r="WV1634" s="1"/>
      <c r="WW1634" s="1"/>
      <c r="WX1634" s="1"/>
      <c r="WY1634" s="1"/>
      <c r="WZ1634" s="1"/>
      <c r="XA1634" s="1"/>
      <c r="XB1634" s="1"/>
      <c r="XC1634" s="1"/>
      <c r="XD1634" s="1"/>
      <c r="XE1634" s="1"/>
      <c r="XF1634" s="1"/>
      <c r="XG1634" s="1"/>
      <c r="XH1634" s="1"/>
      <c r="XI1634" s="1"/>
      <c r="XJ1634" s="1"/>
      <c r="XK1634" s="1"/>
      <c r="XL1634" s="1"/>
      <c r="XM1634" s="1"/>
      <c r="XN1634" s="1"/>
      <c r="XO1634" s="1"/>
      <c r="XP1634" s="1"/>
      <c r="XQ1634" s="1"/>
      <c r="XR1634" s="1"/>
      <c r="XS1634" s="1"/>
      <c r="XT1634" s="1"/>
      <c r="XU1634" s="1"/>
      <c r="XV1634" s="1"/>
      <c r="XW1634" s="1"/>
      <c r="XX1634" s="1"/>
      <c r="XY1634" s="1"/>
      <c r="XZ1634" s="1"/>
      <c r="YA1634" s="1"/>
      <c r="YB1634" s="1"/>
      <c r="YC1634" s="1"/>
      <c r="YD1634" s="1"/>
      <c r="YE1634" s="1"/>
      <c r="YF1634" s="1"/>
      <c r="YG1634" s="1"/>
      <c r="YH1634" s="1"/>
      <c r="YI1634" s="1"/>
      <c r="YJ1634" s="1"/>
      <c r="YK1634" s="1"/>
      <c r="YL1634" s="1"/>
      <c r="YM1634" s="1"/>
      <c r="YN1634" s="1"/>
      <c r="YO1634" s="1"/>
      <c r="YP1634" s="1"/>
      <c r="YQ1634" s="1"/>
      <c r="YR1634" s="1"/>
      <c r="YS1634" s="1"/>
      <c r="YT1634" s="1"/>
      <c r="YU1634" s="1"/>
      <c r="YV1634" s="1"/>
      <c r="YW1634" s="1"/>
      <c r="YX1634" s="1"/>
      <c r="YY1634" s="1"/>
      <c r="YZ1634" s="1"/>
      <c r="ZA1634" s="1"/>
      <c r="ZB1634" s="1"/>
      <c r="ZC1634" s="1"/>
      <c r="ZD1634" s="1"/>
      <c r="ZE1634" s="1"/>
      <c r="ZF1634" s="1"/>
      <c r="ZG1634" s="1"/>
      <c r="ZH1634" s="1"/>
      <c r="ZI1634" s="1"/>
      <c r="ZJ1634" s="1"/>
      <c r="ZK1634" s="1"/>
      <c r="ZL1634" s="1"/>
      <c r="ZM1634" s="1"/>
      <c r="ZN1634" s="1"/>
      <c r="ZO1634" s="1"/>
      <c r="ZP1634" s="1"/>
      <c r="ZQ1634" s="1"/>
      <c r="ZR1634" s="1"/>
      <c r="ZS1634" s="1"/>
      <c r="ZT1634" s="1"/>
      <c r="ZU1634" s="1"/>
      <c r="ZV1634" s="1"/>
      <c r="ZW1634" s="1"/>
      <c r="ZX1634" s="1"/>
      <c r="ZY1634" s="1"/>
      <c r="ZZ1634" s="1"/>
      <c r="AAA1634" s="1"/>
      <c r="AAB1634" s="1"/>
      <c r="AAC1634" s="1"/>
      <c r="AAD1634" s="1"/>
      <c r="AAE1634" s="1"/>
      <c r="AAF1634" s="1"/>
      <c r="AAG1634" s="1"/>
      <c r="AAH1634" s="1"/>
      <c r="AAI1634" s="1"/>
      <c r="AAJ1634" s="1"/>
      <c r="AAK1634" s="1"/>
      <c r="AAL1634" s="1"/>
      <c r="AAM1634" s="1"/>
      <c r="AAN1634" s="1"/>
      <c r="AAO1634" s="1"/>
      <c r="AAP1634" s="1"/>
      <c r="AAQ1634" s="1"/>
      <c r="AAR1634" s="1"/>
      <c r="AAS1634" s="1"/>
      <c r="AAT1634" s="1"/>
      <c r="AAU1634" s="1"/>
      <c r="AAV1634" s="1"/>
      <c r="AAW1634" s="1"/>
      <c r="AAX1634" s="1"/>
      <c r="AAY1634" s="1"/>
      <c r="AAZ1634" s="1"/>
      <c r="ABA1634" s="1"/>
      <c r="ABB1634" s="1"/>
      <c r="ABC1634" s="1"/>
      <c r="ABD1634" s="1"/>
      <c r="ABE1634" s="1"/>
      <c r="ABF1634" s="1"/>
      <c r="ABG1634" s="1"/>
      <c r="ABH1634" s="1"/>
      <c r="ABI1634" s="1"/>
      <c r="ABJ1634" s="1"/>
      <c r="ABK1634" s="1"/>
      <c r="ABL1634" s="1"/>
      <c r="ABM1634" s="1"/>
      <c r="ABN1634" s="1"/>
      <c r="ABO1634" s="1"/>
      <c r="ABP1634" s="1"/>
      <c r="ABQ1634" s="1"/>
      <c r="ABR1634" s="1"/>
      <c r="ABS1634" s="1"/>
      <c r="ABT1634" s="1"/>
      <c r="ABU1634" s="1"/>
      <c r="ABV1634" s="1"/>
      <c r="ABW1634" s="1"/>
      <c r="ABX1634" s="1"/>
      <c r="ABY1634" s="1"/>
      <c r="ABZ1634" s="1"/>
      <c r="ACA1634" s="1"/>
      <c r="ACB1634" s="1"/>
      <c r="ACC1634" s="1"/>
      <c r="ACD1634" s="1"/>
      <c r="ACE1634" s="1"/>
      <c r="ACF1634" s="1"/>
      <c r="ACG1634" s="1"/>
      <c r="ACH1634" s="1"/>
      <c r="ACI1634" s="1"/>
      <c r="ACJ1634" s="1"/>
      <c r="ACK1634" s="1"/>
      <c r="ACL1634" s="1"/>
      <c r="ACM1634" s="1"/>
      <c r="ACN1634" s="1"/>
      <c r="ACO1634" s="1"/>
      <c r="ACP1634" s="1"/>
      <c r="ACQ1634" s="1"/>
      <c r="ACR1634" s="1"/>
      <c r="ACS1634" s="1"/>
      <c r="ACT1634" s="1"/>
      <c r="ACU1634" s="1"/>
      <c r="ACV1634" s="1"/>
      <c r="ACW1634" s="1"/>
      <c r="ACX1634" s="1"/>
      <c r="ACY1634" s="1"/>
      <c r="ACZ1634" s="1"/>
      <c r="ADA1634" s="1"/>
      <c r="ADB1634" s="1"/>
      <c r="ADC1634" s="1"/>
      <c r="ADD1634" s="1"/>
      <c r="ADE1634" s="1"/>
      <c r="ADF1634" s="1"/>
      <c r="ADG1634" s="1"/>
      <c r="ADH1634" s="1"/>
      <c r="ADI1634" s="1"/>
      <c r="ADJ1634" s="1"/>
      <c r="ADK1634" s="1"/>
      <c r="ADL1634" s="1"/>
      <c r="ADM1634" s="1"/>
      <c r="ADN1634" s="1"/>
      <c r="ADO1634" s="1"/>
      <c r="ADP1634" s="1"/>
      <c r="ADQ1634" s="1"/>
      <c r="ADR1634" s="1"/>
      <c r="ADS1634" s="1"/>
      <c r="ADT1634" s="1"/>
      <c r="ADU1634" s="1"/>
      <c r="ADV1634" s="1"/>
      <c r="ADW1634" s="1"/>
      <c r="ADX1634" s="1"/>
      <c r="ADY1634" s="1"/>
      <c r="ADZ1634" s="1"/>
      <c r="AEA1634" s="1"/>
      <c r="AEB1634" s="1"/>
      <c r="AEC1634" s="1"/>
      <c r="AED1634" s="1"/>
      <c r="AEE1634" s="1"/>
      <c r="AEF1634" s="1"/>
      <c r="AEG1634" s="1"/>
      <c r="AEH1634" s="1"/>
      <c r="AEI1634" s="1"/>
      <c r="AEJ1634" s="1"/>
      <c r="AEK1634" s="1"/>
      <c r="AEL1634" s="1"/>
      <c r="AEM1634" s="1"/>
      <c r="AEN1634" s="1"/>
      <c r="AEO1634" s="1"/>
      <c r="AEP1634" s="1"/>
      <c r="AEQ1634" s="1"/>
      <c r="AER1634" s="1"/>
      <c r="AES1634" s="1"/>
      <c r="AET1634" s="1"/>
      <c r="AEU1634" s="1"/>
      <c r="AEV1634" s="1"/>
      <c r="AEW1634" s="1"/>
      <c r="AEX1634" s="1"/>
      <c r="AEY1634" s="1"/>
      <c r="AEZ1634" s="1"/>
      <c r="AFA1634" s="1"/>
      <c r="AFB1634" s="1"/>
      <c r="AFC1634" s="1"/>
      <c r="AFD1634" s="1"/>
      <c r="AFE1634" s="1"/>
      <c r="AFF1634" s="1"/>
      <c r="AFG1634" s="1"/>
      <c r="AFH1634" s="1"/>
      <c r="AFI1634" s="1"/>
      <c r="AFJ1634" s="1"/>
      <c r="AFK1634" s="1"/>
      <c r="AFL1634" s="1"/>
      <c r="AFM1634" s="1"/>
      <c r="AFN1634" s="1"/>
      <c r="AFO1634" s="1"/>
      <c r="AFP1634" s="1"/>
      <c r="AFQ1634" s="1"/>
      <c r="AFR1634" s="1"/>
      <c r="AFS1634" s="1"/>
      <c r="AFT1634" s="1"/>
      <c r="AFU1634" s="1"/>
      <c r="AFV1634" s="1"/>
      <c r="AFW1634" s="1"/>
      <c r="AFX1634" s="1"/>
      <c r="AFY1634" s="1"/>
      <c r="AFZ1634" s="1"/>
      <c r="AGA1634" s="1"/>
      <c r="AGB1634" s="1"/>
      <c r="AGC1634" s="1"/>
      <c r="AGD1634" s="1"/>
      <c r="AGE1634" s="1"/>
      <c r="AGF1634" s="1"/>
      <c r="AGG1634" s="1"/>
      <c r="AGH1634" s="1"/>
      <c r="AGI1634" s="1"/>
      <c r="AGJ1634" s="1"/>
      <c r="AGK1634" s="1"/>
      <c r="AGL1634" s="1"/>
      <c r="AGM1634" s="1"/>
      <c r="AGN1634" s="1"/>
      <c r="AGO1634" s="1"/>
      <c r="AGP1634" s="1"/>
      <c r="AGQ1634" s="1"/>
      <c r="AGR1634" s="1"/>
      <c r="AGS1634" s="1"/>
      <c r="AGT1634" s="1"/>
      <c r="AGU1634" s="1"/>
      <c r="AGV1634" s="1"/>
      <c r="AGW1634" s="1"/>
      <c r="AGX1634" s="1"/>
      <c r="AGY1634" s="1"/>
      <c r="AGZ1634" s="1"/>
      <c r="AHA1634" s="1"/>
      <c r="AHB1634" s="1"/>
      <c r="AHC1634" s="1"/>
      <c r="AHD1634" s="1"/>
      <c r="AHE1634" s="1"/>
      <c r="AHF1634" s="1"/>
      <c r="AHG1634" s="1"/>
      <c r="AHH1634" s="1"/>
      <c r="AHI1634" s="1"/>
      <c r="AHJ1634" s="1"/>
      <c r="AHK1634" s="1"/>
      <c r="AHL1634" s="1"/>
      <c r="AHM1634" s="1"/>
      <c r="AHN1634" s="1"/>
      <c r="AHO1634" s="1"/>
      <c r="AHP1634" s="1"/>
      <c r="AHQ1634" s="1"/>
      <c r="AHR1634" s="1"/>
      <c r="AHS1634" s="1"/>
      <c r="AHT1634" s="1"/>
      <c r="AHU1634" s="1"/>
      <c r="AHV1634" s="1"/>
      <c r="AHW1634" s="1"/>
      <c r="AHX1634" s="1"/>
      <c r="AHY1634" s="1"/>
      <c r="AHZ1634" s="1"/>
      <c r="AIA1634" s="1"/>
      <c r="AIB1634" s="1"/>
      <c r="AIC1634" s="1"/>
      <c r="AID1634" s="1"/>
      <c r="AIE1634" s="1"/>
      <c r="AIF1634" s="1"/>
      <c r="AIG1634" s="1"/>
      <c r="AIH1634" s="1"/>
      <c r="AII1634" s="1"/>
      <c r="AIJ1634" s="1"/>
      <c r="AIK1634" s="1"/>
      <c r="AIL1634" s="1"/>
      <c r="AIM1634" s="1"/>
      <c r="AIN1634" s="1"/>
      <c r="AIO1634" s="1"/>
      <c r="AIP1634" s="1"/>
      <c r="AIQ1634" s="1"/>
      <c r="AIR1634" s="1"/>
      <c r="AIS1634" s="1"/>
      <c r="AIT1634" s="1"/>
      <c r="AIU1634" s="1"/>
      <c r="AIV1634" s="1"/>
      <c r="AIW1634" s="1"/>
      <c r="AIX1634" s="1"/>
      <c r="AIY1634" s="1"/>
      <c r="AIZ1634" s="1"/>
      <c r="AJA1634" s="1"/>
      <c r="AJB1634" s="1"/>
      <c r="AJC1634" s="1"/>
      <c r="AJD1634" s="1"/>
      <c r="AJE1634" s="1"/>
      <c r="AJF1634" s="1"/>
      <c r="AJG1634" s="1"/>
      <c r="AJH1634" s="1"/>
      <c r="AJI1634" s="1"/>
      <c r="AJJ1634" s="1"/>
      <c r="AJK1634" s="1"/>
      <c r="AJL1634" s="1"/>
      <c r="AJM1634" s="1"/>
      <c r="AJN1634" s="1"/>
      <c r="AJO1634" s="1"/>
      <c r="AJP1634" s="1"/>
      <c r="AJQ1634" s="1"/>
      <c r="AJR1634" s="1"/>
      <c r="AJS1634" s="1"/>
      <c r="AJT1634" s="1"/>
      <c r="AJU1634" s="1"/>
      <c r="AJV1634" s="1"/>
      <c r="AJW1634" s="1"/>
      <c r="AJX1634" s="1"/>
      <c r="AJY1634" s="1"/>
      <c r="AJZ1634" s="1"/>
      <c r="AKA1634" s="1"/>
      <c r="AKB1634" s="1"/>
      <c r="AKC1634" s="1"/>
      <c r="AKD1634" s="1"/>
      <c r="AKE1634" s="1"/>
      <c r="AKF1634" s="1"/>
      <c r="AKG1634" s="1"/>
      <c r="AKH1634" s="1"/>
      <c r="AKI1634" s="1"/>
      <c r="AKJ1634" s="1"/>
      <c r="AKK1634" s="1"/>
      <c r="AKL1634" s="1"/>
      <c r="AKM1634" s="1"/>
      <c r="AKN1634" s="1"/>
      <c r="AKO1634" s="1"/>
      <c r="AKP1634" s="1"/>
      <c r="AKQ1634" s="1"/>
      <c r="AKR1634" s="1"/>
      <c r="AKS1634" s="1"/>
      <c r="AKT1634" s="1"/>
      <c r="AKU1634" s="1"/>
      <c r="AKV1634" s="1"/>
      <c r="AKW1634" s="1"/>
      <c r="AKX1634" s="1"/>
      <c r="AKY1634" s="1"/>
      <c r="AKZ1634" s="1"/>
      <c r="ALA1634" s="1"/>
      <c r="ALB1634" s="1"/>
      <c r="ALC1634" s="1"/>
      <c r="ALD1634" s="1"/>
      <c r="ALE1634" s="1"/>
      <c r="ALF1634" s="1"/>
      <c r="ALG1634" s="1"/>
      <c r="ALH1634" s="1"/>
      <c r="ALI1634" s="1"/>
      <c r="ALJ1634" s="1"/>
      <c r="ALK1634" s="1"/>
      <c r="ALL1634" s="1"/>
      <c r="ALM1634" s="1"/>
      <c r="ALN1634" s="1"/>
      <c r="ALO1634" s="1"/>
      <c r="ALP1634" s="1"/>
      <c r="ALQ1634" s="1"/>
      <c r="ALR1634" s="1"/>
      <c r="ALS1634" s="1"/>
      <c r="ALT1634" s="1"/>
      <c r="ALU1634" s="1"/>
      <c r="ALV1634" s="1"/>
      <c r="ALW1634" s="1"/>
      <c r="ALX1634" s="1"/>
      <c r="ALY1634" s="1"/>
      <c r="ALZ1634" s="1"/>
      <c r="AMA1634" s="1"/>
      <c r="AMB1634" s="1"/>
      <c r="AMC1634" s="1"/>
      <c r="AMD1634" s="1"/>
      <c r="AME1634" s="1"/>
      <c r="AMF1634" s="1"/>
      <c r="AMG1634" s="1"/>
      <c r="AMH1634" s="1"/>
      <c r="AMI1634" s="1"/>
      <c r="AMJ1634" s="1"/>
      <c r="AMK1634" s="1"/>
      <c r="AML1634" s="1"/>
      <c r="AMM1634" s="1"/>
      <c r="AMN1634" s="1"/>
      <c r="AMO1634" s="1"/>
      <c r="AMP1634" s="1"/>
      <c r="AMQ1634" s="1"/>
      <c r="AMR1634" s="1"/>
      <c r="AMS1634" s="1"/>
      <c r="AMT1634" s="1"/>
      <c r="AMU1634" s="1"/>
      <c r="AMV1634" s="1"/>
      <c r="AMW1634" s="1"/>
      <c r="AMX1634" s="1"/>
      <c r="AMY1634" s="1"/>
      <c r="AMZ1634" s="1"/>
      <c r="ANA1634" s="1"/>
      <c r="ANB1634" s="1"/>
      <c r="ANC1634" s="1"/>
      <c r="AND1634" s="1"/>
      <c r="ANE1634" s="1"/>
      <c r="ANF1634" s="1"/>
      <c r="ANG1634" s="1"/>
      <c r="ANH1634" s="1"/>
      <c r="ANI1634" s="1"/>
      <c r="ANJ1634" s="1"/>
      <c r="ANK1634" s="1"/>
      <c r="ANL1634" s="1"/>
      <c r="ANM1634" s="1"/>
      <c r="ANN1634" s="1"/>
      <c r="ANO1634" s="1"/>
      <c r="ANP1634" s="1"/>
      <c r="ANQ1634" s="1"/>
      <c r="ANR1634" s="1"/>
      <c r="ANS1634" s="1"/>
      <c r="ANT1634" s="1"/>
      <c r="ANU1634" s="1"/>
      <c r="ANV1634" s="1"/>
      <c r="ANW1634" s="1"/>
      <c r="ANX1634" s="1"/>
      <c r="ANY1634" s="1"/>
      <c r="ANZ1634" s="1"/>
      <c r="AOA1634" s="1"/>
      <c r="AOB1634" s="1"/>
      <c r="AOC1634" s="1"/>
      <c r="AOD1634" s="1"/>
      <c r="AOE1634" s="1"/>
      <c r="AOF1634" s="1"/>
      <c r="AOG1634" s="1"/>
      <c r="AOH1634" s="1"/>
      <c r="AOI1634" s="1"/>
      <c r="AOJ1634" s="1"/>
      <c r="AOK1634" s="1"/>
      <c r="AOL1634" s="1"/>
      <c r="AOM1634" s="1"/>
      <c r="AON1634" s="1"/>
      <c r="AOO1634" s="1"/>
      <c r="AOP1634" s="1"/>
      <c r="AOQ1634" s="1"/>
      <c r="AOR1634" s="1"/>
      <c r="AOS1634" s="1"/>
      <c r="AOT1634" s="1"/>
      <c r="AOU1634" s="1"/>
      <c r="AOV1634" s="1"/>
      <c r="AOW1634" s="1"/>
      <c r="AOX1634" s="1"/>
      <c r="AOY1634" s="1"/>
      <c r="AOZ1634" s="1"/>
      <c r="APA1634" s="1"/>
      <c r="APB1634" s="1"/>
      <c r="APC1634" s="1"/>
      <c r="APD1634" s="1"/>
      <c r="APE1634" s="1"/>
      <c r="APF1634" s="1"/>
      <c r="APG1634" s="1"/>
      <c r="APH1634" s="1"/>
      <c r="API1634" s="1"/>
      <c r="APJ1634" s="1"/>
      <c r="APK1634" s="1"/>
      <c r="APL1634" s="1"/>
      <c r="APM1634" s="1"/>
      <c r="APN1634" s="1"/>
      <c r="APO1634" s="1"/>
      <c r="APP1634" s="1"/>
      <c r="APQ1634" s="1"/>
      <c r="APR1634" s="1"/>
      <c r="APS1634" s="1"/>
      <c r="APT1634" s="1"/>
      <c r="APU1634" s="1"/>
      <c r="APV1634" s="1"/>
      <c r="APW1634" s="1"/>
      <c r="APX1634" s="1"/>
      <c r="APY1634" s="1"/>
      <c r="APZ1634" s="1"/>
      <c r="AQA1634" s="1"/>
      <c r="AQB1634" s="1"/>
      <c r="AQC1634" s="1"/>
      <c r="AQD1634" s="1"/>
      <c r="AQE1634" s="1"/>
      <c r="AQF1634" s="1"/>
      <c r="AQG1634" s="1"/>
      <c r="AQH1634" s="1"/>
      <c r="AQI1634" s="1"/>
      <c r="AQJ1634" s="1"/>
      <c r="AQK1634" s="1"/>
      <c r="AQL1634" s="1"/>
      <c r="AQM1634" s="1"/>
      <c r="AQN1634" s="1"/>
      <c r="AQO1634" s="1"/>
      <c r="AQP1634" s="1"/>
      <c r="AQQ1634" s="1"/>
      <c r="AQR1634" s="1"/>
      <c r="AQS1634" s="1"/>
      <c r="AQT1634" s="1"/>
      <c r="AQU1634" s="1"/>
      <c r="AQV1634" s="1"/>
      <c r="AQW1634" s="1"/>
      <c r="AQX1634" s="1"/>
      <c r="AQY1634" s="1"/>
      <c r="AQZ1634" s="1"/>
      <c r="ARA1634" s="1"/>
      <c r="ARB1634" s="1"/>
      <c r="ARC1634" s="1"/>
      <c r="ARD1634" s="1"/>
      <c r="ARE1634" s="1"/>
      <c r="ARF1634" s="1"/>
      <c r="ARG1634" s="1"/>
      <c r="ARH1634" s="1"/>
      <c r="ARI1634" s="1"/>
      <c r="ARJ1634" s="1"/>
      <c r="ARK1634" s="1"/>
      <c r="ARL1634" s="1"/>
      <c r="ARM1634" s="1"/>
      <c r="ARN1634" s="1"/>
      <c r="ARO1634" s="1"/>
      <c r="ARP1634" s="1"/>
      <c r="ARQ1634" s="1"/>
      <c r="ARR1634" s="1"/>
      <c r="ARS1634" s="1"/>
      <c r="ART1634" s="1"/>
      <c r="ARU1634" s="1"/>
      <c r="ARV1634" s="1"/>
      <c r="ARW1634" s="1"/>
      <c r="ARX1634" s="1"/>
      <c r="ARY1634" s="1"/>
      <c r="ARZ1634" s="1"/>
      <c r="ASA1634" s="1"/>
      <c r="ASB1634" s="1"/>
      <c r="ASC1634" s="1"/>
      <c r="ASD1634" s="1"/>
      <c r="ASE1634" s="1"/>
      <c r="ASF1634" s="1"/>
      <c r="ASG1634" s="1"/>
      <c r="ASH1634" s="1"/>
      <c r="ASI1634" s="1"/>
      <c r="ASJ1634" s="1"/>
      <c r="ASK1634" s="1"/>
      <c r="ASL1634" s="1"/>
      <c r="ASM1634" s="1"/>
      <c r="ASN1634" s="1"/>
      <c r="ASO1634" s="1"/>
      <c r="ASP1634" s="1"/>
      <c r="ASQ1634" s="1"/>
      <c r="ASR1634" s="1"/>
      <c r="ASS1634" s="1"/>
      <c r="AST1634" s="1"/>
      <c r="ASU1634" s="1"/>
      <c r="ASV1634" s="1"/>
      <c r="ASW1634" s="1"/>
      <c r="ASX1634" s="1"/>
      <c r="ASY1634" s="1"/>
      <c r="ASZ1634" s="1"/>
      <c r="ATA1634" s="1"/>
      <c r="ATB1634" s="1"/>
      <c r="ATC1634" s="1"/>
      <c r="ATD1634" s="1"/>
      <c r="ATE1634" s="1"/>
      <c r="ATF1634" s="1"/>
      <c r="ATG1634" s="1"/>
      <c r="ATH1634" s="1"/>
      <c r="ATI1634" s="1"/>
      <c r="ATJ1634" s="1"/>
      <c r="ATK1634" s="1"/>
      <c r="ATL1634" s="1"/>
      <c r="ATM1634" s="1"/>
      <c r="ATN1634" s="1"/>
      <c r="ATO1634" s="1"/>
      <c r="ATP1634" s="1"/>
      <c r="ATQ1634" s="1"/>
      <c r="ATR1634" s="1"/>
      <c r="ATS1634" s="1"/>
      <c r="ATT1634" s="1"/>
      <c r="ATU1634" s="1"/>
      <c r="ATV1634" s="1"/>
      <c r="ATW1634" s="1"/>
      <c r="ATX1634" s="1"/>
      <c r="ATY1634" s="1"/>
      <c r="ATZ1634" s="1"/>
      <c r="AUA1634" s="1"/>
      <c r="AUB1634" s="1"/>
      <c r="AUC1634" s="1"/>
      <c r="AUD1634" s="1"/>
      <c r="AUE1634" s="1"/>
      <c r="AUF1634" s="1"/>
      <c r="AUG1634" s="1"/>
      <c r="AUH1634" s="1"/>
      <c r="AUI1634" s="1"/>
      <c r="AUJ1634" s="1"/>
      <c r="AUK1634" s="1"/>
      <c r="AUL1634" s="1"/>
      <c r="AUM1634" s="1"/>
      <c r="AUN1634" s="1"/>
      <c r="AUO1634" s="1"/>
      <c r="AUP1634" s="1"/>
      <c r="AUQ1634" s="1"/>
      <c r="AUR1634" s="1"/>
      <c r="AUS1634" s="1"/>
      <c r="AUT1634" s="1"/>
      <c r="AUU1634" s="1"/>
      <c r="AUV1634" s="1"/>
      <c r="AUW1634" s="1"/>
      <c r="AUX1634" s="1"/>
      <c r="AUY1634" s="1"/>
      <c r="AUZ1634" s="1"/>
      <c r="AVA1634" s="1"/>
      <c r="AVB1634" s="1"/>
      <c r="AVC1634" s="1"/>
      <c r="AVD1634" s="1"/>
      <c r="AVE1634" s="1"/>
      <c r="AVF1634" s="1"/>
      <c r="AVG1634" s="1"/>
      <c r="AVH1634" s="1"/>
      <c r="AVI1634" s="1"/>
      <c r="AVJ1634" s="1"/>
      <c r="AVK1634" s="1"/>
      <c r="AVL1634" s="1"/>
      <c r="AVM1634" s="1"/>
      <c r="AVN1634" s="1"/>
      <c r="AVO1634" s="1"/>
      <c r="AVP1634" s="1"/>
      <c r="AVQ1634" s="1"/>
      <c r="AVR1634" s="1"/>
      <c r="AVS1634" s="1"/>
      <c r="AVT1634" s="1"/>
      <c r="AVU1634" s="1"/>
      <c r="AVV1634" s="1"/>
      <c r="AVW1634" s="1"/>
      <c r="AVX1634" s="1"/>
      <c r="AVY1634" s="1"/>
      <c r="AVZ1634" s="1"/>
      <c r="AWA1634" s="1"/>
      <c r="AWB1634" s="1"/>
      <c r="AWC1634" s="1"/>
      <c r="AWD1634" s="1"/>
      <c r="AWE1634" s="1"/>
      <c r="AWF1634" s="1"/>
      <c r="AWG1634" s="1"/>
      <c r="AWH1634" s="1"/>
      <c r="AWI1634" s="1"/>
      <c r="AWJ1634" s="1"/>
      <c r="AWK1634" s="1"/>
      <c r="AWL1634" s="1"/>
      <c r="AWM1634" s="1"/>
      <c r="AWN1634" s="1"/>
      <c r="AWO1634" s="1"/>
      <c r="AWP1634" s="1"/>
      <c r="AWQ1634" s="1"/>
      <c r="AWR1634" s="1"/>
      <c r="AWS1634" s="1"/>
      <c r="AWT1634" s="1"/>
      <c r="AWU1634" s="1"/>
      <c r="AWV1634" s="1"/>
      <c r="AWW1634" s="1"/>
      <c r="AWX1634" s="1"/>
      <c r="AWY1634" s="1"/>
      <c r="AWZ1634" s="1"/>
      <c r="AXA1634" s="1"/>
      <c r="AXB1634" s="1"/>
      <c r="AXC1634" s="1"/>
      <c r="AXD1634" s="1"/>
      <c r="AXE1634" s="1"/>
      <c r="AXF1634" s="1"/>
      <c r="AXG1634" s="1"/>
      <c r="AXH1634" s="1"/>
      <c r="AXI1634" s="1"/>
      <c r="AXJ1634" s="1"/>
      <c r="AXK1634" s="1"/>
      <c r="AXL1634" s="1"/>
      <c r="AXM1634" s="1"/>
      <c r="AXN1634" s="1"/>
      <c r="AXO1634" s="1"/>
      <c r="AXP1634" s="1"/>
      <c r="AXQ1634" s="1"/>
      <c r="AXR1634" s="1"/>
      <c r="AXS1634" s="1"/>
      <c r="AXT1634" s="1"/>
      <c r="AXU1634" s="1"/>
      <c r="AXV1634" s="1"/>
      <c r="AXW1634" s="1"/>
      <c r="AXX1634" s="1"/>
      <c r="AXY1634" s="1"/>
      <c r="AXZ1634" s="1"/>
      <c r="AYA1634" s="1"/>
      <c r="AYB1634" s="1"/>
      <c r="AYC1634" s="1"/>
      <c r="AYD1634" s="1"/>
      <c r="AYE1634" s="1"/>
      <c r="AYF1634" s="1"/>
      <c r="AYG1634" s="1"/>
      <c r="AYH1634" s="1"/>
      <c r="AYI1634" s="1"/>
      <c r="AYJ1634" s="1"/>
      <c r="AYK1634" s="1"/>
      <c r="AYL1634" s="1"/>
      <c r="AYM1634" s="1"/>
      <c r="AYN1634" s="1"/>
      <c r="AYO1634" s="1"/>
      <c r="AYP1634" s="1"/>
      <c r="AYQ1634" s="1"/>
      <c r="AYR1634" s="1"/>
      <c r="AYS1634" s="1"/>
      <c r="AYT1634" s="1"/>
      <c r="AYU1634" s="1"/>
      <c r="AYV1634" s="1"/>
      <c r="AYW1634" s="1"/>
      <c r="AYX1634" s="1"/>
      <c r="AYY1634" s="1"/>
      <c r="AYZ1634" s="1"/>
      <c r="AZA1634" s="1"/>
      <c r="AZB1634" s="1"/>
      <c r="AZC1634" s="1"/>
      <c r="AZD1634" s="1"/>
      <c r="AZE1634" s="1"/>
      <c r="AZF1634" s="1"/>
      <c r="AZG1634" s="1"/>
      <c r="AZH1634" s="1"/>
      <c r="AZI1634" s="1"/>
      <c r="AZJ1634" s="1"/>
      <c r="AZK1634" s="1"/>
      <c r="AZL1634" s="1"/>
      <c r="AZM1634" s="1"/>
      <c r="AZN1634" s="1"/>
      <c r="AZO1634" s="1"/>
      <c r="AZP1634" s="1"/>
      <c r="AZQ1634" s="1"/>
      <c r="AZR1634" s="1"/>
      <c r="AZS1634" s="1"/>
      <c r="AZT1634" s="1"/>
      <c r="AZU1634" s="1"/>
      <c r="AZV1634" s="1"/>
      <c r="AZW1634" s="1"/>
      <c r="AZX1634" s="1"/>
      <c r="AZY1634" s="1"/>
      <c r="AZZ1634" s="1"/>
      <c r="BAA1634" s="1"/>
      <c r="BAB1634" s="1"/>
      <c r="BAC1634" s="1"/>
      <c r="BAD1634" s="1"/>
      <c r="BAE1634" s="1"/>
      <c r="BAF1634" s="1"/>
      <c r="BAG1634" s="1"/>
      <c r="BAH1634" s="1"/>
      <c r="BAI1634" s="1"/>
      <c r="BAJ1634" s="1"/>
      <c r="BAK1634" s="1"/>
      <c r="BAL1634" s="1"/>
      <c r="BAM1634" s="1"/>
      <c r="BAN1634" s="1"/>
      <c r="BAO1634" s="1"/>
      <c r="BAP1634" s="1"/>
      <c r="BAQ1634" s="1"/>
      <c r="BAR1634" s="1"/>
      <c r="BAS1634" s="1"/>
      <c r="BAT1634" s="1"/>
      <c r="BAU1634" s="1"/>
      <c r="BAV1634" s="1"/>
      <c r="BAW1634" s="1"/>
      <c r="BAX1634" s="1"/>
      <c r="BAY1634" s="1"/>
      <c r="BAZ1634" s="1"/>
      <c r="BBA1634" s="1"/>
      <c r="BBB1634" s="1"/>
      <c r="BBC1634" s="1"/>
      <c r="BBD1634" s="1"/>
      <c r="BBE1634" s="1"/>
      <c r="BBF1634" s="1"/>
      <c r="BBG1634" s="1"/>
      <c r="BBH1634" s="1"/>
      <c r="BBI1634" s="1"/>
      <c r="BBJ1634" s="1"/>
      <c r="BBK1634" s="1"/>
      <c r="BBL1634" s="1"/>
      <c r="BBM1634" s="1"/>
      <c r="BBN1634" s="1"/>
      <c r="BBO1634" s="1"/>
      <c r="BBP1634" s="1"/>
      <c r="BBQ1634" s="1"/>
      <c r="BBR1634" s="1"/>
      <c r="BBS1634" s="1"/>
      <c r="BBT1634" s="1"/>
      <c r="BBU1634" s="1"/>
      <c r="BBV1634" s="1"/>
      <c r="BBW1634" s="1"/>
      <c r="BBX1634" s="1"/>
      <c r="BBY1634" s="1"/>
      <c r="BBZ1634" s="1"/>
      <c r="BCA1634" s="1"/>
      <c r="BCB1634" s="1"/>
      <c r="BCC1634" s="1"/>
      <c r="BCD1634" s="1"/>
      <c r="BCE1634" s="1"/>
      <c r="BCF1634" s="1"/>
      <c r="BCG1634" s="1"/>
      <c r="BCH1634" s="1"/>
      <c r="BCI1634" s="1"/>
      <c r="BCJ1634" s="1"/>
      <c r="BCK1634" s="1"/>
      <c r="BCL1634" s="1"/>
      <c r="BCM1634" s="1"/>
      <c r="BCN1634" s="1"/>
      <c r="BCO1634" s="1"/>
      <c r="BCP1634" s="1"/>
      <c r="BCQ1634" s="1"/>
      <c r="BCR1634" s="1"/>
      <c r="BCS1634" s="1"/>
      <c r="BCT1634" s="1"/>
      <c r="BCU1634" s="1"/>
      <c r="BCV1634" s="1"/>
      <c r="BCW1634" s="1"/>
      <c r="BCX1634" s="1"/>
      <c r="BCY1634" s="1"/>
      <c r="BCZ1634" s="1"/>
      <c r="BDA1634" s="1"/>
      <c r="BDB1634" s="1"/>
      <c r="BDC1634" s="1"/>
      <c r="BDD1634" s="1"/>
      <c r="BDE1634" s="1"/>
      <c r="BDF1634" s="1"/>
      <c r="BDG1634" s="1"/>
      <c r="BDH1634" s="1"/>
      <c r="BDI1634" s="1"/>
      <c r="BDJ1634" s="1"/>
      <c r="BDK1634" s="1"/>
      <c r="BDL1634" s="1"/>
      <c r="BDM1634" s="1"/>
      <c r="BDN1634" s="1"/>
      <c r="BDO1634" s="1"/>
      <c r="BDP1634" s="1"/>
      <c r="BDQ1634" s="1"/>
      <c r="BDR1634" s="1"/>
      <c r="BDS1634" s="1"/>
      <c r="BDT1634" s="1"/>
      <c r="BDU1634" s="1"/>
      <c r="BDV1634" s="1"/>
      <c r="BDW1634" s="1"/>
      <c r="BDX1634" s="1"/>
      <c r="BDY1634" s="1"/>
      <c r="BDZ1634" s="1"/>
      <c r="BEA1634" s="1"/>
      <c r="BEB1634" s="1"/>
      <c r="BEC1634" s="1"/>
      <c r="BED1634" s="1"/>
      <c r="BEE1634" s="1"/>
      <c r="BEF1634" s="1"/>
      <c r="BEG1634" s="1"/>
      <c r="BEH1634" s="1"/>
      <c r="BEI1634" s="1"/>
      <c r="BEJ1634" s="1"/>
      <c r="BEK1634" s="1"/>
      <c r="BEL1634" s="1"/>
      <c r="BEM1634" s="1"/>
      <c r="BEN1634" s="1"/>
      <c r="BEO1634" s="1"/>
      <c r="BEP1634" s="1"/>
      <c r="BEQ1634" s="1"/>
      <c r="BER1634" s="1"/>
      <c r="BES1634" s="1"/>
      <c r="BET1634" s="1"/>
      <c r="BEU1634" s="1"/>
      <c r="BEV1634" s="1"/>
      <c r="BEW1634" s="1"/>
      <c r="BEX1634" s="1"/>
      <c r="BEY1634" s="1"/>
      <c r="BEZ1634" s="1"/>
      <c r="BFA1634" s="1"/>
      <c r="BFB1634" s="1"/>
      <c r="BFC1634" s="1"/>
      <c r="BFD1634" s="1"/>
      <c r="BFE1634" s="1"/>
      <c r="BFF1634" s="1"/>
      <c r="BFG1634" s="1"/>
      <c r="BFH1634" s="1"/>
      <c r="BFI1634" s="1"/>
      <c r="BFJ1634" s="1"/>
      <c r="BFK1634" s="1"/>
      <c r="BFL1634" s="1"/>
      <c r="BFM1634" s="1"/>
      <c r="BFN1634" s="1"/>
      <c r="BFO1634" s="1"/>
      <c r="BFP1634" s="1"/>
      <c r="BFQ1634" s="1"/>
      <c r="BFR1634" s="1"/>
      <c r="BFS1634" s="1"/>
      <c r="BFT1634" s="1"/>
      <c r="BFU1634" s="1"/>
      <c r="BFV1634" s="1"/>
      <c r="BFW1634" s="1"/>
      <c r="BFX1634" s="1"/>
      <c r="BFY1634" s="1"/>
      <c r="BFZ1634" s="1"/>
      <c r="BGA1634" s="1"/>
      <c r="BGB1634" s="1"/>
      <c r="BGC1634" s="1"/>
      <c r="BGD1634" s="1"/>
      <c r="BGE1634" s="1"/>
      <c r="BGF1634" s="1"/>
      <c r="BGG1634" s="1"/>
      <c r="BGH1634" s="1"/>
      <c r="BGI1634" s="1"/>
      <c r="BGJ1634" s="1"/>
      <c r="BGK1634" s="1"/>
      <c r="BGL1634" s="1"/>
      <c r="BGM1634" s="1"/>
      <c r="BGN1634" s="1"/>
      <c r="BGO1634" s="1"/>
      <c r="BGP1634" s="1"/>
      <c r="BGQ1634" s="1"/>
      <c r="BGR1634" s="1"/>
      <c r="BGS1634" s="1"/>
      <c r="BGT1634" s="1"/>
      <c r="BGU1634" s="1"/>
      <c r="BGV1634" s="1"/>
      <c r="BGW1634" s="1"/>
      <c r="BGX1634" s="1"/>
      <c r="BGY1634" s="1"/>
      <c r="BGZ1634" s="1"/>
      <c r="BHA1634" s="1"/>
      <c r="BHB1634" s="1"/>
      <c r="BHC1634" s="1"/>
      <c r="BHD1634" s="1"/>
      <c r="BHE1634" s="1"/>
      <c r="BHF1634" s="1"/>
      <c r="BHG1634" s="1"/>
      <c r="BHH1634" s="1"/>
      <c r="BHI1634" s="1"/>
      <c r="BHJ1634" s="1"/>
      <c r="BHK1634" s="1"/>
      <c r="BHL1634" s="1"/>
      <c r="BHM1634" s="1"/>
      <c r="BHN1634" s="1"/>
      <c r="BHO1634" s="1"/>
      <c r="BHP1634" s="1"/>
      <c r="BHQ1634" s="1"/>
      <c r="BHR1634" s="1"/>
      <c r="BHS1634" s="1"/>
      <c r="BHT1634" s="1"/>
      <c r="BHU1634" s="1"/>
      <c r="BHV1634" s="1"/>
      <c r="BHW1634" s="1"/>
      <c r="BHX1634" s="1"/>
      <c r="BHY1634" s="1"/>
      <c r="BHZ1634" s="1"/>
      <c r="BIA1634" s="1"/>
      <c r="BIB1634" s="1"/>
      <c r="BIC1634" s="1"/>
      <c r="BID1634" s="1"/>
      <c r="BIE1634" s="1"/>
      <c r="BIF1634" s="1"/>
      <c r="BIG1634" s="1"/>
      <c r="BIH1634" s="1"/>
      <c r="BII1634" s="1"/>
      <c r="BIJ1634" s="1"/>
      <c r="BIK1634" s="1"/>
      <c r="BIL1634" s="1"/>
      <c r="BIM1634" s="1"/>
      <c r="BIN1634" s="1"/>
      <c r="BIO1634" s="1"/>
      <c r="BIP1634" s="1"/>
      <c r="BIQ1634" s="1"/>
      <c r="BIR1634" s="1"/>
      <c r="BIS1634" s="1"/>
      <c r="BIT1634" s="1"/>
      <c r="BIU1634" s="1"/>
      <c r="BIV1634" s="1"/>
      <c r="BIW1634" s="1"/>
      <c r="BIX1634" s="1"/>
      <c r="BIY1634" s="1"/>
      <c r="BIZ1634" s="1"/>
      <c r="BJA1634" s="1"/>
      <c r="BJB1634" s="1"/>
      <c r="BJC1634" s="1"/>
      <c r="BJD1634" s="1"/>
      <c r="BJE1634" s="1"/>
      <c r="BJF1634" s="1"/>
      <c r="BJG1634" s="1"/>
      <c r="BJH1634" s="1"/>
      <c r="BJI1634" s="1"/>
      <c r="BJJ1634" s="1"/>
      <c r="BJK1634" s="1"/>
      <c r="BJL1634" s="1"/>
      <c r="BJM1634" s="1"/>
      <c r="BJN1634" s="1"/>
      <c r="BJO1634" s="1"/>
      <c r="BJP1634" s="1"/>
      <c r="BJQ1634" s="1"/>
      <c r="BJR1634" s="1"/>
      <c r="BJS1634" s="1"/>
      <c r="BJT1634" s="1"/>
      <c r="BJU1634" s="1"/>
      <c r="BJV1634" s="1"/>
      <c r="BJW1634" s="1"/>
      <c r="BJX1634" s="1"/>
      <c r="BJY1634" s="1"/>
      <c r="BJZ1634" s="1"/>
      <c r="BKA1634" s="1"/>
      <c r="BKB1634" s="1"/>
      <c r="BKC1634" s="1"/>
      <c r="BKD1634" s="1"/>
      <c r="BKE1634" s="1"/>
      <c r="BKF1634" s="1"/>
      <c r="BKG1634" s="1"/>
      <c r="BKH1634" s="1"/>
      <c r="BKI1634" s="1"/>
      <c r="BKJ1634" s="1"/>
      <c r="BKK1634" s="1"/>
      <c r="BKL1634" s="1"/>
      <c r="BKM1634" s="1"/>
      <c r="BKN1634" s="1"/>
      <c r="BKO1634" s="1"/>
      <c r="BKP1634" s="1"/>
      <c r="BKQ1634" s="1"/>
      <c r="BKR1634" s="1"/>
      <c r="BKS1634" s="1"/>
      <c r="BKT1634" s="1"/>
      <c r="BKU1634" s="1"/>
      <c r="BKV1634" s="1"/>
      <c r="BKW1634" s="1"/>
      <c r="BKX1634" s="1"/>
      <c r="BKY1634" s="1"/>
      <c r="BKZ1634" s="1"/>
      <c r="BLA1634" s="1"/>
      <c r="BLB1634" s="1"/>
      <c r="BLC1634" s="1"/>
      <c r="BLD1634" s="1"/>
      <c r="BLE1634" s="1"/>
      <c r="BLF1634" s="1"/>
      <c r="BLG1634" s="1"/>
      <c r="BLH1634" s="1"/>
      <c r="BLI1634" s="1"/>
      <c r="BLJ1634" s="1"/>
      <c r="BLK1634" s="1"/>
      <c r="BLL1634" s="1"/>
      <c r="BLM1634" s="1"/>
      <c r="BLN1634" s="1"/>
      <c r="BLO1634" s="1"/>
      <c r="BLP1634" s="1"/>
      <c r="BLQ1634" s="1"/>
      <c r="BLR1634" s="1"/>
      <c r="BLS1634" s="1"/>
      <c r="BLT1634" s="1"/>
      <c r="BLU1634" s="1"/>
      <c r="BLV1634" s="1"/>
      <c r="BLW1634" s="1"/>
      <c r="BLX1634" s="1"/>
      <c r="BLY1634" s="1"/>
      <c r="BLZ1634" s="1"/>
      <c r="BMA1634" s="1"/>
      <c r="BMB1634" s="1"/>
      <c r="BMC1634" s="1"/>
      <c r="BMD1634" s="1"/>
      <c r="BME1634" s="1"/>
      <c r="BMF1634" s="1"/>
      <c r="BMG1634" s="1"/>
      <c r="BMH1634" s="1"/>
      <c r="BMI1634" s="1"/>
      <c r="BMJ1634" s="1"/>
      <c r="BMK1634" s="1"/>
      <c r="BML1634" s="1"/>
      <c r="BMM1634" s="1"/>
      <c r="BMN1634" s="1"/>
      <c r="BMO1634" s="1"/>
      <c r="BMP1634" s="1"/>
      <c r="BMQ1634" s="1"/>
      <c r="BMR1634" s="1"/>
      <c r="BMS1634" s="1"/>
      <c r="BMT1634" s="1"/>
      <c r="BMU1634" s="1"/>
      <c r="BMV1634" s="1"/>
      <c r="BMW1634" s="1"/>
      <c r="BMX1634" s="1"/>
      <c r="BMY1634" s="1"/>
      <c r="BMZ1634" s="1"/>
      <c r="BNA1634" s="1"/>
      <c r="BNB1634" s="1"/>
      <c r="BNC1634" s="1"/>
      <c r="BND1634" s="1"/>
      <c r="BNE1634" s="1"/>
      <c r="BNF1634" s="1"/>
      <c r="BNG1634" s="1"/>
      <c r="BNH1634" s="1"/>
      <c r="BNI1634" s="1"/>
      <c r="BNJ1634" s="1"/>
      <c r="BNK1634" s="1"/>
      <c r="BNL1634" s="1"/>
      <c r="BNM1634" s="1"/>
      <c r="BNN1634" s="1"/>
      <c r="BNO1634" s="1"/>
      <c r="BNP1634" s="1"/>
      <c r="BNQ1634" s="1"/>
      <c r="BNR1634" s="1"/>
      <c r="BNS1634" s="1"/>
      <c r="BNT1634" s="1"/>
      <c r="BNU1634" s="1"/>
      <c r="BNV1634" s="1"/>
      <c r="BNW1634" s="1"/>
      <c r="BNX1634" s="1"/>
      <c r="BNY1634" s="1"/>
      <c r="BNZ1634" s="1"/>
      <c r="BOA1634" s="1"/>
      <c r="BOB1634" s="1"/>
      <c r="BOC1634" s="1"/>
      <c r="BOD1634" s="1"/>
      <c r="BOE1634" s="1"/>
      <c r="BOF1634" s="1"/>
      <c r="BOG1634" s="1"/>
      <c r="BOH1634" s="1"/>
      <c r="BOI1634" s="1"/>
      <c r="BOJ1634" s="1"/>
      <c r="BOK1634" s="1"/>
      <c r="BOL1634" s="1"/>
      <c r="BOM1634" s="1"/>
      <c r="BON1634" s="1"/>
      <c r="BOO1634" s="1"/>
      <c r="BOP1634" s="1"/>
      <c r="BOQ1634" s="1"/>
      <c r="BOR1634" s="1"/>
      <c r="BOS1634" s="1"/>
      <c r="BOT1634" s="1"/>
      <c r="BOU1634" s="1"/>
      <c r="BOV1634" s="1"/>
      <c r="BOW1634" s="1"/>
      <c r="BOX1634" s="1"/>
      <c r="BOY1634" s="1"/>
      <c r="BOZ1634" s="1"/>
      <c r="BPA1634" s="1"/>
      <c r="BPB1634" s="1"/>
      <c r="BPC1634" s="1"/>
      <c r="BPD1634" s="1"/>
      <c r="BPE1634" s="1"/>
      <c r="BPF1634" s="1"/>
      <c r="BPG1634" s="1"/>
      <c r="BPH1634" s="1"/>
      <c r="BPI1634" s="1"/>
      <c r="BPJ1634" s="1"/>
      <c r="BPK1634" s="1"/>
      <c r="BPL1634" s="1"/>
      <c r="BPM1634" s="1"/>
      <c r="BPN1634" s="1"/>
      <c r="BPO1634" s="1"/>
      <c r="BPP1634" s="1"/>
      <c r="BPQ1634" s="1"/>
      <c r="BPR1634" s="1"/>
      <c r="BPS1634" s="1"/>
      <c r="BPT1634" s="1"/>
      <c r="BPU1634" s="1"/>
      <c r="BPV1634" s="1"/>
      <c r="BPW1634" s="1"/>
      <c r="BPX1634" s="1"/>
      <c r="BPY1634" s="1"/>
      <c r="BPZ1634" s="1"/>
      <c r="BQA1634" s="1"/>
      <c r="BQB1634" s="1"/>
      <c r="BQC1634" s="1"/>
      <c r="BQD1634" s="1"/>
      <c r="BQE1634" s="1"/>
      <c r="BQF1634" s="1"/>
      <c r="BQG1634" s="1"/>
      <c r="BQH1634" s="1"/>
      <c r="BQI1634" s="1"/>
      <c r="BQJ1634" s="1"/>
      <c r="BQK1634" s="1"/>
      <c r="BQL1634" s="1"/>
      <c r="BQM1634" s="1"/>
      <c r="BQN1634" s="1"/>
      <c r="BQO1634" s="1"/>
      <c r="BQP1634" s="1"/>
      <c r="BQQ1634" s="1"/>
      <c r="BQR1634" s="1"/>
      <c r="BQS1634" s="1"/>
      <c r="BQT1634" s="1"/>
      <c r="BQU1634" s="1"/>
      <c r="BQV1634" s="1"/>
      <c r="BQW1634" s="1"/>
      <c r="BQX1634" s="1"/>
      <c r="BQY1634" s="1"/>
      <c r="BQZ1634" s="1"/>
      <c r="BRA1634" s="1"/>
      <c r="BRB1634" s="1"/>
      <c r="BRC1634" s="1"/>
      <c r="BRD1634" s="1"/>
      <c r="BRE1634" s="1"/>
      <c r="BRF1634" s="1"/>
      <c r="BRG1634" s="1"/>
      <c r="BRH1634" s="1"/>
      <c r="BRI1634" s="1"/>
      <c r="BRJ1634" s="1"/>
      <c r="BRK1634" s="1"/>
      <c r="BRL1634" s="1"/>
      <c r="BRM1634" s="1"/>
      <c r="BRN1634" s="1"/>
      <c r="BRO1634" s="1"/>
      <c r="BRP1634" s="1"/>
      <c r="BRQ1634" s="1"/>
      <c r="BRR1634" s="1"/>
      <c r="BRS1634" s="1"/>
      <c r="BRT1634" s="1"/>
      <c r="BRU1634" s="1"/>
      <c r="BRV1634" s="1"/>
      <c r="BRW1634" s="1"/>
      <c r="BRX1634" s="1"/>
      <c r="BRY1634" s="1"/>
      <c r="BRZ1634" s="1"/>
      <c r="BSA1634" s="1"/>
      <c r="BSB1634" s="1"/>
      <c r="BSC1634" s="1"/>
      <c r="BSD1634" s="1"/>
      <c r="BSE1634" s="1"/>
      <c r="BSF1634" s="1"/>
      <c r="BSG1634" s="1"/>
      <c r="BSH1634" s="1"/>
      <c r="BSI1634" s="1"/>
      <c r="BSJ1634" s="1"/>
      <c r="BSK1634" s="1"/>
      <c r="BSL1634" s="1"/>
      <c r="BSM1634" s="1"/>
      <c r="BSN1634" s="1"/>
      <c r="BSO1634" s="1"/>
      <c r="BSP1634" s="1"/>
      <c r="BSQ1634" s="1"/>
      <c r="BSR1634" s="1"/>
      <c r="BSS1634" s="1"/>
      <c r="BST1634" s="1"/>
      <c r="BSU1634" s="1"/>
      <c r="BSV1634" s="1"/>
      <c r="BSW1634" s="1"/>
      <c r="BSX1634" s="1"/>
      <c r="BSY1634" s="1"/>
      <c r="BSZ1634" s="1"/>
      <c r="BTA1634" s="1"/>
      <c r="BTB1634" s="1"/>
      <c r="BTC1634" s="1"/>
      <c r="BTD1634" s="1"/>
      <c r="BTE1634" s="1"/>
      <c r="BTF1634" s="1"/>
      <c r="BTG1634" s="1"/>
      <c r="BTH1634" s="1"/>
      <c r="BTI1634" s="1"/>
      <c r="BTJ1634" s="1"/>
      <c r="BTK1634" s="1"/>
      <c r="BTL1634" s="1"/>
      <c r="BTM1634" s="1"/>
      <c r="BTN1634" s="1"/>
      <c r="BTO1634" s="1"/>
      <c r="BTP1634" s="1"/>
      <c r="BTQ1634" s="1"/>
      <c r="BTR1634" s="1"/>
      <c r="BTS1634" s="1"/>
      <c r="BTT1634" s="1"/>
      <c r="BTU1634" s="1"/>
      <c r="BTV1634" s="1"/>
      <c r="BTW1634" s="1"/>
      <c r="BTX1634" s="1"/>
      <c r="BTY1634" s="1"/>
      <c r="BTZ1634" s="1"/>
      <c r="BUA1634" s="1"/>
      <c r="BUB1634" s="1"/>
      <c r="BUC1634" s="1"/>
      <c r="BUD1634" s="1"/>
      <c r="BUE1634" s="1"/>
      <c r="BUF1634" s="1"/>
      <c r="BUG1634" s="1"/>
      <c r="BUH1634" s="1"/>
      <c r="BUI1634" s="1"/>
      <c r="BUJ1634" s="1"/>
      <c r="BUK1634" s="1"/>
      <c r="BUL1634" s="1"/>
      <c r="BUM1634" s="1"/>
      <c r="BUN1634" s="1"/>
      <c r="BUO1634" s="1"/>
      <c r="BUP1634" s="1"/>
      <c r="BUQ1634" s="1"/>
      <c r="BUR1634" s="1"/>
      <c r="BUS1634" s="1"/>
      <c r="BUT1634" s="1"/>
      <c r="BUU1634" s="1"/>
      <c r="BUV1634" s="1"/>
      <c r="BUW1634" s="1"/>
      <c r="BUX1634" s="1"/>
      <c r="BUY1634" s="1"/>
      <c r="BUZ1634" s="1"/>
      <c r="BVA1634" s="1"/>
      <c r="BVB1634" s="1"/>
      <c r="BVC1634" s="1"/>
      <c r="BVD1634" s="1"/>
      <c r="BVE1634" s="1"/>
      <c r="BVF1634" s="1"/>
      <c r="BVG1634" s="1"/>
      <c r="BVH1634" s="1"/>
      <c r="BVI1634" s="1"/>
      <c r="BVJ1634" s="1"/>
      <c r="BVK1634" s="1"/>
      <c r="BVL1634" s="1"/>
      <c r="BVM1634" s="1"/>
      <c r="BVN1634" s="1"/>
      <c r="BVO1634" s="1"/>
      <c r="BVP1634" s="1"/>
      <c r="BVQ1634" s="1"/>
      <c r="BVR1634" s="1"/>
      <c r="BVS1634" s="1"/>
      <c r="BVT1634" s="1"/>
      <c r="BVU1634" s="1"/>
      <c r="BVV1634" s="1"/>
      <c r="BVW1634" s="1"/>
      <c r="BVX1634" s="1"/>
      <c r="BVY1634" s="1"/>
      <c r="BVZ1634" s="1"/>
      <c r="BWA1634" s="1"/>
      <c r="BWB1634" s="1"/>
      <c r="BWC1634" s="1"/>
      <c r="BWD1634" s="1"/>
      <c r="BWE1634" s="1"/>
      <c r="BWF1634" s="1"/>
      <c r="BWG1634" s="1"/>
      <c r="BWH1634" s="1"/>
      <c r="BWI1634" s="1"/>
      <c r="BWJ1634" s="1"/>
      <c r="BWK1634" s="1"/>
      <c r="BWL1634" s="1"/>
      <c r="BWM1634" s="1"/>
      <c r="BWN1634" s="1"/>
      <c r="BWO1634" s="1"/>
      <c r="BWP1634" s="1"/>
      <c r="BWQ1634" s="1"/>
      <c r="BWR1634" s="1"/>
      <c r="BWS1634" s="1"/>
      <c r="BWT1634" s="1"/>
      <c r="BWU1634" s="1"/>
      <c r="BWV1634" s="1"/>
      <c r="BWW1634" s="1"/>
      <c r="BWX1634" s="1"/>
      <c r="BWY1634" s="1"/>
      <c r="BWZ1634" s="1"/>
      <c r="BXA1634" s="1"/>
      <c r="BXB1634" s="1"/>
      <c r="BXC1634" s="1"/>
      <c r="BXD1634" s="1"/>
      <c r="BXE1634" s="1"/>
      <c r="BXF1634" s="1"/>
      <c r="BXG1634" s="1"/>
      <c r="BXH1634" s="1"/>
      <c r="BXI1634" s="1"/>
      <c r="BXJ1634" s="1"/>
      <c r="BXK1634" s="1"/>
      <c r="BXL1634" s="1"/>
      <c r="BXM1634" s="1"/>
      <c r="BXN1634" s="1"/>
      <c r="BXO1634" s="1"/>
      <c r="BXP1634" s="1"/>
      <c r="BXQ1634" s="1"/>
      <c r="BXR1634" s="1"/>
      <c r="BXS1634" s="1"/>
      <c r="BXT1634" s="1"/>
      <c r="BXU1634" s="1"/>
      <c r="BXV1634" s="1"/>
      <c r="BXW1634" s="1"/>
      <c r="BXX1634" s="1"/>
      <c r="BXY1634" s="1"/>
      <c r="BXZ1634" s="1"/>
      <c r="BYA1634" s="1"/>
      <c r="BYB1634" s="1"/>
      <c r="BYC1634" s="1"/>
      <c r="BYD1634" s="1"/>
      <c r="BYE1634" s="1"/>
      <c r="BYF1634" s="1"/>
      <c r="BYG1634" s="1"/>
      <c r="BYH1634" s="1"/>
      <c r="BYI1634" s="1"/>
      <c r="BYJ1634" s="1"/>
      <c r="BYK1634" s="1"/>
      <c r="BYL1634" s="1"/>
      <c r="BYM1634" s="1"/>
      <c r="BYN1634" s="1"/>
      <c r="BYO1634" s="1"/>
      <c r="BYP1634" s="1"/>
      <c r="BYQ1634" s="1"/>
      <c r="BYR1634" s="1"/>
      <c r="BYS1634" s="1"/>
      <c r="BYT1634" s="1"/>
      <c r="BYU1634" s="1"/>
      <c r="BYV1634" s="1"/>
      <c r="BYW1634" s="1"/>
      <c r="BYX1634" s="1"/>
      <c r="BYY1634" s="1"/>
      <c r="BYZ1634" s="1"/>
      <c r="BZA1634" s="1"/>
      <c r="BZB1634" s="1"/>
      <c r="BZC1634" s="1"/>
      <c r="BZD1634" s="1"/>
      <c r="BZE1634" s="1"/>
      <c r="BZF1634" s="1"/>
      <c r="BZG1634" s="1"/>
      <c r="BZH1634" s="1"/>
      <c r="BZI1634" s="1"/>
      <c r="BZJ1634" s="1"/>
      <c r="BZK1634" s="1"/>
      <c r="BZL1634" s="1"/>
      <c r="BZM1634" s="1"/>
      <c r="BZN1634" s="1"/>
      <c r="BZO1634" s="1"/>
      <c r="BZP1634" s="1"/>
      <c r="BZQ1634" s="1"/>
      <c r="BZR1634" s="1"/>
      <c r="BZS1634" s="1"/>
      <c r="BZT1634" s="1"/>
      <c r="BZU1634" s="1"/>
      <c r="BZV1634" s="1"/>
      <c r="BZW1634" s="1"/>
      <c r="BZX1634" s="1"/>
      <c r="BZY1634" s="1"/>
      <c r="BZZ1634" s="1"/>
      <c r="CAA1634" s="1"/>
      <c r="CAB1634" s="1"/>
      <c r="CAC1634" s="1"/>
      <c r="CAD1634" s="1"/>
      <c r="CAE1634" s="1"/>
      <c r="CAF1634" s="1"/>
      <c r="CAG1634" s="1"/>
      <c r="CAH1634" s="1"/>
      <c r="CAI1634" s="1"/>
      <c r="CAJ1634" s="1"/>
      <c r="CAK1634" s="1"/>
      <c r="CAL1634" s="1"/>
      <c r="CAM1634" s="1"/>
      <c r="CAN1634" s="1"/>
      <c r="CAO1634" s="1"/>
      <c r="CAP1634" s="1"/>
      <c r="CAQ1634" s="1"/>
      <c r="CAR1634" s="1"/>
      <c r="CAS1634" s="1"/>
      <c r="CAT1634" s="1"/>
      <c r="CAU1634" s="1"/>
      <c r="CAV1634" s="1"/>
      <c r="CAW1634" s="1"/>
      <c r="CAX1634" s="1"/>
      <c r="CAY1634" s="1"/>
      <c r="CAZ1634" s="1"/>
      <c r="CBA1634" s="1"/>
      <c r="CBB1634" s="1"/>
      <c r="CBC1634" s="1"/>
      <c r="CBD1634" s="1"/>
      <c r="CBE1634" s="1"/>
      <c r="CBF1634" s="1"/>
      <c r="CBG1634" s="1"/>
      <c r="CBH1634" s="1"/>
      <c r="CBI1634" s="1"/>
      <c r="CBJ1634" s="1"/>
      <c r="CBK1634" s="1"/>
      <c r="CBL1634" s="1"/>
      <c r="CBM1634" s="1"/>
      <c r="CBN1634" s="1"/>
      <c r="CBO1634" s="1"/>
      <c r="CBP1634" s="1"/>
      <c r="CBQ1634" s="1"/>
      <c r="CBR1634" s="1"/>
      <c r="CBS1634" s="1"/>
      <c r="CBT1634" s="1"/>
      <c r="CBU1634" s="1"/>
      <c r="CBV1634" s="1"/>
      <c r="CBW1634" s="1"/>
      <c r="CBX1634" s="1"/>
      <c r="CBY1634" s="1"/>
      <c r="CBZ1634" s="1"/>
      <c r="CCA1634" s="1"/>
      <c r="CCB1634" s="1"/>
      <c r="CCC1634" s="1"/>
      <c r="CCD1634" s="1"/>
      <c r="CCE1634" s="1"/>
      <c r="CCF1634" s="1"/>
      <c r="CCG1634" s="1"/>
      <c r="CCH1634" s="1"/>
      <c r="CCI1634" s="1"/>
      <c r="CCJ1634" s="1"/>
      <c r="CCK1634" s="1"/>
      <c r="CCL1634" s="1"/>
      <c r="CCM1634" s="1"/>
      <c r="CCN1634" s="1"/>
      <c r="CCO1634" s="1"/>
      <c r="CCP1634" s="1"/>
      <c r="CCQ1634" s="1"/>
      <c r="CCR1634" s="1"/>
      <c r="CCS1634" s="1"/>
      <c r="CCT1634" s="1"/>
      <c r="CCU1634" s="1"/>
      <c r="CCV1634" s="1"/>
      <c r="CCW1634" s="1"/>
      <c r="CCX1634" s="1"/>
      <c r="CCY1634" s="1"/>
      <c r="CCZ1634" s="1"/>
      <c r="CDA1634" s="1"/>
      <c r="CDB1634" s="1"/>
      <c r="CDC1634" s="1"/>
      <c r="CDD1634" s="1"/>
      <c r="CDE1634" s="1"/>
      <c r="CDF1634" s="1"/>
      <c r="CDG1634" s="1"/>
      <c r="CDH1634" s="1"/>
      <c r="CDI1634" s="1"/>
      <c r="CDJ1634" s="1"/>
      <c r="CDK1634" s="1"/>
      <c r="CDL1634" s="1"/>
      <c r="CDM1634" s="1"/>
      <c r="CDN1634" s="1"/>
      <c r="CDO1634" s="1"/>
      <c r="CDP1634" s="1"/>
      <c r="CDQ1634" s="1"/>
      <c r="CDR1634" s="1"/>
      <c r="CDS1634" s="1"/>
      <c r="CDT1634" s="1"/>
      <c r="CDU1634" s="1"/>
      <c r="CDV1634" s="1"/>
      <c r="CDW1634" s="1"/>
      <c r="CDX1634" s="1"/>
      <c r="CDY1634" s="1"/>
      <c r="CDZ1634" s="1"/>
      <c r="CEA1634" s="1"/>
      <c r="CEB1634" s="1"/>
      <c r="CEC1634" s="1"/>
      <c r="CED1634" s="1"/>
      <c r="CEE1634" s="1"/>
      <c r="CEF1634" s="1"/>
      <c r="CEG1634" s="1"/>
      <c r="CEH1634" s="1"/>
      <c r="CEI1634" s="1"/>
      <c r="CEJ1634" s="1"/>
      <c r="CEK1634" s="1"/>
      <c r="CEL1634" s="1"/>
      <c r="CEM1634" s="1"/>
      <c r="CEN1634" s="1"/>
      <c r="CEO1634" s="1"/>
      <c r="CEP1634" s="1"/>
      <c r="CEQ1634" s="1"/>
      <c r="CER1634" s="1"/>
      <c r="CES1634" s="1"/>
      <c r="CET1634" s="1"/>
      <c r="CEU1634" s="1"/>
      <c r="CEV1634" s="1"/>
      <c r="CEW1634" s="1"/>
      <c r="CEX1634" s="1"/>
      <c r="CEY1634" s="1"/>
      <c r="CEZ1634" s="1"/>
      <c r="CFA1634" s="1"/>
      <c r="CFB1634" s="1"/>
      <c r="CFC1634" s="1"/>
      <c r="CFD1634" s="1"/>
      <c r="CFE1634" s="1"/>
      <c r="CFF1634" s="1"/>
      <c r="CFG1634" s="1"/>
      <c r="CFH1634" s="1"/>
      <c r="CFI1634" s="1"/>
      <c r="CFJ1634" s="1"/>
      <c r="CFK1634" s="1"/>
      <c r="CFL1634" s="1"/>
      <c r="CFM1634" s="1"/>
      <c r="CFN1634" s="1"/>
      <c r="CFO1634" s="1"/>
      <c r="CFP1634" s="1"/>
      <c r="CFQ1634" s="1"/>
      <c r="CFR1634" s="1"/>
      <c r="CFS1634" s="1"/>
      <c r="CFT1634" s="1"/>
      <c r="CFU1634" s="1"/>
      <c r="CFV1634" s="1"/>
      <c r="CFW1634" s="1"/>
      <c r="CFX1634" s="1"/>
      <c r="CFY1634" s="1"/>
      <c r="CFZ1634" s="1"/>
      <c r="CGA1634" s="1"/>
      <c r="CGB1634" s="1"/>
      <c r="CGC1634" s="1"/>
      <c r="CGD1634" s="1"/>
      <c r="CGE1634" s="1"/>
      <c r="CGF1634" s="1"/>
      <c r="CGG1634" s="1"/>
      <c r="CGH1634" s="1"/>
      <c r="CGI1634" s="1"/>
      <c r="CGJ1634" s="1"/>
      <c r="CGK1634" s="1"/>
      <c r="CGL1634" s="1"/>
      <c r="CGM1634" s="1"/>
      <c r="CGN1634" s="1"/>
      <c r="CGO1634" s="1"/>
      <c r="CGP1634" s="1"/>
      <c r="CGQ1634" s="1"/>
      <c r="CGR1634" s="1"/>
      <c r="CGS1634" s="1"/>
      <c r="CGT1634" s="1"/>
      <c r="CGU1634" s="1"/>
      <c r="CGV1634" s="1"/>
      <c r="CGW1634" s="1"/>
      <c r="CGX1634" s="1"/>
      <c r="CGY1634" s="1"/>
      <c r="CGZ1634" s="1"/>
      <c r="CHA1634" s="1"/>
      <c r="CHB1634" s="1"/>
      <c r="CHC1634" s="1"/>
      <c r="CHD1634" s="1"/>
      <c r="CHE1634" s="1"/>
      <c r="CHF1634" s="1"/>
      <c r="CHG1634" s="1"/>
      <c r="CHH1634" s="1"/>
      <c r="CHI1634" s="1"/>
      <c r="CHJ1634" s="1"/>
      <c r="CHK1634" s="1"/>
      <c r="CHL1634" s="1"/>
      <c r="CHM1634" s="1"/>
      <c r="CHN1634" s="1"/>
      <c r="CHO1634" s="1"/>
      <c r="CHP1634" s="1"/>
      <c r="CHQ1634" s="1"/>
      <c r="CHR1634" s="1"/>
      <c r="CHS1634" s="1"/>
      <c r="CHT1634" s="1"/>
      <c r="CHU1634" s="1"/>
      <c r="CHV1634" s="1"/>
      <c r="CHW1634" s="1"/>
      <c r="CHX1634" s="1"/>
      <c r="CHY1634" s="1"/>
      <c r="CHZ1634" s="1"/>
      <c r="CIA1634" s="1"/>
      <c r="CIB1634" s="1"/>
      <c r="CIC1634" s="1"/>
      <c r="CID1634" s="1"/>
      <c r="CIE1634" s="1"/>
      <c r="CIF1634" s="1"/>
      <c r="CIG1634" s="1"/>
      <c r="CIH1634" s="1"/>
      <c r="CII1634" s="1"/>
      <c r="CIJ1634" s="1"/>
      <c r="CIK1634" s="1"/>
      <c r="CIL1634" s="1"/>
      <c r="CIM1634" s="1"/>
      <c r="CIN1634" s="1"/>
      <c r="CIO1634" s="1"/>
      <c r="CIP1634" s="1"/>
      <c r="CIQ1634" s="1"/>
      <c r="CIR1634" s="1"/>
      <c r="CIS1634" s="1"/>
      <c r="CIT1634" s="1"/>
      <c r="CIU1634" s="1"/>
      <c r="CIV1634" s="1"/>
      <c r="CIW1634" s="1"/>
      <c r="CIX1634" s="1"/>
      <c r="CIY1634" s="1"/>
      <c r="CIZ1634" s="1"/>
      <c r="CJA1634" s="1"/>
      <c r="CJB1634" s="1"/>
      <c r="CJC1634" s="1"/>
      <c r="CJD1634" s="1"/>
      <c r="CJE1634" s="1"/>
      <c r="CJF1634" s="1"/>
      <c r="CJG1634" s="1"/>
      <c r="CJH1634" s="1"/>
      <c r="CJI1634" s="1"/>
      <c r="CJJ1634" s="1"/>
      <c r="CJK1634" s="1"/>
      <c r="CJL1634" s="1"/>
      <c r="CJM1634" s="1"/>
      <c r="CJN1634" s="1"/>
      <c r="CJO1634" s="1"/>
      <c r="CJP1634" s="1"/>
      <c r="CJQ1634" s="1"/>
      <c r="CJR1634" s="1"/>
      <c r="CJS1634" s="1"/>
      <c r="CJT1634" s="1"/>
      <c r="CJU1634" s="1"/>
      <c r="CJV1634" s="1"/>
      <c r="CJW1634" s="1"/>
      <c r="CJX1634" s="1"/>
      <c r="CJY1634" s="1"/>
      <c r="CJZ1634" s="1"/>
      <c r="CKA1634" s="1"/>
      <c r="CKB1634" s="1"/>
      <c r="CKC1634" s="1"/>
      <c r="CKD1634" s="1"/>
      <c r="CKE1634" s="1"/>
      <c r="CKF1634" s="1"/>
      <c r="CKG1634" s="1"/>
      <c r="CKH1634" s="1"/>
      <c r="CKI1634" s="1"/>
      <c r="CKJ1634" s="1"/>
      <c r="CKK1634" s="1"/>
      <c r="CKL1634" s="1"/>
      <c r="CKM1634" s="1"/>
      <c r="CKN1634" s="1"/>
      <c r="CKO1634" s="1"/>
      <c r="CKP1634" s="1"/>
      <c r="CKQ1634" s="1"/>
      <c r="CKR1634" s="1"/>
      <c r="CKS1634" s="1"/>
      <c r="CKT1634" s="1"/>
      <c r="CKU1634" s="1"/>
      <c r="CKV1634" s="1"/>
      <c r="CKW1634" s="1"/>
      <c r="CKX1634" s="1"/>
      <c r="CKY1634" s="1"/>
      <c r="CKZ1634" s="1"/>
      <c r="CLA1634" s="1"/>
      <c r="CLB1634" s="1"/>
      <c r="CLC1634" s="1"/>
      <c r="CLD1634" s="1"/>
      <c r="CLE1634" s="1"/>
      <c r="CLF1634" s="1"/>
      <c r="CLG1634" s="1"/>
      <c r="CLH1634" s="1"/>
      <c r="CLI1634" s="1"/>
      <c r="CLJ1634" s="1"/>
      <c r="CLK1634" s="1"/>
      <c r="CLL1634" s="1"/>
      <c r="CLM1634" s="1"/>
      <c r="CLN1634" s="1"/>
      <c r="CLO1634" s="1"/>
      <c r="CLP1634" s="1"/>
      <c r="CLQ1634" s="1"/>
      <c r="CLR1634" s="1"/>
      <c r="CLS1634" s="1"/>
      <c r="CLT1634" s="1"/>
      <c r="CLU1634" s="1"/>
      <c r="CLV1634" s="1"/>
      <c r="CLW1634" s="1"/>
      <c r="CLX1634" s="1"/>
      <c r="CLY1634" s="1"/>
      <c r="CLZ1634" s="1"/>
      <c r="CMA1634" s="1"/>
      <c r="CMB1634" s="1"/>
      <c r="CMC1634" s="1"/>
      <c r="CMD1634" s="1"/>
      <c r="CME1634" s="1"/>
      <c r="CMF1634" s="1"/>
      <c r="CMG1634" s="1"/>
      <c r="CMH1634" s="1"/>
      <c r="CMI1634" s="1"/>
      <c r="CMJ1634" s="1"/>
      <c r="CMK1634" s="1"/>
      <c r="CML1634" s="1"/>
      <c r="CMM1634" s="1"/>
      <c r="CMN1634" s="1"/>
      <c r="CMO1634" s="1"/>
      <c r="CMP1634" s="1"/>
      <c r="CMQ1634" s="1"/>
      <c r="CMR1634" s="1"/>
      <c r="CMS1634" s="1"/>
      <c r="CMT1634" s="1"/>
      <c r="CMU1634" s="1"/>
      <c r="CMV1634" s="1"/>
      <c r="CMW1634" s="1"/>
      <c r="CMX1634" s="1"/>
      <c r="CMY1634" s="1"/>
      <c r="CMZ1634" s="1"/>
      <c r="CNA1634" s="1"/>
      <c r="CNB1634" s="1"/>
      <c r="CNC1634" s="1"/>
      <c r="CND1634" s="1"/>
      <c r="CNE1634" s="1"/>
      <c r="CNF1634" s="1"/>
      <c r="CNG1634" s="1"/>
      <c r="CNH1634" s="1"/>
      <c r="CNI1634" s="1"/>
      <c r="CNJ1634" s="1"/>
      <c r="CNK1634" s="1"/>
      <c r="CNL1634" s="1"/>
      <c r="CNM1634" s="1"/>
      <c r="CNN1634" s="1"/>
      <c r="CNO1634" s="1"/>
      <c r="CNP1634" s="1"/>
      <c r="CNQ1634" s="1"/>
      <c r="CNR1634" s="1"/>
      <c r="CNS1634" s="1"/>
      <c r="CNT1634" s="1"/>
      <c r="CNU1634" s="1"/>
      <c r="CNV1634" s="1"/>
      <c r="CNW1634" s="1"/>
      <c r="CNX1634" s="1"/>
      <c r="CNY1634" s="1"/>
      <c r="CNZ1634" s="1"/>
      <c r="COA1634" s="1"/>
      <c r="COB1634" s="1"/>
      <c r="COC1634" s="1"/>
      <c r="COD1634" s="1"/>
      <c r="COE1634" s="1"/>
      <c r="COF1634" s="1"/>
      <c r="COG1634" s="1"/>
      <c r="COH1634" s="1"/>
      <c r="COI1634" s="1"/>
      <c r="COJ1634" s="1"/>
      <c r="COK1634" s="1"/>
      <c r="COL1634" s="1"/>
      <c r="COM1634" s="1"/>
      <c r="CON1634" s="1"/>
      <c r="COO1634" s="1"/>
      <c r="COP1634" s="1"/>
      <c r="COQ1634" s="1"/>
      <c r="COR1634" s="1"/>
      <c r="COS1634" s="1"/>
      <c r="COT1634" s="1"/>
      <c r="COU1634" s="1"/>
      <c r="COV1634" s="1"/>
      <c r="COW1634" s="1"/>
      <c r="COX1634" s="1"/>
      <c r="COY1634" s="1"/>
      <c r="COZ1634" s="1"/>
      <c r="CPA1634" s="1"/>
      <c r="CPB1634" s="1"/>
      <c r="CPC1634" s="1"/>
      <c r="CPD1634" s="1"/>
      <c r="CPE1634" s="1"/>
      <c r="CPF1634" s="1"/>
      <c r="CPG1634" s="1"/>
      <c r="CPH1634" s="1"/>
      <c r="CPI1634" s="1"/>
      <c r="CPJ1634" s="1"/>
      <c r="CPK1634" s="1"/>
      <c r="CPL1634" s="1"/>
      <c r="CPM1634" s="1"/>
      <c r="CPN1634" s="1"/>
      <c r="CPO1634" s="1"/>
      <c r="CPP1634" s="1"/>
      <c r="CPQ1634" s="1"/>
      <c r="CPR1634" s="1"/>
      <c r="CPS1634" s="1"/>
      <c r="CPT1634" s="1"/>
      <c r="CPU1634" s="1"/>
      <c r="CPV1634" s="1"/>
      <c r="CPW1634" s="1"/>
      <c r="CPX1634" s="1"/>
      <c r="CPY1634" s="1"/>
      <c r="CPZ1634" s="1"/>
      <c r="CQA1634" s="1"/>
      <c r="CQB1634" s="1"/>
      <c r="CQC1634" s="1"/>
      <c r="CQD1634" s="1"/>
      <c r="CQE1634" s="1"/>
      <c r="CQF1634" s="1"/>
      <c r="CQG1634" s="1"/>
      <c r="CQH1634" s="1"/>
      <c r="CQI1634" s="1"/>
      <c r="CQJ1634" s="1"/>
      <c r="CQK1634" s="1"/>
      <c r="CQL1634" s="1"/>
      <c r="CQM1634" s="1"/>
      <c r="CQN1634" s="1"/>
      <c r="CQO1634" s="1"/>
      <c r="CQP1634" s="1"/>
      <c r="CQQ1634" s="1"/>
      <c r="CQR1634" s="1"/>
      <c r="CQS1634" s="1"/>
      <c r="CQT1634" s="1"/>
      <c r="CQU1634" s="1"/>
      <c r="CQV1634" s="1"/>
      <c r="CQW1634" s="1"/>
      <c r="CQX1634" s="1"/>
      <c r="CQY1634" s="1"/>
      <c r="CQZ1634" s="1"/>
      <c r="CRA1634" s="1"/>
      <c r="CRB1634" s="1"/>
      <c r="CRC1634" s="1"/>
      <c r="CRD1634" s="1"/>
      <c r="CRE1634" s="1"/>
      <c r="CRF1634" s="1"/>
      <c r="CRG1634" s="1"/>
      <c r="CRH1634" s="1"/>
      <c r="CRI1634" s="1"/>
      <c r="CRJ1634" s="1"/>
      <c r="CRK1634" s="1"/>
      <c r="CRL1634" s="1"/>
      <c r="CRM1634" s="1"/>
      <c r="CRN1634" s="1"/>
      <c r="CRO1634" s="1"/>
      <c r="CRP1634" s="1"/>
      <c r="CRQ1634" s="1"/>
      <c r="CRR1634" s="1"/>
      <c r="CRS1634" s="1"/>
      <c r="CRT1634" s="1"/>
      <c r="CRU1634" s="1"/>
      <c r="CRV1634" s="1"/>
      <c r="CRW1634" s="1"/>
      <c r="CRX1634" s="1"/>
      <c r="CRY1634" s="1"/>
      <c r="CRZ1634" s="1"/>
      <c r="CSA1634" s="1"/>
      <c r="CSB1634" s="1"/>
      <c r="CSC1634" s="1"/>
      <c r="CSD1634" s="1"/>
      <c r="CSE1634" s="1"/>
      <c r="CSF1634" s="1"/>
      <c r="CSG1634" s="1"/>
      <c r="CSH1634" s="1"/>
      <c r="CSI1634" s="1"/>
      <c r="CSJ1634" s="1"/>
      <c r="CSK1634" s="1"/>
      <c r="CSL1634" s="1"/>
      <c r="CSM1634" s="1"/>
      <c r="CSN1634" s="1"/>
      <c r="CSO1634" s="1"/>
      <c r="CSP1634" s="1"/>
      <c r="CSQ1634" s="1"/>
      <c r="CSR1634" s="1"/>
      <c r="CSS1634" s="1"/>
      <c r="CST1634" s="1"/>
      <c r="CSU1634" s="1"/>
      <c r="CSV1634" s="1"/>
      <c r="CSW1634" s="1"/>
      <c r="CSX1634" s="1"/>
      <c r="CSY1634" s="1"/>
      <c r="CSZ1634" s="1"/>
      <c r="CTA1634" s="1"/>
      <c r="CTB1634" s="1"/>
      <c r="CTC1634" s="1"/>
      <c r="CTD1634" s="1"/>
      <c r="CTE1634" s="1"/>
      <c r="CTF1634" s="1"/>
      <c r="CTG1634" s="1"/>
      <c r="CTH1634" s="1"/>
      <c r="CTI1634" s="1"/>
      <c r="CTJ1634" s="1"/>
      <c r="CTK1634" s="1"/>
      <c r="CTL1634" s="1"/>
      <c r="CTM1634" s="1"/>
      <c r="CTN1634" s="1"/>
      <c r="CTO1634" s="1"/>
      <c r="CTP1634" s="1"/>
      <c r="CTQ1634" s="1"/>
      <c r="CTR1634" s="1"/>
      <c r="CTS1634" s="1"/>
      <c r="CTT1634" s="1"/>
      <c r="CTU1634" s="1"/>
      <c r="CTV1634" s="1"/>
      <c r="CTW1634" s="1"/>
      <c r="CTX1634" s="1"/>
      <c r="CTY1634" s="1"/>
      <c r="CTZ1634" s="1"/>
      <c r="CUA1634" s="1"/>
      <c r="CUB1634" s="1"/>
      <c r="CUC1634" s="1"/>
      <c r="CUD1634" s="1"/>
      <c r="CUE1634" s="1"/>
      <c r="CUF1634" s="1"/>
      <c r="CUG1634" s="1"/>
      <c r="CUH1634" s="1"/>
      <c r="CUI1634" s="1"/>
      <c r="CUJ1634" s="1"/>
      <c r="CUK1634" s="1"/>
      <c r="CUL1634" s="1"/>
      <c r="CUM1634" s="1"/>
      <c r="CUN1634" s="1"/>
      <c r="CUO1634" s="1"/>
      <c r="CUP1634" s="1"/>
      <c r="CUQ1634" s="1"/>
      <c r="CUR1634" s="1"/>
      <c r="CUS1634" s="1"/>
      <c r="CUT1634" s="1"/>
      <c r="CUU1634" s="1"/>
      <c r="CUV1634" s="1"/>
      <c r="CUW1634" s="1"/>
      <c r="CUX1634" s="1"/>
      <c r="CUY1634" s="1"/>
      <c r="CUZ1634" s="1"/>
      <c r="CVA1634" s="1"/>
      <c r="CVB1634" s="1"/>
      <c r="CVC1634" s="1"/>
      <c r="CVD1634" s="1"/>
      <c r="CVE1634" s="1"/>
      <c r="CVF1634" s="1"/>
      <c r="CVG1634" s="1"/>
      <c r="CVH1634" s="1"/>
      <c r="CVI1634" s="1"/>
      <c r="CVJ1634" s="1"/>
      <c r="CVK1634" s="1"/>
      <c r="CVL1634" s="1"/>
      <c r="CVM1634" s="1"/>
      <c r="CVN1634" s="1"/>
      <c r="CVO1634" s="1"/>
      <c r="CVP1634" s="1"/>
      <c r="CVQ1634" s="1"/>
      <c r="CVR1634" s="1"/>
      <c r="CVS1634" s="1"/>
      <c r="CVT1634" s="1"/>
      <c r="CVU1634" s="1"/>
      <c r="CVV1634" s="1"/>
      <c r="CVW1634" s="1"/>
      <c r="CVX1634" s="1"/>
      <c r="CVY1634" s="1"/>
      <c r="CVZ1634" s="1"/>
      <c r="CWA1634" s="1"/>
      <c r="CWB1634" s="1"/>
      <c r="CWC1634" s="1"/>
      <c r="CWD1634" s="1"/>
      <c r="CWE1634" s="1"/>
      <c r="CWF1634" s="1"/>
      <c r="CWG1634" s="1"/>
      <c r="CWH1634" s="1"/>
      <c r="CWI1634" s="1"/>
      <c r="CWJ1634" s="1"/>
      <c r="CWK1634" s="1"/>
      <c r="CWL1634" s="1"/>
      <c r="CWM1634" s="1"/>
      <c r="CWN1634" s="1"/>
      <c r="CWO1634" s="1"/>
      <c r="CWP1634" s="1"/>
      <c r="CWQ1634" s="1"/>
      <c r="CWR1634" s="1"/>
      <c r="CWS1634" s="1"/>
      <c r="CWT1634" s="1"/>
      <c r="CWU1634" s="1"/>
      <c r="CWV1634" s="1"/>
      <c r="CWW1634" s="1"/>
      <c r="CWX1634" s="1"/>
      <c r="CWY1634" s="1"/>
      <c r="CWZ1634" s="1"/>
      <c r="CXA1634" s="1"/>
      <c r="CXB1634" s="1"/>
      <c r="CXC1634" s="1"/>
      <c r="CXD1634" s="1"/>
      <c r="CXE1634" s="1"/>
      <c r="CXF1634" s="1"/>
      <c r="CXG1634" s="1"/>
      <c r="CXH1634" s="1"/>
      <c r="CXI1634" s="1"/>
      <c r="CXJ1634" s="1"/>
      <c r="CXK1634" s="1"/>
      <c r="CXL1634" s="1"/>
      <c r="CXM1634" s="1"/>
      <c r="CXN1634" s="1"/>
      <c r="CXO1634" s="1"/>
      <c r="CXP1634" s="1"/>
      <c r="CXQ1634" s="1"/>
      <c r="CXR1634" s="1"/>
      <c r="CXS1634" s="1"/>
      <c r="CXT1634" s="1"/>
      <c r="CXU1634" s="1"/>
      <c r="CXV1634" s="1"/>
      <c r="CXW1634" s="1"/>
      <c r="CXX1634" s="1"/>
      <c r="CXY1634" s="1"/>
      <c r="CXZ1634" s="1"/>
      <c r="CYA1634" s="1"/>
      <c r="CYB1634" s="1"/>
      <c r="CYC1634" s="1"/>
      <c r="CYD1634" s="1"/>
      <c r="CYE1634" s="1"/>
      <c r="CYF1634" s="1"/>
      <c r="CYG1634" s="1"/>
      <c r="CYH1634" s="1"/>
      <c r="CYI1634" s="1"/>
      <c r="CYJ1634" s="1"/>
      <c r="CYK1634" s="1"/>
      <c r="CYL1634" s="1"/>
      <c r="CYM1634" s="1"/>
      <c r="CYN1634" s="1"/>
      <c r="CYO1634" s="1"/>
      <c r="CYP1634" s="1"/>
      <c r="CYQ1634" s="1"/>
      <c r="CYR1634" s="1"/>
      <c r="CYS1634" s="1"/>
      <c r="CYT1634" s="1"/>
      <c r="CYU1634" s="1"/>
      <c r="CYV1634" s="1"/>
      <c r="CYW1634" s="1"/>
      <c r="CYX1634" s="1"/>
      <c r="CYY1634" s="1"/>
      <c r="CYZ1634" s="1"/>
      <c r="CZA1634" s="1"/>
      <c r="CZB1634" s="1"/>
      <c r="CZC1634" s="1"/>
      <c r="CZD1634" s="1"/>
      <c r="CZE1634" s="1"/>
      <c r="CZF1634" s="1"/>
      <c r="CZG1634" s="1"/>
      <c r="CZH1634" s="1"/>
      <c r="CZI1634" s="1"/>
      <c r="CZJ1634" s="1"/>
      <c r="CZK1634" s="1"/>
      <c r="CZL1634" s="1"/>
      <c r="CZM1634" s="1"/>
      <c r="CZN1634" s="1"/>
      <c r="CZO1634" s="1"/>
      <c r="CZP1634" s="1"/>
      <c r="CZQ1634" s="1"/>
      <c r="CZR1634" s="1"/>
      <c r="CZS1634" s="1"/>
      <c r="CZT1634" s="1"/>
      <c r="CZU1634" s="1"/>
      <c r="CZV1634" s="1"/>
      <c r="CZW1634" s="1"/>
      <c r="CZX1634" s="1"/>
      <c r="CZY1634" s="1"/>
      <c r="CZZ1634" s="1"/>
      <c r="DAA1634" s="1"/>
      <c r="DAB1634" s="1"/>
      <c r="DAC1634" s="1"/>
      <c r="DAD1634" s="1"/>
      <c r="DAE1634" s="1"/>
      <c r="DAF1634" s="1"/>
      <c r="DAG1634" s="1"/>
      <c r="DAH1634" s="1"/>
      <c r="DAI1634" s="1"/>
      <c r="DAJ1634" s="1"/>
      <c r="DAK1634" s="1"/>
      <c r="DAL1634" s="1"/>
      <c r="DAM1634" s="1"/>
      <c r="DAN1634" s="1"/>
      <c r="DAO1634" s="1"/>
      <c r="DAP1634" s="1"/>
      <c r="DAQ1634" s="1"/>
      <c r="DAR1634" s="1"/>
      <c r="DAS1634" s="1"/>
      <c r="DAT1634" s="1"/>
      <c r="DAU1634" s="1"/>
      <c r="DAV1634" s="1"/>
      <c r="DAW1634" s="1"/>
      <c r="DAX1634" s="1"/>
      <c r="DAY1634" s="1"/>
      <c r="DAZ1634" s="1"/>
      <c r="DBA1634" s="1"/>
      <c r="DBB1634" s="1"/>
      <c r="DBC1634" s="1"/>
      <c r="DBD1634" s="1"/>
      <c r="DBE1634" s="1"/>
      <c r="DBF1634" s="1"/>
      <c r="DBG1634" s="1"/>
      <c r="DBH1634" s="1"/>
      <c r="DBI1634" s="1"/>
      <c r="DBJ1634" s="1"/>
      <c r="DBK1634" s="1"/>
      <c r="DBL1634" s="1"/>
      <c r="DBM1634" s="1"/>
      <c r="DBN1634" s="1"/>
      <c r="DBO1634" s="1"/>
      <c r="DBP1634" s="1"/>
      <c r="DBQ1634" s="1"/>
      <c r="DBR1634" s="1"/>
      <c r="DBS1634" s="1"/>
      <c r="DBT1634" s="1"/>
      <c r="DBU1634" s="1"/>
      <c r="DBV1634" s="1"/>
      <c r="DBW1634" s="1"/>
      <c r="DBX1634" s="1"/>
      <c r="DBY1634" s="1"/>
      <c r="DBZ1634" s="1"/>
      <c r="DCA1634" s="1"/>
      <c r="DCB1634" s="1"/>
      <c r="DCC1634" s="1"/>
      <c r="DCD1634" s="1"/>
      <c r="DCE1634" s="1"/>
      <c r="DCF1634" s="1"/>
      <c r="DCG1634" s="1"/>
      <c r="DCH1634" s="1"/>
      <c r="DCI1634" s="1"/>
      <c r="DCJ1634" s="1"/>
      <c r="DCK1634" s="1"/>
      <c r="DCL1634" s="1"/>
      <c r="DCM1634" s="1"/>
      <c r="DCN1634" s="1"/>
      <c r="DCO1634" s="1"/>
      <c r="DCP1634" s="1"/>
      <c r="DCQ1634" s="1"/>
      <c r="DCR1634" s="1"/>
      <c r="DCS1634" s="1"/>
      <c r="DCT1634" s="1"/>
      <c r="DCU1634" s="1"/>
      <c r="DCV1634" s="1"/>
      <c r="DCW1634" s="1"/>
      <c r="DCX1634" s="1"/>
      <c r="DCY1634" s="1"/>
      <c r="DCZ1634" s="1"/>
      <c r="DDA1634" s="1"/>
      <c r="DDB1634" s="1"/>
      <c r="DDC1634" s="1"/>
      <c r="DDD1634" s="1"/>
      <c r="DDE1634" s="1"/>
      <c r="DDF1634" s="1"/>
      <c r="DDG1634" s="1"/>
      <c r="DDH1634" s="1"/>
      <c r="DDI1634" s="1"/>
      <c r="DDJ1634" s="1"/>
      <c r="DDK1634" s="1"/>
      <c r="DDL1634" s="1"/>
      <c r="DDM1634" s="1"/>
      <c r="DDN1634" s="1"/>
      <c r="DDO1634" s="1"/>
      <c r="DDP1634" s="1"/>
      <c r="DDQ1634" s="1"/>
      <c r="DDR1634" s="1"/>
      <c r="DDS1634" s="1"/>
      <c r="DDT1634" s="1"/>
      <c r="DDU1634" s="1"/>
      <c r="DDV1634" s="1"/>
      <c r="DDW1634" s="1"/>
      <c r="DDX1634" s="1"/>
      <c r="DDY1634" s="1"/>
      <c r="DDZ1634" s="1"/>
      <c r="DEA1634" s="1"/>
      <c r="DEB1634" s="1"/>
      <c r="DEC1634" s="1"/>
      <c r="DED1634" s="1"/>
      <c r="DEE1634" s="1"/>
      <c r="DEF1634" s="1"/>
      <c r="DEG1634" s="1"/>
      <c r="DEH1634" s="1"/>
      <c r="DEI1634" s="1"/>
      <c r="DEJ1634" s="1"/>
      <c r="DEK1634" s="1"/>
      <c r="DEL1634" s="1"/>
      <c r="DEM1634" s="1"/>
      <c r="DEN1634" s="1"/>
      <c r="DEO1634" s="1"/>
      <c r="DEP1634" s="1"/>
      <c r="DEQ1634" s="1"/>
      <c r="DER1634" s="1"/>
      <c r="DES1634" s="1"/>
      <c r="DET1634" s="1"/>
      <c r="DEU1634" s="1"/>
      <c r="DEV1634" s="1"/>
      <c r="DEW1634" s="1"/>
      <c r="DEX1634" s="1"/>
      <c r="DEY1634" s="1"/>
      <c r="DEZ1634" s="1"/>
      <c r="DFA1634" s="1"/>
      <c r="DFB1634" s="1"/>
      <c r="DFC1634" s="1"/>
      <c r="DFD1634" s="1"/>
      <c r="DFE1634" s="1"/>
      <c r="DFF1634" s="1"/>
      <c r="DFG1634" s="1"/>
      <c r="DFH1634" s="1"/>
      <c r="DFI1634" s="1"/>
      <c r="DFJ1634" s="1"/>
      <c r="DFK1634" s="1"/>
      <c r="DFL1634" s="1"/>
      <c r="DFM1634" s="1"/>
      <c r="DFN1634" s="1"/>
      <c r="DFO1634" s="1"/>
      <c r="DFP1634" s="1"/>
      <c r="DFQ1634" s="1"/>
      <c r="DFR1634" s="1"/>
      <c r="DFS1634" s="1"/>
      <c r="DFT1634" s="1"/>
      <c r="DFU1634" s="1"/>
      <c r="DFV1634" s="1"/>
      <c r="DFW1634" s="1"/>
      <c r="DFX1634" s="1"/>
      <c r="DFY1634" s="1"/>
      <c r="DFZ1634" s="1"/>
      <c r="DGA1634" s="1"/>
      <c r="DGB1634" s="1"/>
      <c r="DGC1634" s="1"/>
      <c r="DGD1634" s="1"/>
      <c r="DGE1634" s="1"/>
      <c r="DGF1634" s="1"/>
      <c r="DGG1634" s="1"/>
      <c r="DGH1634" s="1"/>
      <c r="DGI1634" s="1"/>
      <c r="DGJ1634" s="1"/>
      <c r="DGK1634" s="1"/>
      <c r="DGL1634" s="1"/>
      <c r="DGM1634" s="1"/>
      <c r="DGN1634" s="1"/>
      <c r="DGO1634" s="1"/>
      <c r="DGP1634" s="1"/>
      <c r="DGQ1634" s="1"/>
      <c r="DGR1634" s="1"/>
      <c r="DGS1634" s="1"/>
      <c r="DGT1634" s="1"/>
      <c r="DGU1634" s="1"/>
      <c r="DGV1634" s="1"/>
      <c r="DGW1634" s="1"/>
      <c r="DGX1634" s="1"/>
      <c r="DGY1634" s="1"/>
      <c r="DGZ1634" s="1"/>
      <c r="DHA1634" s="1"/>
      <c r="DHB1634" s="1"/>
      <c r="DHC1634" s="1"/>
      <c r="DHD1634" s="1"/>
      <c r="DHE1634" s="1"/>
      <c r="DHF1634" s="1"/>
      <c r="DHG1634" s="1"/>
      <c r="DHH1634" s="1"/>
      <c r="DHI1634" s="1"/>
      <c r="DHJ1634" s="1"/>
      <c r="DHK1634" s="1"/>
      <c r="DHL1634" s="1"/>
      <c r="DHM1634" s="1"/>
      <c r="DHN1634" s="1"/>
      <c r="DHO1634" s="1"/>
      <c r="DHP1634" s="1"/>
      <c r="DHQ1634" s="1"/>
      <c r="DHR1634" s="1"/>
      <c r="DHS1634" s="1"/>
      <c r="DHT1634" s="1"/>
      <c r="DHU1634" s="1"/>
      <c r="DHV1634" s="1"/>
      <c r="DHW1634" s="1"/>
      <c r="DHX1634" s="1"/>
      <c r="DHY1634" s="1"/>
      <c r="DHZ1634" s="1"/>
      <c r="DIA1634" s="1"/>
      <c r="DIB1634" s="1"/>
      <c r="DIC1634" s="1"/>
      <c r="DID1634" s="1"/>
      <c r="DIE1634" s="1"/>
      <c r="DIF1634" s="1"/>
      <c r="DIG1634" s="1"/>
      <c r="DIH1634" s="1"/>
      <c r="DII1634" s="1"/>
      <c r="DIJ1634" s="1"/>
      <c r="DIK1634" s="1"/>
      <c r="DIL1634" s="1"/>
      <c r="DIM1634" s="1"/>
      <c r="DIN1634" s="1"/>
      <c r="DIO1634" s="1"/>
      <c r="DIP1634" s="1"/>
      <c r="DIQ1634" s="1"/>
      <c r="DIR1634" s="1"/>
      <c r="DIS1634" s="1"/>
      <c r="DIT1634" s="1"/>
      <c r="DIU1634" s="1"/>
      <c r="DIV1634" s="1"/>
      <c r="DIW1634" s="1"/>
      <c r="DIX1634" s="1"/>
      <c r="DIY1634" s="1"/>
      <c r="DIZ1634" s="1"/>
      <c r="DJA1634" s="1"/>
      <c r="DJB1634" s="1"/>
      <c r="DJC1634" s="1"/>
      <c r="DJD1634" s="1"/>
      <c r="DJE1634" s="1"/>
      <c r="DJF1634" s="1"/>
      <c r="DJG1634" s="1"/>
      <c r="DJH1634" s="1"/>
      <c r="DJI1634" s="1"/>
      <c r="DJJ1634" s="1"/>
      <c r="DJK1634" s="1"/>
      <c r="DJL1634" s="1"/>
      <c r="DJM1634" s="1"/>
      <c r="DJN1634" s="1"/>
      <c r="DJO1634" s="1"/>
      <c r="DJP1634" s="1"/>
      <c r="DJQ1634" s="1"/>
      <c r="DJR1634" s="1"/>
      <c r="DJS1634" s="1"/>
      <c r="DJT1634" s="1"/>
      <c r="DJU1634" s="1"/>
      <c r="DJV1634" s="1"/>
      <c r="DJW1634" s="1"/>
      <c r="DJX1634" s="1"/>
      <c r="DJY1634" s="1"/>
      <c r="DJZ1634" s="1"/>
      <c r="DKA1634" s="1"/>
      <c r="DKB1634" s="1"/>
      <c r="DKC1634" s="1"/>
      <c r="DKD1634" s="1"/>
      <c r="DKE1634" s="1"/>
      <c r="DKF1634" s="1"/>
      <c r="DKG1634" s="1"/>
      <c r="DKH1634" s="1"/>
      <c r="DKI1634" s="1"/>
      <c r="DKJ1634" s="1"/>
      <c r="DKK1634" s="1"/>
      <c r="DKL1634" s="1"/>
      <c r="DKM1634" s="1"/>
      <c r="DKN1634" s="1"/>
      <c r="DKO1634" s="1"/>
      <c r="DKP1634" s="1"/>
      <c r="DKQ1634" s="1"/>
      <c r="DKR1634" s="1"/>
      <c r="DKS1634" s="1"/>
      <c r="DKT1634" s="1"/>
      <c r="DKU1634" s="1"/>
      <c r="DKV1634" s="1"/>
      <c r="DKW1634" s="1"/>
      <c r="DKX1634" s="1"/>
      <c r="DKY1634" s="1"/>
      <c r="DKZ1634" s="1"/>
      <c r="DLA1634" s="1"/>
      <c r="DLB1634" s="1"/>
      <c r="DLC1634" s="1"/>
      <c r="DLD1634" s="1"/>
      <c r="DLE1634" s="1"/>
      <c r="DLF1634" s="1"/>
      <c r="DLG1634" s="1"/>
      <c r="DLH1634" s="1"/>
      <c r="DLI1634" s="1"/>
      <c r="DLJ1634" s="1"/>
      <c r="DLK1634" s="1"/>
      <c r="DLL1634" s="1"/>
      <c r="DLM1634" s="1"/>
      <c r="DLN1634" s="1"/>
      <c r="DLO1634" s="1"/>
      <c r="DLP1634" s="1"/>
      <c r="DLQ1634" s="1"/>
      <c r="DLR1634" s="1"/>
      <c r="DLS1634" s="1"/>
      <c r="DLT1634" s="1"/>
      <c r="DLU1634" s="1"/>
      <c r="DLV1634" s="1"/>
      <c r="DLW1634" s="1"/>
      <c r="DLX1634" s="1"/>
      <c r="DLY1634" s="1"/>
      <c r="DLZ1634" s="1"/>
      <c r="DMA1634" s="1"/>
      <c r="DMB1634" s="1"/>
      <c r="DMC1634" s="1"/>
      <c r="DMD1634" s="1"/>
      <c r="DME1634" s="1"/>
      <c r="DMF1634" s="1"/>
      <c r="DMG1634" s="1"/>
      <c r="DMH1634" s="1"/>
      <c r="DMI1634" s="1"/>
      <c r="DMJ1634" s="1"/>
      <c r="DMK1634" s="1"/>
      <c r="DML1634" s="1"/>
      <c r="DMM1634" s="1"/>
      <c r="DMN1634" s="1"/>
      <c r="DMO1634" s="1"/>
      <c r="DMP1634" s="1"/>
      <c r="DMQ1634" s="1"/>
      <c r="DMR1634" s="1"/>
      <c r="DMS1634" s="1"/>
      <c r="DMT1634" s="1"/>
      <c r="DMU1634" s="1"/>
      <c r="DMV1634" s="1"/>
      <c r="DMW1634" s="1"/>
      <c r="DMX1634" s="1"/>
      <c r="DMY1634" s="1"/>
      <c r="DMZ1634" s="1"/>
      <c r="DNA1634" s="1"/>
      <c r="DNB1634" s="1"/>
      <c r="DNC1634" s="1"/>
      <c r="DND1634" s="1"/>
      <c r="DNE1634" s="1"/>
      <c r="DNF1634" s="1"/>
      <c r="DNG1634" s="1"/>
      <c r="DNH1634" s="1"/>
      <c r="DNI1634" s="1"/>
      <c r="DNJ1634" s="1"/>
      <c r="DNK1634" s="1"/>
      <c r="DNL1634" s="1"/>
      <c r="DNM1634" s="1"/>
      <c r="DNN1634" s="1"/>
      <c r="DNO1634" s="1"/>
      <c r="DNP1634" s="1"/>
      <c r="DNQ1634" s="1"/>
      <c r="DNR1634" s="1"/>
      <c r="DNS1634" s="1"/>
      <c r="DNT1634" s="1"/>
      <c r="DNU1634" s="1"/>
      <c r="DNV1634" s="1"/>
      <c r="DNW1634" s="1"/>
      <c r="DNX1634" s="1"/>
      <c r="DNY1634" s="1"/>
      <c r="DNZ1634" s="1"/>
      <c r="DOA1634" s="1"/>
      <c r="DOB1634" s="1"/>
      <c r="DOC1634" s="1"/>
      <c r="DOD1634" s="1"/>
      <c r="DOE1634" s="1"/>
      <c r="DOF1634" s="1"/>
      <c r="DOG1634" s="1"/>
      <c r="DOH1634" s="1"/>
      <c r="DOI1634" s="1"/>
      <c r="DOJ1634" s="1"/>
      <c r="DOK1634" s="1"/>
      <c r="DOL1634" s="1"/>
      <c r="DOM1634" s="1"/>
      <c r="DON1634" s="1"/>
      <c r="DOO1634" s="1"/>
      <c r="DOP1634" s="1"/>
      <c r="DOQ1634" s="1"/>
      <c r="DOR1634" s="1"/>
      <c r="DOS1634" s="1"/>
      <c r="DOT1634" s="1"/>
      <c r="DOU1634" s="1"/>
      <c r="DOV1634" s="1"/>
      <c r="DOW1634" s="1"/>
      <c r="DOX1634" s="1"/>
      <c r="DOY1634" s="1"/>
      <c r="DOZ1634" s="1"/>
      <c r="DPA1634" s="1"/>
      <c r="DPB1634" s="1"/>
      <c r="DPC1634" s="1"/>
      <c r="DPD1634" s="1"/>
      <c r="DPE1634" s="1"/>
      <c r="DPF1634" s="1"/>
      <c r="DPG1634" s="1"/>
      <c r="DPH1634" s="1"/>
      <c r="DPI1634" s="1"/>
      <c r="DPJ1634" s="1"/>
      <c r="DPK1634" s="1"/>
      <c r="DPL1634" s="1"/>
      <c r="DPM1634" s="1"/>
      <c r="DPN1634" s="1"/>
      <c r="DPO1634" s="1"/>
      <c r="DPP1634" s="1"/>
      <c r="DPQ1634" s="1"/>
      <c r="DPR1634" s="1"/>
      <c r="DPS1634" s="1"/>
      <c r="DPT1634" s="1"/>
      <c r="DPU1634" s="1"/>
      <c r="DPV1634" s="1"/>
      <c r="DPW1634" s="1"/>
      <c r="DPX1634" s="1"/>
      <c r="DPY1634" s="1"/>
      <c r="DPZ1634" s="1"/>
      <c r="DQA1634" s="1"/>
      <c r="DQB1634" s="1"/>
      <c r="DQC1634" s="1"/>
      <c r="DQD1634" s="1"/>
      <c r="DQE1634" s="1"/>
      <c r="DQF1634" s="1"/>
      <c r="DQG1634" s="1"/>
      <c r="DQH1634" s="1"/>
      <c r="DQI1634" s="1"/>
      <c r="DQJ1634" s="1"/>
      <c r="DQK1634" s="1"/>
      <c r="DQL1634" s="1"/>
      <c r="DQM1634" s="1"/>
      <c r="DQN1634" s="1"/>
      <c r="DQO1634" s="1"/>
      <c r="DQP1634" s="1"/>
      <c r="DQQ1634" s="1"/>
      <c r="DQR1634" s="1"/>
      <c r="DQS1634" s="1"/>
      <c r="DQT1634" s="1"/>
      <c r="DQU1634" s="1"/>
      <c r="DQV1634" s="1"/>
      <c r="DQW1634" s="1"/>
      <c r="DQX1634" s="1"/>
      <c r="DQY1634" s="1"/>
      <c r="DQZ1634" s="1"/>
      <c r="DRA1634" s="1"/>
      <c r="DRB1634" s="1"/>
      <c r="DRC1634" s="1"/>
      <c r="DRD1634" s="1"/>
      <c r="DRE1634" s="1"/>
      <c r="DRF1634" s="1"/>
      <c r="DRG1634" s="1"/>
      <c r="DRH1634" s="1"/>
      <c r="DRI1634" s="1"/>
      <c r="DRJ1634" s="1"/>
      <c r="DRK1634" s="1"/>
      <c r="DRL1634" s="1"/>
      <c r="DRM1634" s="1"/>
      <c r="DRN1634" s="1"/>
      <c r="DRO1634" s="1"/>
      <c r="DRP1634" s="1"/>
      <c r="DRQ1634" s="1"/>
      <c r="DRR1634" s="1"/>
      <c r="DRS1634" s="1"/>
      <c r="DRT1634" s="1"/>
      <c r="DRU1634" s="1"/>
      <c r="DRV1634" s="1"/>
      <c r="DRW1634" s="1"/>
      <c r="DRX1634" s="1"/>
      <c r="DRY1634" s="1"/>
      <c r="DRZ1634" s="1"/>
      <c r="DSA1634" s="1"/>
      <c r="DSB1634" s="1"/>
      <c r="DSC1634" s="1"/>
      <c r="DSD1634" s="1"/>
      <c r="DSE1634" s="1"/>
      <c r="DSF1634" s="1"/>
      <c r="DSG1634" s="1"/>
      <c r="DSH1634" s="1"/>
      <c r="DSI1634" s="1"/>
      <c r="DSJ1634" s="1"/>
      <c r="DSK1634" s="1"/>
      <c r="DSL1634" s="1"/>
      <c r="DSM1634" s="1"/>
      <c r="DSN1634" s="1"/>
      <c r="DSO1634" s="1"/>
      <c r="DSP1634" s="1"/>
      <c r="DSQ1634" s="1"/>
      <c r="DSR1634" s="1"/>
      <c r="DSS1634" s="1"/>
      <c r="DST1634" s="1"/>
      <c r="DSU1634" s="1"/>
      <c r="DSV1634" s="1"/>
      <c r="DSW1634" s="1"/>
      <c r="DSX1634" s="1"/>
      <c r="DSY1634" s="1"/>
      <c r="DSZ1634" s="1"/>
      <c r="DTA1634" s="1"/>
      <c r="DTB1634" s="1"/>
      <c r="DTC1634" s="1"/>
      <c r="DTD1634" s="1"/>
      <c r="DTE1634" s="1"/>
      <c r="DTF1634" s="1"/>
      <c r="DTG1634" s="1"/>
      <c r="DTH1634" s="1"/>
      <c r="DTI1634" s="1"/>
      <c r="DTJ1634" s="1"/>
      <c r="DTK1634" s="1"/>
      <c r="DTL1634" s="1"/>
      <c r="DTM1634" s="1"/>
      <c r="DTN1634" s="1"/>
      <c r="DTO1634" s="1"/>
      <c r="DTP1634" s="1"/>
      <c r="DTQ1634" s="1"/>
      <c r="DTR1634" s="1"/>
      <c r="DTS1634" s="1"/>
      <c r="DTT1634" s="1"/>
      <c r="DTU1634" s="1"/>
      <c r="DTV1634" s="1"/>
      <c r="DTW1634" s="1"/>
      <c r="DTX1634" s="1"/>
      <c r="DTY1634" s="1"/>
      <c r="DTZ1634" s="1"/>
      <c r="DUA1634" s="1"/>
      <c r="DUB1634" s="1"/>
      <c r="DUC1634" s="1"/>
      <c r="DUD1634" s="1"/>
      <c r="DUE1634" s="1"/>
      <c r="DUF1634" s="1"/>
      <c r="DUG1634" s="1"/>
      <c r="DUH1634" s="1"/>
      <c r="DUI1634" s="1"/>
      <c r="DUJ1634" s="1"/>
      <c r="DUK1634" s="1"/>
      <c r="DUL1634" s="1"/>
      <c r="DUM1634" s="1"/>
      <c r="DUN1634" s="1"/>
      <c r="DUO1634" s="1"/>
      <c r="DUP1634" s="1"/>
      <c r="DUQ1634" s="1"/>
      <c r="DUR1634" s="1"/>
      <c r="DUS1634" s="1"/>
      <c r="DUT1634" s="1"/>
      <c r="DUU1634" s="1"/>
      <c r="DUV1634" s="1"/>
      <c r="DUW1634" s="1"/>
      <c r="DUX1634" s="1"/>
      <c r="DUY1634" s="1"/>
      <c r="DUZ1634" s="1"/>
      <c r="DVA1634" s="1"/>
      <c r="DVB1634" s="1"/>
      <c r="DVC1634" s="1"/>
      <c r="DVD1634" s="1"/>
      <c r="DVE1634" s="1"/>
      <c r="DVF1634" s="1"/>
      <c r="DVG1634" s="1"/>
      <c r="DVH1634" s="1"/>
      <c r="DVI1634" s="1"/>
      <c r="DVJ1634" s="1"/>
      <c r="DVK1634" s="1"/>
      <c r="DVL1634" s="1"/>
      <c r="DVM1634" s="1"/>
      <c r="DVN1634" s="1"/>
      <c r="DVO1634" s="1"/>
      <c r="DVP1634" s="1"/>
      <c r="DVQ1634" s="1"/>
      <c r="DVR1634" s="1"/>
      <c r="DVS1634" s="1"/>
      <c r="DVT1634" s="1"/>
      <c r="DVU1634" s="1"/>
      <c r="DVV1634" s="1"/>
      <c r="DVW1634" s="1"/>
      <c r="DVX1634" s="1"/>
      <c r="DVY1634" s="1"/>
      <c r="DVZ1634" s="1"/>
      <c r="DWA1634" s="1"/>
      <c r="DWB1634" s="1"/>
      <c r="DWC1634" s="1"/>
      <c r="DWD1634" s="1"/>
      <c r="DWE1634" s="1"/>
      <c r="DWF1634" s="1"/>
      <c r="DWG1634" s="1"/>
      <c r="DWH1634" s="1"/>
      <c r="DWI1634" s="1"/>
      <c r="DWJ1634" s="1"/>
      <c r="DWK1634" s="1"/>
      <c r="DWL1634" s="1"/>
      <c r="DWM1634" s="1"/>
      <c r="DWN1634" s="1"/>
      <c r="DWO1634" s="1"/>
      <c r="DWP1634" s="1"/>
      <c r="DWQ1634" s="1"/>
      <c r="DWR1634" s="1"/>
      <c r="DWS1634" s="1"/>
      <c r="DWT1634" s="1"/>
      <c r="DWU1634" s="1"/>
      <c r="DWV1634" s="1"/>
      <c r="DWW1634" s="1"/>
      <c r="DWX1634" s="1"/>
      <c r="DWY1634" s="1"/>
      <c r="DWZ1634" s="1"/>
      <c r="DXA1634" s="1"/>
      <c r="DXB1634" s="1"/>
      <c r="DXC1634" s="1"/>
      <c r="DXD1634" s="1"/>
      <c r="DXE1634" s="1"/>
      <c r="DXF1634" s="1"/>
      <c r="DXG1634" s="1"/>
      <c r="DXH1634" s="1"/>
      <c r="DXI1634" s="1"/>
      <c r="DXJ1634" s="1"/>
      <c r="DXK1634" s="1"/>
      <c r="DXL1634" s="1"/>
      <c r="DXM1634" s="1"/>
      <c r="DXN1634" s="1"/>
      <c r="DXO1634" s="1"/>
      <c r="DXP1634" s="1"/>
      <c r="DXQ1634" s="1"/>
      <c r="DXR1634" s="1"/>
      <c r="DXS1634" s="1"/>
      <c r="DXT1634" s="1"/>
      <c r="DXU1634" s="1"/>
      <c r="DXV1634" s="1"/>
      <c r="DXW1634" s="1"/>
      <c r="DXX1634" s="1"/>
      <c r="DXY1634" s="1"/>
      <c r="DXZ1634" s="1"/>
      <c r="DYA1634" s="1"/>
      <c r="DYB1634" s="1"/>
      <c r="DYC1634" s="1"/>
      <c r="DYD1634" s="1"/>
      <c r="DYE1634" s="1"/>
      <c r="DYF1634" s="1"/>
      <c r="DYG1634" s="1"/>
      <c r="DYH1634" s="1"/>
      <c r="DYI1634" s="1"/>
      <c r="DYJ1634" s="1"/>
      <c r="DYK1634" s="1"/>
      <c r="DYL1634" s="1"/>
      <c r="DYM1634" s="1"/>
      <c r="DYN1634" s="1"/>
      <c r="DYO1634" s="1"/>
      <c r="DYP1634" s="1"/>
      <c r="DYQ1634" s="1"/>
      <c r="DYR1634" s="1"/>
      <c r="DYS1634" s="1"/>
      <c r="DYT1634" s="1"/>
      <c r="DYU1634" s="1"/>
      <c r="DYV1634" s="1"/>
      <c r="DYW1634" s="1"/>
      <c r="DYX1634" s="1"/>
      <c r="DYY1634" s="1"/>
      <c r="DYZ1634" s="1"/>
      <c r="DZA1634" s="1"/>
      <c r="DZB1634" s="1"/>
      <c r="DZC1634" s="1"/>
      <c r="DZD1634" s="1"/>
      <c r="DZE1634" s="1"/>
      <c r="DZF1634" s="1"/>
      <c r="DZG1634" s="1"/>
      <c r="DZH1634" s="1"/>
      <c r="DZI1634" s="1"/>
      <c r="DZJ1634" s="1"/>
      <c r="DZK1634" s="1"/>
      <c r="DZL1634" s="1"/>
      <c r="DZM1634" s="1"/>
      <c r="DZN1634" s="1"/>
      <c r="DZO1634" s="1"/>
      <c r="DZP1634" s="1"/>
      <c r="DZQ1634" s="1"/>
      <c r="DZR1634" s="1"/>
      <c r="DZS1634" s="1"/>
      <c r="DZT1634" s="1"/>
      <c r="DZU1634" s="1"/>
      <c r="DZV1634" s="1"/>
      <c r="DZW1634" s="1"/>
      <c r="DZX1634" s="1"/>
      <c r="DZY1634" s="1"/>
      <c r="DZZ1634" s="1"/>
      <c r="EAA1634" s="1"/>
      <c r="EAB1634" s="1"/>
      <c r="EAC1634" s="1"/>
      <c r="EAD1634" s="1"/>
      <c r="EAE1634" s="1"/>
      <c r="EAF1634" s="1"/>
      <c r="EAG1634" s="1"/>
      <c r="EAH1634" s="1"/>
      <c r="EAI1634" s="1"/>
      <c r="EAJ1634" s="1"/>
      <c r="EAK1634" s="1"/>
      <c r="EAL1634" s="1"/>
      <c r="EAM1634" s="1"/>
      <c r="EAN1634" s="1"/>
      <c r="EAO1634" s="1"/>
      <c r="EAP1634" s="1"/>
      <c r="EAQ1634" s="1"/>
      <c r="EAR1634" s="1"/>
      <c r="EAS1634" s="1"/>
      <c r="EAT1634" s="1"/>
      <c r="EAU1634" s="1"/>
      <c r="EAV1634" s="1"/>
      <c r="EAW1634" s="1"/>
      <c r="EAX1634" s="1"/>
      <c r="EAY1634" s="1"/>
      <c r="EAZ1634" s="1"/>
      <c r="EBA1634" s="1"/>
      <c r="EBB1634" s="1"/>
      <c r="EBC1634" s="1"/>
      <c r="EBD1634" s="1"/>
      <c r="EBE1634" s="1"/>
      <c r="EBF1634" s="1"/>
      <c r="EBG1634" s="1"/>
      <c r="EBH1634" s="1"/>
      <c r="EBI1634" s="1"/>
      <c r="EBJ1634" s="1"/>
      <c r="EBK1634" s="1"/>
      <c r="EBL1634" s="1"/>
      <c r="EBM1634" s="1"/>
      <c r="EBN1634" s="1"/>
      <c r="EBO1634" s="1"/>
      <c r="EBP1634" s="1"/>
      <c r="EBQ1634" s="1"/>
      <c r="EBR1634" s="1"/>
      <c r="EBS1634" s="1"/>
      <c r="EBT1634" s="1"/>
      <c r="EBU1634" s="1"/>
      <c r="EBV1634" s="1"/>
      <c r="EBW1634" s="1"/>
      <c r="EBX1634" s="1"/>
      <c r="EBY1634" s="1"/>
      <c r="EBZ1634" s="1"/>
      <c r="ECA1634" s="1"/>
      <c r="ECB1634" s="1"/>
      <c r="ECC1634" s="1"/>
      <c r="ECD1634" s="1"/>
      <c r="ECE1634" s="1"/>
      <c r="ECF1634" s="1"/>
      <c r="ECG1634" s="1"/>
      <c r="ECH1634" s="1"/>
      <c r="ECI1634" s="1"/>
      <c r="ECJ1634" s="1"/>
      <c r="ECK1634" s="1"/>
      <c r="ECL1634" s="1"/>
      <c r="ECM1634" s="1"/>
      <c r="ECN1634" s="1"/>
      <c r="ECO1634" s="1"/>
      <c r="ECP1634" s="1"/>
      <c r="ECQ1634" s="1"/>
      <c r="ECR1634" s="1"/>
      <c r="ECS1634" s="1"/>
      <c r="ECT1634" s="1"/>
      <c r="ECU1634" s="1"/>
      <c r="ECV1634" s="1"/>
      <c r="ECW1634" s="1"/>
      <c r="ECX1634" s="1"/>
      <c r="ECY1634" s="1"/>
      <c r="ECZ1634" s="1"/>
      <c r="EDA1634" s="1"/>
      <c r="EDB1634" s="1"/>
      <c r="EDC1634" s="1"/>
      <c r="EDD1634" s="1"/>
      <c r="EDE1634" s="1"/>
      <c r="EDF1634" s="1"/>
      <c r="EDG1634" s="1"/>
      <c r="EDH1634" s="1"/>
      <c r="EDI1634" s="1"/>
      <c r="EDJ1634" s="1"/>
      <c r="EDK1634" s="1"/>
      <c r="EDL1634" s="1"/>
      <c r="EDM1634" s="1"/>
      <c r="EDN1634" s="1"/>
      <c r="EDO1634" s="1"/>
      <c r="EDP1634" s="1"/>
      <c r="EDQ1634" s="1"/>
      <c r="EDR1634" s="1"/>
      <c r="EDS1634" s="1"/>
      <c r="EDT1634" s="1"/>
      <c r="EDU1634" s="1"/>
      <c r="EDV1634" s="1"/>
      <c r="EDW1634" s="1"/>
      <c r="EDX1634" s="1"/>
      <c r="EDY1634" s="1"/>
      <c r="EDZ1634" s="1"/>
      <c r="EEA1634" s="1"/>
      <c r="EEB1634" s="1"/>
      <c r="EEC1634" s="1"/>
      <c r="EED1634" s="1"/>
      <c r="EEE1634" s="1"/>
      <c r="EEF1634" s="1"/>
      <c r="EEG1634" s="1"/>
      <c r="EEH1634" s="1"/>
      <c r="EEI1634" s="1"/>
      <c r="EEJ1634" s="1"/>
      <c r="EEK1634" s="1"/>
      <c r="EEL1634" s="1"/>
      <c r="EEM1634" s="1"/>
      <c r="EEN1634" s="1"/>
      <c r="EEO1634" s="1"/>
      <c r="EEP1634" s="1"/>
      <c r="EEQ1634" s="1"/>
      <c r="EER1634" s="1"/>
      <c r="EES1634" s="1"/>
      <c r="EET1634" s="1"/>
      <c r="EEU1634" s="1"/>
      <c r="EEV1634" s="1"/>
      <c r="EEW1634" s="1"/>
      <c r="EEX1634" s="1"/>
      <c r="EEY1634" s="1"/>
      <c r="EEZ1634" s="1"/>
      <c r="EFA1634" s="1"/>
      <c r="EFB1634" s="1"/>
      <c r="EFC1634" s="1"/>
      <c r="EFD1634" s="1"/>
      <c r="EFE1634" s="1"/>
      <c r="EFF1634" s="1"/>
      <c r="EFG1634" s="1"/>
      <c r="EFH1634" s="1"/>
      <c r="EFI1634" s="1"/>
      <c r="EFJ1634" s="1"/>
      <c r="EFK1634" s="1"/>
      <c r="EFL1634" s="1"/>
      <c r="EFM1634" s="1"/>
      <c r="EFN1634" s="1"/>
      <c r="EFO1634" s="1"/>
      <c r="EFP1634" s="1"/>
      <c r="EFQ1634" s="1"/>
      <c r="EFR1634" s="1"/>
      <c r="EFS1634" s="1"/>
      <c r="EFT1634" s="1"/>
      <c r="EFU1634" s="1"/>
      <c r="EFV1634" s="1"/>
      <c r="EFW1634" s="1"/>
      <c r="EFX1634" s="1"/>
      <c r="EFY1634" s="1"/>
      <c r="EFZ1634" s="1"/>
      <c r="EGA1634" s="1"/>
      <c r="EGB1634" s="1"/>
      <c r="EGC1634" s="1"/>
      <c r="EGD1634" s="1"/>
      <c r="EGE1634" s="1"/>
      <c r="EGF1634" s="1"/>
      <c r="EGG1634" s="1"/>
      <c r="EGH1634" s="1"/>
      <c r="EGI1634" s="1"/>
      <c r="EGJ1634" s="1"/>
      <c r="EGK1634" s="1"/>
      <c r="EGL1634" s="1"/>
      <c r="EGM1634" s="1"/>
      <c r="EGN1634" s="1"/>
      <c r="EGO1634" s="1"/>
      <c r="EGP1634" s="1"/>
      <c r="EGQ1634" s="1"/>
      <c r="EGR1634" s="1"/>
      <c r="EGS1634" s="1"/>
      <c r="EGT1634" s="1"/>
      <c r="EGU1634" s="1"/>
      <c r="EGV1634" s="1"/>
      <c r="EGW1634" s="1"/>
      <c r="EGX1634" s="1"/>
      <c r="EGY1634" s="1"/>
      <c r="EGZ1634" s="1"/>
      <c r="EHA1634" s="1"/>
      <c r="EHB1634" s="1"/>
      <c r="EHC1634" s="1"/>
      <c r="EHD1634" s="1"/>
      <c r="EHE1634" s="1"/>
      <c r="EHF1634" s="1"/>
      <c r="EHG1634" s="1"/>
      <c r="EHH1634" s="1"/>
      <c r="EHI1634" s="1"/>
      <c r="EHJ1634" s="1"/>
      <c r="EHK1634" s="1"/>
      <c r="EHL1634" s="1"/>
      <c r="EHM1634" s="1"/>
      <c r="EHN1634" s="1"/>
      <c r="EHO1634" s="1"/>
      <c r="EHP1634" s="1"/>
      <c r="EHQ1634" s="1"/>
      <c r="EHR1634" s="1"/>
      <c r="EHS1634" s="1"/>
      <c r="EHT1634" s="1"/>
      <c r="EHU1634" s="1"/>
      <c r="EHV1634" s="1"/>
      <c r="EHW1634" s="1"/>
      <c r="EHX1634" s="1"/>
      <c r="EHY1634" s="1"/>
      <c r="EHZ1634" s="1"/>
      <c r="EIA1634" s="1"/>
      <c r="EIB1634" s="1"/>
      <c r="EIC1634" s="1"/>
      <c r="EID1634" s="1"/>
      <c r="EIE1634" s="1"/>
      <c r="EIF1634" s="1"/>
      <c r="EIG1634" s="1"/>
      <c r="EIH1634" s="1"/>
      <c r="EII1634" s="1"/>
      <c r="EIJ1634" s="1"/>
      <c r="EIK1634" s="1"/>
      <c r="EIL1634" s="1"/>
      <c r="EIM1634" s="1"/>
      <c r="EIN1634" s="1"/>
      <c r="EIO1634" s="1"/>
      <c r="EIP1634" s="1"/>
      <c r="EIQ1634" s="1"/>
      <c r="EIR1634" s="1"/>
      <c r="EIS1634" s="1"/>
      <c r="EIT1634" s="1"/>
      <c r="EIU1634" s="1"/>
      <c r="EIV1634" s="1"/>
      <c r="EIW1634" s="1"/>
      <c r="EIX1634" s="1"/>
      <c r="EIY1634" s="1"/>
      <c r="EIZ1634" s="1"/>
      <c r="EJA1634" s="1"/>
      <c r="EJB1634" s="1"/>
      <c r="EJC1634" s="1"/>
      <c r="EJD1634" s="1"/>
      <c r="EJE1634" s="1"/>
      <c r="EJF1634" s="1"/>
      <c r="EJG1634" s="1"/>
      <c r="EJH1634" s="1"/>
      <c r="EJI1634" s="1"/>
      <c r="EJJ1634" s="1"/>
      <c r="EJK1634" s="1"/>
      <c r="EJL1634" s="1"/>
      <c r="EJM1634" s="1"/>
      <c r="EJN1634" s="1"/>
      <c r="EJO1634" s="1"/>
      <c r="EJP1634" s="1"/>
      <c r="EJQ1634" s="1"/>
      <c r="EJR1634" s="1"/>
      <c r="EJS1634" s="1"/>
      <c r="EJT1634" s="1"/>
      <c r="EJU1634" s="1"/>
      <c r="EJV1634" s="1"/>
      <c r="EJW1634" s="1"/>
      <c r="EJX1634" s="1"/>
      <c r="EJY1634" s="1"/>
      <c r="EJZ1634" s="1"/>
      <c r="EKA1634" s="1"/>
      <c r="EKB1634" s="1"/>
      <c r="EKC1634" s="1"/>
      <c r="EKD1634" s="1"/>
      <c r="EKE1634" s="1"/>
      <c r="EKF1634" s="1"/>
      <c r="EKG1634" s="1"/>
      <c r="EKH1634" s="1"/>
      <c r="EKI1634" s="1"/>
      <c r="EKJ1634" s="1"/>
      <c r="EKK1634" s="1"/>
      <c r="EKL1634" s="1"/>
      <c r="EKM1634" s="1"/>
      <c r="EKN1634" s="1"/>
      <c r="EKO1634" s="1"/>
      <c r="EKP1634" s="1"/>
      <c r="EKQ1634" s="1"/>
      <c r="EKR1634" s="1"/>
      <c r="EKS1634" s="1"/>
      <c r="EKT1634" s="1"/>
      <c r="EKU1634" s="1"/>
      <c r="EKV1634" s="1"/>
      <c r="EKW1634" s="1"/>
      <c r="EKX1634" s="1"/>
      <c r="EKY1634" s="1"/>
      <c r="EKZ1634" s="1"/>
      <c r="ELA1634" s="1"/>
      <c r="ELB1634" s="1"/>
      <c r="ELC1634" s="1"/>
      <c r="ELD1634" s="1"/>
      <c r="ELE1634" s="1"/>
      <c r="ELF1634" s="1"/>
      <c r="ELG1634" s="1"/>
      <c r="ELH1634" s="1"/>
      <c r="ELI1634" s="1"/>
      <c r="ELJ1634" s="1"/>
      <c r="ELK1634" s="1"/>
      <c r="ELL1634" s="1"/>
      <c r="ELM1634" s="1"/>
      <c r="ELN1634" s="1"/>
      <c r="ELO1634" s="1"/>
      <c r="ELP1634" s="1"/>
      <c r="ELQ1634" s="1"/>
      <c r="ELR1634" s="1"/>
      <c r="ELS1634" s="1"/>
      <c r="ELT1634" s="1"/>
      <c r="ELU1634" s="1"/>
      <c r="ELV1634" s="1"/>
      <c r="ELW1634" s="1"/>
      <c r="ELX1634" s="1"/>
      <c r="ELY1634" s="1"/>
      <c r="ELZ1634" s="1"/>
      <c r="EMA1634" s="1"/>
      <c r="EMB1634" s="1"/>
      <c r="EMC1634" s="1"/>
      <c r="EMD1634" s="1"/>
      <c r="EME1634" s="1"/>
      <c r="EMF1634" s="1"/>
      <c r="EMG1634" s="1"/>
      <c r="EMH1634" s="1"/>
      <c r="EMI1634" s="1"/>
      <c r="EMJ1634" s="1"/>
      <c r="EMK1634" s="1"/>
      <c r="EML1634" s="1"/>
      <c r="EMM1634" s="1"/>
      <c r="EMN1634" s="1"/>
      <c r="EMO1634" s="1"/>
      <c r="EMP1634" s="1"/>
      <c r="EMQ1634" s="1"/>
      <c r="EMR1634" s="1"/>
      <c r="EMS1634" s="1"/>
      <c r="EMT1634" s="1"/>
      <c r="EMU1634" s="1"/>
      <c r="EMV1634" s="1"/>
      <c r="EMW1634" s="1"/>
      <c r="EMX1634" s="1"/>
      <c r="EMY1634" s="1"/>
      <c r="EMZ1634" s="1"/>
      <c r="ENA1634" s="1"/>
      <c r="ENB1634" s="1"/>
      <c r="ENC1634" s="1"/>
      <c r="END1634" s="1"/>
      <c r="ENE1634" s="1"/>
      <c r="ENF1634" s="1"/>
      <c r="ENG1634" s="1"/>
      <c r="ENH1634" s="1"/>
      <c r="ENI1634" s="1"/>
      <c r="ENJ1634" s="1"/>
      <c r="ENK1634" s="1"/>
      <c r="ENL1634" s="1"/>
      <c r="ENM1634" s="1"/>
      <c r="ENN1634" s="1"/>
      <c r="ENO1634" s="1"/>
      <c r="ENP1634" s="1"/>
      <c r="ENQ1634" s="1"/>
      <c r="ENR1634" s="1"/>
      <c r="ENS1634" s="1"/>
      <c r="ENT1634" s="1"/>
      <c r="ENU1634" s="1"/>
      <c r="ENV1634" s="1"/>
      <c r="ENW1634" s="1"/>
      <c r="ENX1634" s="1"/>
      <c r="ENY1634" s="1"/>
      <c r="ENZ1634" s="1"/>
      <c r="EOA1634" s="1"/>
      <c r="EOB1634" s="1"/>
      <c r="EOC1634" s="1"/>
      <c r="EOD1634" s="1"/>
      <c r="EOE1634" s="1"/>
      <c r="EOF1634" s="1"/>
      <c r="EOG1634" s="1"/>
      <c r="EOH1634" s="1"/>
      <c r="EOI1634" s="1"/>
      <c r="EOJ1634" s="1"/>
      <c r="EOK1634" s="1"/>
      <c r="EOL1634" s="1"/>
      <c r="EOM1634" s="1"/>
      <c r="EON1634" s="1"/>
      <c r="EOO1634" s="1"/>
      <c r="EOP1634" s="1"/>
      <c r="EOQ1634" s="1"/>
      <c r="EOR1634" s="1"/>
      <c r="EOS1634" s="1"/>
      <c r="EOT1634" s="1"/>
      <c r="EOU1634" s="1"/>
      <c r="EOV1634" s="1"/>
      <c r="EOW1634" s="1"/>
      <c r="EOX1634" s="1"/>
      <c r="EOY1634" s="1"/>
      <c r="EOZ1634" s="1"/>
      <c r="EPA1634" s="1"/>
      <c r="EPB1634" s="1"/>
      <c r="EPC1634" s="1"/>
      <c r="EPD1634" s="1"/>
      <c r="EPE1634" s="1"/>
      <c r="EPF1634" s="1"/>
      <c r="EPG1634" s="1"/>
      <c r="EPH1634" s="1"/>
      <c r="EPI1634" s="1"/>
      <c r="EPJ1634" s="1"/>
      <c r="EPK1634" s="1"/>
      <c r="EPL1634" s="1"/>
      <c r="EPM1634" s="1"/>
      <c r="EPN1634" s="1"/>
      <c r="EPO1634" s="1"/>
      <c r="EPP1634" s="1"/>
      <c r="EPQ1634" s="1"/>
      <c r="EPR1634" s="1"/>
      <c r="EPS1634" s="1"/>
      <c r="EPT1634" s="1"/>
      <c r="EPU1634" s="1"/>
      <c r="EPV1634" s="1"/>
      <c r="EPW1634" s="1"/>
      <c r="EPX1634" s="1"/>
      <c r="EPY1634" s="1"/>
      <c r="EPZ1634" s="1"/>
      <c r="EQA1634" s="1"/>
      <c r="EQB1634" s="1"/>
      <c r="EQC1634" s="1"/>
      <c r="EQD1634" s="1"/>
      <c r="EQE1634" s="1"/>
      <c r="EQF1634" s="1"/>
      <c r="EQG1634" s="1"/>
      <c r="EQH1634" s="1"/>
      <c r="EQI1634" s="1"/>
      <c r="EQJ1634" s="1"/>
      <c r="EQK1634" s="1"/>
      <c r="EQL1634" s="1"/>
      <c r="EQM1634" s="1"/>
      <c r="EQN1634" s="1"/>
      <c r="EQO1634" s="1"/>
      <c r="EQP1634" s="1"/>
      <c r="EQQ1634" s="1"/>
      <c r="EQR1634" s="1"/>
      <c r="EQS1634" s="1"/>
      <c r="EQT1634" s="1"/>
      <c r="EQU1634" s="1"/>
      <c r="EQV1634" s="1"/>
      <c r="EQW1634" s="1"/>
      <c r="EQX1634" s="1"/>
      <c r="EQY1634" s="1"/>
      <c r="EQZ1634" s="1"/>
      <c r="ERA1634" s="1"/>
      <c r="ERB1634" s="1"/>
      <c r="ERC1634" s="1"/>
      <c r="ERD1634" s="1"/>
      <c r="ERE1634" s="1"/>
      <c r="ERF1634" s="1"/>
      <c r="ERG1634" s="1"/>
      <c r="ERH1634" s="1"/>
      <c r="ERI1634" s="1"/>
      <c r="ERJ1634" s="1"/>
      <c r="ERK1634" s="1"/>
      <c r="ERL1634" s="1"/>
      <c r="ERM1634" s="1"/>
      <c r="ERN1634" s="1"/>
      <c r="ERO1634" s="1"/>
      <c r="ERP1634" s="1"/>
      <c r="ERQ1634" s="1"/>
      <c r="ERR1634" s="1"/>
      <c r="ERS1634" s="1"/>
      <c r="ERT1634" s="1"/>
      <c r="ERU1634" s="1"/>
      <c r="ERV1634" s="1"/>
      <c r="ERW1634" s="1"/>
      <c r="ERX1634" s="1"/>
      <c r="ERY1634" s="1"/>
      <c r="ERZ1634" s="1"/>
      <c r="ESA1634" s="1"/>
      <c r="ESB1634" s="1"/>
      <c r="ESC1634" s="1"/>
      <c r="ESD1634" s="1"/>
      <c r="ESE1634" s="1"/>
      <c r="ESF1634" s="1"/>
      <c r="ESG1634" s="1"/>
      <c r="ESH1634" s="1"/>
      <c r="ESI1634" s="1"/>
      <c r="ESJ1634" s="1"/>
      <c r="ESK1634" s="1"/>
      <c r="ESL1634" s="1"/>
      <c r="ESM1634" s="1"/>
      <c r="ESN1634" s="1"/>
      <c r="ESO1634" s="1"/>
      <c r="ESP1634" s="1"/>
      <c r="ESQ1634" s="1"/>
      <c r="ESR1634" s="1"/>
      <c r="ESS1634" s="1"/>
      <c r="EST1634" s="1"/>
      <c r="ESU1634" s="1"/>
      <c r="ESV1634" s="1"/>
      <c r="ESW1634" s="1"/>
      <c r="ESX1634" s="1"/>
      <c r="ESY1634" s="1"/>
      <c r="ESZ1634" s="1"/>
      <c r="ETA1634" s="1"/>
      <c r="ETB1634" s="1"/>
      <c r="ETC1634" s="1"/>
      <c r="ETD1634" s="1"/>
      <c r="ETE1634" s="1"/>
      <c r="ETF1634" s="1"/>
      <c r="ETG1634" s="1"/>
      <c r="ETH1634" s="1"/>
      <c r="ETI1634" s="1"/>
      <c r="ETJ1634" s="1"/>
      <c r="ETK1634" s="1"/>
      <c r="ETL1634" s="1"/>
      <c r="ETM1634" s="1"/>
      <c r="ETN1634" s="1"/>
      <c r="ETO1634" s="1"/>
      <c r="ETP1634" s="1"/>
      <c r="ETQ1634" s="1"/>
      <c r="ETR1634" s="1"/>
      <c r="ETS1634" s="1"/>
      <c r="ETT1634" s="1"/>
      <c r="ETU1634" s="1"/>
      <c r="ETV1634" s="1"/>
      <c r="ETW1634" s="1"/>
      <c r="ETX1634" s="1"/>
      <c r="ETY1634" s="1"/>
      <c r="ETZ1634" s="1"/>
      <c r="EUA1634" s="1"/>
      <c r="EUB1634" s="1"/>
      <c r="EUC1634" s="1"/>
      <c r="EUD1634" s="1"/>
      <c r="EUE1634" s="1"/>
      <c r="EUF1634" s="1"/>
      <c r="EUG1634" s="1"/>
      <c r="EUH1634" s="1"/>
      <c r="EUI1634" s="1"/>
      <c r="EUJ1634" s="1"/>
      <c r="EUK1634" s="1"/>
      <c r="EUL1634" s="1"/>
      <c r="EUM1634" s="1"/>
      <c r="EUN1634" s="1"/>
      <c r="EUO1634" s="1"/>
      <c r="EUP1634" s="1"/>
      <c r="EUQ1634" s="1"/>
      <c r="EUR1634" s="1"/>
      <c r="EUS1634" s="1"/>
      <c r="EUT1634" s="1"/>
      <c r="EUU1634" s="1"/>
      <c r="EUV1634" s="1"/>
      <c r="EUW1634" s="1"/>
      <c r="EUX1634" s="1"/>
      <c r="EUY1634" s="1"/>
      <c r="EUZ1634" s="1"/>
      <c r="EVA1634" s="1"/>
      <c r="EVB1634" s="1"/>
      <c r="EVC1634" s="1"/>
      <c r="EVD1634" s="1"/>
      <c r="EVE1634" s="1"/>
      <c r="EVF1634" s="1"/>
      <c r="EVG1634" s="1"/>
      <c r="EVH1634" s="1"/>
      <c r="EVI1634" s="1"/>
      <c r="EVJ1634" s="1"/>
      <c r="EVK1634" s="1"/>
      <c r="EVL1634" s="1"/>
      <c r="EVM1634" s="1"/>
      <c r="EVN1634" s="1"/>
      <c r="EVO1634" s="1"/>
      <c r="EVP1634" s="1"/>
      <c r="EVQ1634" s="1"/>
      <c r="EVR1634" s="1"/>
      <c r="EVS1634" s="1"/>
      <c r="EVT1634" s="1"/>
      <c r="EVU1634" s="1"/>
      <c r="EVV1634" s="1"/>
      <c r="EVW1634" s="1"/>
      <c r="EVX1634" s="1"/>
      <c r="EVY1634" s="1"/>
      <c r="EVZ1634" s="1"/>
      <c r="EWA1634" s="1"/>
      <c r="EWB1634" s="1"/>
      <c r="EWC1634" s="1"/>
      <c r="EWD1634" s="1"/>
      <c r="EWE1634" s="1"/>
      <c r="EWF1634" s="1"/>
      <c r="EWG1634" s="1"/>
      <c r="EWH1634" s="1"/>
      <c r="EWI1634" s="1"/>
      <c r="EWJ1634" s="1"/>
      <c r="EWK1634" s="1"/>
      <c r="EWL1634" s="1"/>
      <c r="EWM1634" s="1"/>
      <c r="EWN1634" s="1"/>
      <c r="EWO1634" s="1"/>
      <c r="EWP1634" s="1"/>
      <c r="EWQ1634" s="1"/>
      <c r="EWR1634" s="1"/>
      <c r="EWS1634" s="1"/>
      <c r="EWT1634" s="1"/>
      <c r="EWU1634" s="1"/>
      <c r="EWV1634" s="1"/>
      <c r="EWW1634" s="1"/>
      <c r="EWX1634" s="1"/>
      <c r="EWY1634" s="1"/>
      <c r="EWZ1634" s="1"/>
      <c r="EXA1634" s="1"/>
      <c r="EXB1634" s="1"/>
      <c r="EXC1634" s="1"/>
      <c r="EXD1634" s="1"/>
      <c r="EXE1634" s="1"/>
      <c r="EXF1634" s="1"/>
      <c r="EXG1634" s="1"/>
      <c r="EXH1634" s="1"/>
      <c r="EXI1634" s="1"/>
      <c r="EXJ1634" s="1"/>
      <c r="EXK1634" s="1"/>
      <c r="EXL1634" s="1"/>
      <c r="EXM1634" s="1"/>
      <c r="EXN1634" s="1"/>
      <c r="EXO1634" s="1"/>
      <c r="EXP1634" s="1"/>
      <c r="EXQ1634" s="1"/>
      <c r="EXR1634" s="1"/>
      <c r="EXS1634" s="1"/>
      <c r="EXT1634" s="1"/>
      <c r="EXU1634" s="1"/>
      <c r="EXV1634" s="1"/>
      <c r="EXW1634" s="1"/>
      <c r="EXX1634" s="1"/>
      <c r="EXY1634" s="1"/>
      <c r="EXZ1634" s="1"/>
      <c r="EYA1634" s="1"/>
      <c r="EYB1634" s="1"/>
      <c r="EYC1634" s="1"/>
      <c r="EYD1634" s="1"/>
      <c r="EYE1634" s="1"/>
      <c r="EYF1634" s="1"/>
      <c r="EYG1634" s="1"/>
      <c r="EYH1634" s="1"/>
      <c r="EYI1634" s="1"/>
      <c r="EYJ1634" s="1"/>
      <c r="EYK1634" s="1"/>
      <c r="EYL1634" s="1"/>
      <c r="EYM1634" s="1"/>
      <c r="EYN1634" s="1"/>
      <c r="EYO1634" s="1"/>
      <c r="EYP1634" s="1"/>
      <c r="EYQ1634" s="1"/>
      <c r="EYR1634" s="1"/>
      <c r="EYS1634" s="1"/>
      <c r="EYT1634" s="1"/>
      <c r="EYU1634" s="1"/>
      <c r="EYV1634" s="1"/>
      <c r="EYW1634" s="1"/>
      <c r="EYX1634" s="1"/>
      <c r="EYY1634" s="1"/>
      <c r="EYZ1634" s="1"/>
      <c r="EZA1634" s="1"/>
      <c r="EZB1634" s="1"/>
      <c r="EZC1634" s="1"/>
      <c r="EZD1634" s="1"/>
      <c r="EZE1634" s="1"/>
      <c r="EZF1634" s="1"/>
      <c r="EZG1634" s="1"/>
      <c r="EZH1634" s="1"/>
      <c r="EZI1634" s="1"/>
      <c r="EZJ1634" s="1"/>
      <c r="EZK1634" s="1"/>
      <c r="EZL1634" s="1"/>
      <c r="EZM1634" s="1"/>
      <c r="EZN1634" s="1"/>
      <c r="EZO1634" s="1"/>
      <c r="EZP1634" s="1"/>
      <c r="EZQ1634" s="1"/>
      <c r="EZR1634" s="1"/>
      <c r="EZS1634" s="1"/>
      <c r="EZT1634" s="1"/>
      <c r="EZU1634" s="1"/>
      <c r="EZV1634" s="1"/>
      <c r="EZW1634" s="1"/>
      <c r="EZX1634" s="1"/>
      <c r="EZY1634" s="1"/>
      <c r="EZZ1634" s="1"/>
      <c r="FAA1634" s="1"/>
      <c r="FAB1634" s="1"/>
      <c r="FAC1634" s="1"/>
      <c r="FAD1634" s="1"/>
      <c r="FAE1634" s="1"/>
      <c r="FAF1634" s="1"/>
      <c r="FAG1634" s="1"/>
      <c r="FAH1634" s="1"/>
      <c r="FAI1634" s="1"/>
      <c r="FAJ1634" s="1"/>
      <c r="FAK1634" s="1"/>
      <c r="FAL1634" s="1"/>
      <c r="FAM1634" s="1"/>
      <c r="FAN1634" s="1"/>
      <c r="FAO1634" s="1"/>
      <c r="FAP1634" s="1"/>
      <c r="FAQ1634" s="1"/>
      <c r="FAR1634" s="1"/>
      <c r="FAS1634" s="1"/>
      <c r="FAT1634" s="1"/>
      <c r="FAU1634" s="1"/>
      <c r="FAV1634" s="1"/>
      <c r="FAW1634" s="1"/>
      <c r="FAX1634" s="1"/>
      <c r="FAY1634" s="1"/>
      <c r="FAZ1634" s="1"/>
      <c r="FBA1634" s="1"/>
      <c r="FBB1634" s="1"/>
      <c r="FBC1634" s="1"/>
      <c r="FBD1634" s="1"/>
      <c r="FBE1634" s="1"/>
      <c r="FBF1634" s="1"/>
      <c r="FBG1634" s="1"/>
      <c r="FBH1634" s="1"/>
      <c r="FBI1634" s="1"/>
      <c r="FBJ1634" s="1"/>
      <c r="FBK1634" s="1"/>
      <c r="FBL1634" s="1"/>
      <c r="FBM1634" s="1"/>
      <c r="FBN1634" s="1"/>
      <c r="FBO1634" s="1"/>
      <c r="FBP1634" s="1"/>
      <c r="FBQ1634" s="1"/>
      <c r="FBR1634" s="1"/>
      <c r="FBS1634" s="1"/>
      <c r="FBT1634" s="1"/>
      <c r="FBU1634" s="1"/>
      <c r="FBV1634" s="1"/>
      <c r="FBW1634" s="1"/>
      <c r="FBX1634" s="1"/>
      <c r="FBY1634" s="1"/>
      <c r="FBZ1634" s="1"/>
      <c r="FCA1634" s="1"/>
      <c r="FCB1634" s="1"/>
      <c r="FCC1634" s="1"/>
      <c r="FCD1634" s="1"/>
      <c r="FCE1634" s="1"/>
      <c r="FCF1634" s="1"/>
      <c r="FCG1634" s="1"/>
      <c r="FCH1634" s="1"/>
      <c r="FCI1634" s="1"/>
      <c r="FCJ1634" s="1"/>
      <c r="FCK1634" s="1"/>
      <c r="FCL1634" s="1"/>
      <c r="FCM1634" s="1"/>
      <c r="FCN1634" s="1"/>
      <c r="FCO1634" s="1"/>
      <c r="FCP1634" s="1"/>
      <c r="FCQ1634" s="1"/>
      <c r="FCR1634" s="1"/>
      <c r="FCS1634" s="1"/>
      <c r="FCT1634" s="1"/>
      <c r="FCU1634" s="1"/>
      <c r="FCV1634" s="1"/>
      <c r="FCW1634" s="1"/>
      <c r="FCX1634" s="1"/>
      <c r="FCY1634" s="1"/>
      <c r="FCZ1634" s="1"/>
      <c r="FDA1634" s="1"/>
      <c r="FDB1634" s="1"/>
      <c r="FDC1634" s="1"/>
      <c r="FDD1634" s="1"/>
      <c r="FDE1634" s="1"/>
      <c r="FDF1634" s="1"/>
      <c r="FDG1634" s="1"/>
      <c r="FDH1634" s="1"/>
      <c r="FDI1634" s="1"/>
      <c r="FDJ1634" s="1"/>
      <c r="FDK1634" s="1"/>
      <c r="FDL1634" s="1"/>
      <c r="FDM1634" s="1"/>
      <c r="FDN1634" s="1"/>
      <c r="FDO1634" s="1"/>
      <c r="FDP1634" s="1"/>
      <c r="FDQ1634" s="1"/>
      <c r="FDR1634" s="1"/>
      <c r="FDS1634" s="1"/>
      <c r="FDT1634" s="1"/>
      <c r="FDU1634" s="1"/>
      <c r="FDV1634" s="1"/>
      <c r="FDW1634" s="1"/>
      <c r="FDX1634" s="1"/>
      <c r="FDY1634" s="1"/>
      <c r="FDZ1634" s="1"/>
      <c r="FEA1634" s="1"/>
      <c r="FEB1634" s="1"/>
      <c r="FEC1634" s="1"/>
      <c r="FED1634" s="1"/>
      <c r="FEE1634" s="1"/>
      <c r="FEF1634" s="1"/>
      <c r="FEG1634" s="1"/>
      <c r="FEH1634" s="1"/>
      <c r="FEI1634" s="1"/>
      <c r="FEJ1634" s="1"/>
      <c r="FEK1634" s="1"/>
      <c r="FEL1634" s="1"/>
      <c r="FEM1634" s="1"/>
      <c r="FEN1634" s="1"/>
      <c r="FEO1634" s="1"/>
      <c r="FEP1634" s="1"/>
      <c r="FEQ1634" s="1"/>
      <c r="FER1634" s="1"/>
      <c r="FES1634" s="1"/>
      <c r="FET1634" s="1"/>
      <c r="FEU1634" s="1"/>
      <c r="FEV1634" s="1"/>
      <c r="FEW1634" s="1"/>
      <c r="FEX1634" s="1"/>
      <c r="FEY1634" s="1"/>
      <c r="FEZ1634" s="1"/>
      <c r="FFA1634" s="1"/>
      <c r="FFB1634" s="1"/>
      <c r="FFC1634" s="1"/>
      <c r="FFD1634" s="1"/>
      <c r="FFE1634" s="1"/>
      <c r="FFF1634" s="1"/>
      <c r="FFG1634" s="1"/>
      <c r="FFH1634" s="1"/>
      <c r="FFI1634" s="1"/>
      <c r="FFJ1634" s="1"/>
      <c r="FFK1634" s="1"/>
      <c r="FFL1634" s="1"/>
      <c r="FFM1634" s="1"/>
      <c r="FFN1634" s="1"/>
      <c r="FFO1634" s="1"/>
      <c r="FFP1634" s="1"/>
      <c r="FFQ1634" s="1"/>
      <c r="FFR1634" s="1"/>
      <c r="FFS1634" s="1"/>
      <c r="FFT1634" s="1"/>
      <c r="FFU1634" s="1"/>
      <c r="FFV1634" s="1"/>
      <c r="FFW1634" s="1"/>
      <c r="FFX1634" s="1"/>
      <c r="FFY1634" s="1"/>
      <c r="FFZ1634" s="1"/>
      <c r="FGA1634" s="1"/>
      <c r="FGB1634" s="1"/>
      <c r="FGC1634" s="1"/>
      <c r="FGD1634" s="1"/>
      <c r="FGE1634" s="1"/>
      <c r="FGF1634" s="1"/>
      <c r="FGG1634" s="1"/>
      <c r="FGH1634" s="1"/>
      <c r="FGI1634" s="1"/>
      <c r="FGJ1634" s="1"/>
      <c r="FGK1634" s="1"/>
      <c r="FGL1634" s="1"/>
      <c r="FGM1634" s="1"/>
      <c r="FGN1634" s="1"/>
      <c r="FGO1634" s="1"/>
      <c r="FGP1634" s="1"/>
      <c r="FGQ1634" s="1"/>
      <c r="FGR1634" s="1"/>
      <c r="FGS1634" s="1"/>
      <c r="FGT1634" s="1"/>
      <c r="FGU1634" s="1"/>
      <c r="FGV1634" s="1"/>
      <c r="FGW1634" s="1"/>
      <c r="FGX1634" s="1"/>
      <c r="FGY1634" s="1"/>
      <c r="FGZ1634" s="1"/>
      <c r="FHA1634" s="1"/>
      <c r="FHB1634" s="1"/>
      <c r="FHC1634" s="1"/>
      <c r="FHD1634" s="1"/>
      <c r="FHE1634" s="1"/>
      <c r="FHF1634" s="1"/>
      <c r="FHG1634" s="1"/>
      <c r="FHH1634" s="1"/>
      <c r="FHI1634" s="1"/>
      <c r="FHJ1634" s="1"/>
      <c r="FHK1634" s="1"/>
      <c r="FHL1634" s="1"/>
      <c r="FHM1634" s="1"/>
      <c r="FHN1634" s="1"/>
      <c r="FHO1634" s="1"/>
      <c r="FHP1634" s="1"/>
      <c r="FHQ1634" s="1"/>
      <c r="FHR1634" s="1"/>
      <c r="FHS1634" s="1"/>
      <c r="FHT1634" s="1"/>
      <c r="FHU1634" s="1"/>
      <c r="FHV1634" s="1"/>
      <c r="FHW1634" s="1"/>
      <c r="FHX1634" s="1"/>
      <c r="FHY1634" s="1"/>
      <c r="FHZ1634" s="1"/>
      <c r="FIA1634" s="1"/>
      <c r="FIB1634" s="1"/>
      <c r="FIC1634" s="1"/>
      <c r="FID1634" s="1"/>
      <c r="FIE1634" s="1"/>
      <c r="FIF1634" s="1"/>
      <c r="FIG1634" s="1"/>
      <c r="FIH1634" s="1"/>
      <c r="FII1634" s="1"/>
      <c r="FIJ1634" s="1"/>
      <c r="FIK1634" s="1"/>
      <c r="FIL1634" s="1"/>
      <c r="FIM1634" s="1"/>
      <c r="FIN1634" s="1"/>
      <c r="FIO1634" s="1"/>
      <c r="FIP1634" s="1"/>
      <c r="FIQ1634" s="1"/>
      <c r="FIR1634" s="1"/>
      <c r="FIS1634" s="1"/>
      <c r="FIT1634" s="1"/>
      <c r="FIU1634" s="1"/>
      <c r="FIV1634" s="1"/>
      <c r="FIW1634" s="1"/>
      <c r="FIX1634" s="1"/>
      <c r="FIY1634" s="1"/>
      <c r="FIZ1634" s="1"/>
      <c r="FJA1634" s="1"/>
      <c r="FJB1634" s="1"/>
      <c r="FJC1634" s="1"/>
      <c r="FJD1634" s="1"/>
      <c r="FJE1634" s="1"/>
      <c r="FJF1634" s="1"/>
      <c r="FJG1634" s="1"/>
      <c r="FJH1634" s="1"/>
      <c r="FJI1634" s="1"/>
      <c r="FJJ1634" s="1"/>
      <c r="FJK1634" s="1"/>
      <c r="FJL1634" s="1"/>
      <c r="FJM1634" s="1"/>
      <c r="FJN1634" s="1"/>
      <c r="FJO1634" s="1"/>
      <c r="FJP1634" s="1"/>
      <c r="FJQ1634" s="1"/>
      <c r="FJR1634" s="1"/>
      <c r="FJS1634" s="1"/>
      <c r="FJT1634" s="1"/>
      <c r="FJU1634" s="1"/>
      <c r="FJV1634" s="1"/>
      <c r="FJW1634" s="1"/>
      <c r="FJX1634" s="1"/>
      <c r="FJY1634" s="1"/>
      <c r="FJZ1634" s="1"/>
      <c r="FKA1634" s="1"/>
      <c r="FKB1634" s="1"/>
      <c r="FKC1634" s="1"/>
      <c r="FKD1634" s="1"/>
      <c r="FKE1634" s="1"/>
      <c r="FKF1634" s="1"/>
      <c r="FKG1634" s="1"/>
      <c r="FKH1634" s="1"/>
      <c r="FKI1634" s="1"/>
      <c r="FKJ1634" s="1"/>
      <c r="FKK1634" s="1"/>
      <c r="FKL1634" s="1"/>
      <c r="FKM1634" s="1"/>
      <c r="FKN1634" s="1"/>
      <c r="FKO1634" s="1"/>
      <c r="FKP1634" s="1"/>
      <c r="FKQ1634" s="1"/>
      <c r="FKR1634" s="1"/>
      <c r="FKS1634" s="1"/>
      <c r="FKT1634" s="1"/>
      <c r="FKU1634" s="1"/>
      <c r="FKV1634" s="1"/>
      <c r="FKW1634" s="1"/>
      <c r="FKX1634" s="1"/>
      <c r="FKY1634" s="1"/>
      <c r="FKZ1634" s="1"/>
      <c r="FLA1634" s="1"/>
      <c r="FLB1634" s="1"/>
      <c r="FLC1634" s="1"/>
      <c r="FLD1634" s="1"/>
      <c r="FLE1634" s="1"/>
      <c r="FLF1634" s="1"/>
      <c r="FLG1634" s="1"/>
      <c r="FLH1634" s="1"/>
      <c r="FLI1634" s="1"/>
      <c r="FLJ1634" s="1"/>
      <c r="FLK1634" s="1"/>
      <c r="FLL1634" s="1"/>
      <c r="FLM1634" s="1"/>
      <c r="FLN1634" s="1"/>
      <c r="FLO1634" s="1"/>
      <c r="FLP1634" s="1"/>
      <c r="FLQ1634" s="1"/>
      <c r="FLR1634" s="1"/>
      <c r="FLS1634" s="1"/>
      <c r="FLT1634" s="1"/>
      <c r="FLU1634" s="1"/>
      <c r="FLV1634" s="1"/>
      <c r="FLW1634" s="1"/>
      <c r="FLX1634" s="1"/>
      <c r="FLY1634" s="1"/>
      <c r="FLZ1634" s="1"/>
      <c r="FMA1634" s="1"/>
      <c r="FMB1634" s="1"/>
      <c r="FMC1634" s="1"/>
      <c r="FMD1634" s="1"/>
      <c r="FME1634" s="1"/>
      <c r="FMF1634" s="1"/>
      <c r="FMG1634" s="1"/>
      <c r="FMH1634" s="1"/>
      <c r="FMI1634" s="1"/>
      <c r="FMJ1634" s="1"/>
      <c r="FMK1634" s="1"/>
      <c r="FML1634" s="1"/>
      <c r="FMM1634" s="1"/>
      <c r="FMN1634" s="1"/>
      <c r="FMO1634" s="1"/>
      <c r="FMP1634" s="1"/>
      <c r="FMQ1634" s="1"/>
      <c r="FMR1634" s="1"/>
      <c r="FMS1634" s="1"/>
      <c r="FMT1634" s="1"/>
      <c r="FMU1634" s="1"/>
      <c r="FMV1634" s="1"/>
      <c r="FMW1634" s="1"/>
      <c r="FMX1634" s="1"/>
      <c r="FMY1634" s="1"/>
      <c r="FMZ1634" s="1"/>
      <c r="FNA1634" s="1"/>
      <c r="FNB1634" s="1"/>
      <c r="FNC1634" s="1"/>
      <c r="FND1634" s="1"/>
      <c r="FNE1634" s="1"/>
      <c r="FNF1634" s="1"/>
      <c r="FNG1634" s="1"/>
      <c r="FNH1634" s="1"/>
      <c r="FNI1634" s="1"/>
      <c r="FNJ1634" s="1"/>
      <c r="FNK1634" s="1"/>
      <c r="FNL1634" s="1"/>
      <c r="FNM1634" s="1"/>
      <c r="FNN1634" s="1"/>
      <c r="FNO1634" s="1"/>
      <c r="FNP1634" s="1"/>
      <c r="FNQ1634" s="1"/>
      <c r="FNR1634" s="1"/>
      <c r="FNS1634" s="1"/>
      <c r="FNT1634" s="1"/>
      <c r="FNU1634" s="1"/>
      <c r="FNV1634" s="1"/>
      <c r="FNW1634" s="1"/>
      <c r="FNX1634" s="1"/>
      <c r="FNY1634" s="1"/>
      <c r="FNZ1634" s="1"/>
      <c r="FOA1634" s="1"/>
      <c r="FOB1634" s="1"/>
      <c r="FOC1634" s="1"/>
      <c r="FOD1634" s="1"/>
      <c r="FOE1634" s="1"/>
      <c r="FOF1634" s="1"/>
      <c r="FOG1634" s="1"/>
      <c r="FOH1634" s="1"/>
      <c r="FOI1634" s="1"/>
      <c r="FOJ1634" s="1"/>
      <c r="FOK1634" s="1"/>
      <c r="FOL1634" s="1"/>
      <c r="FOM1634" s="1"/>
      <c r="FON1634" s="1"/>
      <c r="FOO1634" s="1"/>
      <c r="FOP1634" s="1"/>
      <c r="FOQ1634" s="1"/>
      <c r="FOR1634" s="1"/>
      <c r="FOS1634" s="1"/>
      <c r="FOT1634" s="1"/>
      <c r="FOU1634" s="1"/>
      <c r="FOV1634" s="1"/>
      <c r="FOW1634" s="1"/>
      <c r="FOX1634" s="1"/>
      <c r="FOY1634" s="1"/>
      <c r="FOZ1634" s="1"/>
      <c r="FPA1634" s="1"/>
      <c r="FPB1634" s="1"/>
      <c r="FPC1634" s="1"/>
      <c r="FPD1634" s="1"/>
      <c r="FPE1634" s="1"/>
      <c r="FPF1634" s="1"/>
      <c r="FPG1634" s="1"/>
      <c r="FPH1634" s="1"/>
      <c r="FPI1634" s="1"/>
      <c r="FPJ1634" s="1"/>
      <c r="FPK1634" s="1"/>
      <c r="FPL1634" s="1"/>
      <c r="FPM1634" s="1"/>
      <c r="FPN1634" s="1"/>
      <c r="FPO1634" s="1"/>
      <c r="FPP1634" s="1"/>
      <c r="FPQ1634" s="1"/>
      <c r="FPR1634" s="1"/>
      <c r="FPS1634" s="1"/>
      <c r="FPT1634" s="1"/>
      <c r="FPU1634" s="1"/>
      <c r="FPV1634" s="1"/>
      <c r="FPW1634" s="1"/>
      <c r="FPX1634" s="1"/>
      <c r="FPY1634" s="1"/>
      <c r="FPZ1634" s="1"/>
      <c r="FQA1634" s="1"/>
      <c r="FQB1634" s="1"/>
      <c r="FQC1634" s="1"/>
      <c r="FQD1634" s="1"/>
      <c r="FQE1634" s="1"/>
      <c r="FQF1634" s="1"/>
      <c r="FQG1634" s="1"/>
      <c r="FQH1634" s="1"/>
      <c r="FQI1634" s="1"/>
      <c r="FQJ1634" s="1"/>
      <c r="FQK1634" s="1"/>
      <c r="FQL1634" s="1"/>
      <c r="FQM1634" s="1"/>
      <c r="FQN1634" s="1"/>
      <c r="FQO1634" s="1"/>
      <c r="FQP1634" s="1"/>
      <c r="FQQ1634" s="1"/>
      <c r="FQR1634" s="1"/>
      <c r="FQS1634" s="1"/>
      <c r="FQT1634" s="1"/>
      <c r="FQU1634" s="1"/>
      <c r="FQV1634" s="1"/>
      <c r="FQW1634" s="1"/>
      <c r="FQX1634" s="1"/>
      <c r="FQY1634" s="1"/>
      <c r="FQZ1634" s="1"/>
      <c r="FRA1634" s="1"/>
      <c r="FRB1634" s="1"/>
      <c r="FRC1634" s="1"/>
      <c r="FRD1634" s="1"/>
      <c r="FRE1634" s="1"/>
      <c r="FRF1634" s="1"/>
      <c r="FRG1634" s="1"/>
      <c r="FRH1634" s="1"/>
      <c r="FRI1634" s="1"/>
      <c r="FRJ1634" s="1"/>
      <c r="FRK1634" s="1"/>
      <c r="FRL1634" s="1"/>
      <c r="FRM1634" s="1"/>
      <c r="FRN1634" s="1"/>
      <c r="FRO1634" s="1"/>
      <c r="FRP1634" s="1"/>
      <c r="FRQ1634" s="1"/>
      <c r="FRR1634" s="1"/>
      <c r="FRS1634" s="1"/>
      <c r="FRT1634" s="1"/>
      <c r="FRU1634" s="1"/>
      <c r="FRV1634" s="1"/>
      <c r="FRW1634" s="1"/>
      <c r="FRX1634" s="1"/>
      <c r="FRY1634" s="1"/>
      <c r="FRZ1634" s="1"/>
      <c r="FSA1634" s="1"/>
      <c r="FSB1634" s="1"/>
      <c r="FSC1634" s="1"/>
      <c r="FSD1634" s="1"/>
      <c r="FSE1634" s="1"/>
      <c r="FSF1634" s="1"/>
      <c r="FSG1634" s="1"/>
      <c r="FSH1634" s="1"/>
      <c r="FSI1634" s="1"/>
      <c r="FSJ1634" s="1"/>
      <c r="FSK1634" s="1"/>
      <c r="FSL1634" s="1"/>
      <c r="FSM1634" s="1"/>
      <c r="FSN1634" s="1"/>
      <c r="FSO1634" s="1"/>
      <c r="FSP1634" s="1"/>
      <c r="FSQ1634" s="1"/>
      <c r="FSR1634" s="1"/>
      <c r="FSS1634" s="1"/>
      <c r="FST1634" s="1"/>
      <c r="FSU1634" s="1"/>
      <c r="FSV1634" s="1"/>
      <c r="FSW1634" s="1"/>
      <c r="FSX1634" s="1"/>
      <c r="FSY1634" s="1"/>
      <c r="FSZ1634" s="1"/>
      <c r="FTA1634" s="1"/>
      <c r="FTB1634" s="1"/>
      <c r="FTC1634" s="1"/>
      <c r="FTD1634" s="1"/>
      <c r="FTE1634" s="1"/>
      <c r="FTF1634" s="1"/>
      <c r="FTG1634" s="1"/>
      <c r="FTH1634" s="1"/>
      <c r="FTI1634" s="1"/>
      <c r="FTJ1634" s="1"/>
      <c r="FTK1634" s="1"/>
      <c r="FTL1634" s="1"/>
      <c r="FTM1634" s="1"/>
      <c r="FTN1634" s="1"/>
      <c r="FTO1634" s="1"/>
      <c r="FTP1634" s="1"/>
      <c r="FTQ1634" s="1"/>
      <c r="FTR1634" s="1"/>
      <c r="FTS1634" s="1"/>
      <c r="FTT1634" s="1"/>
      <c r="FTU1634" s="1"/>
      <c r="FTV1634" s="1"/>
      <c r="FTW1634" s="1"/>
      <c r="FTX1634" s="1"/>
      <c r="FTY1634" s="1"/>
      <c r="FTZ1634" s="1"/>
      <c r="FUA1634" s="1"/>
      <c r="FUB1634" s="1"/>
      <c r="FUC1634" s="1"/>
      <c r="FUD1634" s="1"/>
      <c r="FUE1634" s="1"/>
      <c r="FUF1634" s="1"/>
      <c r="FUG1634" s="1"/>
      <c r="FUH1634" s="1"/>
      <c r="FUI1634" s="1"/>
      <c r="FUJ1634" s="1"/>
      <c r="FUK1634" s="1"/>
      <c r="FUL1634" s="1"/>
      <c r="FUM1634" s="1"/>
      <c r="FUN1634" s="1"/>
      <c r="FUO1634" s="1"/>
      <c r="FUP1634" s="1"/>
      <c r="FUQ1634" s="1"/>
      <c r="FUR1634" s="1"/>
      <c r="FUS1634" s="1"/>
      <c r="FUT1634" s="1"/>
      <c r="FUU1634" s="1"/>
      <c r="FUV1634" s="1"/>
      <c r="FUW1634" s="1"/>
      <c r="FUX1634" s="1"/>
      <c r="FUY1634" s="1"/>
      <c r="FUZ1634" s="1"/>
      <c r="FVA1634" s="1"/>
      <c r="FVB1634" s="1"/>
      <c r="FVC1634" s="1"/>
      <c r="FVD1634" s="1"/>
      <c r="FVE1634" s="1"/>
      <c r="FVF1634" s="1"/>
      <c r="FVG1634" s="1"/>
      <c r="FVH1634" s="1"/>
      <c r="FVI1634" s="1"/>
      <c r="FVJ1634" s="1"/>
      <c r="FVK1634" s="1"/>
      <c r="FVL1634" s="1"/>
      <c r="FVM1634" s="1"/>
      <c r="FVN1634" s="1"/>
      <c r="FVO1634" s="1"/>
      <c r="FVP1634" s="1"/>
      <c r="FVQ1634" s="1"/>
      <c r="FVR1634" s="1"/>
      <c r="FVS1634" s="1"/>
      <c r="FVT1634" s="1"/>
      <c r="FVU1634" s="1"/>
      <c r="FVV1634" s="1"/>
      <c r="FVW1634" s="1"/>
      <c r="FVX1634" s="1"/>
      <c r="FVY1634" s="1"/>
      <c r="FVZ1634" s="1"/>
      <c r="FWA1634" s="1"/>
      <c r="FWB1634" s="1"/>
      <c r="FWC1634" s="1"/>
      <c r="FWD1634" s="1"/>
      <c r="FWE1634" s="1"/>
      <c r="FWF1634" s="1"/>
      <c r="FWG1634" s="1"/>
      <c r="FWH1634" s="1"/>
      <c r="FWI1634" s="1"/>
      <c r="FWJ1634" s="1"/>
      <c r="FWK1634" s="1"/>
      <c r="FWL1634" s="1"/>
      <c r="FWM1634" s="1"/>
      <c r="FWN1634" s="1"/>
      <c r="FWO1634" s="1"/>
      <c r="FWP1634" s="1"/>
      <c r="FWQ1634" s="1"/>
      <c r="FWR1634" s="1"/>
      <c r="FWS1634" s="1"/>
      <c r="FWT1634" s="1"/>
      <c r="FWU1634" s="1"/>
      <c r="FWV1634" s="1"/>
      <c r="FWW1634" s="1"/>
      <c r="FWX1634" s="1"/>
      <c r="FWY1634" s="1"/>
      <c r="FWZ1634" s="1"/>
      <c r="FXA1634" s="1"/>
      <c r="FXB1634" s="1"/>
      <c r="FXC1634" s="1"/>
      <c r="FXD1634" s="1"/>
      <c r="FXE1634" s="1"/>
      <c r="FXF1634" s="1"/>
      <c r="FXG1634" s="1"/>
      <c r="FXH1634" s="1"/>
      <c r="FXI1634" s="1"/>
      <c r="FXJ1634" s="1"/>
      <c r="FXK1634" s="1"/>
      <c r="FXL1634" s="1"/>
      <c r="FXM1634" s="1"/>
      <c r="FXN1634" s="1"/>
      <c r="FXO1634" s="1"/>
      <c r="FXP1634" s="1"/>
      <c r="FXQ1634" s="1"/>
      <c r="FXR1634" s="1"/>
      <c r="FXS1634" s="1"/>
      <c r="FXT1634" s="1"/>
      <c r="FXU1634" s="1"/>
      <c r="FXV1634" s="1"/>
      <c r="FXW1634" s="1"/>
      <c r="FXX1634" s="1"/>
      <c r="FXY1634" s="1"/>
      <c r="FXZ1634" s="1"/>
      <c r="FYA1634" s="1"/>
      <c r="FYB1634" s="1"/>
      <c r="FYC1634" s="1"/>
      <c r="FYD1634" s="1"/>
      <c r="FYE1634" s="1"/>
      <c r="FYF1634" s="1"/>
      <c r="FYG1634" s="1"/>
      <c r="FYH1634" s="1"/>
      <c r="FYI1634" s="1"/>
      <c r="FYJ1634" s="1"/>
      <c r="FYK1634" s="1"/>
      <c r="FYL1634" s="1"/>
      <c r="FYM1634" s="1"/>
      <c r="FYN1634" s="1"/>
      <c r="FYO1634" s="1"/>
      <c r="FYP1634" s="1"/>
      <c r="FYQ1634" s="1"/>
      <c r="FYR1634" s="1"/>
      <c r="FYS1634" s="1"/>
      <c r="FYT1634" s="1"/>
      <c r="FYU1634" s="1"/>
      <c r="FYV1634" s="1"/>
      <c r="FYW1634" s="1"/>
      <c r="FYX1634" s="1"/>
      <c r="FYY1634" s="1"/>
      <c r="FYZ1634" s="1"/>
      <c r="FZA1634" s="1"/>
      <c r="FZB1634" s="1"/>
      <c r="FZC1634" s="1"/>
      <c r="FZD1634" s="1"/>
      <c r="FZE1634" s="1"/>
      <c r="FZF1634" s="1"/>
      <c r="FZG1634" s="1"/>
      <c r="FZH1634" s="1"/>
      <c r="FZI1634" s="1"/>
      <c r="FZJ1634" s="1"/>
      <c r="FZK1634" s="1"/>
      <c r="FZL1634" s="1"/>
      <c r="FZM1634" s="1"/>
      <c r="FZN1634" s="1"/>
      <c r="FZO1634" s="1"/>
      <c r="FZP1634" s="1"/>
      <c r="FZQ1634" s="1"/>
      <c r="FZR1634" s="1"/>
      <c r="FZS1634" s="1"/>
      <c r="FZT1634" s="1"/>
      <c r="FZU1634" s="1"/>
      <c r="FZV1634" s="1"/>
      <c r="FZW1634" s="1"/>
      <c r="FZX1634" s="1"/>
      <c r="FZY1634" s="1"/>
      <c r="FZZ1634" s="1"/>
      <c r="GAA1634" s="1"/>
      <c r="GAB1634" s="1"/>
      <c r="GAC1634" s="1"/>
      <c r="GAD1634" s="1"/>
      <c r="GAE1634" s="1"/>
      <c r="GAF1634" s="1"/>
      <c r="GAG1634" s="1"/>
      <c r="GAH1634" s="1"/>
      <c r="GAI1634" s="1"/>
      <c r="GAJ1634" s="1"/>
      <c r="GAK1634" s="1"/>
      <c r="GAL1634" s="1"/>
      <c r="GAM1634" s="1"/>
      <c r="GAN1634" s="1"/>
      <c r="GAO1634" s="1"/>
      <c r="GAP1634" s="1"/>
      <c r="GAQ1634" s="1"/>
      <c r="GAR1634" s="1"/>
      <c r="GAS1634" s="1"/>
      <c r="GAT1634" s="1"/>
      <c r="GAU1634" s="1"/>
      <c r="GAV1634" s="1"/>
      <c r="GAW1634" s="1"/>
      <c r="GAX1634" s="1"/>
      <c r="GAY1634" s="1"/>
      <c r="GAZ1634" s="1"/>
      <c r="GBA1634" s="1"/>
      <c r="GBB1634" s="1"/>
      <c r="GBC1634" s="1"/>
      <c r="GBD1634" s="1"/>
      <c r="GBE1634" s="1"/>
      <c r="GBF1634" s="1"/>
      <c r="GBG1634" s="1"/>
      <c r="GBH1634" s="1"/>
      <c r="GBI1634" s="1"/>
      <c r="GBJ1634" s="1"/>
      <c r="GBK1634" s="1"/>
      <c r="GBL1634" s="1"/>
      <c r="GBM1634" s="1"/>
      <c r="GBN1634" s="1"/>
      <c r="GBO1634" s="1"/>
      <c r="GBP1634" s="1"/>
      <c r="GBQ1634" s="1"/>
      <c r="GBR1634" s="1"/>
      <c r="GBS1634" s="1"/>
      <c r="GBT1634" s="1"/>
      <c r="GBU1634" s="1"/>
      <c r="GBV1634" s="1"/>
      <c r="GBW1634" s="1"/>
      <c r="GBX1634" s="1"/>
      <c r="GBY1634" s="1"/>
      <c r="GBZ1634" s="1"/>
      <c r="GCA1634" s="1"/>
      <c r="GCB1634" s="1"/>
      <c r="GCC1634" s="1"/>
      <c r="GCD1634" s="1"/>
      <c r="GCE1634" s="1"/>
      <c r="GCF1634" s="1"/>
      <c r="GCG1634" s="1"/>
      <c r="GCH1634" s="1"/>
      <c r="GCI1634" s="1"/>
      <c r="GCJ1634" s="1"/>
      <c r="GCK1634" s="1"/>
      <c r="GCL1634" s="1"/>
      <c r="GCM1634" s="1"/>
      <c r="GCN1634" s="1"/>
      <c r="GCO1634" s="1"/>
      <c r="GCP1634" s="1"/>
      <c r="GCQ1634" s="1"/>
      <c r="GCR1634" s="1"/>
      <c r="GCS1634" s="1"/>
      <c r="GCT1634" s="1"/>
      <c r="GCU1634" s="1"/>
      <c r="GCV1634" s="1"/>
      <c r="GCW1634" s="1"/>
      <c r="GCX1634" s="1"/>
      <c r="GCY1634" s="1"/>
      <c r="GCZ1634" s="1"/>
      <c r="GDA1634" s="1"/>
      <c r="GDB1634" s="1"/>
      <c r="GDC1634" s="1"/>
      <c r="GDD1634" s="1"/>
      <c r="GDE1634" s="1"/>
      <c r="GDF1634" s="1"/>
      <c r="GDG1634" s="1"/>
      <c r="GDH1634" s="1"/>
      <c r="GDI1634" s="1"/>
      <c r="GDJ1634" s="1"/>
      <c r="GDK1634" s="1"/>
      <c r="GDL1634" s="1"/>
      <c r="GDM1634" s="1"/>
      <c r="GDN1634" s="1"/>
      <c r="GDO1634" s="1"/>
      <c r="GDP1634" s="1"/>
      <c r="GDQ1634" s="1"/>
      <c r="GDR1634" s="1"/>
      <c r="GDS1634" s="1"/>
      <c r="GDT1634" s="1"/>
      <c r="GDU1634" s="1"/>
      <c r="GDV1634" s="1"/>
      <c r="GDW1634" s="1"/>
      <c r="GDX1634" s="1"/>
      <c r="GDY1634" s="1"/>
      <c r="GDZ1634" s="1"/>
      <c r="GEA1634" s="1"/>
      <c r="GEB1634" s="1"/>
      <c r="GEC1634" s="1"/>
      <c r="GED1634" s="1"/>
      <c r="GEE1634" s="1"/>
      <c r="GEF1634" s="1"/>
      <c r="GEG1634" s="1"/>
      <c r="GEH1634" s="1"/>
      <c r="GEI1634" s="1"/>
      <c r="GEJ1634" s="1"/>
      <c r="GEK1634" s="1"/>
      <c r="GEL1634" s="1"/>
      <c r="GEM1634" s="1"/>
      <c r="GEN1634" s="1"/>
      <c r="GEO1634" s="1"/>
      <c r="GEP1634" s="1"/>
      <c r="GEQ1634" s="1"/>
      <c r="GER1634" s="1"/>
      <c r="GES1634" s="1"/>
      <c r="GET1634" s="1"/>
      <c r="GEU1634" s="1"/>
      <c r="GEV1634" s="1"/>
      <c r="GEW1634" s="1"/>
      <c r="GEX1634" s="1"/>
      <c r="GEY1634" s="1"/>
      <c r="GEZ1634" s="1"/>
      <c r="GFA1634" s="1"/>
      <c r="GFB1634" s="1"/>
      <c r="GFC1634" s="1"/>
      <c r="GFD1634" s="1"/>
      <c r="GFE1634" s="1"/>
      <c r="GFF1634" s="1"/>
      <c r="GFG1634" s="1"/>
      <c r="GFH1634" s="1"/>
      <c r="GFI1634" s="1"/>
      <c r="GFJ1634" s="1"/>
      <c r="GFK1634" s="1"/>
      <c r="GFL1634" s="1"/>
      <c r="GFM1634" s="1"/>
      <c r="GFN1634" s="1"/>
      <c r="GFO1634" s="1"/>
      <c r="GFP1634" s="1"/>
      <c r="GFQ1634" s="1"/>
      <c r="GFR1634" s="1"/>
      <c r="GFS1634" s="1"/>
      <c r="GFT1634" s="1"/>
      <c r="GFU1634" s="1"/>
      <c r="GFV1634" s="1"/>
      <c r="GFW1634" s="1"/>
      <c r="GFX1634" s="1"/>
      <c r="GFY1634" s="1"/>
      <c r="GFZ1634" s="1"/>
      <c r="GGA1634" s="1"/>
      <c r="GGB1634" s="1"/>
      <c r="GGC1634" s="1"/>
      <c r="GGD1634" s="1"/>
      <c r="GGE1634" s="1"/>
      <c r="GGF1634" s="1"/>
      <c r="GGG1634" s="1"/>
      <c r="GGH1634" s="1"/>
      <c r="GGI1634" s="1"/>
      <c r="GGJ1634" s="1"/>
      <c r="GGK1634" s="1"/>
      <c r="GGL1634" s="1"/>
      <c r="GGM1634" s="1"/>
      <c r="GGN1634" s="1"/>
      <c r="GGO1634" s="1"/>
      <c r="GGP1634" s="1"/>
      <c r="GGQ1634" s="1"/>
      <c r="GGR1634" s="1"/>
      <c r="GGS1634" s="1"/>
      <c r="GGT1634" s="1"/>
      <c r="GGU1634" s="1"/>
      <c r="GGV1634" s="1"/>
      <c r="GGW1634" s="1"/>
      <c r="GGX1634" s="1"/>
      <c r="GGY1634" s="1"/>
      <c r="GGZ1634" s="1"/>
      <c r="GHA1634" s="1"/>
      <c r="GHB1634" s="1"/>
      <c r="GHC1634" s="1"/>
      <c r="GHD1634" s="1"/>
      <c r="GHE1634" s="1"/>
      <c r="GHF1634" s="1"/>
      <c r="GHG1634" s="1"/>
      <c r="GHH1634" s="1"/>
      <c r="GHI1634" s="1"/>
      <c r="GHJ1634" s="1"/>
      <c r="GHK1634" s="1"/>
      <c r="GHL1634" s="1"/>
      <c r="GHM1634" s="1"/>
      <c r="GHN1634" s="1"/>
      <c r="GHO1634" s="1"/>
      <c r="GHP1634" s="1"/>
      <c r="GHQ1634" s="1"/>
      <c r="GHR1634" s="1"/>
      <c r="GHS1634" s="1"/>
      <c r="GHT1634" s="1"/>
      <c r="GHU1634" s="1"/>
      <c r="GHV1634" s="1"/>
      <c r="GHW1634" s="1"/>
      <c r="GHX1634" s="1"/>
      <c r="GHY1634" s="1"/>
      <c r="GHZ1634" s="1"/>
      <c r="GIA1634" s="1"/>
      <c r="GIB1634" s="1"/>
      <c r="GIC1634" s="1"/>
      <c r="GID1634" s="1"/>
      <c r="GIE1634" s="1"/>
      <c r="GIF1634" s="1"/>
      <c r="GIG1634" s="1"/>
      <c r="GIH1634" s="1"/>
      <c r="GII1634" s="1"/>
      <c r="GIJ1634" s="1"/>
      <c r="GIK1634" s="1"/>
      <c r="GIL1634" s="1"/>
      <c r="GIM1634" s="1"/>
      <c r="GIN1634" s="1"/>
      <c r="GIO1634" s="1"/>
      <c r="GIP1634" s="1"/>
      <c r="GIQ1634" s="1"/>
      <c r="GIR1634" s="1"/>
      <c r="GIS1634" s="1"/>
      <c r="GIT1634" s="1"/>
      <c r="GIU1634" s="1"/>
      <c r="GIV1634" s="1"/>
      <c r="GIW1634" s="1"/>
      <c r="GIX1634" s="1"/>
      <c r="GIY1634" s="1"/>
      <c r="GIZ1634" s="1"/>
      <c r="GJA1634" s="1"/>
      <c r="GJB1634" s="1"/>
      <c r="GJC1634" s="1"/>
      <c r="GJD1634" s="1"/>
      <c r="GJE1634" s="1"/>
      <c r="GJF1634" s="1"/>
      <c r="GJG1634" s="1"/>
      <c r="GJH1634" s="1"/>
      <c r="GJI1634" s="1"/>
      <c r="GJJ1634" s="1"/>
      <c r="GJK1634" s="1"/>
      <c r="GJL1634" s="1"/>
      <c r="GJM1634" s="1"/>
      <c r="GJN1634" s="1"/>
      <c r="GJO1634" s="1"/>
      <c r="GJP1634" s="1"/>
      <c r="GJQ1634" s="1"/>
      <c r="GJR1634" s="1"/>
      <c r="GJS1634" s="1"/>
      <c r="GJT1634" s="1"/>
      <c r="GJU1634" s="1"/>
      <c r="GJV1634" s="1"/>
      <c r="GJW1634" s="1"/>
      <c r="GJX1634" s="1"/>
      <c r="GJY1634" s="1"/>
      <c r="GJZ1634" s="1"/>
      <c r="GKA1634" s="1"/>
      <c r="GKB1634" s="1"/>
      <c r="GKC1634" s="1"/>
      <c r="GKD1634" s="1"/>
      <c r="GKE1634" s="1"/>
      <c r="GKF1634" s="1"/>
      <c r="GKG1634" s="1"/>
      <c r="GKH1634" s="1"/>
      <c r="GKI1634" s="1"/>
      <c r="GKJ1634" s="1"/>
      <c r="GKK1634" s="1"/>
      <c r="GKL1634" s="1"/>
      <c r="GKM1634" s="1"/>
      <c r="GKN1634" s="1"/>
      <c r="GKO1634" s="1"/>
      <c r="GKP1634" s="1"/>
      <c r="GKQ1634" s="1"/>
      <c r="GKR1634" s="1"/>
      <c r="GKS1634" s="1"/>
      <c r="GKT1634" s="1"/>
      <c r="GKU1634" s="1"/>
      <c r="GKV1634" s="1"/>
      <c r="GKW1634" s="1"/>
      <c r="GKX1634" s="1"/>
      <c r="GKY1634" s="1"/>
      <c r="GKZ1634" s="1"/>
      <c r="GLA1634" s="1"/>
      <c r="GLB1634" s="1"/>
      <c r="GLC1634" s="1"/>
      <c r="GLD1634" s="1"/>
      <c r="GLE1634" s="1"/>
      <c r="GLF1634" s="1"/>
      <c r="GLG1634" s="1"/>
      <c r="GLH1634" s="1"/>
      <c r="GLI1634" s="1"/>
      <c r="GLJ1634" s="1"/>
      <c r="GLK1634" s="1"/>
      <c r="GLL1634" s="1"/>
      <c r="GLM1634" s="1"/>
      <c r="GLN1634" s="1"/>
      <c r="GLO1634" s="1"/>
      <c r="GLP1634" s="1"/>
      <c r="GLQ1634" s="1"/>
      <c r="GLR1634" s="1"/>
      <c r="GLS1634" s="1"/>
      <c r="GLT1634" s="1"/>
      <c r="GLU1634" s="1"/>
      <c r="GLV1634" s="1"/>
      <c r="GLW1634" s="1"/>
      <c r="GLX1634" s="1"/>
      <c r="GLY1634" s="1"/>
      <c r="GLZ1634" s="1"/>
      <c r="GMA1634" s="1"/>
      <c r="GMB1634" s="1"/>
      <c r="GMC1634" s="1"/>
      <c r="GMD1634" s="1"/>
      <c r="GME1634" s="1"/>
      <c r="GMF1634" s="1"/>
      <c r="GMG1634" s="1"/>
      <c r="GMH1634" s="1"/>
      <c r="GMI1634" s="1"/>
      <c r="GMJ1634" s="1"/>
      <c r="GMK1634" s="1"/>
      <c r="GML1634" s="1"/>
      <c r="GMM1634" s="1"/>
      <c r="GMN1634" s="1"/>
      <c r="GMO1634" s="1"/>
      <c r="GMP1634" s="1"/>
      <c r="GMQ1634" s="1"/>
      <c r="GMR1634" s="1"/>
      <c r="GMS1634" s="1"/>
      <c r="GMT1634" s="1"/>
      <c r="GMU1634" s="1"/>
      <c r="GMV1634" s="1"/>
      <c r="GMW1634" s="1"/>
      <c r="GMX1634" s="1"/>
      <c r="GMY1634" s="1"/>
      <c r="GMZ1634" s="1"/>
      <c r="GNA1634" s="1"/>
      <c r="GNB1634" s="1"/>
      <c r="GNC1634" s="1"/>
      <c r="GND1634" s="1"/>
      <c r="GNE1634" s="1"/>
      <c r="GNF1634" s="1"/>
      <c r="GNG1634" s="1"/>
      <c r="GNH1634" s="1"/>
      <c r="GNI1634" s="1"/>
      <c r="GNJ1634" s="1"/>
      <c r="GNK1634" s="1"/>
      <c r="GNL1634" s="1"/>
      <c r="GNM1634" s="1"/>
      <c r="GNN1634" s="1"/>
      <c r="GNO1634" s="1"/>
      <c r="GNP1634" s="1"/>
      <c r="GNQ1634" s="1"/>
      <c r="GNR1634" s="1"/>
      <c r="GNS1634" s="1"/>
      <c r="GNT1634" s="1"/>
      <c r="GNU1634" s="1"/>
      <c r="GNV1634" s="1"/>
      <c r="GNW1634" s="1"/>
      <c r="GNX1634" s="1"/>
      <c r="GNY1634" s="1"/>
      <c r="GNZ1634" s="1"/>
      <c r="GOA1634" s="1"/>
      <c r="GOB1634" s="1"/>
      <c r="GOC1634" s="1"/>
      <c r="GOD1634" s="1"/>
      <c r="GOE1634" s="1"/>
      <c r="GOF1634" s="1"/>
      <c r="GOG1634" s="1"/>
      <c r="GOH1634" s="1"/>
      <c r="GOI1634" s="1"/>
      <c r="GOJ1634" s="1"/>
      <c r="GOK1634" s="1"/>
      <c r="GOL1634" s="1"/>
      <c r="GOM1634" s="1"/>
      <c r="GON1634" s="1"/>
      <c r="GOO1634" s="1"/>
      <c r="GOP1634" s="1"/>
      <c r="GOQ1634" s="1"/>
      <c r="GOR1634" s="1"/>
      <c r="GOS1634" s="1"/>
      <c r="GOT1634" s="1"/>
      <c r="GOU1634" s="1"/>
      <c r="GOV1634" s="1"/>
      <c r="GOW1634" s="1"/>
      <c r="GOX1634" s="1"/>
      <c r="GOY1634" s="1"/>
      <c r="GOZ1634" s="1"/>
      <c r="GPA1634" s="1"/>
      <c r="GPB1634" s="1"/>
      <c r="GPC1634" s="1"/>
      <c r="GPD1634" s="1"/>
      <c r="GPE1634" s="1"/>
      <c r="GPF1634" s="1"/>
      <c r="GPG1634" s="1"/>
      <c r="GPH1634" s="1"/>
      <c r="GPI1634" s="1"/>
      <c r="GPJ1634" s="1"/>
      <c r="GPK1634" s="1"/>
      <c r="GPL1634" s="1"/>
      <c r="GPM1634" s="1"/>
      <c r="GPN1634" s="1"/>
      <c r="GPO1634" s="1"/>
      <c r="GPP1634" s="1"/>
      <c r="GPQ1634" s="1"/>
      <c r="GPR1634" s="1"/>
      <c r="GPS1634" s="1"/>
      <c r="GPT1634" s="1"/>
      <c r="GPU1634" s="1"/>
      <c r="GPV1634" s="1"/>
      <c r="GPW1634" s="1"/>
      <c r="GPX1634" s="1"/>
      <c r="GPY1634" s="1"/>
      <c r="GPZ1634" s="1"/>
      <c r="GQA1634" s="1"/>
      <c r="GQB1634" s="1"/>
      <c r="GQC1634" s="1"/>
      <c r="GQD1634" s="1"/>
      <c r="GQE1634" s="1"/>
      <c r="GQF1634" s="1"/>
      <c r="GQG1634" s="1"/>
      <c r="GQH1634" s="1"/>
      <c r="GQI1634" s="1"/>
      <c r="GQJ1634" s="1"/>
      <c r="GQK1634" s="1"/>
      <c r="GQL1634" s="1"/>
      <c r="GQM1634" s="1"/>
      <c r="GQN1634" s="1"/>
      <c r="GQO1634" s="1"/>
      <c r="GQP1634" s="1"/>
      <c r="GQQ1634" s="1"/>
      <c r="GQR1634" s="1"/>
      <c r="GQS1634" s="1"/>
      <c r="GQT1634" s="1"/>
      <c r="GQU1634" s="1"/>
      <c r="GQV1634" s="1"/>
      <c r="GQW1634" s="1"/>
      <c r="GQX1634" s="1"/>
      <c r="GQY1634" s="1"/>
      <c r="GQZ1634" s="1"/>
      <c r="GRA1634" s="1"/>
      <c r="GRB1634" s="1"/>
      <c r="GRC1634" s="1"/>
      <c r="GRD1634" s="1"/>
      <c r="GRE1634" s="1"/>
      <c r="GRF1634" s="1"/>
      <c r="GRG1634" s="1"/>
      <c r="GRH1634" s="1"/>
      <c r="GRI1634" s="1"/>
      <c r="GRJ1634" s="1"/>
      <c r="GRK1634" s="1"/>
      <c r="GRL1634" s="1"/>
      <c r="GRM1634" s="1"/>
      <c r="GRN1634" s="1"/>
      <c r="GRO1634" s="1"/>
      <c r="GRP1634" s="1"/>
      <c r="GRQ1634" s="1"/>
      <c r="GRR1634" s="1"/>
      <c r="GRS1634" s="1"/>
      <c r="GRT1634" s="1"/>
      <c r="GRU1634" s="1"/>
      <c r="GRV1634" s="1"/>
      <c r="GRW1634" s="1"/>
      <c r="GRX1634" s="1"/>
      <c r="GRY1634" s="1"/>
      <c r="GRZ1634" s="1"/>
      <c r="GSA1634" s="1"/>
      <c r="GSB1634" s="1"/>
      <c r="GSC1634" s="1"/>
      <c r="GSD1634" s="1"/>
      <c r="GSE1634" s="1"/>
      <c r="GSF1634" s="1"/>
      <c r="GSG1634" s="1"/>
      <c r="GSH1634" s="1"/>
      <c r="GSI1634" s="1"/>
      <c r="GSJ1634" s="1"/>
      <c r="GSK1634" s="1"/>
      <c r="GSL1634" s="1"/>
      <c r="GSM1634" s="1"/>
      <c r="GSN1634" s="1"/>
      <c r="GSO1634" s="1"/>
      <c r="GSP1634" s="1"/>
      <c r="GSQ1634" s="1"/>
      <c r="GSR1634" s="1"/>
      <c r="GSS1634" s="1"/>
      <c r="GST1634" s="1"/>
      <c r="GSU1634" s="1"/>
      <c r="GSV1634" s="1"/>
      <c r="GSW1634" s="1"/>
      <c r="GSX1634" s="1"/>
      <c r="GSY1634" s="1"/>
      <c r="GSZ1634" s="1"/>
      <c r="GTA1634" s="1"/>
      <c r="GTB1634" s="1"/>
      <c r="GTC1634" s="1"/>
      <c r="GTD1634" s="1"/>
      <c r="GTE1634" s="1"/>
      <c r="GTF1634" s="1"/>
      <c r="GTG1634" s="1"/>
      <c r="GTH1634" s="1"/>
      <c r="GTI1634" s="1"/>
      <c r="GTJ1634" s="1"/>
      <c r="GTK1634" s="1"/>
      <c r="GTL1634" s="1"/>
      <c r="GTM1634" s="1"/>
      <c r="GTN1634" s="1"/>
      <c r="GTO1634" s="1"/>
      <c r="GTP1634" s="1"/>
      <c r="GTQ1634" s="1"/>
      <c r="GTR1634" s="1"/>
      <c r="GTS1634" s="1"/>
      <c r="GTT1634" s="1"/>
      <c r="GTU1634" s="1"/>
      <c r="GTV1634" s="1"/>
      <c r="GTW1634" s="1"/>
      <c r="GTX1634" s="1"/>
      <c r="GTY1634" s="1"/>
      <c r="GTZ1634" s="1"/>
      <c r="GUA1634" s="1"/>
      <c r="GUB1634" s="1"/>
      <c r="GUC1634" s="1"/>
      <c r="GUD1634" s="1"/>
      <c r="GUE1634" s="1"/>
      <c r="GUF1634" s="1"/>
      <c r="GUG1634" s="1"/>
      <c r="GUH1634" s="1"/>
      <c r="GUI1634" s="1"/>
      <c r="GUJ1634" s="1"/>
      <c r="GUK1634" s="1"/>
      <c r="GUL1634" s="1"/>
      <c r="GUM1634" s="1"/>
      <c r="GUN1634" s="1"/>
      <c r="GUO1634" s="1"/>
      <c r="GUP1634" s="1"/>
      <c r="GUQ1634" s="1"/>
      <c r="GUR1634" s="1"/>
      <c r="GUS1634" s="1"/>
      <c r="GUT1634" s="1"/>
      <c r="GUU1634" s="1"/>
      <c r="GUV1634" s="1"/>
      <c r="GUW1634" s="1"/>
      <c r="GUX1634" s="1"/>
      <c r="GUY1634" s="1"/>
      <c r="GUZ1634" s="1"/>
      <c r="GVA1634" s="1"/>
      <c r="GVB1634" s="1"/>
      <c r="GVC1634" s="1"/>
      <c r="GVD1634" s="1"/>
      <c r="GVE1634" s="1"/>
      <c r="GVF1634" s="1"/>
      <c r="GVG1634" s="1"/>
      <c r="GVH1634" s="1"/>
      <c r="GVI1634" s="1"/>
      <c r="GVJ1634" s="1"/>
      <c r="GVK1634" s="1"/>
      <c r="GVL1634" s="1"/>
      <c r="GVM1634" s="1"/>
      <c r="GVN1634" s="1"/>
      <c r="GVO1634" s="1"/>
      <c r="GVP1634" s="1"/>
      <c r="GVQ1634" s="1"/>
      <c r="GVR1634" s="1"/>
      <c r="GVS1634" s="1"/>
      <c r="GVT1634" s="1"/>
      <c r="GVU1634" s="1"/>
      <c r="GVV1634" s="1"/>
      <c r="GVW1634" s="1"/>
      <c r="GVX1634" s="1"/>
      <c r="GVY1634" s="1"/>
      <c r="GVZ1634" s="1"/>
      <c r="GWA1634" s="1"/>
      <c r="GWB1634" s="1"/>
      <c r="GWC1634" s="1"/>
      <c r="GWD1634" s="1"/>
      <c r="GWE1634" s="1"/>
      <c r="GWF1634" s="1"/>
      <c r="GWG1634" s="1"/>
      <c r="GWH1634" s="1"/>
      <c r="GWI1634" s="1"/>
      <c r="GWJ1634" s="1"/>
      <c r="GWK1634" s="1"/>
      <c r="GWL1634" s="1"/>
      <c r="GWM1634" s="1"/>
      <c r="GWN1634" s="1"/>
      <c r="GWO1634" s="1"/>
      <c r="GWP1634" s="1"/>
      <c r="GWQ1634" s="1"/>
      <c r="GWR1634" s="1"/>
      <c r="GWS1634" s="1"/>
      <c r="GWT1634" s="1"/>
      <c r="GWU1634" s="1"/>
      <c r="GWV1634" s="1"/>
      <c r="GWW1634" s="1"/>
      <c r="GWX1634" s="1"/>
      <c r="GWY1634" s="1"/>
      <c r="GWZ1634" s="1"/>
      <c r="GXA1634" s="1"/>
      <c r="GXB1634" s="1"/>
      <c r="GXC1634" s="1"/>
      <c r="GXD1634" s="1"/>
      <c r="GXE1634" s="1"/>
      <c r="GXF1634" s="1"/>
      <c r="GXG1634" s="1"/>
      <c r="GXH1634" s="1"/>
      <c r="GXI1634" s="1"/>
      <c r="GXJ1634" s="1"/>
      <c r="GXK1634" s="1"/>
      <c r="GXL1634" s="1"/>
      <c r="GXM1634" s="1"/>
      <c r="GXN1634" s="1"/>
      <c r="GXO1634" s="1"/>
      <c r="GXP1634" s="1"/>
      <c r="GXQ1634" s="1"/>
      <c r="GXR1634" s="1"/>
      <c r="GXS1634" s="1"/>
      <c r="GXT1634" s="1"/>
      <c r="GXU1634" s="1"/>
      <c r="GXV1634" s="1"/>
      <c r="GXW1634" s="1"/>
      <c r="GXX1634" s="1"/>
      <c r="GXY1634" s="1"/>
      <c r="GXZ1634" s="1"/>
      <c r="GYA1634" s="1"/>
      <c r="GYB1634" s="1"/>
      <c r="GYC1634" s="1"/>
      <c r="GYD1634" s="1"/>
      <c r="GYE1634" s="1"/>
      <c r="GYF1634" s="1"/>
      <c r="GYG1634" s="1"/>
      <c r="GYH1634" s="1"/>
      <c r="GYI1634" s="1"/>
      <c r="GYJ1634" s="1"/>
      <c r="GYK1634" s="1"/>
      <c r="GYL1634" s="1"/>
      <c r="GYM1634" s="1"/>
      <c r="GYN1634" s="1"/>
      <c r="GYO1634" s="1"/>
      <c r="GYP1634" s="1"/>
      <c r="GYQ1634" s="1"/>
      <c r="GYR1634" s="1"/>
      <c r="GYS1634" s="1"/>
      <c r="GYT1634" s="1"/>
      <c r="GYU1634" s="1"/>
      <c r="GYV1634" s="1"/>
      <c r="GYW1634" s="1"/>
      <c r="GYX1634" s="1"/>
      <c r="GYY1634" s="1"/>
      <c r="GYZ1634" s="1"/>
      <c r="GZA1634" s="1"/>
      <c r="GZB1634" s="1"/>
      <c r="GZC1634" s="1"/>
      <c r="GZD1634" s="1"/>
      <c r="GZE1634" s="1"/>
      <c r="GZF1634" s="1"/>
      <c r="GZG1634" s="1"/>
      <c r="GZH1634" s="1"/>
      <c r="GZI1634" s="1"/>
      <c r="GZJ1634" s="1"/>
      <c r="GZK1634" s="1"/>
      <c r="GZL1634" s="1"/>
      <c r="GZM1634" s="1"/>
      <c r="GZN1634" s="1"/>
      <c r="GZO1634" s="1"/>
      <c r="GZP1634" s="1"/>
      <c r="GZQ1634" s="1"/>
      <c r="GZR1634" s="1"/>
      <c r="GZS1634" s="1"/>
      <c r="GZT1634" s="1"/>
      <c r="GZU1634" s="1"/>
      <c r="GZV1634" s="1"/>
      <c r="GZW1634" s="1"/>
      <c r="GZX1634" s="1"/>
      <c r="GZY1634" s="1"/>
      <c r="GZZ1634" s="1"/>
      <c r="HAA1634" s="1"/>
      <c r="HAB1634" s="1"/>
      <c r="HAC1634" s="1"/>
      <c r="HAD1634" s="1"/>
      <c r="HAE1634" s="1"/>
      <c r="HAF1634" s="1"/>
      <c r="HAG1634" s="1"/>
      <c r="HAH1634" s="1"/>
      <c r="HAI1634" s="1"/>
      <c r="HAJ1634" s="1"/>
      <c r="HAK1634" s="1"/>
      <c r="HAL1634" s="1"/>
      <c r="HAM1634" s="1"/>
      <c r="HAN1634" s="1"/>
      <c r="HAO1634" s="1"/>
      <c r="HAP1634" s="1"/>
      <c r="HAQ1634" s="1"/>
      <c r="HAR1634" s="1"/>
      <c r="HAS1634" s="1"/>
      <c r="HAT1634" s="1"/>
      <c r="HAU1634" s="1"/>
      <c r="HAV1634" s="1"/>
      <c r="HAW1634" s="1"/>
      <c r="HAX1634" s="1"/>
      <c r="HAY1634" s="1"/>
      <c r="HAZ1634" s="1"/>
      <c r="HBA1634" s="1"/>
      <c r="HBB1634" s="1"/>
      <c r="HBC1634" s="1"/>
      <c r="HBD1634" s="1"/>
      <c r="HBE1634" s="1"/>
      <c r="HBF1634" s="1"/>
      <c r="HBG1634" s="1"/>
      <c r="HBH1634" s="1"/>
      <c r="HBI1634" s="1"/>
      <c r="HBJ1634" s="1"/>
      <c r="HBK1634" s="1"/>
      <c r="HBL1634" s="1"/>
      <c r="HBM1634" s="1"/>
      <c r="HBN1634" s="1"/>
      <c r="HBO1634" s="1"/>
      <c r="HBP1634" s="1"/>
      <c r="HBQ1634" s="1"/>
      <c r="HBR1634" s="1"/>
      <c r="HBS1634" s="1"/>
      <c r="HBT1634" s="1"/>
      <c r="HBU1634" s="1"/>
      <c r="HBV1634" s="1"/>
      <c r="HBW1634" s="1"/>
      <c r="HBX1634" s="1"/>
      <c r="HBY1634" s="1"/>
      <c r="HBZ1634" s="1"/>
      <c r="HCA1634" s="1"/>
      <c r="HCB1634" s="1"/>
      <c r="HCC1634" s="1"/>
      <c r="HCD1634" s="1"/>
      <c r="HCE1634" s="1"/>
      <c r="HCF1634" s="1"/>
      <c r="HCG1634" s="1"/>
      <c r="HCH1634" s="1"/>
      <c r="HCI1634" s="1"/>
      <c r="HCJ1634" s="1"/>
      <c r="HCK1634" s="1"/>
      <c r="HCL1634" s="1"/>
      <c r="HCM1634" s="1"/>
      <c r="HCN1634" s="1"/>
      <c r="HCO1634" s="1"/>
      <c r="HCP1634" s="1"/>
      <c r="HCQ1634" s="1"/>
      <c r="HCR1634" s="1"/>
      <c r="HCS1634" s="1"/>
      <c r="HCT1634" s="1"/>
      <c r="HCU1634" s="1"/>
      <c r="HCV1634" s="1"/>
      <c r="HCW1634" s="1"/>
      <c r="HCX1634" s="1"/>
      <c r="HCY1634" s="1"/>
      <c r="HCZ1634" s="1"/>
      <c r="HDA1634" s="1"/>
      <c r="HDB1634" s="1"/>
      <c r="HDC1634" s="1"/>
      <c r="HDD1634" s="1"/>
      <c r="HDE1634" s="1"/>
      <c r="HDF1634" s="1"/>
      <c r="HDG1634" s="1"/>
      <c r="HDH1634" s="1"/>
      <c r="HDI1634" s="1"/>
      <c r="HDJ1634" s="1"/>
      <c r="HDK1634" s="1"/>
      <c r="HDL1634" s="1"/>
      <c r="HDM1634" s="1"/>
      <c r="HDN1634" s="1"/>
      <c r="HDO1634" s="1"/>
      <c r="HDP1634" s="1"/>
      <c r="HDQ1634" s="1"/>
      <c r="HDR1634" s="1"/>
      <c r="HDS1634" s="1"/>
      <c r="HDT1634" s="1"/>
      <c r="HDU1634" s="1"/>
      <c r="HDV1634" s="1"/>
      <c r="HDW1634" s="1"/>
      <c r="HDX1634" s="1"/>
      <c r="HDY1634" s="1"/>
      <c r="HDZ1634" s="1"/>
      <c r="HEA1634" s="1"/>
      <c r="HEB1634" s="1"/>
      <c r="HEC1634" s="1"/>
      <c r="HED1634" s="1"/>
      <c r="HEE1634" s="1"/>
      <c r="HEF1634" s="1"/>
      <c r="HEG1634" s="1"/>
      <c r="HEH1634" s="1"/>
      <c r="HEI1634" s="1"/>
      <c r="HEJ1634" s="1"/>
      <c r="HEK1634" s="1"/>
      <c r="HEL1634" s="1"/>
      <c r="HEM1634" s="1"/>
      <c r="HEN1634" s="1"/>
      <c r="HEO1634" s="1"/>
      <c r="HEP1634" s="1"/>
      <c r="HEQ1634" s="1"/>
      <c r="HER1634" s="1"/>
      <c r="HES1634" s="1"/>
      <c r="HET1634" s="1"/>
      <c r="HEU1634" s="1"/>
      <c r="HEV1634" s="1"/>
      <c r="HEW1634" s="1"/>
      <c r="HEX1634" s="1"/>
      <c r="HEY1634" s="1"/>
      <c r="HEZ1634" s="1"/>
      <c r="HFA1634" s="1"/>
      <c r="HFB1634" s="1"/>
      <c r="HFC1634" s="1"/>
      <c r="HFD1634" s="1"/>
      <c r="HFE1634" s="1"/>
      <c r="HFF1634" s="1"/>
      <c r="HFG1634" s="1"/>
      <c r="HFH1634" s="1"/>
      <c r="HFI1634" s="1"/>
      <c r="HFJ1634" s="1"/>
      <c r="HFK1634" s="1"/>
      <c r="HFL1634" s="1"/>
      <c r="HFM1634" s="1"/>
      <c r="HFN1634" s="1"/>
      <c r="HFO1634" s="1"/>
      <c r="HFP1634" s="1"/>
      <c r="HFQ1634" s="1"/>
      <c r="HFR1634" s="1"/>
      <c r="HFS1634" s="1"/>
      <c r="HFT1634" s="1"/>
      <c r="HFU1634" s="1"/>
      <c r="HFV1634" s="1"/>
      <c r="HFW1634" s="1"/>
      <c r="HFX1634" s="1"/>
      <c r="HFY1634" s="1"/>
      <c r="HFZ1634" s="1"/>
      <c r="HGA1634" s="1"/>
      <c r="HGB1634" s="1"/>
      <c r="HGC1634" s="1"/>
      <c r="HGD1634" s="1"/>
      <c r="HGE1634" s="1"/>
      <c r="HGF1634" s="1"/>
      <c r="HGG1634" s="1"/>
      <c r="HGH1634" s="1"/>
      <c r="HGI1634" s="1"/>
      <c r="HGJ1634" s="1"/>
      <c r="HGK1634" s="1"/>
      <c r="HGL1634" s="1"/>
      <c r="HGM1634" s="1"/>
      <c r="HGN1634" s="1"/>
      <c r="HGO1634" s="1"/>
      <c r="HGP1634" s="1"/>
      <c r="HGQ1634" s="1"/>
      <c r="HGR1634" s="1"/>
      <c r="HGS1634" s="1"/>
      <c r="HGT1634" s="1"/>
      <c r="HGU1634" s="1"/>
      <c r="HGV1634" s="1"/>
      <c r="HGW1634" s="1"/>
      <c r="HGX1634" s="1"/>
      <c r="HGY1634" s="1"/>
      <c r="HGZ1634" s="1"/>
      <c r="HHA1634" s="1"/>
      <c r="HHB1634" s="1"/>
      <c r="HHC1634" s="1"/>
      <c r="HHD1634" s="1"/>
      <c r="HHE1634" s="1"/>
      <c r="HHF1634" s="1"/>
      <c r="HHG1634" s="1"/>
      <c r="HHH1634" s="1"/>
      <c r="HHI1634" s="1"/>
      <c r="HHJ1634" s="1"/>
      <c r="HHK1634" s="1"/>
      <c r="HHL1634" s="1"/>
      <c r="HHM1634" s="1"/>
      <c r="HHN1634" s="1"/>
      <c r="HHO1634" s="1"/>
      <c r="HHP1634" s="1"/>
      <c r="HHQ1634" s="1"/>
      <c r="HHR1634" s="1"/>
      <c r="HHS1634" s="1"/>
      <c r="HHT1634" s="1"/>
      <c r="HHU1634" s="1"/>
      <c r="HHV1634" s="1"/>
      <c r="HHW1634" s="1"/>
      <c r="HHX1634" s="1"/>
      <c r="HHY1634" s="1"/>
      <c r="HHZ1634" s="1"/>
      <c r="HIA1634" s="1"/>
      <c r="HIB1634" s="1"/>
      <c r="HIC1634" s="1"/>
      <c r="HID1634" s="1"/>
      <c r="HIE1634" s="1"/>
      <c r="HIF1634" s="1"/>
      <c r="HIG1634" s="1"/>
      <c r="HIH1634" s="1"/>
      <c r="HII1634" s="1"/>
      <c r="HIJ1634" s="1"/>
      <c r="HIK1634" s="1"/>
      <c r="HIL1634" s="1"/>
      <c r="HIM1634" s="1"/>
      <c r="HIN1634" s="1"/>
      <c r="HIO1634" s="1"/>
      <c r="HIP1634" s="1"/>
      <c r="HIQ1634" s="1"/>
      <c r="HIR1634" s="1"/>
      <c r="HIS1634" s="1"/>
      <c r="HIT1634" s="1"/>
      <c r="HIU1634" s="1"/>
      <c r="HIV1634" s="1"/>
      <c r="HIW1634" s="1"/>
      <c r="HIX1634" s="1"/>
      <c r="HIY1634" s="1"/>
      <c r="HIZ1634" s="1"/>
      <c r="HJA1634" s="1"/>
      <c r="HJB1634" s="1"/>
      <c r="HJC1634" s="1"/>
      <c r="HJD1634" s="1"/>
      <c r="HJE1634" s="1"/>
      <c r="HJF1634" s="1"/>
      <c r="HJG1634" s="1"/>
      <c r="HJH1634" s="1"/>
      <c r="HJI1634" s="1"/>
      <c r="HJJ1634" s="1"/>
      <c r="HJK1634" s="1"/>
      <c r="HJL1634" s="1"/>
      <c r="HJM1634" s="1"/>
      <c r="HJN1634" s="1"/>
      <c r="HJO1634" s="1"/>
      <c r="HJP1634" s="1"/>
      <c r="HJQ1634" s="1"/>
      <c r="HJR1634" s="1"/>
      <c r="HJS1634" s="1"/>
      <c r="HJT1634" s="1"/>
      <c r="HJU1634" s="1"/>
      <c r="HJV1634" s="1"/>
      <c r="HJW1634" s="1"/>
      <c r="HJX1634" s="1"/>
      <c r="HJY1634" s="1"/>
      <c r="HJZ1634" s="1"/>
      <c r="HKA1634" s="1"/>
      <c r="HKB1634" s="1"/>
      <c r="HKC1634" s="1"/>
      <c r="HKD1634" s="1"/>
      <c r="HKE1634" s="1"/>
      <c r="HKF1634" s="1"/>
      <c r="HKG1634" s="1"/>
      <c r="HKH1634" s="1"/>
      <c r="HKI1634" s="1"/>
      <c r="HKJ1634" s="1"/>
      <c r="HKK1634" s="1"/>
      <c r="HKL1634" s="1"/>
      <c r="HKM1634" s="1"/>
      <c r="HKN1634" s="1"/>
      <c r="HKO1634" s="1"/>
      <c r="HKP1634" s="1"/>
      <c r="HKQ1634" s="1"/>
      <c r="HKR1634" s="1"/>
      <c r="HKS1634" s="1"/>
      <c r="HKT1634" s="1"/>
      <c r="HKU1634" s="1"/>
      <c r="HKV1634" s="1"/>
      <c r="HKW1634" s="1"/>
      <c r="HKX1634" s="1"/>
      <c r="HKY1634" s="1"/>
      <c r="HKZ1634" s="1"/>
      <c r="HLA1634" s="1"/>
      <c r="HLB1634" s="1"/>
      <c r="HLC1634" s="1"/>
      <c r="HLD1634" s="1"/>
      <c r="HLE1634" s="1"/>
      <c r="HLF1634" s="1"/>
      <c r="HLG1634" s="1"/>
      <c r="HLH1634" s="1"/>
      <c r="HLI1634" s="1"/>
      <c r="HLJ1634" s="1"/>
      <c r="HLK1634" s="1"/>
      <c r="HLL1634" s="1"/>
      <c r="HLM1634" s="1"/>
      <c r="HLN1634" s="1"/>
      <c r="HLO1634" s="1"/>
      <c r="HLP1634" s="1"/>
      <c r="HLQ1634" s="1"/>
      <c r="HLR1634" s="1"/>
      <c r="HLS1634" s="1"/>
      <c r="HLT1634" s="1"/>
      <c r="HLU1634" s="1"/>
      <c r="HLV1634" s="1"/>
      <c r="HLW1634" s="1"/>
      <c r="HLX1634" s="1"/>
      <c r="HLY1634" s="1"/>
      <c r="HLZ1634" s="1"/>
      <c r="HMA1634" s="1"/>
      <c r="HMB1634" s="1"/>
      <c r="HMC1634" s="1"/>
      <c r="HMD1634" s="1"/>
      <c r="HME1634" s="1"/>
      <c r="HMF1634" s="1"/>
      <c r="HMG1634" s="1"/>
      <c r="HMH1634" s="1"/>
      <c r="HMI1634" s="1"/>
      <c r="HMJ1634" s="1"/>
      <c r="HMK1634" s="1"/>
      <c r="HML1634" s="1"/>
      <c r="HMM1634" s="1"/>
      <c r="HMN1634" s="1"/>
      <c r="HMO1634" s="1"/>
      <c r="HMP1634" s="1"/>
      <c r="HMQ1634" s="1"/>
      <c r="HMR1634" s="1"/>
      <c r="HMS1634" s="1"/>
      <c r="HMT1634" s="1"/>
      <c r="HMU1634" s="1"/>
      <c r="HMV1634" s="1"/>
      <c r="HMW1634" s="1"/>
      <c r="HMX1634" s="1"/>
      <c r="HMY1634" s="1"/>
      <c r="HMZ1634" s="1"/>
      <c r="HNA1634" s="1"/>
      <c r="HNB1634" s="1"/>
      <c r="HNC1634" s="1"/>
      <c r="HND1634" s="1"/>
      <c r="HNE1634" s="1"/>
      <c r="HNF1634" s="1"/>
      <c r="HNG1634" s="1"/>
      <c r="HNH1634" s="1"/>
      <c r="HNI1634" s="1"/>
      <c r="HNJ1634" s="1"/>
      <c r="HNK1634" s="1"/>
      <c r="HNL1634" s="1"/>
      <c r="HNM1634" s="1"/>
      <c r="HNN1634" s="1"/>
      <c r="HNO1634" s="1"/>
      <c r="HNP1634" s="1"/>
      <c r="HNQ1634" s="1"/>
      <c r="HNR1634" s="1"/>
      <c r="HNS1634" s="1"/>
      <c r="HNT1634" s="1"/>
      <c r="HNU1634" s="1"/>
      <c r="HNV1634" s="1"/>
      <c r="HNW1634" s="1"/>
      <c r="HNX1634" s="1"/>
      <c r="HNY1634" s="1"/>
      <c r="HNZ1634" s="1"/>
      <c r="HOA1634" s="1"/>
      <c r="HOB1634" s="1"/>
      <c r="HOC1634" s="1"/>
      <c r="HOD1634" s="1"/>
      <c r="HOE1634" s="1"/>
      <c r="HOF1634" s="1"/>
      <c r="HOG1634" s="1"/>
      <c r="HOH1634" s="1"/>
      <c r="HOI1634" s="1"/>
      <c r="HOJ1634" s="1"/>
      <c r="HOK1634" s="1"/>
      <c r="HOL1634" s="1"/>
      <c r="HOM1634" s="1"/>
      <c r="HON1634" s="1"/>
      <c r="HOO1634" s="1"/>
      <c r="HOP1634" s="1"/>
      <c r="HOQ1634" s="1"/>
      <c r="HOR1634" s="1"/>
      <c r="HOS1634" s="1"/>
      <c r="HOT1634" s="1"/>
      <c r="HOU1634" s="1"/>
      <c r="HOV1634" s="1"/>
      <c r="HOW1634" s="1"/>
      <c r="HOX1634" s="1"/>
      <c r="HOY1634" s="1"/>
      <c r="HOZ1634" s="1"/>
      <c r="HPA1634" s="1"/>
      <c r="HPB1634" s="1"/>
      <c r="HPC1634" s="1"/>
      <c r="HPD1634" s="1"/>
      <c r="HPE1634" s="1"/>
      <c r="HPF1634" s="1"/>
      <c r="HPG1634" s="1"/>
      <c r="HPH1634" s="1"/>
      <c r="HPI1634" s="1"/>
      <c r="HPJ1634" s="1"/>
      <c r="HPK1634" s="1"/>
      <c r="HPL1634" s="1"/>
      <c r="HPM1634" s="1"/>
      <c r="HPN1634" s="1"/>
      <c r="HPO1634" s="1"/>
      <c r="HPP1634" s="1"/>
      <c r="HPQ1634" s="1"/>
      <c r="HPR1634" s="1"/>
      <c r="HPS1634" s="1"/>
      <c r="HPT1634" s="1"/>
      <c r="HPU1634" s="1"/>
      <c r="HPV1634" s="1"/>
      <c r="HPW1634" s="1"/>
      <c r="HPX1634" s="1"/>
      <c r="HPY1634" s="1"/>
      <c r="HPZ1634" s="1"/>
      <c r="HQA1634" s="1"/>
      <c r="HQB1634" s="1"/>
      <c r="HQC1634" s="1"/>
      <c r="HQD1634" s="1"/>
      <c r="HQE1634" s="1"/>
      <c r="HQF1634" s="1"/>
      <c r="HQG1634" s="1"/>
      <c r="HQH1634" s="1"/>
      <c r="HQI1634" s="1"/>
      <c r="HQJ1634" s="1"/>
      <c r="HQK1634" s="1"/>
      <c r="HQL1634" s="1"/>
      <c r="HQM1634" s="1"/>
      <c r="HQN1634" s="1"/>
      <c r="HQO1634" s="1"/>
      <c r="HQP1634" s="1"/>
      <c r="HQQ1634" s="1"/>
      <c r="HQR1634" s="1"/>
      <c r="HQS1634" s="1"/>
      <c r="HQT1634" s="1"/>
      <c r="HQU1634" s="1"/>
      <c r="HQV1634" s="1"/>
      <c r="HQW1634" s="1"/>
      <c r="HQX1634" s="1"/>
      <c r="HQY1634" s="1"/>
      <c r="HQZ1634" s="1"/>
      <c r="HRA1634" s="1"/>
      <c r="HRB1634" s="1"/>
      <c r="HRC1634" s="1"/>
      <c r="HRD1634" s="1"/>
      <c r="HRE1634" s="1"/>
      <c r="HRF1634" s="1"/>
      <c r="HRG1634" s="1"/>
      <c r="HRH1634" s="1"/>
      <c r="HRI1634" s="1"/>
      <c r="HRJ1634" s="1"/>
      <c r="HRK1634" s="1"/>
      <c r="HRL1634" s="1"/>
      <c r="HRM1634" s="1"/>
      <c r="HRN1634" s="1"/>
      <c r="HRO1634" s="1"/>
      <c r="HRP1634" s="1"/>
      <c r="HRQ1634" s="1"/>
      <c r="HRR1634" s="1"/>
      <c r="HRS1634" s="1"/>
      <c r="HRT1634" s="1"/>
      <c r="HRU1634" s="1"/>
      <c r="HRV1634" s="1"/>
      <c r="HRW1634" s="1"/>
      <c r="HRX1634" s="1"/>
      <c r="HRY1634" s="1"/>
      <c r="HRZ1634" s="1"/>
      <c r="HSA1634" s="1"/>
      <c r="HSB1634" s="1"/>
      <c r="HSC1634" s="1"/>
      <c r="HSD1634" s="1"/>
      <c r="HSE1634" s="1"/>
      <c r="HSF1634" s="1"/>
      <c r="HSG1634" s="1"/>
      <c r="HSH1634" s="1"/>
      <c r="HSI1634" s="1"/>
      <c r="HSJ1634" s="1"/>
      <c r="HSK1634" s="1"/>
      <c r="HSL1634" s="1"/>
      <c r="HSM1634" s="1"/>
      <c r="HSN1634" s="1"/>
      <c r="HSO1634" s="1"/>
      <c r="HSP1634" s="1"/>
      <c r="HSQ1634" s="1"/>
      <c r="HSR1634" s="1"/>
      <c r="HSS1634" s="1"/>
      <c r="HST1634" s="1"/>
      <c r="HSU1634" s="1"/>
      <c r="HSV1634" s="1"/>
      <c r="HSW1634" s="1"/>
      <c r="HSX1634" s="1"/>
      <c r="HSY1634" s="1"/>
      <c r="HSZ1634" s="1"/>
      <c r="HTA1634" s="1"/>
      <c r="HTB1634" s="1"/>
      <c r="HTC1634" s="1"/>
      <c r="HTD1634" s="1"/>
      <c r="HTE1634" s="1"/>
      <c r="HTF1634" s="1"/>
      <c r="HTG1634" s="1"/>
      <c r="HTH1634" s="1"/>
      <c r="HTI1634" s="1"/>
      <c r="HTJ1634" s="1"/>
      <c r="HTK1634" s="1"/>
      <c r="HTL1634" s="1"/>
      <c r="HTM1634" s="1"/>
      <c r="HTN1634" s="1"/>
      <c r="HTO1634" s="1"/>
      <c r="HTP1634" s="1"/>
      <c r="HTQ1634" s="1"/>
      <c r="HTR1634" s="1"/>
      <c r="HTS1634" s="1"/>
      <c r="HTT1634" s="1"/>
      <c r="HTU1634" s="1"/>
      <c r="HTV1634" s="1"/>
      <c r="HTW1634" s="1"/>
      <c r="HTX1634" s="1"/>
      <c r="HTY1634" s="1"/>
      <c r="HTZ1634" s="1"/>
      <c r="HUA1634" s="1"/>
      <c r="HUB1634" s="1"/>
      <c r="HUC1634" s="1"/>
      <c r="HUD1634" s="1"/>
      <c r="HUE1634" s="1"/>
      <c r="HUF1634" s="1"/>
      <c r="HUG1634" s="1"/>
      <c r="HUH1634" s="1"/>
      <c r="HUI1634" s="1"/>
      <c r="HUJ1634" s="1"/>
      <c r="HUK1634" s="1"/>
      <c r="HUL1634" s="1"/>
      <c r="HUM1634" s="1"/>
      <c r="HUN1634" s="1"/>
      <c r="HUO1634" s="1"/>
      <c r="HUP1634" s="1"/>
      <c r="HUQ1634" s="1"/>
      <c r="HUR1634" s="1"/>
      <c r="HUS1634" s="1"/>
      <c r="HUT1634" s="1"/>
      <c r="HUU1634" s="1"/>
      <c r="HUV1634" s="1"/>
      <c r="HUW1634" s="1"/>
      <c r="HUX1634" s="1"/>
      <c r="HUY1634" s="1"/>
      <c r="HUZ1634" s="1"/>
      <c r="HVA1634" s="1"/>
      <c r="HVB1634" s="1"/>
      <c r="HVC1634" s="1"/>
      <c r="HVD1634" s="1"/>
      <c r="HVE1634" s="1"/>
      <c r="HVF1634" s="1"/>
      <c r="HVG1634" s="1"/>
      <c r="HVH1634" s="1"/>
      <c r="HVI1634" s="1"/>
      <c r="HVJ1634" s="1"/>
      <c r="HVK1634" s="1"/>
      <c r="HVL1634" s="1"/>
      <c r="HVM1634" s="1"/>
      <c r="HVN1634" s="1"/>
      <c r="HVO1634" s="1"/>
      <c r="HVP1634" s="1"/>
      <c r="HVQ1634" s="1"/>
      <c r="HVR1634" s="1"/>
      <c r="HVS1634" s="1"/>
      <c r="HVT1634" s="1"/>
      <c r="HVU1634" s="1"/>
      <c r="HVV1634" s="1"/>
      <c r="HVW1634" s="1"/>
      <c r="HVX1634" s="1"/>
      <c r="HVY1634" s="1"/>
      <c r="HVZ1634" s="1"/>
      <c r="HWA1634" s="1"/>
      <c r="HWB1634" s="1"/>
      <c r="HWC1634" s="1"/>
      <c r="HWD1634" s="1"/>
      <c r="HWE1634" s="1"/>
      <c r="HWF1634" s="1"/>
      <c r="HWG1634" s="1"/>
      <c r="HWH1634" s="1"/>
      <c r="HWI1634" s="1"/>
      <c r="HWJ1634" s="1"/>
      <c r="HWK1634" s="1"/>
      <c r="HWL1634" s="1"/>
      <c r="HWM1634" s="1"/>
      <c r="HWN1634" s="1"/>
      <c r="HWO1634" s="1"/>
      <c r="HWP1634" s="1"/>
      <c r="HWQ1634" s="1"/>
      <c r="HWR1634" s="1"/>
      <c r="HWS1634" s="1"/>
      <c r="HWT1634" s="1"/>
      <c r="HWU1634" s="1"/>
      <c r="HWV1634" s="1"/>
      <c r="HWW1634" s="1"/>
      <c r="HWX1634" s="1"/>
      <c r="HWY1634" s="1"/>
      <c r="HWZ1634" s="1"/>
      <c r="HXA1634" s="1"/>
      <c r="HXB1634" s="1"/>
      <c r="HXC1634" s="1"/>
      <c r="HXD1634" s="1"/>
      <c r="HXE1634" s="1"/>
      <c r="HXF1634" s="1"/>
      <c r="HXG1634" s="1"/>
      <c r="HXH1634" s="1"/>
      <c r="HXI1634" s="1"/>
      <c r="HXJ1634" s="1"/>
      <c r="HXK1634" s="1"/>
      <c r="HXL1634" s="1"/>
      <c r="HXM1634" s="1"/>
      <c r="HXN1634" s="1"/>
      <c r="HXO1634" s="1"/>
      <c r="HXP1634" s="1"/>
      <c r="HXQ1634" s="1"/>
      <c r="HXR1634" s="1"/>
      <c r="HXS1634" s="1"/>
      <c r="HXT1634" s="1"/>
      <c r="HXU1634" s="1"/>
      <c r="HXV1634" s="1"/>
      <c r="HXW1634" s="1"/>
      <c r="HXX1634" s="1"/>
      <c r="HXY1634" s="1"/>
      <c r="HXZ1634" s="1"/>
      <c r="HYA1634" s="1"/>
      <c r="HYB1634" s="1"/>
      <c r="HYC1634" s="1"/>
      <c r="HYD1634" s="1"/>
      <c r="HYE1634" s="1"/>
      <c r="HYF1634" s="1"/>
      <c r="HYG1634" s="1"/>
      <c r="HYH1634" s="1"/>
      <c r="HYI1634" s="1"/>
      <c r="HYJ1634" s="1"/>
      <c r="HYK1634" s="1"/>
      <c r="HYL1634" s="1"/>
      <c r="HYM1634" s="1"/>
      <c r="HYN1634" s="1"/>
      <c r="HYO1634" s="1"/>
      <c r="HYP1634" s="1"/>
      <c r="HYQ1634" s="1"/>
      <c r="HYR1634" s="1"/>
      <c r="HYS1634" s="1"/>
      <c r="HYT1634" s="1"/>
      <c r="HYU1634" s="1"/>
      <c r="HYV1634" s="1"/>
      <c r="HYW1634" s="1"/>
      <c r="HYX1634" s="1"/>
      <c r="HYY1634" s="1"/>
      <c r="HYZ1634" s="1"/>
      <c r="HZA1634" s="1"/>
      <c r="HZB1634" s="1"/>
      <c r="HZC1634" s="1"/>
      <c r="HZD1634" s="1"/>
      <c r="HZE1634" s="1"/>
      <c r="HZF1634" s="1"/>
      <c r="HZG1634" s="1"/>
      <c r="HZH1634" s="1"/>
      <c r="HZI1634" s="1"/>
      <c r="HZJ1634" s="1"/>
      <c r="HZK1634" s="1"/>
      <c r="HZL1634" s="1"/>
      <c r="HZM1634" s="1"/>
      <c r="HZN1634" s="1"/>
      <c r="HZO1634" s="1"/>
      <c r="HZP1634" s="1"/>
      <c r="HZQ1634" s="1"/>
      <c r="HZR1634" s="1"/>
      <c r="HZS1634" s="1"/>
      <c r="HZT1634" s="1"/>
      <c r="HZU1634" s="1"/>
      <c r="HZV1634" s="1"/>
      <c r="HZW1634" s="1"/>
      <c r="HZX1634" s="1"/>
      <c r="HZY1634" s="1"/>
      <c r="HZZ1634" s="1"/>
      <c r="IAA1634" s="1"/>
      <c r="IAB1634" s="1"/>
      <c r="IAC1634" s="1"/>
      <c r="IAD1634" s="1"/>
      <c r="IAE1634" s="1"/>
      <c r="IAF1634" s="1"/>
      <c r="IAG1634" s="1"/>
      <c r="IAH1634" s="1"/>
      <c r="IAI1634" s="1"/>
      <c r="IAJ1634" s="1"/>
      <c r="IAK1634" s="1"/>
      <c r="IAL1634" s="1"/>
      <c r="IAM1634" s="1"/>
      <c r="IAN1634" s="1"/>
      <c r="IAO1634" s="1"/>
      <c r="IAP1634" s="1"/>
      <c r="IAQ1634" s="1"/>
      <c r="IAR1634" s="1"/>
      <c r="IAS1634" s="1"/>
      <c r="IAT1634" s="1"/>
      <c r="IAU1634" s="1"/>
      <c r="IAV1634" s="1"/>
      <c r="IAW1634" s="1"/>
      <c r="IAX1634" s="1"/>
      <c r="IAY1634" s="1"/>
      <c r="IAZ1634" s="1"/>
      <c r="IBA1634" s="1"/>
      <c r="IBB1634" s="1"/>
      <c r="IBC1634" s="1"/>
      <c r="IBD1634" s="1"/>
      <c r="IBE1634" s="1"/>
      <c r="IBF1634" s="1"/>
      <c r="IBG1634" s="1"/>
      <c r="IBH1634" s="1"/>
      <c r="IBI1634" s="1"/>
      <c r="IBJ1634" s="1"/>
      <c r="IBK1634" s="1"/>
      <c r="IBL1634" s="1"/>
      <c r="IBM1634" s="1"/>
      <c r="IBN1634" s="1"/>
      <c r="IBO1634" s="1"/>
      <c r="IBP1634" s="1"/>
      <c r="IBQ1634" s="1"/>
      <c r="IBR1634" s="1"/>
      <c r="IBS1634" s="1"/>
      <c r="IBT1634" s="1"/>
      <c r="IBU1634" s="1"/>
      <c r="IBV1634" s="1"/>
      <c r="IBW1634" s="1"/>
      <c r="IBX1634" s="1"/>
      <c r="IBY1634" s="1"/>
      <c r="IBZ1634" s="1"/>
      <c r="ICA1634" s="1"/>
      <c r="ICB1634" s="1"/>
      <c r="ICC1634" s="1"/>
      <c r="ICD1634" s="1"/>
      <c r="ICE1634" s="1"/>
      <c r="ICF1634" s="1"/>
      <c r="ICG1634" s="1"/>
      <c r="ICH1634" s="1"/>
      <c r="ICI1634" s="1"/>
      <c r="ICJ1634" s="1"/>
      <c r="ICK1634" s="1"/>
      <c r="ICL1634" s="1"/>
      <c r="ICM1634" s="1"/>
      <c r="ICN1634" s="1"/>
      <c r="ICO1634" s="1"/>
      <c r="ICP1634" s="1"/>
      <c r="ICQ1634" s="1"/>
      <c r="ICR1634" s="1"/>
      <c r="ICS1634" s="1"/>
      <c r="ICT1634" s="1"/>
      <c r="ICU1634" s="1"/>
      <c r="ICV1634" s="1"/>
      <c r="ICW1634" s="1"/>
      <c r="ICX1634" s="1"/>
      <c r="ICY1634" s="1"/>
      <c r="ICZ1634" s="1"/>
      <c r="IDA1634" s="1"/>
      <c r="IDB1634" s="1"/>
      <c r="IDC1634" s="1"/>
      <c r="IDD1634" s="1"/>
      <c r="IDE1634" s="1"/>
      <c r="IDF1634" s="1"/>
      <c r="IDG1634" s="1"/>
      <c r="IDH1634" s="1"/>
      <c r="IDI1634" s="1"/>
      <c r="IDJ1634" s="1"/>
      <c r="IDK1634" s="1"/>
      <c r="IDL1634" s="1"/>
      <c r="IDM1634" s="1"/>
      <c r="IDN1634" s="1"/>
      <c r="IDO1634" s="1"/>
      <c r="IDP1634" s="1"/>
      <c r="IDQ1634" s="1"/>
      <c r="IDR1634" s="1"/>
      <c r="IDS1634" s="1"/>
      <c r="IDT1634" s="1"/>
      <c r="IDU1634" s="1"/>
      <c r="IDV1634" s="1"/>
      <c r="IDW1634" s="1"/>
      <c r="IDX1634" s="1"/>
      <c r="IDY1634" s="1"/>
      <c r="IDZ1634" s="1"/>
      <c r="IEA1634" s="1"/>
      <c r="IEB1634" s="1"/>
      <c r="IEC1634" s="1"/>
      <c r="IED1634" s="1"/>
      <c r="IEE1634" s="1"/>
      <c r="IEF1634" s="1"/>
      <c r="IEG1634" s="1"/>
      <c r="IEH1634" s="1"/>
      <c r="IEI1634" s="1"/>
      <c r="IEJ1634" s="1"/>
      <c r="IEK1634" s="1"/>
      <c r="IEL1634" s="1"/>
      <c r="IEM1634" s="1"/>
      <c r="IEN1634" s="1"/>
      <c r="IEO1634" s="1"/>
      <c r="IEP1634" s="1"/>
      <c r="IEQ1634" s="1"/>
      <c r="IER1634" s="1"/>
      <c r="IES1634" s="1"/>
      <c r="IET1634" s="1"/>
      <c r="IEU1634" s="1"/>
      <c r="IEV1634" s="1"/>
      <c r="IEW1634" s="1"/>
      <c r="IEX1634" s="1"/>
      <c r="IEY1634" s="1"/>
      <c r="IEZ1634" s="1"/>
      <c r="IFA1634" s="1"/>
      <c r="IFB1634" s="1"/>
      <c r="IFC1634" s="1"/>
      <c r="IFD1634" s="1"/>
      <c r="IFE1634" s="1"/>
      <c r="IFF1634" s="1"/>
      <c r="IFG1634" s="1"/>
      <c r="IFH1634" s="1"/>
      <c r="IFI1634" s="1"/>
      <c r="IFJ1634" s="1"/>
      <c r="IFK1634" s="1"/>
      <c r="IFL1634" s="1"/>
      <c r="IFM1634" s="1"/>
      <c r="IFN1634" s="1"/>
      <c r="IFO1634" s="1"/>
      <c r="IFP1634" s="1"/>
      <c r="IFQ1634" s="1"/>
      <c r="IFR1634" s="1"/>
      <c r="IFS1634" s="1"/>
      <c r="IFT1634" s="1"/>
      <c r="IFU1634" s="1"/>
      <c r="IFV1634" s="1"/>
      <c r="IFW1634" s="1"/>
      <c r="IFX1634" s="1"/>
      <c r="IFY1634" s="1"/>
      <c r="IFZ1634" s="1"/>
      <c r="IGA1634" s="1"/>
      <c r="IGB1634" s="1"/>
      <c r="IGC1634" s="1"/>
      <c r="IGD1634" s="1"/>
      <c r="IGE1634" s="1"/>
      <c r="IGF1634" s="1"/>
      <c r="IGG1634" s="1"/>
      <c r="IGH1634" s="1"/>
      <c r="IGI1634" s="1"/>
      <c r="IGJ1634" s="1"/>
      <c r="IGK1634" s="1"/>
      <c r="IGL1634" s="1"/>
      <c r="IGM1634" s="1"/>
      <c r="IGN1634" s="1"/>
      <c r="IGO1634" s="1"/>
      <c r="IGP1634" s="1"/>
      <c r="IGQ1634" s="1"/>
      <c r="IGR1634" s="1"/>
      <c r="IGS1634" s="1"/>
      <c r="IGT1634" s="1"/>
      <c r="IGU1634" s="1"/>
      <c r="IGV1634" s="1"/>
      <c r="IGW1634" s="1"/>
      <c r="IGX1634" s="1"/>
      <c r="IGY1634" s="1"/>
      <c r="IGZ1634" s="1"/>
      <c r="IHA1634" s="1"/>
      <c r="IHB1634" s="1"/>
      <c r="IHC1634" s="1"/>
      <c r="IHD1634" s="1"/>
      <c r="IHE1634" s="1"/>
      <c r="IHF1634" s="1"/>
      <c r="IHG1634" s="1"/>
      <c r="IHH1634" s="1"/>
      <c r="IHI1634" s="1"/>
      <c r="IHJ1634" s="1"/>
      <c r="IHK1634" s="1"/>
      <c r="IHL1634" s="1"/>
      <c r="IHM1634" s="1"/>
      <c r="IHN1634" s="1"/>
      <c r="IHO1634" s="1"/>
      <c r="IHP1634" s="1"/>
      <c r="IHQ1634" s="1"/>
      <c r="IHR1634" s="1"/>
      <c r="IHS1634" s="1"/>
      <c r="IHT1634" s="1"/>
      <c r="IHU1634" s="1"/>
      <c r="IHV1634" s="1"/>
      <c r="IHW1634" s="1"/>
      <c r="IHX1634" s="1"/>
      <c r="IHY1634" s="1"/>
      <c r="IHZ1634" s="1"/>
      <c r="IIA1634" s="1"/>
      <c r="IIB1634" s="1"/>
      <c r="IIC1634" s="1"/>
      <c r="IID1634" s="1"/>
      <c r="IIE1634" s="1"/>
      <c r="IIF1634" s="1"/>
      <c r="IIG1634" s="1"/>
      <c r="IIH1634" s="1"/>
      <c r="III1634" s="1"/>
      <c r="IIJ1634" s="1"/>
      <c r="IIK1634" s="1"/>
      <c r="IIL1634" s="1"/>
      <c r="IIM1634" s="1"/>
      <c r="IIN1634" s="1"/>
      <c r="IIO1634" s="1"/>
      <c r="IIP1634" s="1"/>
      <c r="IIQ1634" s="1"/>
      <c r="IIR1634" s="1"/>
      <c r="IIS1634" s="1"/>
      <c r="IIT1634" s="1"/>
      <c r="IIU1634" s="1"/>
      <c r="IIV1634" s="1"/>
      <c r="IIW1634" s="1"/>
      <c r="IIX1634" s="1"/>
      <c r="IIY1634" s="1"/>
      <c r="IIZ1634" s="1"/>
      <c r="IJA1634" s="1"/>
      <c r="IJB1634" s="1"/>
      <c r="IJC1634" s="1"/>
      <c r="IJD1634" s="1"/>
      <c r="IJE1634" s="1"/>
      <c r="IJF1634" s="1"/>
      <c r="IJG1634" s="1"/>
      <c r="IJH1634" s="1"/>
      <c r="IJI1634" s="1"/>
      <c r="IJJ1634" s="1"/>
      <c r="IJK1634" s="1"/>
      <c r="IJL1634" s="1"/>
      <c r="IJM1634" s="1"/>
      <c r="IJN1634" s="1"/>
      <c r="IJO1634" s="1"/>
      <c r="IJP1634" s="1"/>
      <c r="IJQ1634" s="1"/>
      <c r="IJR1634" s="1"/>
      <c r="IJS1634" s="1"/>
      <c r="IJT1634" s="1"/>
      <c r="IJU1634" s="1"/>
      <c r="IJV1634" s="1"/>
      <c r="IJW1634" s="1"/>
      <c r="IJX1634" s="1"/>
      <c r="IJY1634" s="1"/>
      <c r="IJZ1634" s="1"/>
      <c r="IKA1634" s="1"/>
      <c r="IKB1634" s="1"/>
      <c r="IKC1634" s="1"/>
      <c r="IKD1634" s="1"/>
      <c r="IKE1634" s="1"/>
      <c r="IKF1634" s="1"/>
      <c r="IKG1634" s="1"/>
      <c r="IKH1634" s="1"/>
      <c r="IKI1634" s="1"/>
      <c r="IKJ1634" s="1"/>
      <c r="IKK1634" s="1"/>
      <c r="IKL1634" s="1"/>
      <c r="IKM1634" s="1"/>
      <c r="IKN1634" s="1"/>
      <c r="IKO1634" s="1"/>
      <c r="IKP1634" s="1"/>
      <c r="IKQ1634" s="1"/>
      <c r="IKR1634" s="1"/>
      <c r="IKS1634" s="1"/>
      <c r="IKT1634" s="1"/>
      <c r="IKU1634" s="1"/>
      <c r="IKV1634" s="1"/>
      <c r="IKW1634" s="1"/>
      <c r="IKX1634" s="1"/>
      <c r="IKY1634" s="1"/>
      <c r="IKZ1634" s="1"/>
      <c r="ILA1634" s="1"/>
      <c r="ILB1634" s="1"/>
      <c r="ILC1634" s="1"/>
      <c r="ILD1634" s="1"/>
      <c r="ILE1634" s="1"/>
      <c r="ILF1634" s="1"/>
      <c r="ILG1634" s="1"/>
      <c r="ILH1634" s="1"/>
      <c r="ILI1634" s="1"/>
      <c r="ILJ1634" s="1"/>
      <c r="ILK1634" s="1"/>
      <c r="ILL1634" s="1"/>
      <c r="ILM1634" s="1"/>
      <c r="ILN1634" s="1"/>
      <c r="ILO1634" s="1"/>
      <c r="ILP1634" s="1"/>
      <c r="ILQ1634" s="1"/>
      <c r="ILR1634" s="1"/>
      <c r="ILS1634" s="1"/>
      <c r="ILT1634" s="1"/>
      <c r="ILU1634" s="1"/>
      <c r="ILV1634" s="1"/>
      <c r="ILW1634" s="1"/>
      <c r="ILX1634" s="1"/>
      <c r="ILY1634" s="1"/>
      <c r="ILZ1634" s="1"/>
      <c r="IMA1634" s="1"/>
      <c r="IMB1634" s="1"/>
      <c r="IMC1634" s="1"/>
      <c r="IMD1634" s="1"/>
      <c r="IME1634" s="1"/>
      <c r="IMF1634" s="1"/>
      <c r="IMG1634" s="1"/>
      <c r="IMH1634" s="1"/>
      <c r="IMI1634" s="1"/>
      <c r="IMJ1634" s="1"/>
      <c r="IMK1634" s="1"/>
      <c r="IML1634" s="1"/>
      <c r="IMM1634" s="1"/>
      <c r="IMN1634" s="1"/>
      <c r="IMO1634" s="1"/>
      <c r="IMP1634" s="1"/>
      <c r="IMQ1634" s="1"/>
      <c r="IMR1634" s="1"/>
      <c r="IMS1634" s="1"/>
      <c r="IMT1634" s="1"/>
      <c r="IMU1634" s="1"/>
      <c r="IMV1634" s="1"/>
      <c r="IMW1634" s="1"/>
      <c r="IMX1634" s="1"/>
      <c r="IMY1634" s="1"/>
      <c r="IMZ1634" s="1"/>
      <c r="INA1634" s="1"/>
      <c r="INB1634" s="1"/>
      <c r="INC1634" s="1"/>
      <c r="IND1634" s="1"/>
      <c r="INE1634" s="1"/>
      <c r="INF1634" s="1"/>
      <c r="ING1634" s="1"/>
      <c r="INH1634" s="1"/>
      <c r="INI1634" s="1"/>
      <c r="INJ1634" s="1"/>
      <c r="INK1634" s="1"/>
      <c r="INL1634" s="1"/>
      <c r="INM1634" s="1"/>
      <c r="INN1634" s="1"/>
      <c r="INO1634" s="1"/>
      <c r="INP1634" s="1"/>
      <c r="INQ1634" s="1"/>
      <c r="INR1634" s="1"/>
      <c r="INS1634" s="1"/>
      <c r="INT1634" s="1"/>
      <c r="INU1634" s="1"/>
      <c r="INV1634" s="1"/>
      <c r="INW1634" s="1"/>
      <c r="INX1634" s="1"/>
      <c r="INY1634" s="1"/>
      <c r="INZ1634" s="1"/>
      <c r="IOA1634" s="1"/>
      <c r="IOB1634" s="1"/>
      <c r="IOC1634" s="1"/>
      <c r="IOD1634" s="1"/>
      <c r="IOE1634" s="1"/>
      <c r="IOF1634" s="1"/>
      <c r="IOG1634" s="1"/>
      <c r="IOH1634" s="1"/>
      <c r="IOI1634" s="1"/>
      <c r="IOJ1634" s="1"/>
      <c r="IOK1634" s="1"/>
      <c r="IOL1634" s="1"/>
      <c r="IOM1634" s="1"/>
      <c r="ION1634" s="1"/>
      <c r="IOO1634" s="1"/>
      <c r="IOP1634" s="1"/>
      <c r="IOQ1634" s="1"/>
      <c r="IOR1634" s="1"/>
      <c r="IOS1634" s="1"/>
      <c r="IOT1634" s="1"/>
      <c r="IOU1634" s="1"/>
      <c r="IOV1634" s="1"/>
      <c r="IOW1634" s="1"/>
      <c r="IOX1634" s="1"/>
      <c r="IOY1634" s="1"/>
      <c r="IOZ1634" s="1"/>
      <c r="IPA1634" s="1"/>
      <c r="IPB1634" s="1"/>
      <c r="IPC1634" s="1"/>
      <c r="IPD1634" s="1"/>
      <c r="IPE1634" s="1"/>
      <c r="IPF1634" s="1"/>
      <c r="IPG1634" s="1"/>
      <c r="IPH1634" s="1"/>
      <c r="IPI1634" s="1"/>
      <c r="IPJ1634" s="1"/>
      <c r="IPK1634" s="1"/>
      <c r="IPL1634" s="1"/>
      <c r="IPM1634" s="1"/>
      <c r="IPN1634" s="1"/>
      <c r="IPO1634" s="1"/>
      <c r="IPP1634" s="1"/>
      <c r="IPQ1634" s="1"/>
      <c r="IPR1634" s="1"/>
      <c r="IPS1634" s="1"/>
      <c r="IPT1634" s="1"/>
      <c r="IPU1634" s="1"/>
      <c r="IPV1634" s="1"/>
      <c r="IPW1634" s="1"/>
      <c r="IPX1634" s="1"/>
      <c r="IPY1634" s="1"/>
      <c r="IPZ1634" s="1"/>
      <c r="IQA1634" s="1"/>
      <c r="IQB1634" s="1"/>
      <c r="IQC1634" s="1"/>
      <c r="IQD1634" s="1"/>
      <c r="IQE1634" s="1"/>
      <c r="IQF1634" s="1"/>
      <c r="IQG1634" s="1"/>
      <c r="IQH1634" s="1"/>
      <c r="IQI1634" s="1"/>
      <c r="IQJ1634" s="1"/>
      <c r="IQK1634" s="1"/>
      <c r="IQL1634" s="1"/>
      <c r="IQM1634" s="1"/>
      <c r="IQN1634" s="1"/>
      <c r="IQO1634" s="1"/>
      <c r="IQP1634" s="1"/>
      <c r="IQQ1634" s="1"/>
      <c r="IQR1634" s="1"/>
      <c r="IQS1634" s="1"/>
      <c r="IQT1634" s="1"/>
      <c r="IQU1634" s="1"/>
      <c r="IQV1634" s="1"/>
      <c r="IQW1634" s="1"/>
      <c r="IQX1634" s="1"/>
      <c r="IQY1634" s="1"/>
      <c r="IQZ1634" s="1"/>
      <c r="IRA1634" s="1"/>
      <c r="IRB1634" s="1"/>
      <c r="IRC1634" s="1"/>
      <c r="IRD1634" s="1"/>
      <c r="IRE1634" s="1"/>
      <c r="IRF1634" s="1"/>
      <c r="IRG1634" s="1"/>
      <c r="IRH1634" s="1"/>
      <c r="IRI1634" s="1"/>
      <c r="IRJ1634" s="1"/>
      <c r="IRK1634" s="1"/>
      <c r="IRL1634" s="1"/>
      <c r="IRM1634" s="1"/>
      <c r="IRN1634" s="1"/>
      <c r="IRO1634" s="1"/>
      <c r="IRP1634" s="1"/>
      <c r="IRQ1634" s="1"/>
      <c r="IRR1634" s="1"/>
      <c r="IRS1634" s="1"/>
      <c r="IRT1634" s="1"/>
      <c r="IRU1634" s="1"/>
      <c r="IRV1634" s="1"/>
      <c r="IRW1634" s="1"/>
      <c r="IRX1634" s="1"/>
      <c r="IRY1634" s="1"/>
      <c r="IRZ1634" s="1"/>
      <c r="ISA1634" s="1"/>
      <c r="ISB1634" s="1"/>
      <c r="ISC1634" s="1"/>
      <c r="ISD1634" s="1"/>
      <c r="ISE1634" s="1"/>
      <c r="ISF1634" s="1"/>
      <c r="ISG1634" s="1"/>
      <c r="ISH1634" s="1"/>
      <c r="ISI1634" s="1"/>
      <c r="ISJ1634" s="1"/>
      <c r="ISK1634" s="1"/>
      <c r="ISL1634" s="1"/>
      <c r="ISM1634" s="1"/>
      <c r="ISN1634" s="1"/>
      <c r="ISO1634" s="1"/>
      <c r="ISP1634" s="1"/>
      <c r="ISQ1634" s="1"/>
      <c r="ISR1634" s="1"/>
      <c r="ISS1634" s="1"/>
      <c r="IST1634" s="1"/>
      <c r="ISU1634" s="1"/>
      <c r="ISV1634" s="1"/>
      <c r="ISW1634" s="1"/>
      <c r="ISX1634" s="1"/>
      <c r="ISY1634" s="1"/>
      <c r="ISZ1634" s="1"/>
      <c r="ITA1634" s="1"/>
      <c r="ITB1634" s="1"/>
      <c r="ITC1634" s="1"/>
      <c r="ITD1634" s="1"/>
      <c r="ITE1634" s="1"/>
      <c r="ITF1634" s="1"/>
      <c r="ITG1634" s="1"/>
      <c r="ITH1634" s="1"/>
      <c r="ITI1634" s="1"/>
      <c r="ITJ1634" s="1"/>
      <c r="ITK1634" s="1"/>
      <c r="ITL1634" s="1"/>
      <c r="ITM1634" s="1"/>
      <c r="ITN1634" s="1"/>
      <c r="ITO1634" s="1"/>
      <c r="ITP1634" s="1"/>
      <c r="ITQ1634" s="1"/>
      <c r="ITR1634" s="1"/>
      <c r="ITS1634" s="1"/>
      <c r="ITT1634" s="1"/>
      <c r="ITU1634" s="1"/>
      <c r="ITV1634" s="1"/>
      <c r="ITW1634" s="1"/>
      <c r="ITX1634" s="1"/>
      <c r="ITY1634" s="1"/>
      <c r="ITZ1634" s="1"/>
      <c r="IUA1634" s="1"/>
      <c r="IUB1634" s="1"/>
      <c r="IUC1634" s="1"/>
      <c r="IUD1634" s="1"/>
      <c r="IUE1634" s="1"/>
      <c r="IUF1634" s="1"/>
      <c r="IUG1634" s="1"/>
      <c r="IUH1634" s="1"/>
      <c r="IUI1634" s="1"/>
      <c r="IUJ1634" s="1"/>
      <c r="IUK1634" s="1"/>
      <c r="IUL1634" s="1"/>
      <c r="IUM1634" s="1"/>
      <c r="IUN1634" s="1"/>
      <c r="IUO1634" s="1"/>
      <c r="IUP1634" s="1"/>
      <c r="IUQ1634" s="1"/>
      <c r="IUR1634" s="1"/>
      <c r="IUS1634" s="1"/>
      <c r="IUT1634" s="1"/>
      <c r="IUU1634" s="1"/>
      <c r="IUV1634" s="1"/>
      <c r="IUW1634" s="1"/>
      <c r="IUX1634" s="1"/>
      <c r="IUY1634" s="1"/>
      <c r="IUZ1634" s="1"/>
      <c r="IVA1634" s="1"/>
      <c r="IVB1634" s="1"/>
      <c r="IVC1634" s="1"/>
      <c r="IVD1634" s="1"/>
      <c r="IVE1634" s="1"/>
      <c r="IVF1634" s="1"/>
      <c r="IVG1634" s="1"/>
      <c r="IVH1634" s="1"/>
      <c r="IVI1634" s="1"/>
      <c r="IVJ1634" s="1"/>
      <c r="IVK1634" s="1"/>
      <c r="IVL1634" s="1"/>
      <c r="IVM1634" s="1"/>
      <c r="IVN1634" s="1"/>
      <c r="IVO1634" s="1"/>
      <c r="IVP1634" s="1"/>
      <c r="IVQ1634" s="1"/>
      <c r="IVR1634" s="1"/>
      <c r="IVS1634" s="1"/>
      <c r="IVT1634" s="1"/>
      <c r="IVU1634" s="1"/>
      <c r="IVV1634" s="1"/>
      <c r="IVW1634" s="1"/>
      <c r="IVX1634" s="1"/>
      <c r="IVY1634" s="1"/>
      <c r="IVZ1634" s="1"/>
      <c r="IWA1634" s="1"/>
      <c r="IWB1634" s="1"/>
      <c r="IWC1634" s="1"/>
      <c r="IWD1634" s="1"/>
      <c r="IWE1634" s="1"/>
      <c r="IWF1634" s="1"/>
      <c r="IWG1634" s="1"/>
      <c r="IWH1634" s="1"/>
      <c r="IWI1634" s="1"/>
      <c r="IWJ1634" s="1"/>
      <c r="IWK1634" s="1"/>
      <c r="IWL1634" s="1"/>
      <c r="IWM1634" s="1"/>
      <c r="IWN1634" s="1"/>
      <c r="IWO1634" s="1"/>
      <c r="IWP1634" s="1"/>
      <c r="IWQ1634" s="1"/>
      <c r="IWR1634" s="1"/>
      <c r="IWS1634" s="1"/>
      <c r="IWT1634" s="1"/>
      <c r="IWU1634" s="1"/>
      <c r="IWV1634" s="1"/>
      <c r="IWW1634" s="1"/>
      <c r="IWX1634" s="1"/>
      <c r="IWY1634" s="1"/>
      <c r="IWZ1634" s="1"/>
      <c r="IXA1634" s="1"/>
      <c r="IXB1634" s="1"/>
      <c r="IXC1634" s="1"/>
      <c r="IXD1634" s="1"/>
      <c r="IXE1634" s="1"/>
      <c r="IXF1634" s="1"/>
      <c r="IXG1634" s="1"/>
      <c r="IXH1634" s="1"/>
      <c r="IXI1634" s="1"/>
      <c r="IXJ1634" s="1"/>
      <c r="IXK1634" s="1"/>
      <c r="IXL1634" s="1"/>
      <c r="IXM1634" s="1"/>
      <c r="IXN1634" s="1"/>
      <c r="IXO1634" s="1"/>
      <c r="IXP1634" s="1"/>
      <c r="IXQ1634" s="1"/>
      <c r="IXR1634" s="1"/>
      <c r="IXS1634" s="1"/>
      <c r="IXT1634" s="1"/>
      <c r="IXU1634" s="1"/>
      <c r="IXV1634" s="1"/>
      <c r="IXW1634" s="1"/>
      <c r="IXX1634" s="1"/>
      <c r="IXY1634" s="1"/>
      <c r="IXZ1634" s="1"/>
      <c r="IYA1634" s="1"/>
      <c r="IYB1634" s="1"/>
      <c r="IYC1634" s="1"/>
      <c r="IYD1634" s="1"/>
      <c r="IYE1634" s="1"/>
      <c r="IYF1634" s="1"/>
      <c r="IYG1634" s="1"/>
      <c r="IYH1634" s="1"/>
      <c r="IYI1634" s="1"/>
      <c r="IYJ1634" s="1"/>
      <c r="IYK1634" s="1"/>
      <c r="IYL1634" s="1"/>
      <c r="IYM1634" s="1"/>
      <c r="IYN1634" s="1"/>
      <c r="IYO1634" s="1"/>
      <c r="IYP1634" s="1"/>
      <c r="IYQ1634" s="1"/>
      <c r="IYR1634" s="1"/>
      <c r="IYS1634" s="1"/>
      <c r="IYT1634" s="1"/>
      <c r="IYU1634" s="1"/>
      <c r="IYV1634" s="1"/>
      <c r="IYW1634" s="1"/>
      <c r="IYX1634" s="1"/>
      <c r="IYY1634" s="1"/>
      <c r="IYZ1634" s="1"/>
      <c r="IZA1634" s="1"/>
      <c r="IZB1634" s="1"/>
      <c r="IZC1634" s="1"/>
      <c r="IZD1634" s="1"/>
      <c r="IZE1634" s="1"/>
      <c r="IZF1634" s="1"/>
      <c r="IZG1634" s="1"/>
      <c r="IZH1634" s="1"/>
      <c r="IZI1634" s="1"/>
      <c r="IZJ1634" s="1"/>
      <c r="IZK1634" s="1"/>
      <c r="IZL1634" s="1"/>
      <c r="IZM1634" s="1"/>
      <c r="IZN1634" s="1"/>
      <c r="IZO1634" s="1"/>
      <c r="IZP1634" s="1"/>
      <c r="IZQ1634" s="1"/>
      <c r="IZR1634" s="1"/>
      <c r="IZS1634" s="1"/>
      <c r="IZT1634" s="1"/>
      <c r="IZU1634" s="1"/>
      <c r="IZV1634" s="1"/>
      <c r="IZW1634" s="1"/>
      <c r="IZX1634" s="1"/>
      <c r="IZY1634" s="1"/>
      <c r="IZZ1634" s="1"/>
      <c r="JAA1634" s="1"/>
      <c r="JAB1634" s="1"/>
      <c r="JAC1634" s="1"/>
      <c r="JAD1634" s="1"/>
      <c r="JAE1634" s="1"/>
      <c r="JAF1634" s="1"/>
      <c r="JAG1634" s="1"/>
      <c r="JAH1634" s="1"/>
      <c r="JAI1634" s="1"/>
      <c r="JAJ1634" s="1"/>
      <c r="JAK1634" s="1"/>
      <c r="JAL1634" s="1"/>
      <c r="JAM1634" s="1"/>
      <c r="JAN1634" s="1"/>
      <c r="JAO1634" s="1"/>
      <c r="JAP1634" s="1"/>
      <c r="JAQ1634" s="1"/>
      <c r="JAR1634" s="1"/>
      <c r="JAS1634" s="1"/>
      <c r="JAT1634" s="1"/>
      <c r="JAU1634" s="1"/>
      <c r="JAV1634" s="1"/>
      <c r="JAW1634" s="1"/>
      <c r="JAX1634" s="1"/>
      <c r="JAY1634" s="1"/>
      <c r="JAZ1634" s="1"/>
      <c r="JBA1634" s="1"/>
      <c r="JBB1634" s="1"/>
      <c r="JBC1634" s="1"/>
      <c r="JBD1634" s="1"/>
      <c r="JBE1634" s="1"/>
      <c r="JBF1634" s="1"/>
      <c r="JBG1634" s="1"/>
      <c r="JBH1634" s="1"/>
      <c r="JBI1634" s="1"/>
      <c r="JBJ1634" s="1"/>
      <c r="JBK1634" s="1"/>
      <c r="JBL1634" s="1"/>
      <c r="JBM1634" s="1"/>
      <c r="JBN1634" s="1"/>
      <c r="JBO1634" s="1"/>
      <c r="JBP1634" s="1"/>
      <c r="JBQ1634" s="1"/>
      <c r="JBR1634" s="1"/>
      <c r="JBS1634" s="1"/>
      <c r="JBT1634" s="1"/>
      <c r="JBU1634" s="1"/>
      <c r="JBV1634" s="1"/>
      <c r="JBW1634" s="1"/>
      <c r="JBX1634" s="1"/>
      <c r="JBY1634" s="1"/>
      <c r="JBZ1634" s="1"/>
      <c r="JCA1634" s="1"/>
      <c r="JCB1634" s="1"/>
      <c r="JCC1634" s="1"/>
      <c r="JCD1634" s="1"/>
      <c r="JCE1634" s="1"/>
      <c r="JCF1634" s="1"/>
      <c r="JCG1634" s="1"/>
      <c r="JCH1634" s="1"/>
      <c r="JCI1634" s="1"/>
      <c r="JCJ1634" s="1"/>
      <c r="JCK1634" s="1"/>
      <c r="JCL1634" s="1"/>
      <c r="JCM1634" s="1"/>
      <c r="JCN1634" s="1"/>
      <c r="JCO1634" s="1"/>
      <c r="JCP1634" s="1"/>
      <c r="JCQ1634" s="1"/>
      <c r="JCR1634" s="1"/>
      <c r="JCS1634" s="1"/>
      <c r="JCT1634" s="1"/>
      <c r="JCU1634" s="1"/>
      <c r="JCV1634" s="1"/>
      <c r="JCW1634" s="1"/>
      <c r="JCX1634" s="1"/>
      <c r="JCY1634" s="1"/>
      <c r="JCZ1634" s="1"/>
      <c r="JDA1634" s="1"/>
      <c r="JDB1634" s="1"/>
      <c r="JDC1634" s="1"/>
      <c r="JDD1634" s="1"/>
      <c r="JDE1634" s="1"/>
      <c r="JDF1634" s="1"/>
      <c r="JDG1634" s="1"/>
      <c r="JDH1634" s="1"/>
      <c r="JDI1634" s="1"/>
      <c r="JDJ1634" s="1"/>
      <c r="JDK1634" s="1"/>
      <c r="JDL1634" s="1"/>
      <c r="JDM1634" s="1"/>
      <c r="JDN1634" s="1"/>
      <c r="JDO1634" s="1"/>
      <c r="JDP1634" s="1"/>
      <c r="JDQ1634" s="1"/>
      <c r="JDR1634" s="1"/>
      <c r="JDS1634" s="1"/>
      <c r="JDT1634" s="1"/>
      <c r="JDU1634" s="1"/>
      <c r="JDV1634" s="1"/>
      <c r="JDW1634" s="1"/>
      <c r="JDX1634" s="1"/>
      <c r="JDY1634" s="1"/>
      <c r="JDZ1634" s="1"/>
      <c r="JEA1634" s="1"/>
      <c r="JEB1634" s="1"/>
      <c r="JEC1634" s="1"/>
      <c r="JED1634" s="1"/>
      <c r="JEE1634" s="1"/>
      <c r="JEF1634" s="1"/>
      <c r="JEG1634" s="1"/>
      <c r="JEH1634" s="1"/>
      <c r="JEI1634" s="1"/>
      <c r="JEJ1634" s="1"/>
      <c r="JEK1634" s="1"/>
      <c r="JEL1634" s="1"/>
      <c r="JEM1634" s="1"/>
      <c r="JEN1634" s="1"/>
      <c r="JEO1634" s="1"/>
      <c r="JEP1634" s="1"/>
      <c r="JEQ1634" s="1"/>
      <c r="JER1634" s="1"/>
      <c r="JES1634" s="1"/>
      <c r="JET1634" s="1"/>
      <c r="JEU1634" s="1"/>
      <c r="JEV1634" s="1"/>
      <c r="JEW1634" s="1"/>
      <c r="JEX1634" s="1"/>
      <c r="JEY1634" s="1"/>
      <c r="JEZ1634" s="1"/>
      <c r="JFA1634" s="1"/>
      <c r="JFB1634" s="1"/>
      <c r="JFC1634" s="1"/>
      <c r="JFD1634" s="1"/>
      <c r="JFE1634" s="1"/>
      <c r="JFF1634" s="1"/>
      <c r="JFG1634" s="1"/>
      <c r="JFH1634" s="1"/>
      <c r="JFI1634" s="1"/>
      <c r="JFJ1634" s="1"/>
      <c r="JFK1634" s="1"/>
      <c r="JFL1634" s="1"/>
      <c r="JFM1634" s="1"/>
      <c r="JFN1634" s="1"/>
      <c r="JFO1634" s="1"/>
      <c r="JFP1634" s="1"/>
      <c r="JFQ1634" s="1"/>
      <c r="JFR1634" s="1"/>
      <c r="JFS1634" s="1"/>
      <c r="JFT1634" s="1"/>
      <c r="JFU1634" s="1"/>
      <c r="JFV1634" s="1"/>
      <c r="JFW1634" s="1"/>
      <c r="JFX1634" s="1"/>
      <c r="JFY1634" s="1"/>
      <c r="JFZ1634" s="1"/>
      <c r="JGA1634" s="1"/>
      <c r="JGB1634" s="1"/>
      <c r="JGC1634" s="1"/>
      <c r="JGD1634" s="1"/>
      <c r="JGE1634" s="1"/>
      <c r="JGF1634" s="1"/>
      <c r="JGG1634" s="1"/>
      <c r="JGH1634" s="1"/>
      <c r="JGI1634" s="1"/>
      <c r="JGJ1634" s="1"/>
      <c r="JGK1634" s="1"/>
      <c r="JGL1634" s="1"/>
      <c r="JGM1634" s="1"/>
      <c r="JGN1634" s="1"/>
      <c r="JGO1634" s="1"/>
      <c r="JGP1634" s="1"/>
      <c r="JGQ1634" s="1"/>
      <c r="JGR1634" s="1"/>
      <c r="JGS1634" s="1"/>
      <c r="JGT1634" s="1"/>
      <c r="JGU1634" s="1"/>
      <c r="JGV1634" s="1"/>
      <c r="JGW1634" s="1"/>
      <c r="JGX1634" s="1"/>
      <c r="JGY1634" s="1"/>
      <c r="JGZ1634" s="1"/>
      <c r="JHA1634" s="1"/>
      <c r="JHB1634" s="1"/>
      <c r="JHC1634" s="1"/>
      <c r="JHD1634" s="1"/>
      <c r="JHE1634" s="1"/>
      <c r="JHF1634" s="1"/>
      <c r="JHG1634" s="1"/>
      <c r="JHH1634" s="1"/>
      <c r="JHI1634" s="1"/>
      <c r="JHJ1634" s="1"/>
      <c r="JHK1634" s="1"/>
      <c r="JHL1634" s="1"/>
      <c r="JHM1634" s="1"/>
      <c r="JHN1634" s="1"/>
      <c r="JHO1634" s="1"/>
      <c r="JHP1634" s="1"/>
      <c r="JHQ1634" s="1"/>
      <c r="JHR1634" s="1"/>
      <c r="JHS1634" s="1"/>
      <c r="JHT1634" s="1"/>
      <c r="JHU1634" s="1"/>
      <c r="JHV1634" s="1"/>
      <c r="JHW1634" s="1"/>
      <c r="JHX1634" s="1"/>
      <c r="JHY1634" s="1"/>
      <c r="JHZ1634" s="1"/>
      <c r="JIA1634" s="1"/>
      <c r="JIB1634" s="1"/>
      <c r="JIC1634" s="1"/>
      <c r="JID1634" s="1"/>
      <c r="JIE1634" s="1"/>
      <c r="JIF1634" s="1"/>
      <c r="JIG1634" s="1"/>
      <c r="JIH1634" s="1"/>
      <c r="JII1634" s="1"/>
      <c r="JIJ1634" s="1"/>
      <c r="JIK1634" s="1"/>
      <c r="JIL1634" s="1"/>
      <c r="JIM1634" s="1"/>
      <c r="JIN1634" s="1"/>
      <c r="JIO1634" s="1"/>
      <c r="JIP1634" s="1"/>
      <c r="JIQ1634" s="1"/>
      <c r="JIR1634" s="1"/>
      <c r="JIS1634" s="1"/>
      <c r="JIT1634" s="1"/>
      <c r="JIU1634" s="1"/>
      <c r="JIV1634" s="1"/>
      <c r="JIW1634" s="1"/>
      <c r="JIX1634" s="1"/>
      <c r="JIY1634" s="1"/>
      <c r="JIZ1634" s="1"/>
      <c r="JJA1634" s="1"/>
      <c r="JJB1634" s="1"/>
      <c r="JJC1634" s="1"/>
      <c r="JJD1634" s="1"/>
      <c r="JJE1634" s="1"/>
      <c r="JJF1634" s="1"/>
      <c r="JJG1634" s="1"/>
      <c r="JJH1634" s="1"/>
      <c r="JJI1634" s="1"/>
      <c r="JJJ1634" s="1"/>
      <c r="JJK1634" s="1"/>
      <c r="JJL1634" s="1"/>
      <c r="JJM1634" s="1"/>
      <c r="JJN1634" s="1"/>
      <c r="JJO1634" s="1"/>
      <c r="JJP1634" s="1"/>
      <c r="JJQ1634" s="1"/>
      <c r="JJR1634" s="1"/>
      <c r="JJS1634" s="1"/>
      <c r="JJT1634" s="1"/>
      <c r="JJU1634" s="1"/>
      <c r="JJV1634" s="1"/>
      <c r="JJW1634" s="1"/>
      <c r="JJX1634" s="1"/>
      <c r="JJY1634" s="1"/>
      <c r="JJZ1634" s="1"/>
      <c r="JKA1634" s="1"/>
      <c r="JKB1634" s="1"/>
      <c r="JKC1634" s="1"/>
      <c r="JKD1634" s="1"/>
      <c r="JKE1634" s="1"/>
      <c r="JKF1634" s="1"/>
      <c r="JKG1634" s="1"/>
      <c r="JKH1634" s="1"/>
      <c r="JKI1634" s="1"/>
      <c r="JKJ1634" s="1"/>
      <c r="JKK1634" s="1"/>
      <c r="JKL1634" s="1"/>
      <c r="JKM1634" s="1"/>
      <c r="JKN1634" s="1"/>
      <c r="JKO1634" s="1"/>
      <c r="JKP1634" s="1"/>
      <c r="JKQ1634" s="1"/>
      <c r="JKR1634" s="1"/>
      <c r="JKS1634" s="1"/>
      <c r="JKT1634" s="1"/>
      <c r="JKU1634" s="1"/>
      <c r="JKV1634" s="1"/>
      <c r="JKW1634" s="1"/>
      <c r="JKX1634" s="1"/>
      <c r="JKY1634" s="1"/>
      <c r="JKZ1634" s="1"/>
      <c r="JLA1634" s="1"/>
      <c r="JLB1634" s="1"/>
      <c r="JLC1634" s="1"/>
      <c r="JLD1634" s="1"/>
      <c r="JLE1634" s="1"/>
      <c r="JLF1634" s="1"/>
      <c r="JLG1634" s="1"/>
      <c r="JLH1634" s="1"/>
      <c r="JLI1634" s="1"/>
      <c r="JLJ1634" s="1"/>
      <c r="JLK1634" s="1"/>
      <c r="JLL1634" s="1"/>
      <c r="JLM1634" s="1"/>
      <c r="JLN1634" s="1"/>
      <c r="JLO1634" s="1"/>
      <c r="JLP1634" s="1"/>
      <c r="JLQ1634" s="1"/>
      <c r="JLR1634" s="1"/>
      <c r="JLS1634" s="1"/>
      <c r="JLT1634" s="1"/>
      <c r="JLU1634" s="1"/>
      <c r="JLV1634" s="1"/>
      <c r="JLW1634" s="1"/>
      <c r="JLX1634" s="1"/>
      <c r="JLY1634" s="1"/>
      <c r="JLZ1634" s="1"/>
      <c r="JMA1634" s="1"/>
      <c r="JMB1634" s="1"/>
      <c r="JMC1634" s="1"/>
      <c r="JMD1634" s="1"/>
      <c r="JME1634" s="1"/>
      <c r="JMF1634" s="1"/>
      <c r="JMG1634" s="1"/>
      <c r="JMH1634" s="1"/>
      <c r="JMI1634" s="1"/>
      <c r="JMJ1634" s="1"/>
      <c r="JMK1634" s="1"/>
      <c r="JML1634" s="1"/>
      <c r="JMM1634" s="1"/>
      <c r="JMN1634" s="1"/>
      <c r="JMO1634" s="1"/>
      <c r="JMP1634" s="1"/>
      <c r="JMQ1634" s="1"/>
      <c r="JMR1634" s="1"/>
      <c r="JMS1634" s="1"/>
      <c r="JMT1634" s="1"/>
      <c r="JMU1634" s="1"/>
      <c r="JMV1634" s="1"/>
      <c r="JMW1634" s="1"/>
      <c r="JMX1634" s="1"/>
      <c r="JMY1634" s="1"/>
      <c r="JMZ1634" s="1"/>
      <c r="JNA1634" s="1"/>
      <c r="JNB1634" s="1"/>
      <c r="JNC1634" s="1"/>
      <c r="JND1634" s="1"/>
      <c r="JNE1634" s="1"/>
      <c r="JNF1634" s="1"/>
      <c r="JNG1634" s="1"/>
      <c r="JNH1634" s="1"/>
      <c r="JNI1634" s="1"/>
      <c r="JNJ1634" s="1"/>
      <c r="JNK1634" s="1"/>
      <c r="JNL1634" s="1"/>
      <c r="JNM1634" s="1"/>
      <c r="JNN1634" s="1"/>
      <c r="JNO1634" s="1"/>
      <c r="JNP1634" s="1"/>
      <c r="JNQ1634" s="1"/>
      <c r="JNR1634" s="1"/>
      <c r="JNS1634" s="1"/>
      <c r="JNT1634" s="1"/>
      <c r="JNU1634" s="1"/>
      <c r="JNV1634" s="1"/>
      <c r="JNW1634" s="1"/>
      <c r="JNX1634" s="1"/>
      <c r="JNY1634" s="1"/>
      <c r="JNZ1634" s="1"/>
      <c r="JOA1634" s="1"/>
      <c r="JOB1634" s="1"/>
      <c r="JOC1634" s="1"/>
      <c r="JOD1634" s="1"/>
      <c r="JOE1634" s="1"/>
      <c r="JOF1634" s="1"/>
      <c r="JOG1634" s="1"/>
      <c r="JOH1634" s="1"/>
      <c r="JOI1634" s="1"/>
      <c r="JOJ1634" s="1"/>
      <c r="JOK1634" s="1"/>
      <c r="JOL1634" s="1"/>
      <c r="JOM1634" s="1"/>
      <c r="JON1634" s="1"/>
      <c r="JOO1634" s="1"/>
      <c r="JOP1634" s="1"/>
      <c r="JOQ1634" s="1"/>
      <c r="JOR1634" s="1"/>
      <c r="JOS1634" s="1"/>
      <c r="JOT1634" s="1"/>
      <c r="JOU1634" s="1"/>
      <c r="JOV1634" s="1"/>
      <c r="JOW1634" s="1"/>
      <c r="JOX1634" s="1"/>
      <c r="JOY1634" s="1"/>
      <c r="JOZ1634" s="1"/>
      <c r="JPA1634" s="1"/>
      <c r="JPB1634" s="1"/>
      <c r="JPC1634" s="1"/>
      <c r="JPD1634" s="1"/>
      <c r="JPE1634" s="1"/>
      <c r="JPF1634" s="1"/>
      <c r="JPG1634" s="1"/>
      <c r="JPH1634" s="1"/>
      <c r="JPI1634" s="1"/>
      <c r="JPJ1634" s="1"/>
      <c r="JPK1634" s="1"/>
      <c r="JPL1634" s="1"/>
      <c r="JPM1634" s="1"/>
      <c r="JPN1634" s="1"/>
      <c r="JPO1634" s="1"/>
      <c r="JPP1634" s="1"/>
      <c r="JPQ1634" s="1"/>
      <c r="JPR1634" s="1"/>
      <c r="JPS1634" s="1"/>
      <c r="JPT1634" s="1"/>
      <c r="JPU1634" s="1"/>
      <c r="JPV1634" s="1"/>
      <c r="JPW1634" s="1"/>
      <c r="JPX1634" s="1"/>
      <c r="JPY1634" s="1"/>
      <c r="JPZ1634" s="1"/>
      <c r="JQA1634" s="1"/>
      <c r="JQB1634" s="1"/>
      <c r="JQC1634" s="1"/>
      <c r="JQD1634" s="1"/>
      <c r="JQE1634" s="1"/>
      <c r="JQF1634" s="1"/>
      <c r="JQG1634" s="1"/>
      <c r="JQH1634" s="1"/>
      <c r="JQI1634" s="1"/>
      <c r="JQJ1634" s="1"/>
      <c r="JQK1634" s="1"/>
      <c r="JQL1634" s="1"/>
      <c r="JQM1634" s="1"/>
      <c r="JQN1634" s="1"/>
      <c r="JQO1634" s="1"/>
      <c r="JQP1634" s="1"/>
      <c r="JQQ1634" s="1"/>
      <c r="JQR1634" s="1"/>
      <c r="JQS1634" s="1"/>
      <c r="JQT1634" s="1"/>
      <c r="JQU1634" s="1"/>
      <c r="JQV1634" s="1"/>
      <c r="JQW1634" s="1"/>
      <c r="JQX1634" s="1"/>
      <c r="JQY1634" s="1"/>
      <c r="JQZ1634" s="1"/>
      <c r="JRA1634" s="1"/>
      <c r="JRB1634" s="1"/>
      <c r="JRC1634" s="1"/>
      <c r="JRD1634" s="1"/>
      <c r="JRE1634" s="1"/>
      <c r="JRF1634" s="1"/>
      <c r="JRG1634" s="1"/>
      <c r="JRH1634" s="1"/>
      <c r="JRI1634" s="1"/>
      <c r="JRJ1634" s="1"/>
      <c r="JRK1634" s="1"/>
      <c r="JRL1634" s="1"/>
      <c r="JRM1634" s="1"/>
      <c r="JRN1634" s="1"/>
      <c r="JRO1634" s="1"/>
      <c r="JRP1634" s="1"/>
      <c r="JRQ1634" s="1"/>
      <c r="JRR1634" s="1"/>
      <c r="JRS1634" s="1"/>
      <c r="JRT1634" s="1"/>
      <c r="JRU1634" s="1"/>
      <c r="JRV1634" s="1"/>
      <c r="JRW1634" s="1"/>
      <c r="JRX1634" s="1"/>
      <c r="JRY1634" s="1"/>
      <c r="JRZ1634" s="1"/>
      <c r="JSA1634" s="1"/>
      <c r="JSB1634" s="1"/>
      <c r="JSC1634" s="1"/>
      <c r="JSD1634" s="1"/>
      <c r="JSE1634" s="1"/>
      <c r="JSF1634" s="1"/>
      <c r="JSG1634" s="1"/>
      <c r="JSH1634" s="1"/>
      <c r="JSI1634" s="1"/>
      <c r="JSJ1634" s="1"/>
      <c r="JSK1634" s="1"/>
      <c r="JSL1634" s="1"/>
      <c r="JSM1634" s="1"/>
      <c r="JSN1634" s="1"/>
      <c r="JSO1634" s="1"/>
      <c r="JSP1634" s="1"/>
      <c r="JSQ1634" s="1"/>
      <c r="JSR1634" s="1"/>
      <c r="JSS1634" s="1"/>
      <c r="JST1634" s="1"/>
      <c r="JSU1634" s="1"/>
      <c r="JSV1634" s="1"/>
      <c r="JSW1634" s="1"/>
      <c r="JSX1634" s="1"/>
      <c r="JSY1634" s="1"/>
      <c r="JSZ1634" s="1"/>
      <c r="JTA1634" s="1"/>
      <c r="JTB1634" s="1"/>
      <c r="JTC1634" s="1"/>
      <c r="JTD1634" s="1"/>
      <c r="JTE1634" s="1"/>
      <c r="JTF1634" s="1"/>
      <c r="JTG1634" s="1"/>
      <c r="JTH1634" s="1"/>
      <c r="JTI1634" s="1"/>
      <c r="JTJ1634" s="1"/>
      <c r="JTK1634" s="1"/>
      <c r="JTL1634" s="1"/>
      <c r="JTM1634" s="1"/>
      <c r="JTN1634" s="1"/>
      <c r="JTO1634" s="1"/>
      <c r="JTP1634" s="1"/>
      <c r="JTQ1634" s="1"/>
      <c r="JTR1634" s="1"/>
      <c r="JTS1634" s="1"/>
      <c r="JTT1634" s="1"/>
      <c r="JTU1634" s="1"/>
      <c r="JTV1634" s="1"/>
      <c r="JTW1634" s="1"/>
      <c r="JTX1634" s="1"/>
      <c r="JTY1634" s="1"/>
      <c r="JTZ1634" s="1"/>
      <c r="JUA1634" s="1"/>
      <c r="JUB1634" s="1"/>
      <c r="JUC1634" s="1"/>
      <c r="JUD1634" s="1"/>
      <c r="JUE1634" s="1"/>
      <c r="JUF1634" s="1"/>
      <c r="JUG1634" s="1"/>
      <c r="JUH1634" s="1"/>
      <c r="JUI1634" s="1"/>
      <c r="JUJ1634" s="1"/>
      <c r="JUK1634" s="1"/>
      <c r="JUL1634" s="1"/>
      <c r="JUM1634" s="1"/>
      <c r="JUN1634" s="1"/>
      <c r="JUO1634" s="1"/>
      <c r="JUP1634" s="1"/>
      <c r="JUQ1634" s="1"/>
      <c r="JUR1634" s="1"/>
      <c r="JUS1634" s="1"/>
      <c r="JUT1634" s="1"/>
      <c r="JUU1634" s="1"/>
      <c r="JUV1634" s="1"/>
      <c r="JUW1634" s="1"/>
      <c r="JUX1634" s="1"/>
      <c r="JUY1634" s="1"/>
      <c r="JUZ1634" s="1"/>
      <c r="JVA1634" s="1"/>
      <c r="JVB1634" s="1"/>
      <c r="JVC1634" s="1"/>
      <c r="JVD1634" s="1"/>
      <c r="JVE1634" s="1"/>
      <c r="JVF1634" s="1"/>
      <c r="JVG1634" s="1"/>
      <c r="JVH1634" s="1"/>
      <c r="JVI1634" s="1"/>
      <c r="JVJ1634" s="1"/>
      <c r="JVK1634" s="1"/>
      <c r="JVL1634" s="1"/>
      <c r="JVM1634" s="1"/>
      <c r="JVN1634" s="1"/>
      <c r="JVO1634" s="1"/>
      <c r="JVP1634" s="1"/>
      <c r="JVQ1634" s="1"/>
      <c r="JVR1634" s="1"/>
      <c r="JVS1634" s="1"/>
      <c r="JVT1634" s="1"/>
      <c r="JVU1634" s="1"/>
      <c r="JVV1634" s="1"/>
      <c r="JVW1634" s="1"/>
      <c r="JVX1634" s="1"/>
      <c r="JVY1634" s="1"/>
      <c r="JVZ1634" s="1"/>
      <c r="JWA1634" s="1"/>
      <c r="JWB1634" s="1"/>
      <c r="JWC1634" s="1"/>
      <c r="JWD1634" s="1"/>
      <c r="JWE1634" s="1"/>
      <c r="JWF1634" s="1"/>
      <c r="JWG1634" s="1"/>
      <c r="JWH1634" s="1"/>
      <c r="JWI1634" s="1"/>
      <c r="JWJ1634" s="1"/>
      <c r="JWK1634" s="1"/>
      <c r="JWL1634" s="1"/>
      <c r="JWM1634" s="1"/>
      <c r="JWN1634" s="1"/>
      <c r="JWO1634" s="1"/>
      <c r="JWP1634" s="1"/>
      <c r="JWQ1634" s="1"/>
      <c r="JWR1634" s="1"/>
      <c r="JWS1634" s="1"/>
      <c r="JWT1634" s="1"/>
      <c r="JWU1634" s="1"/>
      <c r="JWV1634" s="1"/>
      <c r="JWW1634" s="1"/>
      <c r="JWX1634" s="1"/>
      <c r="JWY1634" s="1"/>
      <c r="JWZ1634" s="1"/>
      <c r="JXA1634" s="1"/>
      <c r="JXB1634" s="1"/>
      <c r="JXC1634" s="1"/>
      <c r="JXD1634" s="1"/>
      <c r="JXE1634" s="1"/>
      <c r="JXF1634" s="1"/>
      <c r="JXG1634" s="1"/>
      <c r="JXH1634" s="1"/>
      <c r="JXI1634" s="1"/>
      <c r="JXJ1634" s="1"/>
      <c r="JXK1634" s="1"/>
      <c r="JXL1634" s="1"/>
      <c r="JXM1634" s="1"/>
      <c r="JXN1634" s="1"/>
      <c r="JXO1634" s="1"/>
      <c r="JXP1634" s="1"/>
      <c r="JXQ1634" s="1"/>
      <c r="JXR1634" s="1"/>
      <c r="JXS1634" s="1"/>
      <c r="JXT1634" s="1"/>
      <c r="JXU1634" s="1"/>
      <c r="JXV1634" s="1"/>
      <c r="JXW1634" s="1"/>
      <c r="JXX1634" s="1"/>
      <c r="JXY1634" s="1"/>
      <c r="JXZ1634" s="1"/>
      <c r="JYA1634" s="1"/>
      <c r="JYB1634" s="1"/>
      <c r="JYC1634" s="1"/>
      <c r="JYD1634" s="1"/>
      <c r="JYE1634" s="1"/>
      <c r="JYF1634" s="1"/>
      <c r="JYG1634" s="1"/>
      <c r="JYH1634" s="1"/>
      <c r="JYI1634" s="1"/>
      <c r="JYJ1634" s="1"/>
      <c r="JYK1634" s="1"/>
      <c r="JYL1634" s="1"/>
      <c r="JYM1634" s="1"/>
      <c r="JYN1634" s="1"/>
      <c r="JYO1634" s="1"/>
      <c r="JYP1634" s="1"/>
      <c r="JYQ1634" s="1"/>
      <c r="JYR1634" s="1"/>
      <c r="JYS1634" s="1"/>
      <c r="JYT1634" s="1"/>
      <c r="JYU1634" s="1"/>
      <c r="JYV1634" s="1"/>
      <c r="JYW1634" s="1"/>
      <c r="JYX1634" s="1"/>
      <c r="JYY1634" s="1"/>
      <c r="JYZ1634" s="1"/>
      <c r="JZA1634" s="1"/>
      <c r="JZB1634" s="1"/>
      <c r="JZC1634" s="1"/>
      <c r="JZD1634" s="1"/>
      <c r="JZE1634" s="1"/>
      <c r="JZF1634" s="1"/>
      <c r="JZG1634" s="1"/>
      <c r="JZH1634" s="1"/>
      <c r="JZI1634" s="1"/>
      <c r="JZJ1634" s="1"/>
      <c r="JZK1634" s="1"/>
      <c r="JZL1634" s="1"/>
      <c r="JZM1634" s="1"/>
      <c r="JZN1634" s="1"/>
      <c r="JZO1634" s="1"/>
      <c r="JZP1634" s="1"/>
      <c r="JZQ1634" s="1"/>
      <c r="JZR1634" s="1"/>
      <c r="JZS1634" s="1"/>
      <c r="JZT1634" s="1"/>
      <c r="JZU1634" s="1"/>
      <c r="JZV1634" s="1"/>
      <c r="JZW1634" s="1"/>
      <c r="JZX1634" s="1"/>
      <c r="JZY1634" s="1"/>
      <c r="JZZ1634" s="1"/>
      <c r="KAA1634" s="1"/>
      <c r="KAB1634" s="1"/>
      <c r="KAC1634" s="1"/>
      <c r="KAD1634" s="1"/>
      <c r="KAE1634" s="1"/>
      <c r="KAF1634" s="1"/>
      <c r="KAG1634" s="1"/>
      <c r="KAH1634" s="1"/>
      <c r="KAI1634" s="1"/>
      <c r="KAJ1634" s="1"/>
      <c r="KAK1634" s="1"/>
      <c r="KAL1634" s="1"/>
      <c r="KAM1634" s="1"/>
      <c r="KAN1634" s="1"/>
      <c r="KAO1634" s="1"/>
      <c r="KAP1634" s="1"/>
      <c r="KAQ1634" s="1"/>
      <c r="KAR1634" s="1"/>
      <c r="KAS1634" s="1"/>
      <c r="KAT1634" s="1"/>
      <c r="KAU1634" s="1"/>
      <c r="KAV1634" s="1"/>
      <c r="KAW1634" s="1"/>
      <c r="KAX1634" s="1"/>
      <c r="KAY1634" s="1"/>
      <c r="KAZ1634" s="1"/>
      <c r="KBA1634" s="1"/>
      <c r="KBB1634" s="1"/>
      <c r="KBC1634" s="1"/>
      <c r="KBD1634" s="1"/>
      <c r="KBE1634" s="1"/>
      <c r="KBF1634" s="1"/>
      <c r="KBG1634" s="1"/>
      <c r="KBH1634" s="1"/>
      <c r="KBI1634" s="1"/>
      <c r="KBJ1634" s="1"/>
      <c r="KBK1634" s="1"/>
      <c r="KBL1634" s="1"/>
      <c r="KBM1634" s="1"/>
      <c r="KBN1634" s="1"/>
      <c r="KBO1634" s="1"/>
      <c r="KBP1634" s="1"/>
      <c r="KBQ1634" s="1"/>
      <c r="KBR1634" s="1"/>
      <c r="KBS1634" s="1"/>
      <c r="KBT1634" s="1"/>
      <c r="KBU1634" s="1"/>
      <c r="KBV1634" s="1"/>
      <c r="KBW1634" s="1"/>
      <c r="KBX1634" s="1"/>
      <c r="KBY1634" s="1"/>
      <c r="KBZ1634" s="1"/>
      <c r="KCA1634" s="1"/>
      <c r="KCB1634" s="1"/>
      <c r="KCC1634" s="1"/>
      <c r="KCD1634" s="1"/>
      <c r="KCE1634" s="1"/>
      <c r="KCF1634" s="1"/>
      <c r="KCG1634" s="1"/>
      <c r="KCH1634" s="1"/>
      <c r="KCI1634" s="1"/>
      <c r="KCJ1634" s="1"/>
      <c r="KCK1634" s="1"/>
      <c r="KCL1634" s="1"/>
      <c r="KCM1634" s="1"/>
      <c r="KCN1634" s="1"/>
      <c r="KCO1634" s="1"/>
      <c r="KCP1634" s="1"/>
      <c r="KCQ1634" s="1"/>
      <c r="KCR1634" s="1"/>
      <c r="KCS1634" s="1"/>
      <c r="KCT1634" s="1"/>
      <c r="KCU1634" s="1"/>
      <c r="KCV1634" s="1"/>
      <c r="KCW1634" s="1"/>
      <c r="KCX1634" s="1"/>
      <c r="KCY1634" s="1"/>
      <c r="KCZ1634" s="1"/>
      <c r="KDA1634" s="1"/>
      <c r="KDB1634" s="1"/>
      <c r="KDC1634" s="1"/>
      <c r="KDD1634" s="1"/>
      <c r="KDE1634" s="1"/>
      <c r="KDF1634" s="1"/>
      <c r="KDG1634" s="1"/>
      <c r="KDH1634" s="1"/>
      <c r="KDI1634" s="1"/>
      <c r="KDJ1634" s="1"/>
      <c r="KDK1634" s="1"/>
      <c r="KDL1634" s="1"/>
      <c r="KDM1634" s="1"/>
      <c r="KDN1634" s="1"/>
      <c r="KDO1634" s="1"/>
      <c r="KDP1634" s="1"/>
      <c r="KDQ1634" s="1"/>
      <c r="KDR1634" s="1"/>
      <c r="KDS1634" s="1"/>
      <c r="KDT1634" s="1"/>
      <c r="KDU1634" s="1"/>
      <c r="KDV1634" s="1"/>
      <c r="KDW1634" s="1"/>
      <c r="KDX1634" s="1"/>
      <c r="KDY1634" s="1"/>
      <c r="KDZ1634" s="1"/>
      <c r="KEA1634" s="1"/>
      <c r="KEB1634" s="1"/>
      <c r="KEC1634" s="1"/>
      <c r="KED1634" s="1"/>
      <c r="KEE1634" s="1"/>
      <c r="KEF1634" s="1"/>
      <c r="KEG1634" s="1"/>
      <c r="KEH1634" s="1"/>
      <c r="KEI1634" s="1"/>
      <c r="KEJ1634" s="1"/>
      <c r="KEK1634" s="1"/>
      <c r="KEL1634" s="1"/>
      <c r="KEM1634" s="1"/>
      <c r="KEN1634" s="1"/>
      <c r="KEO1634" s="1"/>
      <c r="KEP1634" s="1"/>
      <c r="KEQ1634" s="1"/>
      <c r="KER1634" s="1"/>
      <c r="KES1634" s="1"/>
      <c r="KET1634" s="1"/>
      <c r="KEU1634" s="1"/>
      <c r="KEV1634" s="1"/>
      <c r="KEW1634" s="1"/>
      <c r="KEX1634" s="1"/>
      <c r="KEY1634" s="1"/>
      <c r="KEZ1634" s="1"/>
      <c r="KFA1634" s="1"/>
      <c r="KFB1634" s="1"/>
      <c r="KFC1634" s="1"/>
      <c r="KFD1634" s="1"/>
      <c r="KFE1634" s="1"/>
      <c r="KFF1634" s="1"/>
      <c r="KFG1634" s="1"/>
      <c r="KFH1634" s="1"/>
      <c r="KFI1634" s="1"/>
      <c r="KFJ1634" s="1"/>
      <c r="KFK1634" s="1"/>
      <c r="KFL1634" s="1"/>
      <c r="KFM1634" s="1"/>
      <c r="KFN1634" s="1"/>
      <c r="KFO1634" s="1"/>
      <c r="KFP1634" s="1"/>
      <c r="KFQ1634" s="1"/>
      <c r="KFR1634" s="1"/>
      <c r="KFS1634" s="1"/>
      <c r="KFT1634" s="1"/>
      <c r="KFU1634" s="1"/>
      <c r="KFV1634" s="1"/>
      <c r="KFW1634" s="1"/>
      <c r="KFX1634" s="1"/>
      <c r="KFY1634" s="1"/>
      <c r="KFZ1634" s="1"/>
      <c r="KGA1634" s="1"/>
      <c r="KGB1634" s="1"/>
      <c r="KGC1634" s="1"/>
      <c r="KGD1634" s="1"/>
      <c r="KGE1634" s="1"/>
      <c r="KGF1634" s="1"/>
      <c r="KGG1634" s="1"/>
      <c r="KGH1634" s="1"/>
      <c r="KGI1634" s="1"/>
      <c r="KGJ1634" s="1"/>
      <c r="KGK1634" s="1"/>
      <c r="KGL1634" s="1"/>
      <c r="KGM1634" s="1"/>
      <c r="KGN1634" s="1"/>
      <c r="KGO1634" s="1"/>
      <c r="KGP1634" s="1"/>
      <c r="KGQ1634" s="1"/>
      <c r="KGR1634" s="1"/>
      <c r="KGS1634" s="1"/>
      <c r="KGT1634" s="1"/>
      <c r="KGU1634" s="1"/>
      <c r="KGV1634" s="1"/>
      <c r="KGW1634" s="1"/>
      <c r="KGX1634" s="1"/>
      <c r="KGY1634" s="1"/>
      <c r="KGZ1634" s="1"/>
      <c r="KHA1634" s="1"/>
      <c r="KHB1634" s="1"/>
      <c r="KHC1634" s="1"/>
      <c r="KHD1634" s="1"/>
      <c r="KHE1634" s="1"/>
      <c r="KHF1634" s="1"/>
      <c r="KHG1634" s="1"/>
      <c r="KHH1634" s="1"/>
      <c r="KHI1634" s="1"/>
      <c r="KHJ1634" s="1"/>
      <c r="KHK1634" s="1"/>
      <c r="KHL1634" s="1"/>
      <c r="KHM1634" s="1"/>
      <c r="KHN1634" s="1"/>
      <c r="KHO1634" s="1"/>
      <c r="KHP1634" s="1"/>
      <c r="KHQ1634" s="1"/>
      <c r="KHR1634" s="1"/>
      <c r="KHS1634" s="1"/>
      <c r="KHT1634" s="1"/>
      <c r="KHU1634" s="1"/>
      <c r="KHV1634" s="1"/>
      <c r="KHW1634" s="1"/>
      <c r="KHX1634" s="1"/>
      <c r="KHY1634" s="1"/>
      <c r="KHZ1634" s="1"/>
      <c r="KIA1634" s="1"/>
      <c r="KIB1634" s="1"/>
      <c r="KIC1634" s="1"/>
      <c r="KID1634" s="1"/>
      <c r="KIE1634" s="1"/>
      <c r="KIF1634" s="1"/>
      <c r="KIG1634" s="1"/>
      <c r="KIH1634" s="1"/>
      <c r="KII1634" s="1"/>
      <c r="KIJ1634" s="1"/>
      <c r="KIK1634" s="1"/>
      <c r="KIL1634" s="1"/>
      <c r="KIM1634" s="1"/>
      <c r="KIN1634" s="1"/>
      <c r="KIO1634" s="1"/>
      <c r="KIP1634" s="1"/>
      <c r="KIQ1634" s="1"/>
      <c r="KIR1634" s="1"/>
      <c r="KIS1634" s="1"/>
      <c r="KIT1634" s="1"/>
      <c r="KIU1634" s="1"/>
      <c r="KIV1634" s="1"/>
      <c r="KIW1634" s="1"/>
      <c r="KIX1634" s="1"/>
      <c r="KIY1634" s="1"/>
      <c r="KIZ1634" s="1"/>
      <c r="KJA1634" s="1"/>
      <c r="KJB1634" s="1"/>
      <c r="KJC1634" s="1"/>
      <c r="KJD1634" s="1"/>
      <c r="KJE1634" s="1"/>
      <c r="KJF1634" s="1"/>
      <c r="KJG1634" s="1"/>
      <c r="KJH1634" s="1"/>
      <c r="KJI1634" s="1"/>
      <c r="KJJ1634" s="1"/>
      <c r="KJK1634" s="1"/>
      <c r="KJL1634" s="1"/>
      <c r="KJM1634" s="1"/>
      <c r="KJN1634" s="1"/>
      <c r="KJO1634" s="1"/>
      <c r="KJP1634" s="1"/>
      <c r="KJQ1634" s="1"/>
      <c r="KJR1634" s="1"/>
      <c r="KJS1634" s="1"/>
      <c r="KJT1634" s="1"/>
      <c r="KJU1634" s="1"/>
      <c r="KJV1634" s="1"/>
      <c r="KJW1634" s="1"/>
      <c r="KJX1634" s="1"/>
      <c r="KJY1634" s="1"/>
      <c r="KJZ1634" s="1"/>
      <c r="KKA1634" s="1"/>
      <c r="KKB1634" s="1"/>
      <c r="KKC1634" s="1"/>
      <c r="KKD1634" s="1"/>
      <c r="KKE1634" s="1"/>
      <c r="KKF1634" s="1"/>
      <c r="KKG1634" s="1"/>
      <c r="KKH1634" s="1"/>
      <c r="KKI1634" s="1"/>
      <c r="KKJ1634" s="1"/>
      <c r="KKK1634" s="1"/>
      <c r="KKL1634" s="1"/>
      <c r="KKM1634" s="1"/>
      <c r="KKN1634" s="1"/>
      <c r="KKO1634" s="1"/>
      <c r="KKP1634" s="1"/>
      <c r="KKQ1634" s="1"/>
      <c r="KKR1634" s="1"/>
      <c r="KKS1634" s="1"/>
      <c r="KKT1634" s="1"/>
      <c r="KKU1634" s="1"/>
      <c r="KKV1634" s="1"/>
      <c r="KKW1634" s="1"/>
      <c r="KKX1634" s="1"/>
      <c r="KKY1634" s="1"/>
      <c r="KKZ1634" s="1"/>
      <c r="KLA1634" s="1"/>
      <c r="KLB1634" s="1"/>
      <c r="KLC1634" s="1"/>
      <c r="KLD1634" s="1"/>
      <c r="KLE1634" s="1"/>
      <c r="KLF1634" s="1"/>
      <c r="KLG1634" s="1"/>
      <c r="KLH1634" s="1"/>
      <c r="KLI1634" s="1"/>
      <c r="KLJ1634" s="1"/>
      <c r="KLK1634" s="1"/>
      <c r="KLL1634" s="1"/>
      <c r="KLM1634" s="1"/>
      <c r="KLN1634" s="1"/>
      <c r="KLO1634" s="1"/>
      <c r="KLP1634" s="1"/>
      <c r="KLQ1634" s="1"/>
      <c r="KLR1634" s="1"/>
      <c r="KLS1634" s="1"/>
      <c r="KLT1634" s="1"/>
      <c r="KLU1634" s="1"/>
      <c r="KLV1634" s="1"/>
      <c r="KLW1634" s="1"/>
      <c r="KLX1634" s="1"/>
      <c r="KLY1634" s="1"/>
      <c r="KLZ1634" s="1"/>
      <c r="KMA1634" s="1"/>
      <c r="KMB1634" s="1"/>
      <c r="KMC1634" s="1"/>
      <c r="KMD1634" s="1"/>
      <c r="KME1634" s="1"/>
      <c r="KMF1634" s="1"/>
      <c r="KMG1634" s="1"/>
      <c r="KMH1634" s="1"/>
      <c r="KMI1634" s="1"/>
      <c r="KMJ1634" s="1"/>
      <c r="KMK1634" s="1"/>
      <c r="KML1634" s="1"/>
      <c r="KMM1634" s="1"/>
      <c r="KMN1634" s="1"/>
      <c r="KMO1634" s="1"/>
      <c r="KMP1634" s="1"/>
      <c r="KMQ1634" s="1"/>
      <c r="KMR1634" s="1"/>
      <c r="KMS1634" s="1"/>
      <c r="KMT1634" s="1"/>
      <c r="KMU1634" s="1"/>
      <c r="KMV1634" s="1"/>
      <c r="KMW1634" s="1"/>
      <c r="KMX1634" s="1"/>
      <c r="KMY1634" s="1"/>
      <c r="KMZ1634" s="1"/>
      <c r="KNA1634" s="1"/>
      <c r="KNB1634" s="1"/>
      <c r="KNC1634" s="1"/>
      <c r="KND1634" s="1"/>
      <c r="KNE1634" s="1"/>
      <c r="KNF1634" s="1"/>
      <c r="KNG1634" s="1"/>
      <c r="KNH1634" s="1"/>
      <c r="KNI1634" s="1"/>
      <c r="KNJ1634" s="1"/>
      <c r="KNK1634" s="1"/>
      <c r="KNL1634" s="1"/>
      <c r="KNM1634" s="1"/>
      <c r="KNN1634" s="1"/>
      <c r="KNO1634" s="1"/>
      <c r="KNP1634" s="1"/>
      <c r="KNQ1634" s="1"/>
      <c r="KNR1634" s="1"/>
      <c r="KNS1634" s="1"/>
      <c r="KNT1634" s="1"/>
      <c r="KNU1634" s="1"/>
      <c r="KNV1634" s="1"/>
      <c r="KNW1634" s="1"/>
      <c r="KNX1634" s="1"/>
      <c r="KNY1634" s="1"/>
      <c r="KNZ1634" s="1"/>
      <c r="KOA1634" s="1"/>
      <c r="KOB1634" s="1"/>
      <c r="KOC1634" s="1"/>
      <c r="KOD1634" s="1"/>
      <c r="KOE1634" s="1"/>
      <c r="KOF1634" s="1"/>
      <c r="KOG1634" s="1"/>
      <c r="KOH1634" s="1"/>
      <c r="KOI1634" s="1"/>
      <c r="KOJ1634" s="1"/>
      <c r="KOK1634" s="1"/>
      <c r="KOL1634" s="1"/>
      <c r="KOM1634" s="1"/>
      <c r="KON1634" s="1"/>
      <c r="KOO1634" s="1"/>
      <c r="KOP1634" s="1"/>
      <c r="KOQ1634" s="1"/>
      <c r="KOR1634" s="1"/>
      <c r="KOS1634" s="1"/>
      <c r="KOT1634" s="1"/>
      <c r="KOU1634" s="1"/>
      <c r="KOV1634" s="1"/>
      <c r="KOW1634" s="1"/>
      <c r="KOX1634" s="1"/>
      <c r="KOY1634" s="1"/>
      <c r="KOZ1634" s="1"/>
      <c r="KPA1634" s="1"/>
      <c r="KPB1634" s="1"/>
      <c r="KPC1634" s="1"/>
      <c r="KPD1634" s="1"/>
      <c r="KPE1634" s="1"/>
      <c r="KPF1634" s="1"/>
      <c r="KPG1634" s="1"/>
      <c r="KPH1634" s="1"/>
      <c r="KPI1634" s="1"/>
      <c r="KPJ1634" s="1"/>
      <c r="KPK1634" s="1"/>
      <c r="KPL1634" s="1"/>
      <c r="KPM1634" s="1"/>
      <c r="KPN1634" s="1"/>
      <c r="KPO1634" s="1"/>
      <c r="KPP1634" s="1"/>
      <c r="KPQ1634" s="1"/>
      <c r="KPR1634" s="1"/>
      <c r="KPS1634" s="1"/>
      <c r="KPT1634" s="1"/>
      <c r="KPU1634" s="1"/>
      <c r="KPV1634" s="1"/>
      <c r="KPW1634" s="1"/>
      <c r="KPX1634" s="1"/>
      <c r="KPY1634" s="1"/>
      <c r="KPZ1634" s="1"/>
      <c r="KQA1634" s="1"/>
      <c r="KQB1634" s="1"/>
      <c r="KQC1634" s="1"/>
      <c r="KQD1634" s="1"/>
      <c r="KQE1634" s="1"/>
      <c r="KQF1634" s="1"/>
      <c r="KQG1634" s="1"/>
      <c r="KQH1634" s="1"/>
      <c r="KQI1634" s="1"/>
      <c r="KQJ1634" s="1"/>
      <c r="KQK1634" s="1"/>
      <c r="KQL1634" s="1"/>
      <c r="KQM1634" s="1"/>
      <c r="KQN1634" s="1"/>
      <c r="KQO1634" s="1"/>
      <c r="KQP1634" s="1"/>
      <c r="KQQ1634" s="1"/>
      <c r="KQR1634" s="1"/>
      <c r="KQS1634" s="1"/>
      <c r="KQT1634" s="1"/>
      <c r="KQU1634" s="1"/>
      <c r="KQV1634" s="1"/>
      <c r="KQW1634" s="1"/>
      <c r="KQX1634" s="1"/>
      <c r="KQY1634" s="1"/>
      <c r="KQZ1634" s="1"/>
      <c r="KRA1634" s="1"/>
      <c r="KRB1634" s="1"/>
      <c r="KRC1634" s="1"/>
      <c r="KRD1634" s="1"/>
      <c r="KRE1634" s="1"/>
      <c r="KRF1634" s="1"/>
      <c r="KRG1634" s="1"/>
      <c r="KRH1634" s="1"/>
      <c r="KRI1634" s="1"/>
      <c r="KRJ1634" s="1"/>
      <c r="KRK1634" s="1"/>
      <c r="KRL1634" s="1"/>
      <c r="KRM1634" s="1"/>
      <c r="KRN1634" s="1"/>
      <c r="KRO1634" s="1"/>
      <c r="KRP1634" s="1"/>
      <c r="KRQ1634" s="1"/>
      <c r="KRR1634" s="1"/>
      <c r="KRS1634" s="1"/>
      <c r="KRT1634" s="1"/>
      <c r="KRU1634" s="1"/>
      <c r="KRV1634" s="1"/>
      <c r="KRW1634" s="1"/>
      <c r="KRX1634" s="1"/>
      <c r="KRY1634" s="1"/>
      <c r="KRZ1634" s="1"/>
      <c r="KSA1634" s="1"/>
      <c r="KSB1634" s="1"/>
      <c r="KSC1634" s="1"/>
      <c r="KSD1634" s="1"/>
      <c r="KSE1634" s="1"/>
      <c r="KSF1634" s="1"/>
      <c r="KSG1634" s="1"/>
      <c r="KSH1634" s="1"/>
      <c r="KSI1634" s="1"/>
      <c r="KSJ1634" s="1"/>
      <c r="KSK1634" s="1"/>
      <c r="KSL1634" s="1"/>
      <c r="KSM1634" s="1"/>
      <c r="KSN1634" s="1"/>
      <c r="KSO1634" s="1"/>
      <c r="KSP1634" s="1"/>
      <c r="KSQ1634" s="1"/>
      <c r="KSR1634" s="1"/>
      <c r="KSS1634" s="1"/>
      <c r="KST1634" s="1"/>
      <c r="KSU1634" s="1"/>
      <c r="KSV1634" s="1"/>
      <c r="KSW1634" s="1"/>
      <c r="KSX1634" s="1"/>
      <c r="KSY1634" s="1"/>
      <c r="KSZ1634" s="1"/>
      <c r="KTA1634" s="1"/>
      <c r="KTB1634" s="1"/>
      <c r="KTC1634" s="1"/>
      <c r="KTD1634" s="1"/>
      <c r="KTE1634" s="1"/>
      <c r="KTF1634" s="1"/>
      <c r="KTG1634" s="1"/>
      <c r="KTH1634" s="1"/>
      <c r="KTI1634" s="1"/>
      <c r="KTJ1634" s="1"/>
      <c r="KTK1634" s="1"/>
      <c r="KTL1634" s="1"/>
      <c r="KTM1634" s="1"/>
      <c r="KTN1634" s="1"/>
      <c r="KTO1634" s="1"/>
      <c r="KTP1634" s="1"/>
      <c r="KTQ1634" s="1"/>
      <c r="KTR1634" s="1"/>
      <c r="KTS1634" s="1"/>
      <c r="KTT1634" s="1"/>
      <c r="KTU1634" s="1"/>
      <c r="KTV1634" s="1"/>
      <c r="KTW1634" s="1"/>
      <c r="KTX1634" s="1"/>
      <c r="KTY1634" s="1"/>
      <c r="KTZ1634" s="1"/>
      <c r="KUA1634" s="1"/>
      <c r="KUB1634" s="1"/>
      <c r="KUC1634" s="1"/>
      <c r="KUD1634" s="1"/>
      <c r="KUE1634" s="1"/>
      <c r="KUF1634" s="1"/>
      <c r="KUG1634" s="1"/>
      <c r="KUH1634" s="1"/>
      <c r="KUI1634" s="1"/>
      <c r="KUJ1634" s="1"/>
      <c r="KUK1634" s="1"/>
      <c r="KUL1634" s="1"/>
      <c r="KUM1634" s="1"/>
      <c r="KUN1634" s="1"/>
      <c r="KUO1634" s="1"/>
      <c r="KUP1634" s="1"/>
      <c r="KUQ1634" s="1"/>
      <c r="KUR1634" s="1"/>
      <c r="KUS1634" s="1"/>
      <c r="KUT1634" s="1"/>
      <c r="KUU1634" s="1"/>
      <c r="KUV1634" s="1"/>
      <c r="KUW1634" s="1"/>
      <c r="KUX1634" s="1"/>
      <c r="KUY1634" s="1"/>
      <c r="KUZ1634" s="1"/>
      <c r="KVA1634" s="1"/>
      <c r="KVB1634" s="1"/>
      <c r="KVC1634" s="1"/>
      <c r="KVD1634" s="1"/>
      <c r="KVE1634" s="1"/>
      <c r="KVF1634" s="1"/>
      <c r="KVG1634" s="1"/>
      <c r="KVH1634" s="1"/>
      <c r="KVI1634" s="1"/>
      <c r="KVJ1634" s="1"/>
      <c r="KVK1634" s="1"/>
      <c r="KVL1634" s="1"/>
      <c r="KVM1634" s="1"/>
      <c r="KVN1634" s="1"/>
      <c r="KVO1634" s="1"/>
      <c r="KVP1634" s="1"/>
      <c r="KVQ1634" s="1"/>
      <c r="KVR1634" s="1"/>
      <c r="KVS1634" s="1"/>
      <c r="KVT1634" s="1"/>
      <c r="KVU1634" s="1"/>
      <c r="KVV1634" s="1"/>
      <c r="KVW1634" s="1"/>
      <c r="KVX1634" s="1"/>
      <c r="KVY1634" s="1"/>
      <c r="KVZ1634" s="1"/>
      <c r="KWA1634" s="1"/>
      <c r="KWB1634" s="1"/>
      <c r="KWC1634" s="1"/>
      <c r="KWD1634" s="1"/>
      <c r="KWE1634" s="1"/>
      <c r="KWF1634" s="1"/>
      <c r="KWG1634" s="1"/>
      <c r="KWH1634" s="1"/>
      <c r="KWI1634" s="1"/>
      <c r="KWJ1634" s="1"/>
      <c r="KWK1634" s="1"/>
      <c r="KWL1634" s="1"/>
      <c r="KWM1634" s="1"/>
      <c r="KWN1634" s="1"/>
      <c r="KWO1634" s="1"/>
      <c r="KWP1634" s="1"/>
      <c r="KWQ1634" s="1"/>
      <c r="KWR1634" s="1"/>
      <c r="KWS1634" s="1"/>
      <c r="KWT1634" s="1"/>
      <c r="KWU1634" s="1"/>
      <c r="KWV1634" s="1"/>
      <c r="KWW1634" s="1"/>
      <c r="KWX1634" s="1"/>
      <c r="KWY1634" s="1"/>
      <c r="KWZ1634" s="1"/>
      <c r="KXA1634" s="1"/>
      <c r="KXB1634" s="1"/>
      <c r="KXC1634" s="1"/>
      <c r="KXD1634" s="1"/>
      <c r="KXE1634" s="1"/>
      <c r="KXF1634" s="1"/>
      <c r="KXG1634" s="1"/>
      <c r="KXH1634" s="1"/>
      <c r="KXI1634" s="1"/>
      <c r="KXJ1634" s="1"/>
      <c r="KXK1634" s="1"/>
      <c r="KXL1634" s="1"/>
      <c r="KXM1634" s="1"/>
      <c r="KXN1634" s="1"/>
      <c r="KXO1634" s="1"/>
      <c r="KXP1634" s="1"/>
      <c r="KXQ1634" s="1"/>
      <c r="KXR1634" s="1"/>
      <c r="KXS1634" s="1"/>
      <c r="KXT1634" s="1"/>
      <c r="KXU1634" s="1"/>
      <c r="KXV1634" s="1"/>
      <c r="KXW1634" s="1"/>
      <c r="KXX1634" s="1"/>
      <c r="KXY1634" s="1"/>
      <c r="KXZ1634" s="1"/>
      <c r="KYA1634" s="1"/>
      <c r="KYB1634" s="1"/>
      <c r="KYC1634" s="1"/>
      <c r="KYD1634" s="1"/>
      <c r="KYE1634" s="1"/>
      <c r="KYF1634" s="1"/>
      <c r="KYG1634" s="1"/>
      <c r="KYH1634" s="1"/>
      <c r="KYI1634" s="1"/>
      <c r="KYJ1634" s="1"/>
      <c r="KYK1634" s="1"/>
      <c r="KYL1634" s="1"/>
      <c r="KYM1634" s="1"/>
      <c r="KYN1634" s="1"/>
      <c r="KYO1634" s="1"/>
      <c r="KYP1634" s="1"/>
      <c r="KYQ1634" s="1"/>
      <c r="KYR1634" s="1"/>
      <c r="KYS1634" s="1"/>
      <c r="KYT1634" s="1"/>
      <c r="KYU1634" s="1"/>
      <c r="KYV1634" s="1"/>
      <c r="KYW1634" s="1"/>
      <c r="KYX1634" s="1"/>
      <c r="KYY1634" s="1"/>
      <c r="KYZ1634" s="1"/>
      <c r="KZA1634" s="1"/>
      <c r="KZB1634" s="1"/>
      <c r="KZC1634" s="1"/>
      <c r="KZD1634" s="1"/>
      <c r="KZE1634" s="1"/>
      <c r="KZF1634" s="1"/>
      <c r="KZG1634" s="1"/>
      <c r="KZH1634" s="1"/>
      <c r="KZI1634" s="1"/>
      <c r="KZJ1634" s="1"/>
      <c r="KZK1634" s="1"/>
      <c r="KZL1634" s="1"/>
      <c r="KZM1634" s="1"/>
      <c r="KZN1634" s="1"/>
      <c r="KZO1634" s="1"/>
      <c r="KZP1634" s="1"/>
      <c r="KZQ1634" s="1"/>
      <c r="KZR1634" s="1"/>
      <c r="KZS1634" s="1"/>
      <c r="KZT1634" s="1"/>
      <c r="KZU1634" s="1"/>
      <c r="KZV1634" s="1"/>
      <c r="KZW1634" s="1"/>
      <c r="KZX1634" s="1"/>
      <c r="KZY1634" s="1"/>
      <c r="KZZ1634" s="1"/>
      <c r="LAA1634" s="1"/>
      <c r="LAB1634" s="1"/>
      <c r="LAC1634" s="1"/>
      <c r="LAD1634" s="1"/>
      <c r="LAE1634" s="1"/>
      <c r="LAF1634" s="1"/>
      <c r="LAG1634" s="1"/>
      <c r="LAH1634" s="1"/>
      <c r="LAI1634" s="1"/>
      <c r="LAJ1634" s="1"/>
      <c r="LAK1634" s="1"/>
      <c r="LAL1634" s="1"/>
      <c r="LAM1634" s="1"/>
      <c r="LAN1634" s="1"/>
      <c r="LAO1634" s="1"/>
      <c r="LAP1634" s="1"/>
      <c r="LAQ1634" s="1"/>
      <c r="LAR1634" s="1"/>
      <c r="LAS1634" s="1"/>
      <c r="LAT1634" s="1"/>
      <c r="LAU1634" s="1"/>
      <c r="LAV1634" s="1"/>
      <c r="LAW1634" s="1"/>
      <c r="LAX1634" s="1"/>
      <c r="LAY1634" s="1"/>
      <c r="LAZ1634" s="1"/>
      <c r="LBA1634" s="1"/>
      <c r="LBB1634" s="1"/>
      <c r="LBC1634" s="1"/>
      <c r="LBD1634" s="1"/>
      <c r="LBE1634" s="1"/>
      <c r="LBF1634" s="1"/>
      <c r="LBG1634" s="1"/>
      <c r="LBH1634" s="1"/>
      <c r="LBI1634" s="1"/>
      <c r="LBJ1634" s="1"/>
      <c r="LBK1634" s="1"/>
      <c r="LBL1634" s="1"/>
      <c r="LBM1634" s="1"/>
      <c r="LBN1634" s="1"/>
      <c r="LBO1634" s="1"/>
      <c r="LBP1634" s="1"/>
      <c r="LBQ1634" s="1"/>
      <c r="LBR1634" s="1"/>
      <c r="LBS1634" s="1"/>
      <c r="LBT1634" s="1"/>
      <c r="LBU1634" s="1"/>
      <c r="LBV1634" s="1"/>
      <c r="LBW1634" s="1"/>
      <c r="LBX1634" s="1"/>
      <c r="LBY1634" s="1"/>
      <c r="LBZ1634" s="1"/>
      <c r="LCA1634" s="1"/>
      <c r="LCB1634" s="1"/>
      <c r="LCC1634" s="1"/>
      <c r="LCD1634" s="1"/>
      <c r="LCE1634" s="1"/>
      <c r="LCF1634" s="1"/>
      <c r="LCG1634" s="1"/>
      <c r="LCH1634" s="1"/>
      <c r="LCI1634" s="1"/>
      <c r="LCJ1634" s="1"/>
      <c r="LCK1634" s="1"/>
      <c r="LCL1634" s="1"/>
      <c r="LCM1634" s="1"/>
      <c r="LCN1634" s="1"/>
      <c r="LCO1634" s="1"/>
      <c r="LCP1634" s="1"/>
      <c r="LCQ1634" s="1"/>
      <c r="LCR1634" s="1"/>
      <c r="LCS1634" s="1"/>
      <c r="LCT1634" s="1"/>
      <c r="LCU1634" s="1"/>
      <c r="LCV1634" s="1"/>
      <c r="LCW1634" s="1"/>
      <c r="LCX1634" s="1"/>
      <c r="LCY1634" s="1"/>
      <c r="LCZ1634" s="1"/>
      <c r="LDA1634" s="1"/>
      <c r="LDB1634" s="1"/>
      <c r="LDC1634" s="1"/>
      <c r="LDD1634" s="1"/>
      <c r="LDE1634" s="1"/>
      <c r="LDF1634" s="1"/>
      <c r="LDG1634" s="1"/>
      <c r="LDH1634" s="1"/>
      <c r="LDI1634" s="1"/>
      <c r="LDJ1634" s="1"/>
      <c r="LDK1634" s="1"/>
      <c r="LDL1634" s="1"/>
      <c r="LDM1634" s="1"/>
      <c r="LDN1634" s="1"/>
      <c r="LDO1634" s="1"/>
      <c r="LDP1634" s="1"/>
      <c r="LDQ1634" s="1"/>
      <c r="LDR1634" s="1"/>
      <c r="LDS1634" s="1"/>
      <c r="LDT1634" s="1"/>
      <c r="LDU1634" s="1"/>
      <c r="LDV1634" s="1"/>
      <c r="LDW1634" s="1"/>
      <c r="LDX1634" s="1"/>
      <c r="LDY1634" s="1"/>
      <c r="LDZ1634" s="1"/>
      <c r="LEA1634" s="1"/>
      <c r="LEB1634" s="1"/>
      <c r="LEC1634" s="1"/>
      <c r="LED1634" s="1"/>
      <c r="LEE1634" s="1"/>
      <c r="LEF1634" s="1"/>
      <c r="LEG1634" s="1"/>
      <c r="LEH1634" s="1"/>
      <c r="LEI1634" s="1"/>
      <c r="LEJ1634" s="1"/>
      <c r="LEK1634" s="1"/>
      <c r="LEL1634" s="1"/>
      <c r="LEM1634" s="1"/>
      <c r="LEN1634" s="1"/>
      <c r="LEO1634" s="1"/>
      <c r="LEP1634" s="1"/>
      <c r="LEQ1634" s="1"/>
      <c r="LER1634" s="1"/>
      <c r="LES1634" s="1"/>
      <c r="LET1634" s="1"/>
      <c r="LEU1634" s="1"/>
      <c r="LEV1634" s="1"/>
      <c r="LEW1634" s="1"/>
      <c r="LEX1634" s="1"/>
      <c r="LEY1634" s="1"/>
      <c r="LEZ1634" s="1"/>
      <c r="LFA1634" s="1"/>
      <c r="LFB1634" s="1"/>
      <c r="LFC1634" s="1"/>
      <c r="LFD1634" s="1"/>
      <c r="LFE1634" s="1"/>
      <c r="LFF1634" s="1"/>
      <c r="LFG1634" s="1"/>
      <c r="LFH1634" s="1"/>
      <c r="LFI1634" s="1"/>
      <c r="LFJ1634" s="1"/>
      <c r="LFK1634" s="1"/>
      <c r="LFL1634" s="1"/>
      <c r="LFM1634" s="1"/>
      <c r="LFN1634" s="1"/>
      <c r="LFO1634" s="1"/>
      <c r="LFP1634" s="1"/>
      <c r="LFQ1634" s="1"/>
      <c r="LFR1634" s="1"/>
      <c r="LFS1634" s="1"/>
      <c r="LFT1634" s="1"/>
      <c r="LFU1634" s="1"/>
      <c r="LFV1634" s="1"/>
      <c r="LFW1634" s="1"/>
      <c r="LFX1634" s="1"/>
      <c r="LFY1634" s="1"/>
      <c r="LFZ1634" s="1"/>
      <c r="LGA1634" s="1"/>
      <c r="LGB1634" s="1"/>
      <c r="LGC1634" s="1"/>
      <c r="LGD1634" s="1"/>
      <c r="LGE1634" s="1"/>
      <c r="LGF1634" s="1"/>
      <c r="LGG1634" s="1"/>
      <c r="LGH1634" s="1"/>
      <c r="LGI1634" s="1"/>
      <c r="LGJ1634" s="1"/>
      <c r="LGK1634" s="1"/>
      <c r="LGL1634" s="1"/>
      <c r="LGM1634" s="1"/>
      <c r="LGN1634" s="1"/>
      <c r="LGO1634" s="1"/>
      <c r="LGP1634" s="1"/>
      <c r="LGQ1634" s="1"/>
      <c r="LGR1634" s="1"/>
      <c r="LGS1634" s="1"/>
      <c r="LGT1634" s="1"/>
      <c r="LGU1634" s="1"/>
      <c r="LGV1634" s="1"/>
      <c r="LGW1634" s="1"/>
      <c r="LGX1634" s="1"/>
      <c r="LGY1634" s="1"/>
      <c r="LGZ1634" s="1"/>
      <c r="LHA1634" s="1"/>
      <c r="LHB1634" s="1"/>
      <c r="LHC1634" s="1"/>
      <c r="LHD1634" s="1"/>
      <c r="LHE1634" s="1"/>
      <c r="LHF1634" s="1"/>
      <c r="LHG1634" s="1"/>
      <c r="LHH1634" s="1"/>
      <c r="LHI1634" s="1"/>
      <c r="LHJ1634" s="1"/>
      <c r="LHK1634" s="1"/>
      <c r="LHL1634" s="1"/>
      <c r="LHM1634" s="1"/>
      <c r="LHN1634" s="1"/>
      <c r="LHO1634" s="1"/>
      <c r="LHP1634" s="1"/>
      <c r="LHQ1634" s="1"/>
      <c r="LHR1634" s="1"/>
      <c r="LHS1634" s="1"/>
      <c r="LHT1634" s="1"/>
      <c r="LHU1634" s="1"/>
      <c r="LHV1634" s="1"/>
      <c r="LHW1634" s="1"/>
      <c r="LHX1634" s="1"/>
      <c r="LHY1634" s="1"/>
      <c r="LHZ1634" s="1"/>
      <c r="LIA1634" s="1"/>
      <c r="LIB1634" s="1"/>
      <c r="LIC1634" s="1"/>
      <c r="LID1634" s="1"/>
      <c r="LIE1634" s="1"/>
      <c r="LIF1634" s="1"/>
      <c r="LIG1634" s="1"/>
      <c r="LIH1634" s="1"/>
      <c r="LII1634" s="1"/>
      <c r="LIJ1634" s="1"/>
      <c r="LIK1634" s="1"/>
      <c r="LIL1634" s="1"/>
      <c r="LIM1634" s="1"/>
      <c r="LIN1634" s="1"/>
      <c r="LIO1634" s="1"/>
      <c r="LIP1634" s="1"/>
      <c r="LIQ1634" s="1"/>
      <c r="LIR1634" s="1"/>
      <c r="LIS1634" s="1"/>
      <c r="LIT1634" s="1"/>
      <c r="LIU1634" s="1"/>
      <c r="LIV1634" s="1"/>
      <c r="LIW1634" s="1"/>
      <c r="LIX1634" s="1"/>
      <c r="LIY1634" s="1"/>
      <c r="LIZ1634" s="1"/>
      <c r="LJA1634" s="1"/>
      <c r="LJB1634" s="1"/>
      <c r="LJC1634" s="1"/>
      <c r="LJD1634" s="1"/>
      <c r="LJE1634" s="1"/>
      <c r="LJF1634" s="1"/>
      <c r="LJG1634" s="1"/>
      <c r="LJH1634" s="1"/>
      <c r="LJI1634" s="1"/>
      <c r="LJJ1634" s="1"/>
      <c r="LJK1634" s="1"/>
      <c r="LJL1634" s="1"/>
      <c r="LJM1634" s="1"/>
      <c r="LJN1634" s="1"/>
      <c r="LJO1634" s="1"/>
      <c r="LJP1634" s="1"/>
      <c r="LJQ1634" s="1"/>
      <c r="LJR1634" s="1"/>
      <c r="LJS1634" s="1"/>
      <c r="LJT1634" s="1"/>
      <c r="LJU1634" s="1"/>
      <c r="LJV1634" s="1"/>
      <c r="LJW1634" s="1"/>
      <c r="LJX1634" s="1"/>
      <c r="LJY1634" s="1"/>
      <c r="LJZ1634" s="1"/>
      <c r="LKA1634" s="1"/>
      <c r="LKB1634" s="1"/>
      <c r="LKC1634" s="1"/>
      <c r="LKD1634" s="1"/>
      <c r="LKE1634" s="1"/>
      <c r="LKF1634" s="1"/>
      <c r="LKG1634" s="1"/>
      <c r="LKH1634" s="1"/>
      <c r="LKI1634" s="1"/>
      <c r="LKJ1634" s="1"/>
      <c r="LKK1634" s="1"/>
      <c r="LKL1634" s="1"/>
      <c r="LKM1634" s="1"/>
      <c r="LKN1634" s="1"/>
      <c r="LKO1634" s="1"/>
      <c r="LKP1634" s="1"/>
      <c r="LKQ1634" s="1"/>
      <c r="LKR1634" s="1"/>
      <c r="LKS1634" s="1"/>
      <c r="LKT1634" s="1"/>
      <c r="LKU1634" s="1"/>
      <c r="LKV1634" s="1"/>
      <c r="LKW1634" s="1"/>
      <c r="LKX1634" s="1"/>
      <c r="LKY1634" s="1"/>
      <c r="LKZ1634" s="1"/>
      <c r="LLA1634" s="1"/>
      <c r="LLB1634" s="1"/>
      <c r="LLC1634" s="1"/>
      <c r="LLD1634" s="1"/>
      <c r="LLE1634" s="1"/>
      <c r="LLF1634" s="1"/>
      <c r="LLG1634" s="1"/>
      <c r="LLH1634" s="1"/>
      <c r="LLI1634" s="1"/>
      <c r="LLJ1634" s="1"/>
      <c r="LLK1634" s="1"/>
      <c r="LLL1634" s="1"/>
      <c r="LLM1634" s="1"/>
      <c r="LLN1634" s="1"/>
      <c r="LLO1634" s="1"/>
      <c r="LLP1634" s="1"/>
      <c r="LLQ1634" s="1"/>
      <c r="LLR1634" s="1"/>
      <c r="LLS1634" s="1"/>
      <c r="LLT1634" s="1"/>
      <c r="LLU1634" s="1"/>
      <c r="LLV1634" s="1"/>
      <c r="LLW1634" s="1"/>
      <c r="LLX1634" s="1"/>
      <c r="LLY1634" s="1"/>
      <c r="LLZ1634" s="1"/>
      <c r="LMA1634" s="1"/>
      <c r="LMB1634" s="1"/>
      <c r="LMC1634" s="1"/>
      <c r="LMD1634" s="1"/>
      <c r="LME1634" s="1"/>
      <c r="LMF1634" s="1"/>
      <c r="LMG1634" s="1"/>
      <c r="LMH1634" s="1"/>
      <c r="LMI1634" s="1"/>
      <c r="LMJ1634" s="1"/>
      <c r="LMK1634" s="1"/>
      <c r="LML1634" s="1"/>
      <c r="LMM1634" s="1"/>
      <c r="LMN1634" s="1"/>
      <c r="LMO1634" s="1"/>
      <c r="LMP1634" s="1"/>
      <c r="LMQ1634" s="1"/>
      <c r="LMR1634" s="1"/>
      <c r="LMS1634" s="1"/>
      <c r="LMT1634" s="1"/>
      <c r="LMU1634" s="1"/>
      <c r="LMV1634" s="1"/>
      <c r="LMW1634" s="1"/>
      <c r="LMX1634" s="1"/>
      <c r="LMY1634" s="1"/>
      <c r="LMZ1634" s="1"/>
      <c r="LNA1634" s="1"/>
      <c r="LNB1634" s="1"/>
      <c r="LNC1634" s="1"/>
      <c r="LND1634" s="1"/>
      <c r="LNE1634" s="1"/>
      <c r="LNF1634" s="1"/>
      <c r="LNG1634" s="1"/>
      <c r="LNH1634" s="1"/>
      <c r="LNI1634" s="1"/>
      <c r="LNJ1634" s="1"/>
      <c r="LNK1634" s="1"/>
      <c r="LNL1634" s="1"/>
      <c r="LNM1634" s="1"/>
      <c r="LNN1634" s="1"/>
      <c r="LNO1634" s="1"/>
      <c r="LNP1634" s="1"/>
      <c r="LNQ1634" s="1"/>
      <c r="LNR1634" s="1"/>
      <c r="LNS1634" s="1"/>
      <c r="LNT1634" s="1"/>
      <c r="LNU1634" s="1"/>
      <c r="LNV1634" s="1"/>
      <c r="LNW1634" s="1"/>
      <c r="LNX1634" s="1"/>
      <c r="LNY1634" s="1"/>
      <c r="LNZ1634" s="1"/>
      <c r="LOA1634" s="1"/>
      <c r="LOB1634" s="1"/>
      <c r="LOC1634" s="1"/>
      <c r="LOD1634" s="1"/>
      <c r="LOE1634" s="1"/>
      <c r="LOF1634" s="1"/>
      <c r="LOG1634" s="1"/>
      <c r="LOH1634" s="1"/>
      <c r="LOI1634" s="1"/>
      <c r="LOJ1634" s="1"/>
      <c r="LOK1634" s="1"/>
      <c r="LOL1634" s="1"/>
      <c r="LOM1634" s="1"/>
      <c r="LON1634" s="1"/>
      <c r="LOO1634" s="1"/>
      <c r="LOP1634" s="1"/>
      <c r="LOQ1634" s="1"/>
      <c r="LOR1634" s="1"/>
      <c r="LOS1634" s="1"/>
      <c r="LOT1634" s="1"/>
      <c r="LOU1634" s="1"/>
      <c r="LOV1634" s="1"/>
      <c r="LOW1634" s="1"/>
      <c r="LOX1634" s="1"/>
      <c r="LOY1634" s="1"/>
      <c r="LOZ1634" s="1"/>
      <c r="LPA1634" s="1"/>
      <c r="LPB1634" s="1"/>
      <c r="LPC1634" s="1"/>
      <c r="LPD1634" s="1"/>
      <c r="LPE1634" s="1"/>
      <c r="LPF1634" s="1"/>
      <c r="LPG1634" s="1"/>
      <c r="LPH1634" s="1"/>
      <c r="LPI1634" s="1"/>
      <c r="LPJ1634" s="1"/>
      <c r="LPK1634" s="1"/>
      <c r="LPL1634" s="1"/>
      <c r="LPM1634" s="1"/>
      <c r="LPN1634" s="1"/>
      <c r="LPO1634" s="1"/>
      <c r="LPP1634" s="1"/>
      <c r="LPQ1634" s="1"/>
      <c r="LPR1634" s="1"/>
      <c r="LPS1634" s="1"/>
      <c r="LPT1634" s="1"/>
      <c r="LPU1634" s="1"/>
      <c r="LPV1634" s="1"/>
      <c r="LPW1634" s="1"/>
      <c r="LPX1634" s="1"/>
      <c r="LPY1634" s="1"/>
      <c r="LPZ1634" s="1"/>
      <c r="LQA1634" s="1"/>
      <c r="LQB1634" s="1"/>
      <c r="LQC1634" s="1"/>
      <c r="LQD1634" s="1"/>
      <c r="LQE1634" s="1"/>
      <c r="LQF1634" s="1"/>
      <c r="LQG1634" s="1"/>
      <c r="LQH1634" s="1"/>
      <c r="LQI1634" s="1"/>
      <c r="LQJ1634" s="1"/>
      <c r="LQK1634" s="1"/>
      <c r="LQL1634" s="1"/>
      <c r="LQM1634" s="1"/>
      <c r="LQN1634" s="1"/>
      <c r="LQO1634" s="1"/>
      <c r="LQP1634" s="1"/>
      <c r="LQQ1634" s="1"/>
      <c r="LQR1634" s="1"/>
      <c r="LQS1634" s="1"/>
      <c r="LQT1634" s="1"/>
      <c r="LQU1634" s="1"/>
      <c r="LQV1634" s="1"/>
      <c r="LQW1634" s="1"/>
      <c r="LQX1634" s="1"/>
      <c r="LQY1634" s="1"/>
      <c r="LQZ1634" s="1"/>
      <c r="LRA1634" s="1"/>
      <c r="LRB1634" s="1"/>
      <c r="LRC1634" s="1"/>
      <c r="LRD1634" s="1"/>
      <c r="LRE1634" s="1"/>
      <c r="LRF1634" s="1"/>
      <c r="LRG1634" s="1"/>
      <c r="LRH1634" s="1"/>
      <c r="LRI1634" s="1"/>
      <c r="LRJ1634" s="1"/>
      <c r="LRK1634" s="1"/>
      <c r="LRL1634" s="1"/>
      <c r="LRM1634" s="1"/>
      <c r="LRN1634" s="1"/>
      <c r="LRO1634" s="1"/>
      <c r="LRP1634" s="1"/>
      <c r="LRQ1634" s="1"/>
      <c r="LRR1634" s="1"/>
      <c r="LRS1634" s="1"/>
      <c r="LRT1634" s="1"/>
      <c r="LRU1634" s="1"/>
      <c r="LRV1634" s="1"/>
      <c r="LRW1634" s="1"/>
      <c r="LRX1634" s="1"/>
      <c r="LRY1634" s="1"/>
      <c r="LRZ1634" s="1"/>
      <c r="LSA1634" s="1"/>
      <c r="LSB1634" s="1"/>
      <c r="LSC1634" s="1"/>
      <c r="LSD1634" s="1"/>
      <c r="LSE1634" s="1"/>
      <c r="LSF1634" s="1"/>
      <c r="LSG1634" s="1"/>
      <c r="LSH1634" s="1"/>
      <c r="LSI1634" s="1"/>
      <c r="LSJ1634" s="1"/>
      <c r="LSK1634" s="1"/>
      <c r="LSL1634" s="1"/>
      <c r="LSM1634" s="1"/>
      <c r="LSN1634" s="1"/>
      <c r="LSO1634" s="1"/>
      <c r="LSP1634" s="1"/>
      <c r="LSQ1634" s="1"/>
      <c r="LSR1634" s="1"/>
      <c r="LSS1634" s="1"/>
      <c r="LST1634" s="1"/>
      <c r="LSU1634" s="1"/>
      <c r="LSV1634" s="1"/>
      <c r="LSW1634" s="1"/>
      <c r="LSX1634" s="1"/>
      <c r="LSY1634" s="1"/>
      <c r="LSZ1634" s="1"/>
      <c r="LTA1634" s="1"/>
      <c r="LTB1634" s="1"/>
      <c r="LTC1634" s="1"/>
      <c r="LTD1634" s="1"/>
      <c r="LTE1634" s="1"/>
      <c r="LTF1634" s="1"/>
      <c r="LTG1634" s="1"/>
      <c r="LTH1634" s="1"/>
      <c r="LTI1634" s="1"/>
      <c r="LTJ1634" s="1"/>
      <c r="LTK1634" s="1"/>
      <c r="LTL1634" s="1"/>
      <c r="LTM1634" s="1"/>
      <c r="LTN1634" s="1"/>
      <c r="LTO1634" s="1"/>
      <c r="LTP1634" s="1"/>
      <c r="LTQ1634" s="1"/>
      <c r="LTR1634" s="1"/>
      <c r="LTS1634" s="1"/>
      <c r="LTT1634" s="1"/>
      <c r="LTU1634" s="1"/>
      <c r="LTV1634" s="1"/>
      <c r="LTW1634" s="1"/>
      <c r="LTX1634" s="1"/>
      <c r="LTY1634" s="1"/>
      <c r="LTZ1634" s="1"/>
      <c r="LUA1634" s="1"/>
      <c r="LUB1634" s="1"/>
      <c r="LUC1634" s="1"/>
      <c r="LUD1634" s="1"/>
      <c r="LUE1634" s="1"/>
      <c r="LUF1634" s="1"/>
      <c r="LUG1634" s="1"/>
      <c r="LUH1634" s="1"/>
      <c r="LUI1634" s="1"/>
      <c r="LUJ1634" s="1"/>
      <c r="LUK1634" s="1"/>
      <c r="LUL1634" s="1"/>
      <c r="LUM1634" s="1"/>
      <c r="LUN1634" s="1"/>
      <c r="LUO1634" s="1"/>
      <c r="LUP1634" s="1"/>
      <c r="LUQ1634" s="1"/>
      <c r="LUR1634" s="1"/>
      <c r="LUS1634" s="1"/>
      <c r="LUT1634" s="1"/>
      <c r="LUU1634" s="1"/>
      <c r="LUV1634" s="1"/>
      <c r="LUW1634" s="1"/>
      <c r="LUX1634" s="1"/>
      <c r="LUY1634" s="1"/>
      <c r="LUZ1634" s="1"/>
      <c r="LVA1634" s="1"/>
      <c r="LVB1634" s="1"/>
      <c r="LVC1634" s="1"/>
      <c r="LVD1634" s="1"/>
      <c r="LVE1634" s="1"/>
      <c r="LVF1634" s="1"/>
      <c r="LVG1634" s="1"/>
      <c r="LVH1634" s="1"/>
      <c r="LVI1634" s="1"/>
      <c r="LVJ1634" s="1"/>
      <c r="LVK1634" s="1"/>
      <c r="LVL1634" s="1"/>
      <c r="LVM1634" s="1"/>
      <c r="LVN1634" s="1"/>
      <c r="LVO1634" s="1"/>
      <c r="LVP1634" s="1"/>
      <c r="LVQ1634" s="1"/>
      <c r="LVR1634" s="1"/>
      <c r="LVS1634" s="1"/>
      <c r="LVT1634" s="1"/>
      <c r="LVU1634" s="1"/>
      <c r="LVV1634" s="1"/>
      <c r="LVW1634" s="1"/>
      <c r="LVX1634" s="1"/>
      <c r="LVY1634" s="1"/>
      <c r="LVZ1634" s="1"/>
      <c r="LWA1634" s="1"/>
      <c r="LWB1634" s="1"/>
      <c r="LWC1634" s="1"/>
      <c r="LWD1634" s="1"/>
      <c r="LWE1634" s="1"/>
      <c r="LWF1634" s="1"/>
      <c r="LWG1634" s="1"/>
      <c r="LWH1634" s="1"/>
      <c r="LWI1634" s="1"/>
      <c r="LWJ1634" s="1"/>
      <c r="LWK1634" s="1"/>
      <c r="LWL1634" s="1"/>
      <c r="LWM1634" s="1"/>
      <c r="LWN1634" s="1"/>
      <c r="LWO1634" s="1"/>
      <c r="LWP1634" s="1"/>
      <c r="LWQ1634" s="1"/>
      <c r="LWR1634" s="1"/>
      <c r="LWS1634" s="1"/>
      <c r="LWT1634" s="1"/>
      <c r="LWU1634" s="1"/>
      <c r="LWV1634" s="1"/>
      <c r="LWW1634" s="1"/>
      <c r="LWX1634" s="1"/>
      <c r="LWY1634" s="1"/>
      <c r="LWZ1634" s="1"/>
      <c r="LXA1634" s="1"/>
      <c r="LXB1634" s="1"/>
      <c r="LXC1634" s="1"/>
      <c r="LXD1634" s="1"/>
      <c r="LXE1634" s="1"/>
      <c r="LXF1634" s="1"/>
      <c r="LXG1634" s="1"/>
      <c r="LXH1634" s="1"/>
      <c r="LXI1634" s="1"/>
      <c r="LXJ1634" s="1"/>
      <c r="LXK1634" s="1"/>
      <c r="LXL1634" s="1"/>
      <c r="LXM1634" s="1"/>
      <c r="LXN1634" s="1"/>
      <c r="LXO1634" s="1"/>
      <c r="LXP1634" s="1"/>
      <c r="LXQ1634" s="1"/>
      <c r="LXR1634" s="1"/>
      <c r="LXS1634" s="1"/>
      <c r="LXT1634" s="1"/>
      <c r="LXU1634" s="1"/>
      <c r="LXV1634" s="1"/>
      <c r="LXW1634" s="1"/>
      <c r="LXX1634" s="1"/>
      <c r="LXY1634" s="1"/>
      <c r="LXZ1634" s="1"/>
      <c r="LYA1634" s="1"/>
      <c r="LYB1634" s="1"/>
      <c r="LYC1634" s="1"/>
      <c r="LYD1634" s="1"/>
      <c r="LYE1634" s="1"/>
      <c r="LYF1634" s="1"/>
      <c r="LYG1634" s="1"/>
      <c r="LYH1634" s="1"/>
      <c r="LYI1634" s="1"/>
      <c r="LYJ1634" s="1"/>
      <c r="LYK1634" s="1"/>
      <c r="LYL1634" s="1"/>
      <c r="LYM1634" s="1"/>
      <c r="LYN1634" s="1"/>
      <c r="LYO1634" s="1"/>
      <c r="LYP1634" s="1"/>
      <c r="LYQ1634" s="1"/>
      <c r="LYR1634" s="1"/>
      <c r="LYS1634" s="1"/>
      <c r="LYT1634" s="1"/>
      <c r="LYU1634" s="1"/>
      <c r="LYV1634" s="1"/>
      <c r="LYW1634" s="1"/>
      <c r="LYX1634" s="1"/>
      <c r="LYY1634" s="1"/>
      <c r="LYZ1634" s="1"/>
      <c r="LZA1634" s="1"/>
      <c r="LZB1634" s="1"/>
      <c r="LZC1634" s="1"/>
      <c r="LZD1634" s="1"/>
      <c r="LZE1634" s="1"/>
      <c r="LZF1634" s="1"/>
      <c r="LZG1634" s="1"/>
      <c r="LZH1634" s="1"/>
      <c r="LZI1634" s="1"/>
      <c r="LZJ1634" s="1"/>
      <c r="LZK1634" s="1"/>
      <c r="LZL1634" s="1"/>
      <c r="LZM1634" s="1"/>
      <c r="LZN1634" s="1"/>
      <c r="LZO1634" s="1"/>
      <c r="LZP1634" s="1"/>
      <c r="LZQ1634" s="1"/>
      <c r="LZR1634" s="1"/>
      <c r="LZS1634" s="1"/>
      <c r="LZT1634" s="1"/>
      <c r="LZU1634" s="1"/>
      <c r="LZV1634" s="1"/>
      <c r="LZW1634" s="1"/>
      <c r="LZX1634" s="1"/>
      <c r="LZY1634" s="1"/>
      <c r="LZZ1634" s="1"/>
      <c r="MAA1634" s="1"/>
      <c r="MAB1634" s="1"/>
      <c r="MAC1634" s="1"/>
      <c r="MAD1634" s="1"/>
      <c r="MAE1634" s="1"/>
      <c r="MAF1634" s="1"/>
      <c r="MAG1634" s="1"/>
      <c r="MAH1634" s="1"/>
      <c r="MAI1634" s="1"/>
      <c r="MAJ1634" s="1"/>
      <c r="MAK1634" s="1"/>
      <c r="MAL1634" s="1"/>
      <c r="MAM1634" s="1"/>
      <c r="MAN1634" s="1"/>
      <c r="MAO1634" s="1"/>
      <c r="MAP1634" s="1"/>
      <c r="MAQ1634" s="1"/>
      <c r="MAR1634" s="1"/>
      <c r="MAS1634" s="1"/>
      <c r="MAT1634" s="1"/>
      <c r="MAU1634" s="1"/>
      <c r="MAV1634" s="1"/>
      <c r="MAW1634" s="1"/>
      <c r="MAX1634" s="1"/>
      <c r="MAY1634" s="1"/>
      <c r="MAZ1634" s="1"/>
      <c r="MBA1634" s="1"/>
      <c r="MBB1634" s="1"/>
      <c r="MBC1634" s="1"/>
      <c r="MBD1634" s="1"/>
      <c r="MBE1634" s="1"/>
      <c r="MBF1634" s="1"/>
      <c r="MBG1634" s="1"/>
      <c r="MBH1634" s="1"/>
      <c r="MBI1634" s="1"/>
      <c r="MBJ1634" s="1"/>
      <c r="MBK1634" s="1"/>
      <c r="MBL1634" s="1"/>
      <c r="MBM1634" s="1"/>
      <c r="MBN1634" s="1"/>
      <c r="MBO1634" s="1"/>
      <c r="MBP1634" s="1"/>
      <c r="MBQ1634" s="1"/>
      <c r="MBR1634" s="1"/>
      <c r="MBS1634" s="1"/>
      <c r="MBT1634" s="1"/>
      <c r="MBU1634" s="1"/>
      <c r="MBV1634" s="1"/>
      <c r="MBW1634" s="1"/>
      <c r="MBX1634" s="1"/>
      <c r="MBY1634" s="1"/>
      <c r="MBZ1634" s="1"/>
      <c r="MCA1634" s="1"/>
      <c r="MCB1634" s="1"/>
      <c r="MCC1634" s="1"/>
      <c r="MCD1634" s="1"/>
      <c r="MCE1634" s="1"/>
      <c r="MCF1634" s="1"/>
      <c r="MCG1634" s="1"/>
      <c r="MCH1634" s="1"/>
      <c r="MCI1634" s="1"/>
      <c r="MCJ1634" s="1"/>
      <c r="MCK1634" s="1"/>
      <c r="MCL1634" s="1"/>
      <c r="MCM1634" s="1"/>
      <c r="MCN1634" s="1"/>
      <c r="MCO1634" s="1"/>
      <c r="MCP1634" s="1"/>
      <c r="MCQ1634" s="1"/>
      <c r="MCR1634" s="1"/>
      <c r="MCS1634" s="1"/>
      <c r="MCT1634" s="1"/>
      <c r="MCU1634" s="1"/>
      <c r="MCV1634" s="1"/>
      <c r="MCW1634" s="1"/>
      <c r="MCX1634" s="1"/>
      <c r="MCY1634" s="1"/>
      <c r="MCZ1634" s="1"/>
      <c r="MDA1634" s="1"/>
      <c r="MDB1634" s="1"/>
      <c r="MDC1634" s="1"/>
      <c r="MDD1634" s="1"/>
      <c r="MDE1634" s="1"/>
      <c r="MDF1634" s="1"/>
      <c r="MDG1634" s="1"/>
      <c r="MDH1634" s="1"/>
      <c r="MDI1634" s="1"/>
      <c r="MDJ1634" s="1"/>
      <c r="MDK1634" s="1"/>
      <c r="MDL1634" s="1"/>
      <c r="MDM1634" s="1"/>
      <c r="MDN1634" s="1"/>
      <c r="MDO1634" s="1"/>
      <c r="MDP1634" s="1"/>
      <c r="MDQ1634" s="1"/>
      <c r="MDR1634" s="1"/>
      <c r="MDS1634" s="1"/>
      <c r="MDT1634" s="1"/>
      <c r="MDU1634" s="1"/>
      <c r="MDV1634" s="1"/>
      <c r="MDW1634" s="1"/>
      <c r="MDX1634" s="1"/>
      <c r="MDY1634" s="1"/>
      <c r="MDZ1634" s="1"/>
      <c r="MEA1634" s="1"/>
      <c r="MEB1634" s="1"/>
      <c r="MEC1634" s="1"/>
      <c r="MED1634" s="1"/>
      <c r="MEE1634" s="1"/>
      <c r="MEF1634" s="1"/>
      <c r="MEG1634" s="1"/>
      <c r="MEH1634" s="1"/>
      <c r="MEI1634" s="1"/>
      <c r="MEJ1634" s="1"/>
      <c r="MEK1634" s="1"/>
      <c r="MEL1634" s="1"/>
      <c r="MEM1634" s="1"/>
      <c r="MEN1634" s="1"/>
      <c r="MEO1634" s="1"/>
      <c r="MEP1634" s="1"/>
      <c r="MEQ1634" s="1"/>
      <c r="MER1634" s="1"/>
      <c r="MES1634" s="1"/>
      <c r="MET1634" s="1"/>
      <c r="MEU1634" s="1"/>
      <c r="MEV1634" s="1"/>
      <c r="MEW1634" s="1"/>
      <c r="MEX1634" s="1"/>
      <c r="MEY1634" s="1"/>
      <c r="MEZ1634" s="1"/>
      <c r="MFA1634" s="1"/>
      <c r="MFB1634" s="1"/>
      <c r="MFC1634" s="1"/>
      <c r="MFD1634" s="1"/>
      <c r="MFE1634" s="1"/>
      <c r="MFF1634" s="1"/>
      <c r="MFG1634" s="1"/>
      <c r="MFH1634" s="1"/>
      <c r="MFI1634" s="1"/>
      <c r="MFJ1634" s="1"/>
      <c r="MFK1634" s="1"/>
      <c r="MFL1634" s="1"/>
      <c r="MFM1634" s="1"/>
      <c r="MFN1634" s="1"/>
      <c r="MFO1634" s="1"/>
      <c r="MFP1634" s="1"/>
      <c r="MFQ1634" s="1"/>
      <c r="MFR1634" s="1"/>
      <c r="MFS1634" s="1"/>
      <c r="MFT1634" s="1"/>
      <c r="MFU1634" s="1"/>
      <c r="MFV1634" s="1"/>
      <c r="MFW1634" s="1"/>
      <c r="MFX1634" s="1"/>
      <c r="MFY1634" s="1"/>
      <c r="MFZ1634" s="1"/>
      <c r="MGA1634" s="1"/>
      <c r="MGB1634" s="1"/>
      <c r="MGC1634" s="1"/>
      <c r="MGD1634" s="1"/>
      <c r="MGE1634" s="1"/>
      <c r="MGF1634" s="1"/>
      <c r="MGG1634" s="1"/>
      <c r="MGH1634" s="1"/>
      <c r="MGI1634" s="1"/>
      <c r="MGJ1634" s="1"/>
      <c r="MGK1634" s="1"/>
      <c r="MGL1634" s="1"/>
      <c r="MGM1634" s="1"/>
      <c r="MGN1634" s="1"/>
      <c r="MGO1634" s="1"/>
      <c r="MGP1634" s="1"/>
      <c r="MGQ1634" s="1"/>
      <c r="MGR1634" s="1"/>
      <c r="MGS1634" s="1"/>
      <c r="MGT1634" s="1"/>
      <c r="MGU1634" s="1"/>
      <c r="MGV1634" s="1"/>
      <c r="MGW1634" s="1"/>
      <c r="MGX1634" s="1"/>
      <c r="MGY1634" s="1"/>
      <c r="MGZ1634" s="1"/>
      <c r="MHA1634" s="1"/>
      <c r="MHB1634" s="1"/>
      <c r="MHC1634" s="1"/>
      <c r="MHD1634" s="1"/>
      <c r="MHE1634" s="1"/>
      <c r="MHF1634" s="1"/>
      <c r="MHG1634" s="1"/>
      <c r="MHH1634" s="1"/>
      <c r="MHI1634" s="1"/>
      <c r="MHJ1634" s="1"/>
      <c r="MHK1634" s="1"/>
      <c r="MHL1634" s="1"/>
      <c r="MHM1634" s="1"/>
      <c r="MHN1634" s="1"/>
      <c r="MHO1634" s="1"/>
      <c r="MHP1634" s="1"/>
      <c r="MHQ1634" s="1"/>
      <c r="MHR1634" s="1"/>
      <c r="MHS1634" s="1"/>
      <c r="MHT1634" s="1"/>
      <c r="MHU1634" s="1"/>
      <c r="MHV1634" s="1"/>
      <c r="MHW1634" s="1"/>
      <c r="MHX1634" s="1"/>
      <c r="MHY1634" s="1"/>
      <c r="MHZ1634" s="1"/>
      <c r="MIA1634" s="1"/>
      <c r="MIB1634" s="1"/>
      <c r="MIC1634" s="1"/>
      <c r="MID1634" s="1"/>
      <c r="MIE1634" s="1"/>
      <c r="MIF1634" s="1"/>
      <c r="MIG1634" s="1"/>
      <c r="MIH1634" s="1"/>
      <c r="MII1634" s="1"/>
      <c r="MIJ1634" s="1"/>
      <c r="MIK1634" s="1"/>
      <c r="MIL1634" s="1"/>
      <c r="MIM1634" s="1"/>
      <c r="MIN1634" s="1"/>
      <c r="MIO1634" s="1"/>
      <c r="MIP1634" s="1"/>
      <c r="MIQ1634" s="1"/>
      <c r="MIR1634" s="1"/>
      <c r="MIS1634" s="1"/>
      <c r="MIT1634" s="1"/>
      <c r="MIU1634" s="1"/>
      <c r="MIV1634" s="1"/>
      <c r="MIW1634" s="1"/>
      <c r="MIX1634" s="1"/>
      <c r="MIY1634" s="1"/>
      <c r="MIZ1634" s="1"/>
      <c r="MJA1634" s="1"/>
      <c r="MJB1634" s="1"/>
      <c r="MJC1634" s="1"/>
      <c r="MJD1634" s="1"/>
      <c r="MJE1634" s="1"/>
      <c r="MJF1634" s="1"/>
      <c r="MJG1634" s="1"/>
      <c r="MJH1634" s="1"/>
      <c r="MJI1634" s="1"/>
      <c r="MJJ1634" s="1"/>
      <c r="MJK1634" s="1"/>
      <c r="MJL1634" s="1"/>
      <c r="MJM1634" s="1"/>
      <c r="MJN1634" s="1"/>
      <c r="MJO1634" s="1"/>
      <c r="MJP1634" s="1"/>
      <c r="MJQ1634" s="1"/>
      <c r="MJR1634" s="1"/>
      <c r="MJS1634" s="1"/>
      <c r="MJT1634" s="1"/>
      <c r="MJU1634" s="1"/>
      <c r="MJV1634" s="1"/>
      <c r="MJW1634" s="1"/>
      <c r="MJX1634" s="1"/>
      <c r="MJY1634" s="1"/>
      <c r="MJZ1634" s="1"/>
      <c r="MKA1634" s="1"/>
      <c r="MKB1634" s="1"/>
      <c r="MKC1634" s="1"/>
      <c r="MKD1634" s="1"/>
      <c r="MKE1634" s="1"/>
      <c r="MKF1634" s="1"/>
      <c r="MKG1634" s="1"/>
      <c r="MKH1634" s="1"/>
      <c r="MKI1634" s="1"/>
      <c r="MKJ1634" s="1"/>
      <c r="MKK1634" s="1"/>
      <c r="MKL1634" s="1"/>
      <c r="MKM1634" s="1"/>
      <c r="MKN1634" s="1"/>
      <c r="MKO1634" s="1"/>
      <c r="MKP1634" s="1"/>
      <c r="MKQ1634" s="1"/>
      <c r="MKR1634" s="1"/>
      <c r="MKS1634" s="1"/>
      <c r="MKT1634" s="1"/>
      <c r="MKU1634" s="1"/>
      <c r="MKV1634" s="1"/>
      <c r="MKW1634" s="1"/>
      <c r="MKX1634" s="1"/>
      <c r="MKY1634" s="1"/>
      <c r="MKZ1634" s="1"/>
      <c r="MLA1634" s="1"/>
      <c r="MLB1634" s="1"/>
      <c r="MLC1634" s="1"/>
      <c r="MLD1634" s="1"/>
      <c r="MLE1634" s="1"/>
      <c r="MLF1634" s="1"/>
      <c r="MLG1634" s="1"/>
      <c r="MLH1634" s="1"/>
      <c r="MLI1634" s="1"/>
      <c r="MLJ1634" s="1"/>
      <c r="MLK1634" s="1"/>
      <c r="MLL1634" s="1"/>
      <c r="MLM1634" s="1"/>
      <c r="MLN1634" s="1"/>
      <c r="MLO1634" s="1"/>
      <c r="MLP1634" s="1"/>
      <c r="MLQ1634" s="1"/>
      <c r="MLR1634" s="1"/>
      <c r="MLS1634" s="1"/>
      <c r="MLT1634" s="1"/>
      <c r="MLU1634" s="1"/>
      <c r="MLV1634" s="1"/>
      <c r="MLW1634" s="1"/>
      <c r="MLX1634" s="1"/>
      <c r="MLY1634" s="1"/>
      <c r="MLZ1634" s="1"/>
      <c r="MMA1634" s="1"/>
      <c r="MMB1634" s="1"/>
      <c r="MMC1634" s="1"/>
      <c r="MMD1634" s="1"/>
      <c r="MME1634" s="1"/>
      <c r="MMF1634" s="1"/>
      <c r="MMG1634" s="1"/>
      <c r="MMH1634" s="1"/>
      <c r="MMI1634" s="1"/>
      <c r="MMJ1634" s="1"/>
      <c r="MMK1634" s="1"/>
      <c r="MML1634" s="1"/>
      <c r="MMM1634" s="1"/>
      <c r="MMN1634" s="1"/>
      <c r="MMO1634" s="1"/>
      <c r="MMP1634" s="1"/>
      <c r="MMQ1634" s="1"/>
      <c r="MMR1634" s="1"/>
      <c r="MMS1634" s="1"/>
      <c r="MMT1634" s="1"/>
      <c r="MMU1634" s="1"/>
      <c r="MMV1634" s="1"/>
      <c r="MMW1634" s="1"/>
      <c r="MMX1634" s="1"/>
      <c r="MMY1634" s="1"/>
      <c r="MMZ1634" s="1"/>
      <c r="MNA1634" s="1"/>
      <c r="MNB1634" s="1"/>
      <c r="MNC1634" s="1"/>
      <c r="MND1634" s="1"/>
      <c r="MNE1634" s="1"/>
      <c r="MNF1634" s="1"/>
      <c r="MNG1634" s="1"/>
      <c r="MNH1634" s="1"/>
      <c r="MNI1634" s="1"/>
      <c r="MNJ1634" s="1"/>
      <c r="MNK1634" s="1"/>
      <c r="MNL1634" s="1"/>
      <c r="MNM1634" s="1"/>
      <c r="MNN1634" s="1"/>
      <c r="MNO1634" s="1"/>
      <c r="MNP1634" s="1"/>
      <c r="MNQ1634" s="1"/>
      <c r="MNR1634" s="1"/>
      <c r="MNS1634" s="1"/>
      <c r="MNT1634" s="1"/>
      <c r="MNU1634" s="1"/>
      <c r="MNV1634" s="1"/>
      <c r="MNW1634" s="1"/>
      <c r="MNX1634" s="1"/>
      <c r="MNY1634" s="1"/>
      <c r="MNZ1634" s="1"/>
      <c r="MOA1634" s="1"/>
      <c r="MOB1634" s="1"/>
      <c r="MOC1634" s="1"/>
      <c r="MOD1634" s="1"/>
      <c r="MOE1634" s="1"/>
      <c r="MOF1634" s="1"/>
      <c r="MOG1634" s="1"/>
      <c r="MOH1634" s="1"/>
      <c r="MOI1634" s="1"/>
      <c r="MOJ1634" s="1"/>
      <c r="MOK1634" s="1"/>
      <c r="MOL1634" s="1"/>
      <c r="MOM1634" s="1"/>
      <c r="MON1634" s="1"/>
      <c r="MOO1634" s="1"/>
      <c r="MOP1634" s="1"/>
      <c r="MOQ1634" s="1"/>
      <c r="MOR1634" s="1"/>
      <c r="MOS1634" s="1"/>
      <c r="MOT1634" s="1"/>
      <c r="MOU1634" s="1"/>
      <c r="MOV1634" s="1"/>
      <c r="MOW1634" s="1"/>
      <c r="MOX1634" s="1"/>
      <c r="MOY1634" s="1"/>
      <c r="MOZ1634" s="1"/>
      <c r="MPA1634" s="1"/>
      <c r="MPB1634" s="1"/>
      <c r="MPC1634" s="1"/>
      <c r="MPD1634" s="1"/>
      <c r="MPE1634" s="1"/>
      <c r="MPF1634" s="1"/>
      <c r="MPG1634" s="1"/>
      <c r="MPH1634" s="1"/>
      <c r="MPI1634" s="1"/>
      <c r="MPJ1634" s="1"/>
      <c r="MPK1634" s="1"/>
      <c r="MPL1634" s="1"/>
      <c r="MPM1634" s="1"/>
      <c r="MPN1634" s="1"/>
      <c r="MPO1634" s="1"/>
      <c r="MPP1634" s="1"/>
      <c r="MPQ1634" s="1"/>
      <c r="MPR1634" s="1"/>
      <c r="MPS1634" s="1"/>
      <c r="MPT1634" s="1"/>
      <c r="MPU1634" s="1"/>
      <c r="MPV1634" s="1"/>
      <c r="MPW1634" s="1"/>
      <c r="MPX1634" s="1"/>
      <c r="MPY1634" s="1"/>
      <c r="MPZ1634" s="1"/>
      <c r="MQA1634" s="1"/>
      <c r="MQB1634" s="1"/>
      <c r="MQC1634" s="1"/>
      <c r="MQD1634" s="1"/>
      <c r="MQE1634" s="1"/>
      <c r="MQF1634" s="1"/>
      <c r="MQG1634" s="1"/>
      <c r="MQH1634" s="1"/>
      <c r="MQI1634" s="1"/>
      <c r="MQJ1634" s="1"/>
      <c r="MQK1634" s="1"/>
      <c r="MQL1634" s="1"/>
      <c r="MQM1634" s="1"/>
      <c r="MQN1634" s="1"/>
      <c r="MQO1634" s="1"/>
      <c r="MQP1634" s="1"/>
      <c r="MQQ1634" s="1"/>
      <c r="MQR1634" s="1"/>
      <c r="MQS1634" s="1"/>
      <c r="MQT1634" s="1"/>
      <c r="MQU1634" s="1"/>
      <c r="MQV1634" s="1"/>
      <c r="MQW1634" s="1"/>
      <c r="MQX1634" s="1"/>
      <c r="MQY1634" s="1"/>
      <c r="MQZ1634" s="1"/>
      <c r="MRA1634" s="1"/>
      <c r="MRB1634" s="1"/>
      <c r="MRC1634" s="1"/>
      <c r="MRD1634" s="1"/>
      <c r="MRE1634" s="1"/>
      <c r="MRF1634" s="1"/>
      <c r="MRG1634" s="1"/>
      <c r="MRH1634" s="1"/>
      <c r="MRI1634" s="1"/>
      <c r="MRJ1634" s="1"/>
      <c r="MRK1634" s="1"/>
      <c r="MRL1634" s="1"/>
      <c r="MRM1634" s="1"/>
      <c r="MRN1634" s="1"/>
      <c r="MRO1634" s="1"/>
      <c r="MRP1634" s="1"/>
      <c r="MRQ1634" s="1"/>
      <c r="MRR1634" s="1"/>
      <c r="MRS1634" s="1"/>
      <c r="MRT1634" s="1"/>
      <c r="MRU1634" s="1"/>
      <c r="MRV1634" s="1"/>
      <c r="MRW1634" s="1"/>
      <c r="MRX1634" s="1"/>
      <c r="MRY1634" s="1"/>
      <c r="MRZ1634" s="1"/>
      <c r="MSA1634" s="1"/>
      <c r="MSB1634" s="1"/>
      <c r="MSC1634" s="1"/>
      <c r="MSD1634" s="1"/>
      <c r="MSE1634" s="1"/>
      <c r="MSF1634" s="1"/>
      <c r="MSG1634" s="1"/>
      <c r="MSH1634" s="1"/>
      <c r="MSI1634" s="1"/>
      <c r="MSJ1634" s="1"/>
      <c r="MSK1634" s="1"/>
      <c r="MSL1634" s="1"/>
      <c r="MSM1634" s="1"/>
      <c r="MSN1634" s="1"/>
      <c r="MSO1634" s="1"/>
      <c r="MSP1634" s="1"/>
      <c r="MSQ1634" s="1"/>
      <c r="MSR1634" s="1"/>
      <c r="MSS1634" s="1"/>
      <c r="MST1634" s="1"/>
      <c r="MSU1634" s="1"/>
      <c r="MSV1634" s="1"/>
      <c r="MSW1634" s="1"/>
      <c r="MSX1634" s="1"/>
      <c r="MSY1634" s="1"/>
      <c r="MSZ1634" s="1"/>
      <c r="MTA1634" s="1"/>
      <c r="MTB1634" s="1"/>
      <c r="MTC1634" s="1"/>
      <c r="MTD1634" s="1"/>
      <c r="MTE1634" s="1"/>
      <c r="MTF1634" s="1"/>
      <c r="MTG1634" s="1"/>
      <c r="MTH1634" s="1"/>
      <c r="MTI1634" s="1"/>
      <c r="MTJ1634" s="1"/>
      <c r="MTK1634" s="1"/>
      <c r="MTL1634" s="1"/>
      <c r="MTM1634" s="1"/>
      <c r="MTN1634" s="1"/>
      <c r="MTO1634" s="1"/>
      <c r="MTP1634" s="1"/>
      <c r="MTQ1634" s="1"/>
      <c r="MTR1634" s="1"/>
      <c r="MTS1634" s="1"/>
      <c r="MTT1634" s="1"/>
      <c r="MTU1634" s="1"/>
      <c r="MTV1634" s="1"/>
      <c r="MTW1634" s="1"/>
      <c r="MTX1634" s="1"/>
      <c r="MTY1634" s="1"/>
      <c r="MTZ1634" s="1"/>
      <c r="MUA1634" s="1"/>
      <c r="MUB1634" s="1"/>
      <c r="MUC1634" s="1"/>
      <c r="MUD1634" s="1"/>
      <c r="MUE1634" s="1"/>
      <c r="MUF1634" s="1"/>
      <c r="MUG1634" s="1"/>
      <c r="MUH1634" s="1"/>
      <c r="MUI1634" s="1"/>
      <c r="MUJ1634" s="1"/>
      <c r="MUK1634" s="1"/>
      <c r="MUL1634" s="1"/>
      <c r="MUM1634" s="1"/>
      <c r="MUN1634" s="1"/>
      <c r="MUO1634" s="1"/>
      <c r="MUP1634" s="1"/>
      <c r="MUQ1634" s="1"/>
      <c r="MUR1634" s="1"/>
      <c r="MUS1634" s="1"/>
      <c r="MUT1634" s="1"/>
      <c r="MUU1634" s="1"/>
      <c r="MUV1634" s="1"/>
      <c r="MUW1634" s="1"/>
      <c r="MUX1634" s="1"/>
      <c r="MUY1634" s="1"/>
      <c r="MUZ1634" s="1"/>
      <c r="MVA1634" s="1"/>
      <c r="MVB1634" s="1"/>
      <c r="MVC1634" s="1"/>
      <c r="MVD1634" s="1"/>
      <c r="MVE1634" s="1"/>
      <c r="MVF1634" s="1"/>
      <c r="MVG1634" s="1"/>
      <c r="MVH1634" s="1"/>
      <c r="MVI1634" s="1"/>
      <c r="MVJ1634" s="1"/>
      <c r="MVK1634" s="1"/>
      <c r="MVL1634" s="1"/>
      <c r="MVM1634" s="1"/>
      <c r="MVN1634" s="1"/>
      <c r="MVO1634" s="1"/>
      <c r="MVP1634" s="1"/>
      <c r="MVQ1634" s="1"/>
      <c r="MVR1634" s="1"/>
      <c r="MVS1634" s="1"/>
      <c r="MVT1634" s="1"/>
      <c r="MVU1634" s="1"/>
      <c r="MVV1634" s="1"/>
      <c r="MVW1634" s="1"/>
      <c r="MVX1634" s="1"/>
      <c r="MVY1634" s="1"/>
      <c r="MVZ1634" s="1"/>
      <c r="MWA1634" s="1"/>
      <c r="MWB1634" s="1"/>
      <c r="MWC1634" s="1"/>
      <c r="MWD1634" s="1"/>
      <c r="MWE1634" s="1"/>
      <c r="MWF1634" s="1"/>
      <c r="MWG1634" s="1"/>
      <c r="MWH1634" s="1"/>
      <c r="MWI1634" s="1"/>
      <c r="MWJ1634" s="1"/>
      <c r="MWK1634" s="1"/>
      <c r="MWL1634" s="1"/>
      <c r="MWM1634" s="1"/>
      <c r="MWN1634" s="1"/>
      <c r="MWO1634" s="1"/>
      <c r="MWP1634" s="1"/>
      <c r="MWQ1634" s="1"/>
      <c r="MWR1634" s="1"/>
      <c r="MWS1634" s="1"/>
      <c r="MWT1634" s="1"/>
      <c r="MWU1634" s="1"/>
      <c r="MWV1634" s="1"/>
      <c r="MWW1634" s="1"/>
      <c r="MWX1634" s="1"/>
      <c r="MWY1634" s="1"/>
      <c r="MWZ1634" s="1"/>
      <c r="MXA1634" s="1"/>
      <c r="MXB1634" s="1"/>
      <c r="MXC1634" s="1"/>
      <c r="MXD1634" s="1"/>
      <c r="MXE1634" s="1"/>
      <c r="MXF1634" s="1"/>
      <c r="MXG1634" s="1"/>
      <c r="MXH1634" s="1"/>
      <c r="MXI1634" s="1"/>
      <c r="MXJ1634" s="1"/>
      <c r="MXK1634" s="1"/>
      <c r="MXL1634" s="1"/>
      <c r="MXM1634" s="1"/>
      <c r="MXN1634" s="1"/>
      <c r="MXO1634" s="1"/>
      <c r="MXP1634" s="1"/>
      <c r="MXQ1634" s="1"/>
      <c r="MXR1634" s="1"/>
      <c r="MXS1634" s="1"/>
      <c r="MXT1634" s="1"/>
      <c r="MXU1634" s="1"/>
      <c r="MXV1634" s="1"/>
      <c r="MXW1634" s="1"/>
      <c r="MXX1634" s="1"/>
      <c r="MXY1634" s="1"/>
      <c r="MXZ1634" s="1"/>
      <c r="MYA1634" s="1"/>
      <c r="MYB1634" s="1"/>
      <c r="MYC1634" s="1"/>
      <c r="MYD1634" s="1"/>
      <c r="MYE1634" s="1"/>
      <c r="MYF1634" s="1"/>
      <c r="MYG1634" s="1"/>
      <c r="MYH1634" s="1"/>
      <c r="MYI1634" s="1"/>
      <c r="MYJ1634" s="1"/>
      <c r="MYK1634" s="1"/>
      <c r="MYL1634" s="1"/>
      <c r="MYM1634" s="1"/>
      <c r="MYN1634" s="1"/>
      <c r="MYO1634" s="1"/>
      <c r="MYP1634" s="1"/>
      <c r="MYQ1634" s="1"/>
      <c r="MYR1634" s="1"/>
      <c r="MYS1634" s="1"/>
      <c r="MYT1634" s="1"/>
      <c r="MYU1634" s="1"/>
      <c r="MYV1634" s="1"/>
      <c r="MYW1634" s="1"/>
      <c r="MYX1634" s="1"/>
      <c r="MYY1634" s="1"/>
      <c r="MYZ1634" s="1"/>
      <c r="MZA1634" s="1"/>
      <c r="MZB1634" s="1"/>
      <c r="MZC1634" s="1"/>
      <c r="MZD1634" s="1"/>
      <c r="MZE1634" s="1"/>
      <c r="MZF1634" s="1"/>
      <c r="MZG1634" s="1"/>
      <c r="MZH1634" s="1"/>
      <c r="MZI1634" s="1"/>
      <c r="MZJ1634" s="1"/>
      <c r="MZK1634" s="1"/>
      <c r="MZL1634" s="1"/>
      <c r="MZM1634" s="1"/>
      <c r="MZN1634" s="1"/>
      <c r="MZO1634" s="1"/>
      <c r="MZP1634" s="1"/>
      <c r="MZQ1634" s="1"/>
      <c r="MZR1634" s="1"/>
      <c r="MZS1634" s="1"/>
      <c r="MZT1634" s="1"/>
      <c r="MZU1634" s="1"/>
      <c r="MZV1634" s="1"/>
      <c r="MZW1634" s="1"/>
      <c r="MZX1634" s="1"/>
      <c r="MZY1634" s="1"/>
      <c r="MZZ1634" s="1"/>
      <c r="NAA1634" s="1"/>
      <c r="NAB1634" s="1"/>
      <c r="NAC1634" s="1"/>
      <c r="NAD1634" s="1"/>
      <c r="NAE1634" s="1"/>
      <c r="NAF1634" s="1"/>
      <c r="NAG1634" s="1"/>
      <c r="NAH1634" s="1"/>
      <c r="NAI1634" s="1"/>
      <c r="NAJ1634" s="1"/>
      <c r="NAK1634" s="1"/>
      <c r="NAL1634" s="1"/>
      <c r="NAM1634" s="1"/>
      <c r="NAN1634" s="1"/>
      <c r="NAO1634" s="1"/>
      <c r="NAP1634" s="1"/>
      <c r="NAQ1634" s="1"/>
      <c r="NAR1634" s="1"/>
      <c r="NAS1634" s="1"/>
      <c r="NAT1634" s="1"/>
      <c r="NAU1634" s="1"/>
      <c r="NAV1634" s="1"/>
      <c r="NAW1634" s="1"/>
      <c r="NAX1634" s="1"/>
      <c r="NAY1634" s="1"/>
      <c r="NAZ1634" s="1"/>
      <c r="NBA1634" s="1"/>
      <c r="NBB1634" s="1"/>
      <c r="NBC1634" s="1"/>
      <c r="NBD1634" s="1"/>
      <c r="NBE1634" s="1"/>
      <c r="NBF1634" s="1"/>
      <c r="NBG1634" s="1"/>
      <c r="NBH1634" s="1"/>
      <c r="NBI1634" s="1"/>
      <c r="NBJ1634" s="1"/>
      <c r="NBK1634" s="1"/>
      <c r="NBL1634" s="1"/>
      <c r="NBM1634" s="1"/>
      <c r="NBN1634" s="1"/>
      <c r="NBO1634" s="1"/>
      <c r="NBP1634" s="1"/>
      <c r="NBQ1634" s="1"/>
      <c r="NBR1634" s="1"/>
      <c r="NBS1634" s="1"/>
      <c r="NBT1634" s="1"/>
      <c r="NBU1634" s="1"/>
      <c r="NBV1634" s="1"/>
      <c r="NBW1634" s="1"/>
      <c r="NBX1634" s="1"/>
      <c r="NBY1634" s="1"/>
      <c r="NBZ1634" s="1"/>
      <c r="NCA1634" s="1"/>
      <c r="NCB1634" s="1"/>
      <c r="NCC1634" s="1"/>
      <c r="NCD1634" s="1"/>
      <c r="NCE1634" s="1"/>
      <c r="NCF1634" s="1"/>
      <c r="NCG1634" s="1"/>
      <c r="NCH1634" s="1"/>
      <c r="NCI1634" s="1"/>
      <c r="NCJ1634" s="1"/>
      <c r="NCK1634" s="1"/>
      <c r="NCL1634" s="1"/>
      <c r="NCM1634" s="1"/>
      <c r="NCN1634" s="1"/>
      <c r="NCO1634" s="1"/>
      <c r="NCP1634" s="1"/>
      <c r="NCQ1634" s="1"/>
      <c r="NCR1634" s="1"/>
      <c r="NCS1634" s="1"/>
      <c r="NCT1634" s="1"/>
      <c r="NCU1634" s="1"/>
      <c r="NCV1634" s="1"/>
      <c r="NCW1634" s="1"/>
      <c r="NCX1634" s="1"/>
      <c r="NCY1634" s="1"/>
      <c r="NCZ1634" s="1"/>
      <c r="NDA1634" s="1"/>
      <c r="NDB1634" s="1"/>
      <c r="NDC1634" s="1"/>
      <c r="NDD1634" s="1"/>
      <c r="NDE1634" s="1"/>
      <c r="NDF1634" s="1"/>
      <c r="NDG1634" s="1"/>
      <c r="NDH1634" s="1"/>
      <c r="NDI1634" s="1"/>
      <c r="NDJ1634" s="1"/>
      <c r="NDK1634" s="1"/>
      <c r="NDL1634" s="1"/>
      <c r="NDM1634" s="1"/>
      <c r="NDN1634" s="1"/>
      <c r="NDO1634" s="1"/>
      <c r="NDP1634" s="1"/>
      <c r="NDQ1634" s="1"/>
      <c r="NDR1634" s="1"/>
      <c r="NDS1634" s="1"/>
      <c r="NDT1634" s="1"/>
      <c r="NDU1634" s="1"/>
      <c r="NDV1634" s="1"/>
      <c r="NDW1634" s="1"/>
      <c r="NDX1634" s="1"/>
      <c r="NDY1634" s="1"/>
      <c r="NDZ1634" s="1"/>
      <c r="NEA1634" s="1"/>
      <c r="NEB1634" s="1"/>
      <c r="NEC1634" s="1"/>
      <c r="NED1634" s="1"/>
      <c r="NEE1634" s="1"/>
      <c r="NEF1634" s="1"/>
      <c r="NEG1634" s="1"/>
      <c r="NEH1634" s="1"/>
      <c r="NEI1634" s="1"/>
      <c r="NEJ1634" s="1"/>
      <c r="NEK1634" s="1"/>
      <c r="NEL1634" s="1"/>
      <c r="NEM1634" s="1"/>
      <c r="NEN1634" s="1"/>
      <c r="NEO1634" s="1"/>
      <c r="NEP1634" s="1"/>
      <c r="NEQ1634" s="1"/>
      <c r="NER1634" s="1"/>
      <c r="NES1634" s="1"/>
      <c r="NET1634" s="1"/>
      <c r="NEU1634" s="1"/>
      <c r="NEV1634" s="1"/>
      <c r="NEW1634" s="1"/>
      <c r="NEX1634" s="1"/>
      <c r="NEY1634" s="1"/>
      <c r="NEZ1634" s="1"/>
      <c r="NFA1634" s="1"/>
      <c r="NFB1634" s="1"/>
      <c r="NFC1634" s="1"/>
      <c r="NFD1634" s="1"/>
      <c r="NFE1634" s="1"/>
      <c r="NFF1634" s="1"/>
      <c r="NFG1634" s="1"/>
      <c r="NFH1634" s="1"/>
      <c r="NFI1634" s="1"/>
      <c r="NFJ1634" s="1"/>
      <c r="NFK1634" s="1"/>
      <c r="NFL1634" s="1"/>
      <c r="NFM1634" s="1"/>
      <c r="NFN1634" s="1"/>
      <c r="NFO1634" s="1"/>
      <c r="NFP1634" s="1"/>
      <c r="NFQ1634" s="1"/>
      <c r="NFR1634" s="1"/>
      <c r="NFS1634" s="1"/>
      <c r="NFT1634" s="1"/>
      <c r="NFU1634" s="1"/>
      <c r="NFV1634" s="1"/>
      <c r="NFW1634" s="1"/>
      <c r="NFX1634" s="1"/>
      <c r="NFY1634" s="1"/>
      <c r="NFZ1634" s="1"/>
      <c r="NGA1634" s="1"/>
      <c r="NGB1634" s="1"/>
      <c r="NGC1634" s="1"/>
      <c r="NGD1634" s="1"/>
      <c r="NGE1634" s="1"/>
      <c r="NGF1634" s="1"/>
      <c r="NGG1634" s="1"/>
      <c r="NGH1634" s="1"/>
      <c r="NGI1634" s="1"/>
      <c r="NGJ1634" s="1"/>
      <c r="NGK1634" s="1"/>
      <c r="NGL1634" s="1"/>
      <c r="NGM1634" s="1"/>
      <c r="NGN1634" s="1"/>
      <c r="NGO1634" s="1"/>
      <c r="NGP1634" s="1"/>
      <c r="NGQ1634" s="1"/>
      <c r="NGR1634" s="1"/>
      <c r="NGS1634" s="1"/>
      <c r="NGT1634" s="1"/>
      <c r="NGU1634" s="1"/>
      <c r="NGV1634" s="1"/>
      <c r="NGW1634" s="1"/>
      <c r="NGX1634" s="1"/>
      <c r="NGY1634" s="1"/>
      <c r="NGZ1634" s="1"/>
      <c r="NHA1634" s="1"/>
      <c r="NHB1634" s="1"/>
      <c r="NHC1634" s="1"/>
      <c r="NHD1634" s="1"/>
      <c r="NHE1634" s="1"/>
      <c r="NHF1634" s="1"/>
      <c r="NHG1634" s="1"/>
      <c r="NHH1634" s="1"/>
      <c r="NHI1634" s="1"/>
      <c r="NHJ1634" s="1"/>
      <c r="NHK1634" s="1"/>
      <c r="NHL1634" s="1"/>
      <c r="NHM1634" s="1"/>
      <c r="NHN1634" s="1"/>
      <c r="NHO1634" s="1"/>
      <c r="NHP1634" s="1"/>
      <c r="NHQ1634" s="1"/>
      <c r="NHR1634" s="1"/>
      <c r="NHS1634" s="1"/>
      <c r="NHT1634" s="1"/>
      <c r="NHU1634" s="1"/>
      <c r="NHV1634" s="1"/>
      <c r="NHW1634" s="1"/>
      <c r="NHX1634" s="1"/>
      <c r="NHY1634" s="1"/>
      <c r="NHZ1634" s="1"/>
      <c r="NIA1634" s="1"/>
      <c r="NIB1634" s="1"/>
      <c r="NIC1634" s="1"/>
      <c r="NID1634" s="1"/>
      <c r="NIE1634" s="1"/>
      <c r="NIF1634" s="1"/>
      <c r="NIG1634" s="1"/>
      <c r="NIH1634" s="1"/>
      <c r="NII1634" s="1"/>
      <c r="NIJ1634" s="1"/>
      <c r="NIK1634" s="1"/>
      <c r="NIL1634" s="1"/>
      <c r="NIM1634" s="1"/>
      <c r="NIN1634" s="1"/>
      <c r="NIO1634" s="1"/>
      <c r="NIP1634" s="1"/>
      <c r="NIQ1634" s="1"/>
      <c r="NIR1634" s="1"/>
      <c r="NIS1634" s="1"/>
      <c r="NIT1634" s="1"/>
      <c r="NIU1634" s="1"/>
      <c r="NIV1634" s="1"/>
      <c r="NIW1634" s="1"/>
      <c r="NIX1634" s="1"/>
      <c r="NIY1634" s="1"/>
      <c r="NIZ1634" s="1"/>
      <c r="NJA1634" s="1"/>
      <c r="NJB1634" s="1"/>
      <c r="NJC1634" s="1"/>
      <c r="NJD1634" s="1"/>
      <c r="NJE1634" s="1"/>
      <c r="NJF1634" s="1"/>
      <c r="NJG1634" s="1"/>
      <c r="NJH1634" s="1"/>
      <c r="NJI1634" s="1"/>
      <c r="NJJ1634" s="1"/>
      <c r="NJK1634" s="1"/>
      <c r="NJL1634" s="1"/>
      <c r="NJM1634" s="1"/>
      <c r="NJN1634" s="1"/>
      <c r="NJO1634" s="1"/>
      <c r="NJP1634" s="1"/>
      <c r="NJQ1634" s="1"/>
      <c r="NJR1634" s="1"/>
      <c r="NJS1634" s="1"/>
      <c r="NJT1634" s="1"/>
      <c r="NJU1634" s="1"/>
      <c r="NJV1634" s="1"/>
      <c r="NJW1634" s="1"/>
      <c r="NJX1634" s="1"/>
      <c r="NJY1634" s="1"/>
      <c r="NJZ1634" s="1"/>
      <c r="NKA1634" s="1"/>
      <c r="NKB1634" s="1"/>
      <c r="NKC1634" s="1"/>
      <c r="NKD1634" s="1"/>
      <c r="NKE1634" s="1"/>
      <c r="NKF1634" s="1"/>
      <c r="NKG1634" s="1"/>
      <c r="NKH1634" s="1"/>
      <c r="NKI1634" s="1"/>
      <c r="NKJ1634" s="1"/>
      <c r="NKK1634" s="1"/>
      <c r="NKL1634" s="1"/>
      <c r="NKM1634" s="1"/>
      <c r="NKN1634" s="1"/>
      <c r="NKO1634" s="1"/>
      <c r="NKP1634" s="1"/>
      <c r="NKQ1634" s="1"/>
      <c r="NKR1634" s="1"/>
      <c r="NKS1634" s="1"/>
      <c r="NKT1634" s="1"/>
      <c r="NKU1634" s="1"/>
      <c r="NKV1634" s="1"/>
      <c r="NKW1634" s="1"/>
      <c r="NKX1634" s="1"/>
      <c r="NKY1634" s="1"/>
      <c r="NKZ1634" s="1"/>
      <c r="NLA1634" s="1"/>
      <c r="NLB1634" s="1"/>
      <c r="NLC1634" s="1"/>
      <c r="NLD1634" s="1"/>
      <c r="NLE1634" s="1"/>
      <c r="NLF1634" s="1"/>
      <c r="NLG1634" s="1"/>
      <c r="NLH1634" s="1"/>
      <c r="NLI1634" s="1"/>
      <c r="NLJ1634" s="1"/>
      <c r="NLK1634" s="1"/>
      <c r="NLL1634" s="1"/>
      <c r="NLM1634" s="1"/>
      <c r="NLN1634" s="1"/>
      <c r="NLO1634" s="1"/>
      <c r="NLP1634" s="1"/>
      <c r="NLQ1634" s="1"/>
      <c r="NLR1634" s="1"/>
      <c r="NLS1634" s="1"/>
      <c r="NLT1634" s="1"/>
      <c r="NLU1634" s="1"/>
      <c r="NLV1634" s="1"/>
      <c r="NLW1634" s="1"/>
      <c r="NLX1634" s="1"/>
      <c r="NLY1634" s="1"/>
      <c r="NLZ1634" s="1"/>
      <c r="NMA1634" s="1"/>
      <c r="NMB1634" s="1"/>
      <c r="NMC1634" s="1"/>
      <c r="NMD1634" s="1"/>
      <c r="NME1634" s="1"/>
      <c r="NMF1634" s="1"/>
      <c r="NMG1634" s="1"/>
      <c r="NMH1634" s="1"/>
      <c r="NMI1634" s="1"/>
      <c r="NMJ1634" s="1"/>
      <c r="NMK1634" s="1"/>
      <c r="NML1634" s="1"/>
      <c r="NMM1634" s="1"/>
      <c r="NMN1634" s="1"/>
      <c r="NMO1634" s="1"/>
      <c r="NMP1634" s="1"/>
      <c r="NMQ1634" s="1"/>
      <c r="NMR1634" s="1"/>
      <c r="NMS1634" s="1"/>
      <c r="NMT1634" s="1"/>
      <c r="NMU1634" s="1"/>
      <c r="NMV1634" s="1"/>
      <c r="NMW1634" s="1"/>
      <c r="NMX1634" s="1"/>
      <c r="NMY1634" s="1"/>
      <c r="NMZ1634" s="1"/>
      <c r="NNA1634" s="1"/>
      <c r="NNB1634" s="1"/>
      <c r="NNC1634" s="1"/>
      <c r="NND1634" s="1"/>
      <c r="NNE1634" s="1"/>
      <c r="NNF1634" s="1"/>
      <c r="NNG1634" s="1"/>
      <c r="NNH1634" s="1"/>
      <c r="NNI1634" s="1"/>
      <c r="NNJ1634" s="1"/>
      <c r="NNK1634" s="1"/>
      <c r="NNL1634" s="1"/>
      <c r="NNM1634" s="1"/>
      <c r="NNN1634" s="1"/>
      <c r="NNO1634" s="1"/>
      <c r="NNP1634" s="1"/>
      <c r="NNQ1634" s="1"/>
      <c r="NNR1634" s="1"/>
      <c r="NNS1634" s="1"/>
      <c r="NNT1634" s="1"/>
      <c r="NNU1634" s="1"/>
      <c r="NNV1634" s="1"/>
      <c r="NNW1634" s="1"/>
      <c r="NNX1634" s="1"/>
      <c r="NNY1634" s="1"/>
      <c r="NNZ1634" s="1"/>
      <c r="NOA1634" s="1"/>
      <c r="NOB1634" s="1"/>
      <c r="NOC1634" s="1"/>
      <c r="NOD1634" s="1"/>
      <c r="NOE1634" s="1"/>
      <c r="NOF1634" s="1"/>
      <c r="NOG1634" s="1"/>
      <c r="NOH1634" s="1"/>
      <c r="NOI1634" s="1"/>
      <c r="NOJ1634" s="1"/>
      <c r="NOK1634" s="1"/>
      <c r="NOL1634" s="1"/>
      <c r="NOM1634" s="1"/>
      <c r="NON1634" s="1"/>
      <c r="NOO1634" s="1"/>
      <c r="NOP1634" s="1"/>
      <c r="NOQ1634" s="1"/>
      <c r="NOR1634" s="1"/>
      <c r="NOS1634" s="1"/>
      <c r="NOT1634" s="1"/>
      <c r="NOU1634" s="1"/>
      <c r="NOV1634" s="1"/>
      <c r="NOW1634" s="1"/>
      <c r="NOX1634" s="1"/>
      <c r="NOY1634" s="1"/>
      <c r="NOZ1634" s="1"/>
      <c r="NPA1634" s="1"/>
      <c r="NPB1634" s="1"/>
      <c r="NPC1634" s="1"/>
      <c r="NPD1634" s="1"/>
      <c r="NPE1634" s="1"/>
      <c r="NPF1634" s="1"/>
      <c r="NPG1634" s="1"/>
      <c r="NPH1634" s="1"/>
      <c r="NPI1634" s="1"/>
      <c r="NPJ1634" s="1"/>
      <c r="NPK1634" s="1"/>
      <c r="NPL1634" s="1"/>
      <c r="NPM1634" s="1"/>
      <c r="NPN1634" s="1"/>
      <c r="NPO1634" s="1"/>
      <c r="NPP1634" s="1"/>
      <c r="NPQ1634" s="1"/>
      <c r="NPR1634" s="1"/>
      <c r="NPS1634" s="1"/>
      <c r="NPT1634" s="1"/>
      <c r="NPU1634" s="1"/>
      <c r="NPV1634" s="1"/>
      <c r="NPW1634" s="1"/>
      <c r="NPX1634" s="1"/>
      <c r="NPY1634" s="1"/>
      <c r="NPZ1634" s="1"/>
      <c r="NQA1634" s="1"/>
      <c r="NQB1634" s="1"/>
      <c r="NQC1634" s="1"/>
      <c r="NQD1634" s="1"/>
      <c r="NQE1634" s="1"/>
      <c r="NQF1634" s="1"/>
      <c r="NQG1634" s="1"/>
      <c r="NQH1634" s="1"/>
      <c r="NQI1634" s="1"/>
      <c r="NQJ1634" s="1"/>
      <c r="NQK1634" s="1"/>
      <c r="NQL1634" s="1"/>
      <c r="NQM1634" s="1"/>
      <c r="NQN1634" s="1"/>
      <c r="NQO1634" s="1"/>
      <c r="NQP1634" s="1"/>
      <c r="NQQ1634" s="1"/>
      <c r="NQR1634" s="1"/>
      <c r="NQS1634" s="1"/>
      <c r="NQT1634" s="1"/>
      <c r="NQU1634" s="1"/>
      <c r="NQV1634" s="1"/>
      <c r="NQW1634" s="1"/>
      <c r="NQX1634" s="1"/>
      <c r="NQY1634" s="1"/>
      <c r="NQZ1634" s="1"/>
      <c r="NRA1634" s="1"/>
      <c r="NRB1634" s="1"/>
      <c r="NRC1634" s="1"/>
      <c r="NRD1634" s="1"/>
      <c r="NRE1634" s="1"/>
      <c r="NRF1634" s="1"/>
      <c r="NRG1634" s="1"/>
      <c r="NRH1634" s="1"/>
      <c r="NRI1634" s="1"/>
      <c r="NRJ1634" s="1"/>
      <c r="NRK1634" s="1"/>
      <c r="NRL1634" s="1"/>
      <c r="NRM1634" s="1"/>
      <c r="NRN1634" s="1"/>
      <c r="NRO1634" s="1"/>
      <c r="NRP1634" s="1"/>
      <c r="NRQ1634" s="1"/>
      <c r="NRR1634" s="1"/>
      <c r="NRS1634" s="1"/>
      <c r="NRT1634" s="1"/>
      <c r="NRU1634" s="1"/>
      <c r="NRV1634" s="1"/>
      <c r="NRW1634" s="1"/>
      <c r="NRX1634" s="1"/>
      <c r="NRY1634" s="1"/>
      <c r="NRZ1634" s="1"/>
      <c r="NSA1634" s="1"/>
      <c r="NSB1634" s="1"/>
      <c r="NSC1634" s="1"/>
      <c r="NSD1634" s="1"/>
      <c r="NSE1634" s="1"/>
      <c r="NSF1634" s="1"/>
      <c r="NSG1634" s="1"/>
      <c r="NSH1634" s="1"/>
      <c r="NSI1634" s="1"/>
      <c r="NSJ1634" s="1"/>
      <c r="NSK1634" s="1"/>
      <c r="NSL1634" s="1"/>
      <c r="NSM1634" s="1"/>
      <c r="NSN1634" s="1"/>
      <c r="NSO1634" s="1"/>
      <c r="NSP1634" s="1"/>
      <c r="NSQ1634" s="1"/>
      <c r="NSR1634" s="1"/>
      <c r="NSS1634" s="1"/>
      <c r="NST1634" s="1"/>
      <c r="NSU1634" s="1"/>
      <c r="NSV1634" s="1"/>
      <c r="NSW1634" s="1"/>
      <c r="NSX1634" s="1"/>
      <c r="NSY1634" s="1"/>
      <c r="NSZ1634" s="1"/>
      <c r="NTA1634" s="1"/>
      <c r="NTB1634" s="1"/>
      <c r="NTC1634" s="1"/>
      <c r="NTD1634" s="1"/>
      <c r="NTE1634" s="1"/>
      <c r="NTF1634" s="1"/>
      <c r="NTG1634" s="1"/>
      <c r="NTH1634" s="1"/>
      <c r="NTI1634" s="1"/>
      <c r="NTJ1634" s="1"/>
      <c r="NTK1634" s="1"/>
      <c r="NTL1634" s="1"/>
      <c r="NTM1634" s="1"/>
      <c r="NTN1634" s="1"/>
      <c r="NTO1634" s="1"/>
      <c r="NTP1634" s="1"/>
      <c r="NTQ1634" s="1"/>
      <c r="NTR1634" s="1"/>
      <c r="NTS1634" s="1"/>
      <c r="NTT1634" s="1"/>
      <c r="NTU1634" s="1"/>
      <c r="NTV1634" s="1"/>
      <c r="NTW1634" s="1"/>
      <c r="NTX1634" s="1"/>
      <c r="NTY1634" s="1"/>
      <c r="NTZ1634" s="1"/>
      <c r="NUA1634" s="1"/>
      <c r="NUB1634" s="1"/>
      <c r="NUC1634" s="1"/>
      <c r="NUD1634" s="1"/>
      <c r="NUE1634" s="1"/>
      <c r="NUF1634" s="1"/>
      <c r="NUG1634" s="1"/>
      <c r="NUH1634" s="1"/>
      <c r="NUI1634" s="1"/>
      <c r="NUJ1634" s="1"/>
      <c r="NUK1634" s="1"/>
      <c r="NUL1634" s="1"/>
      <c r="NUM1634" s="1"/>
      <c r="NUN1634" s="1"/>
      <c r="NUO1634" s="1"/>
      <c r="NUP1634" s="1"/>
      <c r="NUQ1634" s="1"/>
      <c r="NUR1634" s="1"/>
      <c r="NUS1634" s="1"/>
      <c r="NUT1634" s="1"/>
      <c r="NUU1634" s="1"/>
      <c r="NUV1634" s="1"/>
      <c r="NUW1634" s="1"/>
      <c r="NUX1634" s="1"/>
      <c r="NUY1634" s="1"/>
      <c r="NUZ1634" s="1"/>
      <c r="NVA1634" s="1"/>
      <c r="NVB1634" s="1"/>
      <c r="NVC1634" s="1"/>
      <c r="NVD1634" s="1"/>
      <c r="NVE1634" s="1"/>
      <c r="NVF1634" s="1"/>
      <c r="NVG1634" s="1"/>
      <c r="NVH1634" s="1"/>
      <c r="NVI1634" s="1"/>
      <c r="NVJ1634" s="1"/>
      <c r="NVK1634" s="1"/>
      <c r="NVL1634" s="1"/>
      <c r="NVM1634" s="1"/>
      <c r="NVN1634" s="1"/>
      <c r="NVO1634" s="1"/>
      <c r="NVP1634" s="1"/>
      <c r="NVQ1634" s="1"/>
      <c r="NVR1634" s="1"/>
      <c r="NVS1634" s="1"/>
      <c r="NVT1634" s="1"/>
      <c r="NVU1634" s="1"/>
      <c r="NVV1634" s="1"/>
      <c r="NVW1634" s="1"/>
      <c r="NVX1634" s="1"/>
      <c r="NVY1634" s="1"/>
      <c r="NVZ1634" s="1"/>
      <c r="NWA1634" s="1"/>
      <c r="NWB1634" s="1"/>
      <c r="NWC1634" s="1"/>
      <c r="NWD1634" s="1"/>
      <c r="NWE1634" s="1"/>
      <c r="NWF1634" s="1"/>
      <c r="NWG1634" s="1"/>
      <c r="NWH1634" s="1"/>
      <c r="NWI1634" s="1"/>
      <c r="NWJ1634" s="1"/>
      <c r="NWK1634" s="1"/>
      <c r="NWL1634" s="1"/>
      <c r="NWM1634" s="1"/>
      <c r="NWN1634" s="1"/>
      <c r="NWO1634" s="1"/>
      <c r="NWP1634" s="1"/>
      <c r="NWQ1634" s="1"/>
      <c r="NWR1634" s="1"/>
      <c r="NWS1634" s="1"/>
      <c r="NWT1634" s="1"/>
      <c r="NWU1634" s="1"/>
      <c r="NWV1634" s="1"/>
      <c r="NWW1634" s="1"/>
      <c r="NWX1634" s="1"/>
      <c r="NWY1634" s="1"/>
      <c r="NWZ1634" s="1"/>
      <c r="NXA1634" s="1"/>
      <c r="NXB1634" s="1"/>
      <c r="NXC1634" s="1"/>
      <c r="NXD1634" s="1"/>
      <c r="NXE1634" s="1"/>
      <c r="NXF1634" s="1"/>
      <c r="NXG1634" s="1"/>
      <c r="NXH1634" s="1"/>
      <c r="NXI1634" s="1"/>
      <c r="NXJ1634" s="1"/>
      <c r="NXK1634" s="1"/>
      <c r="NXL1634" s="1"/>
      <c r="NXM1634" s="1"/>
      <c r="NXN1634" s="1"/>
      <c r="NXO1634" s="1"/>
      <c r="NXP1634" s="1"/>
      <c r="NXQ1634" s="1"/>
      <c r="NXR1634" s="1"/>
      <c r="NXS1634" s="1"/>
      <c r="NXT1634" s="1"/>
      <c r="NXU1634" s="1"/>
      <c r="NXV1634" s="1"/>
      <c r="NXW1634" s="1"/>
      <c r="NXX1634" s="1"/>
      <c r="NXY1634" s="1"/>
      <c r="NXZ1634" s="1"/>
      <c r="NYA1634" s="1"/>
      <c r="NYB1634" s="1"/>
      <c r="NYC1634" s="1"/>
      <c r="NYD1634" s="1"/>
      <c r="NYE1634" s="1"/>
      <c r="NYF1634" s="1"/>
      <c r="NYG1634" s="1"/>
      <c r="NYH1634" s="1"/>
      <c r="NYI1634" s="1"/>
      <c r="NYJ1634" s="1"/>
      <c r="NYK1634" s="1"/>
      <c r="NYL1634" s="1"/>
      <c r="NYM1634" s="1"/>
      <c r="NYN1634" s="1"/>
      <c r="NYO1634" s="1"/>
      <c r="NYP1634" s="1"/>
      <c r="NYQ1634" s="1"/>
      <c r="NYR1634" s="1"/>
      <c r="NYS1634" s="1"/>
      <c r="NYT1634" s="1"/>
      <c r="NYU1634" s="1"/>
      <c r="NYV1634" s="1"/>
      <c r="NYW1634" s="1"/>
      <c r="NYX1634" s="1"/>
      <c r="NYY1634" s="1"/>
      <c r="NYZ1634" s="1"/>
      <c r="NZA1634" s="1"/>
      <c r="NZB1634" s="1"/>
      <c r="NZC1634" s="1"/>
      <c r="NZD1634" s="1"/>
      <c r="NZE1634" s="1"/>
      <c r="NZF1634" s="1"/>
      <c r="NZG1634" s="1"/>
      <c r="NZH1634" s="1"/>
      <c r="NZI1634" s="1"/>
      <c r="NZJ1634" s="1"/>
      <c r="NZK1634" s="1"/>
      <c r="NZL1634" s="1"/>
      <c r="NZM1634" s="1"/>
      <c r="NZN1634" s="1"/>
      <c r="NZO1634" s="1"/>
      <c r="NZP1634" s="1"/>
      <c r="NZQ1634" s="1"/>
      <c r="NZR1634" s="1"/>
      <c r="NZS1634" s="1"/>
      <c r="NZT1634" s="1"/>
      <c r="NZU1634" s="1"/>
      <c r="NZV1634" s="1"/>
      <c r="NZW1634" s="1"/>
      <c r="NZX1634" s="1"/>
      <c r="NZY1634" s="1"/>
      <c r="NZZ1634" s="1"/>
      <c r="OAA1634" s="1"/>
      <c r="OAB1634" s="1"/>
      <c r="OAC1634" s="1"/>
      <c r="OAD1634" s="1"/>
      <c r="OAE1634" s="1"/>
      <c r="OAF1634" s="1"/>
      <c r="OAG1634" s="1"/>
      <c r="OAH1634" s="1"/>
      <c r="OAI1634" s="1"/>
      <c r="OAJ1634" s="1"/>
      <c r="OAK1634" s="1"/>
      <c r="OAL1634" s="1"/>
      <c r="OAM1634" s="1"/>
      <c r="OAN1634" s="1"/>
      <c r="OAO1634" s="1"/>
      <c r="OAP1634" s="1"/>
      <c r="OAQ1634" s="1"/>
      <c r="OAR1634" s="1"/>
      <c r="OAS1634" s="1"/>
      <c r="OAT1634" s="1"/>
      <c r="OAU1634" s="1"/>
      <c r="OAV1634" s="1"/>
      <c r="OAW1634" s="1"/>
      <c r="OAX1634" s="1"/>
      <c r="OAY1634" s="1"/>
      <c r="OAZ1634" s="1"/>
      <c r="OBA1634" s="1"/>
      <c r="OBB1634" s="1"/>
      <c r="OBC1634" s="1"/>
      <c r="OBD1634" s="1"/>
      <c r="OBE1634" s="1"/>
      <c r="OBF1634" s="1"/>
      <c r="OBG1634" s="1"/>
      <c r="OBH1634" s="1"/>
      <c r="OBI1634" s="1"/>
      <c r="OBJ1634" s="1"/>
      <c r="OBK1634" s="1"/>
      <c r="OBL1634" s="1"/>
      <c r="OBM1634" s="1"/>
      <c r="OBN1634" s="1"/>
      <c r="OBO1634" s="1"/>
      <c r="OBP1634" s="1"/>
      <c r="OBQ1634" s="1"/>
      <c r="OBR1634" s="1"/>
      <c r="OBS1634" s="1"/>
      <c r="OBT1634" s="1"/>
      <c r="OBU1634" s="1"/>
      <c r="OBV1634" s="1"/>
      <c r="OBW1634" s="1"/>
      <c r="OBX1634" s="1"/>
      <c r="OBY1634" s="1"/>
      <c r="OBZ1634" s="1"/>
      <c r="OCA1634" s="1"/>
      <c r="OCB1634" s="1"/>
      <c r="OCC1634" s="1"/>
      <c r="OCD1634" s="1"/>
      <c r="OCE1634" s="1"/>
      <c r="OCF1634" s="1"/>
      <c r="OCG1634" s="1"/>
      <c r="OCH1634" s="1"/>
      <c r="OCI1634" s="1"/>
      <c r="OCJ1634" s="1"/>
      <c r="OCK1634" s="1"/>
      <c r="OCL1634" s="1"/>
      <c r="OCM1634" s="1"/>
      <c r="OCN1634" s="1"/>
      <c r="OCO1634" s="1"/>
      <c r="OCP1634" s="1"/>
      <c r="OCQ1634" s="1"/>
      <c r="OCR1634" s="1"/>
      <c r="OCS1634" s="1"/>
      <c r="OCT1634" s="1"/>
      <c r="OCU1634" s="1"/>
      <c r="OCV1634" s="1"/>
      <c r="OCW1634" s="1"/>
      <c r="OCX1634" s="1"/>
      <c r="OCY1634" s="1"/>
      <c r="OCZ1634" s="1"/>
      <c r="ODA1634" s="1"/>
      <c r="ODB1634" s="1"/>
      <c r="ODC1634" s="1"/>
      <c r="ODD1634" s="1"/>
      <c r="ODE1634" s="1"/>
      <c r="ODF1634" s="1"/>
      <c r="ODG1634" s="1"/>
      <c r="ODH1634" s="1"/>
      <c r="ODI1634" s="1"/>
      <c r="ODJ1634" s="1"/>
      <c r="ODK1634" s="1"/>
      <c r="ODL1634" s="1"/>
      <c r="ODM1634" s="1"/>
      <c r="ODN1634" s="1"/>
      <c r="ODO1634" s="1"/>
      <c r="ODP1634" s="1"/>
      <c r="ODQ1634" s="1"/>
      <c r="ODR1634" s="1"/>
      <c r="ODS1634" s="1"/>
      <c r="ODT1634" s="1"/>
      <c r="ODU1634" s="1"/>
      <c r="ODV1634" s="1"/>
      <c r="ODW1634" s="1"/>
      <c r="ODX1634" s="1"/>
      <c r="ODY1634" s="1"/>
      <c r="ODZ1634" s="1"/>
      <c r="OEA1634" s="1"/>
      <c r="OEB1634" s="1"/>
      <c r="OEC1634" s="1"/>
      <c r="OED1634" s="1"/>
      <c r="OEE1634" s="1"/>
      <c r="OEF1634" s="1"/>
      <c r="OEG1634" s="1"/>
      <c r="OEH1634" s="1"/>
      <c r="OEI1634" s="1"/>
      <c r="OEJ1634" s="1"/>
      <c r="OEK1634" s="1"/>
      <c r="OEL1634" s="1"/>
      <c r="OEM1634" s="1"/>
      <c r="OEN1634" s="1"/>
      <c r="OEO1634" s="1"/>
      <c r="OEP1634" s="1"/>
      <c r="OEQ1634" s="1"/>
      <c r="OER1634" s="1"/>
      <c r="OES1634" s="1"/>
      <c r="OET1634" s="1"/>
      <c r="OEU1634" s="1"/>
      <c r="OEV1634" s="1"/>
      <c r="OEW1634" s="1"/>
      <c r="OEX1634" s="1"/>
      <c r="OEY1634" s="1"/>
      <c r="OEZ1634" s="1"/>
      <c r="OFA1634" s="1"/>
      <c r="OFB1634" s="1"/>
      <c r="OFC1634" s="1"/>
      <c r="OFD1634" s="1"/>
      <c r="OFE1634" s="1"/>
      <c r="OFF1634" s="1"/>
      <c r="OFG1634" s="1"/>
      <c r="OFH1634" s="1"/>
      <c r="OFI1634" s="1"/>
      <c r="OFJ1634" s="1"/>
      <c r="OFK1634" s="1"/>
      <c r="OFL1634" s="1"/>
      <c r="OFM1634" s="1"/>
      <c r="OFN1634" s="1"/>
      <c r="OFO1634" s="1"/>
      <c r="OFP1634" s="1"/>
      <c r="OFQ1634" s="1"/>
      <c r="OFR1634" s="1"/>
      <c r="OFS1634" s="1"/>
      <c r="OFT1634" s="1"/>
      <c r="OFU1634" s="1"/>
      <c r="OFV1634" s="1"/>
      <c r="OFW1634" s="1"/>
      <c r="OFX1634" s="1"/>
      <c r="OFY1634" s="1"/>
      <c r="OFZ1634" s="1"/>
      <c r="OGA1634" s="1"/>
      <c r="OGB1634" s="1"/>
      <c r="OGC1634" s="1"/>
      <c r="OGD1634" s="1"/>
      <c r="OGE1634" s="1"/>
      <c r="OGF1634" s="1"/>
      <c r="OGG1634" s="1"/>
      <c r="OGH1634" s="1"/>
      <c r="OGI1634" s="1"/>
      <c r="OGJ1634" s="1"/>
      <c r="OGK1634" s="1"/>
      <c r="OGL1634" s="1"/>
      <c r="OGM1634" s="1"/>
      <c r="OGN1634" s="1"/>
      <c r="OGO1634" s="1"/>
      <c r="OGP1634" s="1"/>
      <c r="OGQ1634" s="1"/>
      <c r="OGR1634" s="1"/>
      <c r="OGS1634" s="1"/>
      <c r="OGT1634" s="1"/>
      <c r="OGU1634" s="1"/>
      <c r="OGV1634" s="1"/>
      <c r="OGW1634" s="1"/>
      <c r="OGX1634" s="1"/>
      <c r="OGY1634" s="1"/>
      <c r="OGZ1634" s="1"/>
      <c r="OHA1634" s="1"/>
      <c r="OHB1634" s="1"/>
      <c r="OHC1634" s="1"/>
      <c r="OHD1634" s="1"/>
      <c r="OHE1634" s="1"/>
      <c r="OHF1634" s="1"/>
      <c r="OHG1634" s="1"/>
      <c r="OHH1634" s="1"/>
      <c r="OHI1634" s="1"/>
      <c r="OHJ1634" s="1"/>
      <c r="OHK1634" s="1"/>
      <c r="OHL1634" s="1"/>
      <c r="OHM1634" s="1"/>
      <c r="OHN1634" s="1"/>
      <c r="OHO1634" s="1"/>
      <c r="OHP1634" s="1"/>
      <c r="OHQ1634" s="1"/>
      <c r="OHR1634" s="1"/>
      <c r="OHS1634" s="1"/>
      <c r="OHT1634" s="1"/>
      <c r="OHU1634" s="1"/>
      <c r="OHV1634" s="1"/>
      <c r="OHW1634" s="1"/>
      <c r="OHX1634" s="1"/>
      <c r="OHY1634" s="1"/>
      <c r="OHZ1634" s="1"/>
      <c r="OIA1634" s="1"/>
      <c r="OIB1634" s="1"/>
      <c r="OIC1634" s="1"/>
      <c r="OID1634" s="1"/>
      <c r="OIE1634" s="1"/>
      <c r="OIF1634" s="1"/>
      <c r="OIG1634" s="1"/>
      <c r="OIH1634" s="1"/>
      <c r="OII1634" s="1"/>
      <c r="OIJ1634" s="1"/>
      <c r="OIK1634" s="1"/>
      <c r="OIL1634" s="1"/>
      <c r="OIM1634" s="1"/>
      <c r="OIN1634" s="1"/>
      <c r="OIO1634" s="1"/>
      <c r="OIP1634" s="1"/>
      <c r="OIQ1634" s="1"/>
      <c r="OIR1634" s="1"/>
      <c r="OIS1634" s="1"/>
      <c r="OIT1634" s="1"/>
      <c r="OIU1634" s="1"/>
      <c r="OIV1634" s="1"/>
      <c r="OIW1634" s="1"/>
      <c r="OIX1634" s="1"/>
      <c r="OIY1634" s="1"/>
      <c r="OIZ1634" s="1"/>
      <c r="OJA1634" s="1"/>
      <c r="OJB1634" s="1"/>
      <c r="OJC1634" s="1"/>
      <c r="OJD1634" s="1"/>
      <c r="OJE1634" s="1"/>
      <c r="OJF1634" s="1"/>
      <c r="OJG1634" s="1"/>
      <c r="OJH1634" s="1"/>
      <c r="OJI1634" s="1"/>
      <c r="OJJ1634" s="1"/>
      <c r="OJK1634" s="1"/>
      <c r="OJL1634" s="1"/>
      <c r="OJM1634" s="1"/>
      <c r="OJN1634" s="1"/>
      <c r="OJO1634" s="1"/>
      <c r="OJP1634" s="1"/>
      <c r="OJQ1634" s="1"/>
      <c r="OJR1634" s="1"/>
      <c r="OJS1634" s="1"/>
      <c r="OJT1634" s="1"/>
      <c r="OJU1634" s="1"/>
      <c r="OJV1634" s="1"/>
      <c r="OJW1634" s="1"/>
      <c r="OJX1634" s="1"/>
      <c r="OJY1634" s="1"/>
      <c r="OJZ1634" s="1"/>
      <c r="OKA1634" s="1"/>
      <c r="OKB1634" s="1"/>
      <c r="OKC1634" s="1"/>
      <c r="OKD1634" s="1"/>
      <c r="OKE1634" s="1"/>
      <c r="OKF1634" s="1"/>
      <c r="OKG1634" s="1"/>
      <c r="OKH1634" s="1"/>
      <c r="OKI1634" s="1"/>
      <c r="OKJ1634" s="1"/>
      <c r="OKK1634" s="1"/>
      <c r="OKL1634" s="1"/>
      <c r="OKM1634" s="1"/>
      <c r="OKN1634" s="1"/>
      <c r="OKO1634" s="1"/>
      <c r="OKP1634" s="1"/>
      <c r="OKQ1634" s="1"/>
      <c r="OKR1634" s="1"/>
      <c r="OKS1634" s="1"/>
      <c r="OKT1634" s="1"/>
      <c r="OKU1634" s="1"/>
      <c r="OKV1634" s="1"/>
      <c r="OKW1634" s="1"/>
      <c r="OKX1634" s="1"/>
      <c r="OKY1634" s="1"/>
      <c r="OKZ1634" s="1"/>
      <c r="OLA1634" s="1"/>
      <c r="OLB1634" s="1"/>
      <c r="OLC1634" s="1"/>
      <c r="OLD1634" s="1"/>
      <c r="OLE1634" s="1"/>
      <c r="OLF1634" s="1"/>
      <c r="OLG1634" s="1"/>
      <c r="OLH1634" s="1"/>
      <c r="OLI1634" s="1"/>
      <c r="OLJ1634" s="1"/>
      <c r="OLK1634" s="1"/>
      <c r="OLL1634" s="1"/>
      <c r="OLM1634" s="1"/>
      <c r="OLN1634" s="1"/>
      <c r="OLO1634" s="1"/>
      <c r="OLP1634" s="1"/>
      <c r="OLQ1634" s="1"/>
      <c r="OLR1634" s="1"/>
      <c r="OLS1634" s="1"/>
      <c r="OLT1634" s="1"/>
      <c r="OLU1634" s="1"/>
      <c r="OLV1634" s="1"/>
      <c r="OLW1634" s="1"/>
      <c r="OLX1634" s="1"/>
      <c r="OLY1634" s="1"/>
      <c r="OLZ1634" s="1"/>
      <c r="OMA1634" s="1"/>
      <c r="OMB1634" s="1"/>
      <c r="OMC1634" s="1"/>
      <c r="OMD1634" s="1"/>
      <c r="OME1634" s="1"/>
      <c r="OMF1634" s="1"/>
      <c r="OMG1634" s="1"/>
      <c r="OMH1634" s="1"/>
      <c r="OMI1634" s="1"/>
      <c r="OMJ1634" s="1"/>
      <c r="OMK1634" s="1"/>
      <c r="OML1634" s="1"/>
      <c r="OMM1634" s="1"/>
      <c r="OMN1634" s="1"/>
      <c r="OMO1634" s="1"/>
      <c r="OMP1634" s="1"/>
      <c r="OMQ1634" s="1"/>
      <c r="OMR1634" s="1"/>
      <c r="OMS1634" s="1"/>
      <c r="OMT1634" s="1"/>
      <c r="OMU1634" s="1"/>
      <c r="OMV1634" s="1"/>
      <c r="OMW1634" s="1"/>
      <c r="OMX1634" s="1"/>
      <c r="OMY1634" s="1"/>
      <c r="OMZ1634" s="1"/>
      <c r="ONA1634" s="1"/>
      <c r="ONB1634" s="1"/>
      <c r="ONC1634" s="1"/>
      <c r="OND1634" s="1"/>
      <c r="ONE1634" s="1"/>
      <c r="ONF1634" s="1"/>
      <c r="ONG1634" s="1"/>
      <c r="ONH1634" s="1"/>
      <c r="ONI1634" s="1"/>
      <c r="ONJ1634" s="1"/>
      <c r="ONK1634" s="1"/>
      <c r="ONL1634" s="1"/>
      <c r="ONM1634" s="1"/>
      <c r="ONN1634" s="1"/>
      <c r="ONO1634" s="1"/>
      <c r="ONP1634" s="1"/>
      <c r="ONQ1634" s="1"/>
      <c r="ONR1634" s="1"/>
      <c r="ONS1634" s="1"/>
      <c r="ONT1634" s="1"/>
      <c r="ONU1634" s="1"/>
      <c r="ONV1634" s="1"/>
      <c r="ONW1634" s="1"/>
      <c r="ONX1634" s="1"/>
      <c r="ONY1634" s="1"/>
      <c r="ONZ1634" s="1"/>
      <c r="OOA1634" s="1"/>
      <c r="OOB1634" s="1"/>
      <c r="OOC1634" s="1"/>
      <c r="OOD1634" s="1"/>
      <c r="OOE1634" s="1"/>
      <c r="OOF1634" s="1"/>
      <c r="OOG1634" s="1"/>
      <c r="OOH1634" s="1"/>
      <c r="OOI1634" s="1"/>
      <c r="OOJ1634" s="1"/>
      <c r="OOK1634" s="1"/>
      <c r="OOL1634" s="1"/>
      <c r="OOM1634" s="1"/>
      <c r="OON1634" s="1"/>
      <c r="OOO1634" s="1"/>
      <c r="OOP1634" s="1"/>
      <c r="OOQ1634" s="1"/>
      <c r="OOR1634" s="1"/>
      <c r="OOS1634" s="1"/>
      <c r="OOT1634" s="1"/>
      <c r="OOU1634" s="1"/>
      <c r="OOV1634" s="1"/>
      <c r="OOW1634" s="1"/>
      <c r="OOX1634" s="1"/>
      <c r="OOY1634" s="1"/>
      <c r="OOZ1634" s="1"/>
      <c r="OPA1634" s="1"/>
      <c r="OPB1634" s="1"/>
      <c r="OPC1634" s="1"/>
      <c r="OPD1634" s="1"/>
      <c r="OPE1634" s="1"/>
      <c r="OPF1634" s="1"/>
      <c r="OPG1634" s="1"/>
      <c r="OPH1634" s="1"/>
      <c r="OPI1634" s="1"/>
      <c r="OPJ1634" s="1"/>
      <c r="OPK1634" s="1"/>
      <c r="OPL1634" s="1"/>
      <c r="OPM1634" s="1"/>
      <c r="OPN1634" s="1"/>
      <c r="OPO1634" s="1"/>
      <c r="OPP1634" s="1"/>
      <c r="OPQ1634" s="1"/>
      <c r="OPR1634" s="1"/>
      <c r="OPS1634" s="1"/>
      <c r="OPT1634" s="1"/>
      <c r="OPU1634" s="1"/>
      <c r="OPV1634" s="1"/>
      <c r="OPW1634" s="1"/>
      <c r="OPX1634" s="1"/>
      <c r="OPY1634" s="1"/>
      <c r="OPZ1634" s="1"/>
      <c r="OQA1634" s="1"/>
      <c r="OQB1634" s="1"/>
      <c r="OQC1634" s="1"/>
      <c r="OQD1634" s="1"/>
      <c r="OQE1634" s="1"/>
      <c r="OQF1634" s="1"/>
      <c r="OQG1634" s="1"/>
      <c r="OQH1634" s="1"/>
      <c r="OQI1634" s="1"/>
      <c r="OQJ1634" s="1"/>
      <c r="OQK1634" s="1"/>
      <c r="OQL1634" s="1"/>
      <c r="OQM1634" s="1"/>
      <c r="OQN1634" s="1"/>
      <c r="OQO1634" s="1"/>
      <c r="OQP1634" s="1"/>
      <c r="OQQ1634" s="1"/>
      <c r="OQR1634" s="1"/>
      <c r="OQS1634" s="1"/>
      <c r="OQT1634" s="1"/>
      <c r="OQU1634" s="1"/>
      <c r="OQV1634" s="1"/>
      <c r="OQW1634" s="1"/>
      <c r="OQX1634" s="1"/>
      <c r="OQY1634" s="1"/>
      <c r="OQZ1634" s="1"/>
      <c r="ORA1634" s="1"/>
      <c r="ORB1634" s="1"/>
      <c r="ORC1634" s="1"/>
      <c r="ORD1634" s="1"/>
      <c r="ORE1634" s="1"/>
      <c r="ORF1634" s="1"/>
      <c r="ORG1634" s="1"/>
      <c r="ORH1634" s="1"/>
      <c r="ORI1634" s="1"/>
      <c r="ORJ1634" s="1"/>
      <c r="ORK1634" s="1"/>
      <c r="ORL1634" s="1"/>
      <c r="ORM1634" s="1"/>
      <c r="ORN1634" s="1"/>
      <c r="ORO1634" s="1"/>
      <c r="ORP1634" s="1"/>
      <c r="ORQ1634" s="1"/>
      <c r="ORR1634" s="1"/>
      <c r="ORS1634" s="1"/>
      <c r="ORT1634" s="1"/>
      <c r="ORU1634" s="1"/>
      <c r="ORV1634" s="1"/>
      <c r="ORW1634" s="1"/>
      <c r="ORX1634" s="1"/>
      <c r="ORY1634" s="1"/>
      <c r="ORZ1634" s="1"/>
      <c r="OSA1634" s="1"/>
      <c r="OSB1634" s="1"/>
      <c r="OSC1634" s="1"/>
      <c r="OSD1634" s="1"/>
      <c r="OSE1634" s="1"/>
      <c r="OSF1634" s="1"/>
      <c r="OSG1634" s="1"/>
      <c r="OSH1634" s="1"/>
      <c r="OSI1634" s="1"/>
      <c r="OSJ1634" s="1"/>
      <c r="OSK1634" s="1"/>
      <c r="OSL1634" s="1"/>
      <c r="OSM1634" s="1"/>
      <c r="OSN1634" s="1"/>
      <c r="OSO1634" s="1"/>
      <c r="OSP1634" s="1"/>
      <c r="OSQ1634" s="1"/>
      <c r="OSR1634" s="1"/>
      <c r="OSS1634" s="1"/>
      <c r="OST1634" s="1"/>
      <c r="OSU1634" s="1"/>
      <c r="OSV1634" s="1"/>
      <c r="OSW1634" s="1"/>
      <c r="OSX1634" s="1"/>
      <c r="OSY1634" s="1"/>
      <c r="OSZ1634" s="1"/>
      <c r="OTA1634" s="1"/>
      <c r="OTB1634" s="1"/>
      <c r="OTC1634" s="1"/>
      <c r="OTD1634" s="1"/>
      <c r="OTE1634" s="1"/>
      <c r="OTF1634" s="1"/>
      <c r="OTG1634" s="1"/>
      <c r="OTH1634" s="1"/>
      <c r="OTI1634" s="1"/>
      <c r="OTJ1634" s="1"/>
      <c r="OTK1634" s="1"/>
      <c r="OTL1634" s="1"/>
      <c r="OTM1634" s="1"/>
      <c r="OTN1634" s="1"/>
      <c r="OTO1634" s="1"/>
      <c r="OTP1634" s="1"/>
      <c r="OTQ1634" s="1"/>
      <c r="OTR1634" s="1"/>
      <c r="OTS1634" s="1"/>
      <c r="OTT1634" s="1"/>
      <c r="OTU1634" s="1"/>
      <c r="OTV1634" s="1"/>
      <c r="OTW1634" s="1"/>
      <c r="OTX1634" s="1"/>
      <c r="OTY1634" s="1"/>
      <c r="OTZ1634" s="1"/>
      <c r="OUA1634" s="1"/>
      <c r="OUB1634" s="1"/>
      <c r="OUC1634" s="1"/>
      <c r="OUD1634" s="1"/>
      <c r="OUE1634" s="1"/>
      <c r="OUF1634" s="1"/>
      <c r="OUG1634" s="1"/>
      <c r="OUH1634" s="1"/>
      <c r="OUI1634" s="1"/>
      <c r="OUJ1634" s="1"/>
      <c r="OUK1634" s="1"/>
      <c r="OUL1634" s="1"/>
      <c r="OUM1634" s="1"/>
      <c r="OUN1634" s="1"/>
      <c r="OUO1634" s="1"/>
      <c r="OUP1634" s="1"/>
      <c r="OUQ1634" s="1"/>
      <c r="OUR1634" s="1"/>
      <c r="OUS1634" s="1"/>
      <c r="OUT1634" s="1"/>
      <c r="OUU1634" s="1"/>
      <c r="OUV1634" s="1"/>
      <c r="OUW1634" s="1"/>
      <c r="OUX1634" s="1"/>
      <c r="OUY1634" s="1"/>
      <c r="OUZ1634" s="1"/>
      <c r="OVA1634" s="1"/>
      <c r="OVB1634" s="1"/>
      <c r="OVC1634" s="1"/>
      <c r="OVD1634" s="1"/>
      <c r="OVE1634" s="1"/>
      <c r="OVF1634" s="1"/>
      <c r="OVG1634" s="1"/>
      <c r="OVH1634" s="1"/>
      <c r="OVI1634" s="1"/>
      <c r="OVJ1634" s="1"/>
      <c r="OVK1634" s="1"/>
      <c r="OVL1634" s="1"/>
      <c r="OVM1634" s="1"/>
      <c r="OVN1634" s="1"/>
      <c r="OVO1634" s="1"/>
      <c r="OVP1634" s="1"/>
      <c r="OVQ1634" s="1"/>
      <c r="OVR1634" s="1"/>
      <c r="OVS1634" s="1"/>
      <c r="OVT1634" s="1"/>
      <c r="OVU1634" s="1"/>
      <c r="OVV1634" s="1"/>
      <c r="OVW1634" s="1"/>
      <c r="OVX1634" s="1"/>
      <c r="OVY1634" s="1"/>
      <c r="OVZ1634" s="1"/>
      <c r="OWA1634" s="1"/>
      <c r="OWB1634" s="1"/>
      <c r="OWC1634" s="1"/>
      <c r="OWD1634" s="1"/>
      <c r="OWE1634" s="1"/>
      <c r="OWF1634" s="1"/>
      <c r="OWG1634" s="1"/>
      <c r="OWH1634" s="1"/>
      <c r="OWI1634" s="1"/>
      <c r="OWJ1634" s="1"/>
      <c r="OWK1634" s="1"/>
      <c r="OWL1634" s="1"/>
      <c r="OWM1634" s="1"/>
      <c r="OWN1634" s="1"/>
      <c r="OWO1634" s="1"/>
      <c r="OWP1634" s="1"/>
      <c r="OWQ1634" s="1"/>
      <c r="OWR1634" s="1"/>
      <c r="OWS1634" s="1"/>
      <c r="OWT1634" s="1"/>
      <c r="OWU1634" s="1"/>
      <c r="OWV1634" s="1"/>
      <c r="OWW1634" s="1"/>
      <c r="OWX1634" s="1"/>
      <c r="OWY1634" s="1"/>
      <c r="OWZ1634" s="1"/>
      <c r="OXA1634" s="1"/>
      <c r="OXB1634" s="1"/>
      <c r="OXC1634" s="1"/>
      <c r="OXD1634" s="1"/>
      <c r="OXE1634" s="1"/>
      <c r="OXF1634" s="1"/>
      <c r="OXG1634" s="1"/>
      <c r="OXH1634" s="1"/>
      <c r="OXI1634" s="1"/>
      <c r="OXJ1634" s="1"/>
      <c r="OXK1634" s="1"/>
      <c r="OXL1634" s="1"/>
      <c r="OXM1634" s="1"/>
      <c r="OXN1634" s="1"/>
      <c r="OXO1634" s="1"/>
      <c r="OXP1634" s="1"/>
      <c r="OXQ1634" s="1"/>
      <c r="OXR1634" s="1"/>
      <c r="OXS1634" s="1"/>
      <c r="OXT1634" s="1"/>
      <c r="OXU1634" s="1"/>
      <c r="OXV1634" s="1"/>
      <c r="OXW1634" s="1"/>
      <c r="OXX1634" s="1"/>
      <c r="OXY1634" s="1"/>
      <c r="OXZ1634" s="1"/>
      <c r="OYA1634" s="1"/>
      <c r="OYB1634" s="1"/>
      <c r="OYC1634" s="1"/>
      <c r="OYD1634" s="1"/>
      <c r="OYE1634" s="1"/>
      <c r="OYF1634" s="1"/>
      <c r="OYG1634" s="1"/>
      <c r="OYH1634" s="1"/>
      <c r="OYI1634" s="1"/>
      <c r="OYJ1634" s="1"/>
      <c r="OYK1634" s="1"/>
      <c r="OYL1634" s="1"/>
      <c r="OYM1634" s="1"/>
      <c r="OYN1634" s="1"/>
      <c r="OYO1634" s="1"/>
      <c r="OYP1634" s="1"/>
      <c r="OYQ1634" s="1"/>
      <c r="OYR1634" s="1"/>
      <c r="OYS1634" s="1"/>
      <c r="OYT1634" s="1"/>
      <c r="OYU1634" s="1"/>
      <c r="OYV1634" s="1"/>
      <c r="OYW1634" s="1"/>
      <c r="OYX1634" s="1"/>
      <c r="OYY1634" s="1"/>
      <c r="OYZ1634" s="1"/>
      <c r="OZA1634" s="1"/>
      <c r="OZB1634" s="1"/>
      <c r="OZC1634" s="1"/>
      <c r="OZD1634" s="1"/>
      <c r="OZE1634" s="1"/>
      <c r="OZF1634" s="1"/>
      <c r="OZG1634" s="1"/>
      <c r="OZH1634" s="1"/>
      <c r="OZI1634" s="1"/>
      <c r="OZJ1634" s="1"/>
      <c r="OZK1634" s="1"/>
      <c r="OZL1634" s="1"/>
      <c r="OZM1634" s="1"/>
      <c r="OZN1634" s="1"/>
      <c r="OZO1634" s="1"/>
      <c r="OZP1634" s="1"/>
      <c r="OZQ1634" s="1"/>
      <c r="OZR1634" s="1"/>
      <c r="OZS1634" s="1"/>
      <c r="OZT1634" s="1"/>
      <c r="OZU1634" s="1"/>
      <c r="OZV1634" s="1"/>
      <c r="OZW1634" s="1"/>
      <c r="OZX1634" s="1"/>
      <c r="OZY1634" s="1"/>
      <c r="OZZ1634" s="1"/>
      <c r="PAA1634" s="1"/>
      <c r="PAB1634" s="1"/>
      <c r="PAC1634" s="1"/>
      <c r="PAD1634" s="1"/>
      <c r="PAE1634" s="1"/>
      <c r="PAF1634" s="1"/>
      <c r="PAG1634" s="1"/>
      <c r="PAH1634" s="1"/>
      <c r="PAI1634" s="1"/>
      <c r="PAJ1634" s="1"/>
      <c r="PAK1634" s="1"/>
      <c r="PAL1634" s="1"/>
      <c r="PAM1634" s="1"/>
      <c r="PAN1634" s="1"/>
      <c r="PAO1634" s="1"/>
      <c r="PAP1634" s="1"/>
      <c r="PAQ1634" s="1"/>
      <c r="PAR1634" s="1"/>
      <c r="PAS1634" s="1"/>
      <c r="PAT1634" s="1"/>
      <c r="PAU1634" s="1"/>
      <c r="PAV1634" s="1"/>
      <c r="PAW1634" s="1"/>
      <c r="PAX1634" s="1"/>
      <c r="PAY1634" s="1"/>
      <c r="PAZ1634" s="1"/>
      <c r="PBA1634" s="1"/>
      <c r="PBB1634" s="1"/>
      <c r="PBC1634" s="1"/>
      <c r="PBD1634" s="1"/>
      <c r="PBE1634" s="1"/>
      <c r="PBF1634" s="1"/>
      <c r="PBG1634" s="1"/>
      <c r="PBH1634" s="1"/>
      <c r="PBI1634" s="1"/>
      <c r="PBJ1634" s="1"/>
      <c r="PBK1634" s="1"/>
      <c r="PBL1634" s="1"/>
      <c r="PBM1634" s="1"/>
      <c r="PBN1634" s="1"/>
      <c r="PBO1634" s="1"/>
      <c r="PBP1634" s="1"/>
      <c r="PBQ1634" s="1"/>
      <c r="PBR1634" s="1"/>
      <c r="PBS1634" s="1"/>
      <c r="PBT1634" s="1"/>
      <c r="PBU1634" s="1"/>
      <c r="PBV1634" s="1"/>
      <c r="PBW1634" s="1"/>
      <c r="PBX1634" s="1"/>
      <c r="PBY1634" s="1"/>
      <c r="PBZ1634" s="1"/>
      <c r="PCA1634" s="1"/>
      <c r="PCB1634" s="1"/>
      <c r="PCC1634" s="1"/>
      <c r="PCD1634" s="1"/>
      <c r="PCE1634" s="1"/>
      <c r="PCF1634" s="1"/>
      <c r="PCG1634" s="1"/>
      <c r="PCH1634" s="1"/>
      <c r="PCI1634" s="1"/>
      <c r="PCJ1634" s="1"/>
      <c r="PCK1634" s="1"/>
      <c r="PCL1634" s="1"/>
      <c r="PCM1634" s="1"/>
      <c r="PCN1634" s="1"/>
      <c r="PCO1634" s="1"/>
      <c r="PCP1634" s="1"/>
      <c r="PCQ1634" s="1"/>
      <c r="PCR1634" s="1"/>
      <c r="PCS1634" s="1"/>
      <c r="PCT1634" s="1"/>
      <c r="PCU1634" s="1"/>
      <c r="PCV1634" s="1"/>
      <c r="PCW1634" s="1"/>
      <c r="PCX1634" s="1"/>
      <c r="PCY1634" s="1"/>
      <c r="PCZ1634" s="1"/>
      <c r="PDA1634" s="1"/>
      <c r="PDB1634" s="1"/>
      <c r="PDC1634" s="1"/>
      <c r="PDD1634" s="1"/>
      <c r="PDE1634" s="1"/>
      <c r="PDF1634" s="1"/>
      <c r="PDG1634" s="1"/>
      <c r="PDH1634" s="1"/>
      <c r="PDI1634" s="1"/>
      <c r="PDJ1634" s="1"/>
      <c r="PDK1634" s="1"/>
      <c r="PDL1634" s="1"/>
      <c r="PDM1634" s="1"/>
      <c r="PDN1634" s="1"/>
      <c r="PDO1634" s="1"/>
      <c r="PDP1634" s="1"/>
      <c r="PDQ1634" s="1"/>
      <c r="PDR1634" s="1"/>
      <c r="PDS1634" s="1"/>
      <c r="PDT1634" s="1"/>
      <c r="PDU1634" s="1"/>
      <c r="PDV1634" s="1"/>
      <c r="PDW1634" s="1"/>
      <c r="PDX1634" s="1"/>
      <c r="PDY1634" s="1"/>
      <c r="PDZ1634" s="1"/>
      <c r="PEA1634" s="1"/>
      <c r="PEB1634" s="1"/>
      <c r="PEC1634" s="1"/>
      <c r="PED1634" s="1"/>
      <c r="PEE1634" s="1"/>
      <c r="PEF1634" s="1"/>
      <c r="PEG1634" s="1"/>
      <c r="PEH1634" s="1"/>
      <c r="PEI1634" s="1"/>
      <c r="PEJ1634" s="1"/>
      <c r="PEK1634" s="1"/>
      <c r="PEL1634" s="1"/>
      <c r="PEM1634" s="1"/>
      <c r="PEN1634" s="1"/>
      <c r="PEO1634" s="1"/>
      <c r="PEP1634" s="1"/>
      <c r="PEQ1634" s="1"/>
      <c r="PER1634" s="1"/>
      <c r="PES1634" s="1"/>
      <c r="PET1634" s="1"/>
      <c r="PEU1634" s="1"/>
      <c r="PEV1634" s="1"/>
      <c r="PEW1634" s="1"/>
      <c r="PEX1634" s="1"/>
      <c r="PEY1634" s="1"/>
      <c r="PEZ1634" s="1"/>
      <c r="PFA1634" s="1"/>
      <c r="PFB1634" s="1"/>
      <c r="PFC1634" s="1"/>
      <c r="PFD1634" s="1"/>
      <c r="PFE1634" s="1"/>
      <c r="PFF1634" s="1"/>
      <c r="PFG1634" s="1"/>
      <c r="PFH1634" s="1"/>
      <c r="PFI1634" s="1"/>
      <c r="PFJ1634" s="1"/>
      <c r="PFK1634" s="1"/>
      <c r="PFL1634" s="1"/>
      <c r="PFM1634" s="1"/>
      <c r="PFN1634" s="1"/>
      <c r="PFO1634" s="1"/>
      <c r="PFP1634" s="1"/>
      <c r="PFQ1634" s="1"/>
      <c r="PFR1634" s="1"/>
      <c r="PFS1634" s="1"/>
      <c r="PFT1634" s="1"/>
      <c r="PFU1634" s="1"/>
      <c r="PFV1634" s="1"/>
      <c r="PFW1634" s="1"/>
      <c r="PFX1634" s="1"/>
      <c r="PFY1634" s="1"/>
      <c r="PFZ1634" s="1"/>
      <c r="PGA1634" s="1"/>
      <c r="PGB1634" s="1"/>
      <c r="PGC1634" s="1"/>
      <c r="PGD1634" s="1"/>
      <c r="PGE1634" s="1"/>
      <c r="PGF1634" s="1"/>
      <c r="PGG1634" s="1"/>
      <c r="PGH1634" s="1"/>
      <c r="PGI1634" s="1"/>
      <c r="PGJ1634" s="1"/>
      <c r="PGK1634" s="1"/>
      <c r="PGL1634" s="1"/>
      <c r="PGM1634" s="1"/>
      <c r="PGN1634" s="1"/>
      <c r="PGO1634" s="1"/>
      <c r="PGP1634" s="1"/>
      <c r="PGQ1634" s="1"/>
      <c r="PGR1634" s="1"/>
      <c r="PGS1634" s="1"/>
      <c r="PGT1634" s="1"/>
      <c r="PGU1634" s="1"/>
      <c r="PGV1634" s="1"/>
      <c r="PGW1634" s="1"/>
      <c r="PGX1634" s="1"/>
      <c r="PGY1634" s="1"/>
      <c r="PGZ1634" s="1"/>
      <c r="PHA1634" s="1"/>
      <c r="PHB1634" s="1"/>
      <c r="PHC1634" s="1"/>
      <c r="PHD1634" s="1"/>
      <c r="PHE1634" s="1"/>
      <c r="PHF1634" s="1"/>
      <c r="PHG1634" s="1"/>
      <c r="PHH1634" s="1"/>
      <c r="PHI1634" s="1"/>
      <c r="PHJ1634" s="1"/>
      <c r="PHK1634" s="1"/>
      <c r="PHL1634" s="1"/>
      <c r="PHM1634" s="1"/>
      <c r="PHN1634" s="1"/>
      <c r="PHO1634" s="1"/>
      <c r="PHP1634" s="1"/>
      <c r="PHQ1634" s="1"/>
      <c r="PHR1634" s="1"/>
      <c r="PHS1634" s="1"/>
      <c r="PHT1634" s="1"/>
      <c r="PHU1634" s="1"/>
      <c r="PHV1634" s="1"/>
      <c r="PHW1634" s="1"/>
      <c r="PHX1634" s="1"/>
      <c r="PHY1634" s="1"/>
      <c r="PHZ1634" s="1"/>
      <c r="PIA1634" s="1"/>
      <c r="PIB1634" s="1"/>
      <c r="PIC1634" s="1"/>
      <c r="PID1634" s="1"/>
      <c r="PIE1634" s="1"/>
      <c r="PIF1634" s="1"/>
      <c r="PIG1634" s="1"/>
      <c r="PIH1634" s="1"/>
      <c r="PII1634" s="1"/>
      <c r="PIJ1634" s="1"/>
      <c r="PIK1634" s="1"/>
      <c r="PIL1634" s="1"/>
      <c r="PIM1634" s="1"/>
      <c r="PIN1634" s="1"/>
      <c r="PIO1634" s="1"/>
      <c r="PIP1634" s="1"/>
      <c r="PIQ1634" s="1"/>
      <c r="PIR1634" s="1"/>
      <c r="PIS1634" s="1"/>
      <c r="PIT1634" s="1"/>
      <c r="PIU1634" s="1"/>
      <c r="PIV1634" s="1"/>
      <c r="PIW1634" s="1"/>
      <c r="PIX1634" s="1"/>
      <c r="PIY1634" s="1"/>
      <c r="PIZ1634" s="1"/>
      <c r="PJA1634" s="1"/>
      <c r="PJB1634" s="1"/>
      <c r="PJC1634" s="1"/>
      <c r="PJD1634" s="1"/>
      <c r="PJE1634" s="1"/>
      <c r="PJF1634" s="1"/>
      <c r="PJG1634" s="1"/>
      <c r="PJH1634" s="1"/>
      <c r="PJI1634" s="1"/>
      <c r="PJJ1634" s="1"/>
      <c r="PJK1634" s="1"/>
      <c r="PJL1634" s="1"/>
      <c r="PJM1634" s="1"/>
      <c r="PJN1634" s="1"/>
      <c r="PJO1634" s="1"/>
      <c r="PJP1634" s="1"/>
      <c r="PJQ1634" s="1"/>
      <c r="PJR1634" s="1"/>
      <c r="PJS1634" s="1"/>
      <c r="PJT1634" s="1"/>
      <c r="PJU1634" s="1"/>
      <c r="PJV1634" s="1"/>
      <c r="PJW1634" s="1"/>
      <c r="PJX1634" s="1"/>
      <c r="PJY1634" s="1"/>
      <c r="PJZ1634" s="1"/>
      <c r="PKA1634" s="1"/>
      <c r="PKB1634" s="1"/>
      <c r="PKC1634" s="1"/>
      <c r="PKD1634" s="1"/>
      <c r="PKE1634" s="1"/>
      <c r="PKF1634" s="1"/>
      <c r="PKG1634" s="1"/>
      <c r="PKH1634" s="1"/>
      <c r="PKI1634" s="1"/>
      <c r="PKJ1634" s="1"/>
      <c r="PKK1634" s="1"/>
      <c r="PKL1634" s="1"/>
      <c r="PKM1634" s="1"/>
      <c r="PKN1634" s="1"/>
      <c r="PKO1634" s="1"/>
      <c r="PKP1634" s="1"/>
      <c r="PKQ1634" s="1"/>
      <c r="PKR1634" s="1"/>
      <c r="PKS1634" s="1"/>
      <c r="PKT1634" s="1"/>
      <c r="PKU1634" s="1"/>
      <c r="PKV1634" s="1"/>
      <c r="PKW1634" s="1"/>
      <c r="PKX1634" s="1"/>
      <c r="PKY1634" s="1"/>
      <c r="PKZ1634" s="1"/>
      <c r="PLA1634" s="1"/>
      <c r="PLB1634" s="1"/>
      <c r="PLC1634" s="1"/>
      <c r="PLD1634" s="1"/>
      <c r="PLE1634" s="1"/>
      <c r="PLF1634" s="1"/>
      <c r="PLG1634" s="1"/>
      <c r="PLH1634" s="1"/>
      <c r="PLI1634" s="1"/>
      <c r="PLJ1634" s="1"/>
      <c r="PLK1634" s="1"/>
      <c r="PLL1634" s="1"/>
      <c r="PLM1634" s="1"/>
      <c r="PLN1634" s="1"/>
      <c r="PLO1634" s="1"/>
      <c r="PLP1634" s="1"/>
      <c r="PLQ1634" s="1"/>
      <c r="PLR1634" s="1"/>
      <c r="PLS1634" s="1"/>
      <c r="PLT1634" s="1"/>
      <c r="PLU1634" s="1"/>
      <c r="PLV1634" s="1"/>
      <c r="PLW1634" s="1"/>
      <c r="PLX1634" s="1"/>
      <c r="PLY1634" s="1"/>
      <c r="PLZ1634" s="1"/>
      <c r="PMA1634" s="1"/>
      <c r="PMB1634" s="1"/>
      <c r="PMC1634" s="1"/>
      <c r="PMD1634" s="1"/>
      <c r="PME1634" s="1"/>
      <c r="PMF1634" s="1"/>
      <c r="PMG1634" s="1"/>
      <c r="PMH1634" s="1"/>
      <c r="PMI1634" s="1"/>
      <c r="PMJ1634" s="1"/>
      <c r="PMK1634" s="1"/>
      <c r="PML1634" s="1"/>
      <c r="PMM1634" s="1"/>
      <c r="PMN1634" s="1"/>
      <c r="PMO1634" s="1"/>
      <c r="PMP1634" s="1"/>
      <c r="PMQ1634" s="1"/>
      <c r="PMR1634" s="1"/>
      <c r="PMS1634" s="1"/>
      <c r="PMT1634" s="1"/>
      <c r="PMU1634" s="1"/>
      <c r="PMV1634" s="1"/>
      <c r="PMW1634" s="1"/>
      <c r="PMX1634" s="1"/>
      <c r="PMY1634" s="1"/>
      <c r="PMZ1634" s="1"/>
      <c r="PNA1634" s="1"/>
      <c r="PNB1634" s="1"/>
      <c r="PNC1634" s="1"/>
      <c r="PND1634" s="1"/>
      <c r="PNE1634" s="1"/>
      <c r="PNF1634" s="1"/>
      <c r="PNG1634" s="1"/>
      <c r="PNH1634" s="1"/>
      <c r="PNI1634" s="1"/>
      <c r="PNJ1634" s="1"/>
      <c r="PNK1634" s="1"/>
      <c r="PNL1634" s="1"/>
      <c r="PNM1634" s="1"/>
      <c r="PNN1634" s="1"/>
      <c r="PNO1634" s="1"/>
      <c r="PNP1634" s="1"/>
      <c r="PNQ1634" s="1"/>
      <c r="PNR1634" s="1"/>
      <c r="PNS1634" s="1"/>
      <c r="PNT1634" s="1"/>
      <c r="PNU1634" s="1"/>
      <c r="PNV1634" s="1"/>
      <c r="PNW1634" s="1"/>
      <c r="PNX1634" s="1"/>
      <c r="PNY1634" s="1"/>
      <c r="PNZ1634" s="1"/>
      <c r="POA1634" s="1"/>
      <c r="POB1634" s="1"/>
      <c r="POC1634" s="1"/>
      <c r="POD1634" s="1"/>
      <c r="POE1634" s="1"/>
      <c r="POF1634" s="1"/>
      <c r="POG1634" s="1"/>
      <c r="POH1634" s="1"/>
      <c r="POI1634" s="1"/>
      <c r="POJ1634" s="1"/>
      <c r="POK1634" s="1"/>
      <c r="POL1634" s="1"/>
      <c r="POM1634" s="1"/>
      <c r="PON1634" s="1"/>
      <c r="POO1634" s="1"/>
      <c r="POP1634" s="1"/>
      <c r="POQ1634" s="1"/>
      <c r="POR1634" s="1"/>
      <c r="POS1634" s="1"/>
      <c r="POT1634" s="1"/>
      <c r="POU1634" s="1"/>
      <c r="POV1634" s="1"/>
      <c r="POW1634" s="1"/>
      <c r="POX1634" s="1"/>
      <c r="POY1634" s="1"/>
      <c r="POZ1634" s="1"/>
      <c r="PPA1634" s="1"/>
      <c r="PPB1634" s="1"/>
      <c r="PPC1634" s="1"/>
      <c r="PPD1634" s="1"/>
      <c r="PPE1634" s="1"/>
      <c r="PPF1634" s="1"/>
      <c r="PPG1634" s="1"/>
      <c r="PPH1634" s="1"/>
      <c r="PPI1634" s="1"/>
      <c r="PPJ1634" s="1"/>
      <c r="PPK1634" s="1"/>
      <c r="PPL1634" s="1"/>
      <c r="PPM1634" s="1"/>
      <c r="PPN1634" s="1"/>
      <c r="PPO1634" s="1"/>
      <c r="PPP1634" s="1"/>
      <c r="PPQ1634" s="1"/>
      <c r="PPR1634" s="1"/>
      <c r="PPS1634" s="1"/>
      <c r="PPT1634" s="1"/>
      <c r="PPU1634" s="1"/>
      <c r="PPV1634" s="1"/>
      <c r="PPW1634" s="1"/>
      <c r="PPX1634" s="1"/>
      <c r="PPY1634" s="1"/>
      <c r="PPZ1634" s="1"/>
      <c r="PQA1634" s="1"/>
      <c r="PQB1634" s="1"/>
      <c r="PQC1634" s="1"/>
      <c r="PQD1634" s="1"/>
      <c r="PQE1634" s="1"/>
      <c r="PQF1634" s="1"/>
      <c r="PQG1634" s="1"/>
      <c r="PQH1634" s="1"/>
      <c r="PQI1634" s="1"/>
      <c r="PQJ1634" s="1"/>
      <c r="PQK1634" s="1"/>
      <c r="PQL1634" s="1"/>
      <c r="PQM1634" s="1"/>
      <c r="PQN1634" s="1"/>
      <c r="PQO1634" s="1"/>
      <c r="PQP1634" s="1"/>
      <c r="PQQ1634" s="1"/>
      <c r="PQR1634" s="1"/>
      <c r="PQS1634" s="1"/>
      <c r="PQT1634" s="1"/>
      <c r="PQU1634" s="1"/>
      <c r="PQV1634" s="1"/>
      <c r="PQW1634" s="1"/>
      <c r="PQX1634" s="1"/>
      <c r="PQY1634" s="1"/>
      <c r="PQZ1634" s="1"/>
      <c r="PRA1634" s="1"/>
      <c r="PRB1634" s="1"/>
      <c r="PRC1634" s="1"/>
      <c r="PRD1634" s="1"/>
      <c r="PRE1634" s="1"/>
      <c r="PRF1634" s="1"/>
      <c r="PRG1634" s="1"/>
      <c r="PRH1634" s="1"/>
      <c r="PRI1634" s="1"/>
      <c r="PRJ1634" s="1"/>
      <c r="PRK1634" s="1"/>
      <c r="PRL1634" s="1"/>
      <c r="PRM1634" s="1"/>
      <c r="PRN1634" s="1"/>
      <c r="PRO1634" s="1"/>
      <c r="PRP1634" s="1"/>
      <c r="PRQ1634" s="1"/>
      <c r="PRR1634" s="1"/>
      <c r="PRS1634" s="1"/>
      <c r="PRT1634" s="1"/>
      <c r="PRU1634" s="1"/>
      <c r="PRV1634" s="1"/>
      <c r="PRW1634" s="1"/>
      <c r="PRX1634" s="1"/>
      <c r="PRY1634" s="1"/>
      <c r="PRZ1634" s="1"/>
      <c r="PSA1634" s="1"/>
      <c r="PSB1634" s="1"/>
      <c r="PSC1634" s="1"/>
      <c r="PSD1634" s="1"/>
      <c r="PSE1634" s="1"/>
      <c r="PSF1634" s="1"/>
      <c r="PSG1634" s="1"/>
      <c r="PSH1634" s="1"/>
      <c r="PSI1634" s="1"/>
      <c r="PSJ1634" s="1"/>
      <c r="PSK1634" s="1"/>
      <c r="PSL1634" s="1"/>
      <c r="PSM1634" s="1"/>
      <c r="PSN1634" s="1"/>
      <c r="PSO1634" s="1"/>
      <c r="PSP1634" s="1"/>
      <c r="PSQ1634" s="1"/>
      <c r="PSR1634" s="1"/>
      <c r="PSS1634" s="1"/>
      <c r="PST1634" s="1"/>
      <c r="PSU1634" s="1"/>
      <c r="PSV1634" s="1"/>
      <c r="PSW1634" s="1"/>
      <c r="PSX1634" s="1"/>
      <c r="PSY1634" s="1"/>
      <c r="PSZ1634" s="1"/>
      <c r="PTA1634" s="1"/>
      <c r="PTB1634" s="1"/>
      <c r="PTC1634" s="1"/>
      <c r="PTD1634" s="1"/>
      <c r="PTE1634" s="1"/>
      <c r="PTF1634" s="1"/>
      <c r="PTG1634" s="1"/>
      <c r="PTH1634" s="1"/>
      <c r="PTI1634" s="1"/>
      <c r="PTJ1634" s="1"/>
      <c r="PTK1634" s="1"/>
      <c r="PTL1634" s="1"/>
      <c r="PTM1634" s="1"/>
      <c r="PTN1634" s="1"/>
      <c r="PTO1634" s="1"/>
      <c r="PTP1634" s="1"/>
      <c r="PTQ1634" s="1"/>
      <c r="PTR1634" s="1"/>
      <c r="PTS1634" s="1"/>
      <c r="PTT1634" s="1"/>
      <c r="PTU1634" s="1"/>
      <c r="PTV1634" s="1"/>
      <c r="PTW1634" s="1"/>
      <c r="PTX1634" s="1"/>
      <c r="PTY1634" s="1"/>
      <c r="PTZ1634" s="1"/>
      <c r="PUA1634" s="1"/>
      <c r="PUB1634" s="1"/>
      <c r="PUC1634" s="1"/>
      <c r="PUD1634" s="1"/>
      <c r="PUE1634" s="1"/>
      <c r="PUF1634" s="1"/>
      <c r="PUG1634" s="1"/>
      <c r="PUH1634" s="1"/>
      <c r="PUI1634" s="1"/>
      <c r="PUJ1634" s="1"/>
      <c r="PUK1634" s="1"/>
      <c r="PUL1634" s="1"/>
      <c r="PUM1634" s="1"/>
      <c r="PUN1634" s="1"/>
      <c r="PUO1634" s="1"/>
      <c r="PUP1634" s="1"/>
      <c r="PUQ1634" s="1"/>
      <c r="PUR1634" s="1"/>
      <c r="PUS1634" s="1"/>
      <c r="PUT1634" s="1"/>
      <c r="PUU1634" s="1"/>
      <c r="PUV1634" s="1"/>
      <c r="PUW1634" s="1"/>
      <c r="PUX1634" s="1"/>
      <c r="PUY1634" s="1"/>
      <c r="PUZ1634" s="1"/>
      <c r="PVA1634" s="1"/>
      <c r="PVB1634" s="1"/>
      <c r="PVC1634" s="1"/>
      <c r="PVD1634" s="1"/>
      <c r="PVE1634" s="1"/>
      <c r="PVF1634" s="1"/>
      <c r="PVG1634" s="1"/>
      <c r="PVH1634" s="1"/>
      <c r="PVI1634" s="1"/>
      <c r="PVJ1634" s="1"/>
      <c r="PVK1634" s="1"/>
      <c r="PVL1634" s="1"/>
      <c r="PVM1634" s="1"/>
      <c r="PVN1634" s="1"/>
      <c r="PVO1634" s="1"/>
      <c r="PVP1634" s="1"/>
      <c r="PVQ1634" s="1"/>
      <c r="PVR1634" s="1"/>
      <c r="PVS1634" s="1"/>
      <c r="PVT1634" s="1"/>
      <c r="PVU1634" s="1"/>
      <c r="PVV1634" s="1"/>
      <c r="PVW1634" s="1"/>
      <c r="PVX1634" s="1"/>
      <c r="PVY1634" s="1"/>
      <c r="PVZ1634" s="1"/>
      <c r="PWA1634" s="1"/>
      <c r="PWB1634" s="1"/>
      <c r="PWC1634" s="1"/>
      <c r="PWD1634" s="1"/>
      <c r="PWE1634" s="1"/>
      <c r="PWF1634" s="1"/>
      <c r="PWG1634" s="1"/>
      <c r="PWH1634" s="1"/>
      <c r="PWI1634" s="1"/>
      <c r="PWJ1634" s="1"/>
      <c r="PWK1634" s="1"/>
      <c r="PWL1634" s="1"/>
      <c r="PWM1634" s="1"/>
      <c r="PWN1634" s="1"/>
      <c r="PWO1634" s="1"/>
      <c r="PWP1634" s="1"/>
      <c r="PWQ1634" s="1"/>
      <c r="PWR1634" s="1"/>
      <c r="PWS1634" s="1"/>
      <c r="PWT1634" s="1"/>
      <c r="PWU1634" s="1"/>
      <c r="PWV1634" s="1"/>
      <c r="PWW1634" s="1"/>
      <c r="PWX1634" s="1"/>
      <c r="PWY1634" s="1"/>
      <c r="PWZ1634" s="1"/>
      <c r="PXA1634" s="1"/>
      <c r="PXB1634" s="1"/>
      <c r="PXC1634" s="1"/>
      <c r="PXD1634" s="1"/>
      <c r="PXE1634" s="1"/>
      <c r="PXF1634" s="1"/>
      <c r="PXG1634" s="1"/>
      <c r="PXH1634" s="1"/>
      <c r="PXI1634" s="1"/>
      <c r="PXJ1634" s="1"/>
      <c r="PXK1634" s="1"/>
      <c r="PXL1634" s="1"/>
      <c r="PXM1634" s="1"/>
      <c r="PXN1634" s="1"/>
      <c r="PXO1634" s="1"/>
      <c r="PXP1634" s="1"/>
      <c r="PXQ1634" s="1"/>
      <c r="PXR1634" s="1"/>
      <c r="PXS1634" s="1"/>
      <c r="PXT1634" s="1"/>
      <c r="PXU1634" s="1"/>
      <c r="PXV1634" s="1"/>
      <c r="PXW1634" s="1"/>
      <c r="PXX1634" s="1"/>
      <c r="PXY1634" s="1"/>
      <c r="PXZ1634" s="1"/>
      <c r="PYA1634" s="1"/>
      <c r="PYB1634" s="1"/>
      <c r="PYC1634" s="1"/>
      <c r="PYD1634" s="1"/>
      <c r="PYE1634" s="1"/>
      <c r="PYF1634" s="1"/>
      <c r="PYG1634" s="1"/>
      <c r="PYH1634" s="1"/>
      <c r="PYI1634" s="1"/>
      <c r="PYJ1634" s="1"/>
      <c r="PYK1634" s="1"/>
      <c r="PYL1634" s="1"/>
      <c r="PYM1634" s="1"/>
      <c r="PYN1634" s="1"/>
      <c r="PYO1634" s="1"/>
      <c r="PYP1634" s="1"/>
      <c r="PYQ1634" s="1"/>
      <c r="PYR1634" s="1"/>
      <c r="PYS1634" s="1"/>
      <c r="PYT1634" s="1"/>
      <c r="PYU1634" s="1"/>
      <c r="PYV1634" s="1"/>
      <c r="PYW1634" s="1"/>
      <c r="PYX1634" s="1"/>
      <c r="PYY1634" s="1"/>
      <c r="PYZ1634" s="1"/>
      <c r="PZA1634" s="1"/>
      <c r="PZB1634" s="1"/>
      <c r="PZC1634" s="1"/>
      <c r="PZD1634" s="1"/>
      <c r="PZE1634" s="1"/>
      <c r="PZF1634" s="1"/>
      <c r="PZG1634" s="1"/>
      <c r="PZH1634" s="1"/>
      <c r="PZI1634" s="1"/>
      <c r="PZJ1634" s="1"/>
      <c r="PZK1634" s="1"/>
      <c r="PZL1634" s="1"/>
      <c r="PZM1634" s="1"/>
      <c r="PZN1634" s="1"/>
      <c r="PZO1634" s="1"/>
      <c r="PZP1634" s="1"/>
      <c r="PZQ1634" s="1"/>
      <c r="PZR1634" s="1"/>
      <c r="PZS1634" s="1"/>
      <c r="PZT1634" s="1"/>
      <c r="PZU1634" s="1"/>
      <c r="PZV1634" s="1"/>
      <c r="PZW1634" s="1"/>
      <c r="PZX1634" s="1"/>
      <c r="PZY1634" s="1"/>
      <c r="PZZ1634" s="1"/>
      <c r="QAA1634" s="1"/>
      <c r="QAB1634" s="1"/>
      <c r="QAC1634" s="1"/>
      <c r="QAD1634" s="1"/>
      <c r="QAE1634" s="1"/>
      <c r="QAF1634" s="1"/>
      <c r="QAG1634" s="1"/>
      <c r="QAH1634" s="1"/>
      <c r="QAI1634" s="1"/>
      <c r="QAJ1634" s="1"/>
      <c r="QAK1634" s="1"/>
      <c r="QAL1634" s="1"/>
      <c r="QAM1634" s="1"/>
      <c r="QAN1634" s="1"/>
      <c r="QAO1634" s="1"/>
      <c r="QAP1634" s="1"/>
      <c r="QAQ1634" s="1"/>
      <c r="QAR1634" s="1"/>
      <c r="QAS1634" s="1"/>
      <c r="QAT1634" s="1"/>
      <c r="QAU1634" s="1"/>
      <c r="QAV1634" s="1"/>
      <c r="QAW1634" s="1"/>
      <c r="QAX1634" s="1"/>
      <c r="QAY1634" s="1"/>
      <c r="QAZ1634" s="1"/>
      <c r="QBA1634" s="1"/>
      <c r="QBB1634" s="1"/>
      <c r="QBC1634" s="1"/>
      <c r="QBD1634" s="1"/>
      <c r="QBE1634" s="1"/>
      <c r="QBF1634" s="1"/>
      <c r="QBG1634" s="1"/>
      <c r="QBH1634" s="1"/>
      <c r="QBI1634" s="1"/>
      <c r="QBJ1634" s="1"/>
      <c r="QBK1634" s="1"/>
      <c r="QBL1634" s="1"/>
      <c r="QBM1634" s="1"/>
      <c r="QBN1634" s="1"/>
      <c r="QBO1634" s="1"/>
      <c r="QBP1634" s="1"/>
      <c r="QBQ1634" s="1"/>
      <c r="QBR1634" s="1"/>
      <c r="QBS1634" s="1"/>
      <c r="QBT1634" s="1"/>
      <c r="QBU1634" s="1"/>
      <c r="QBV1634" s="1"/>
      <c r="QBW1634" s="1"/>
      <c r="QBX1634" s="1"/>
      <c r="QBY1634" s="1"/>
      <c r="QBZ1634" s="1"/>
      <c r="QCA1634" s="1"/>
      <c r="QCB1634" s="1"/>
      <c r="QCC1634" s="1"/>
      <c r="QCD1634" s="1"/>
      <c r="QCE1634" s="1"/>
      <c r="QCF1634" s="1"/>
      <c r="QCG1634" s="1"/>
      <c r="QCH1634" s="1"/>
      <c r="QCI1634" s="1"/>
      <c r="QCJ1634" s="1"/>
      <c r="QCK1634" s="1"/>
      <c r="QCL1634" s="1"/>
      <c r="QCM1634" s="1"/>
      <c r="QCN1634" s="1"/>
      <c r="QCO1634" s="1"/>
      <c r="QCP1634" s="1"/>
      <c r="QCQ1634" s="1"/>
      <c r="QCR1634" s="1"/>
      <c r="QCS1634" s="1"/>
      <c r="QCT1634" s="1"/>
      <c r="QCU1634" s="1"/>
      <c r="QCV1634" s="1"/>
      <c r="QCW1634" s="1"/>
      <c r="QCX1634" s="1"/>
      <c r="QCY1634" s="1"/>
      <c r="QCZ1634" s="1"/>
      <c r="QDA1634" s="1"/>
      <c r="QDB1634" s="1"/>
      <c r="QDC1634" s="1"/>
      <c r="QDD1634" s="1"/>
      <c r="QDE1634" s="1"/>
      <c r="QDF1634" s="1"/>
      <c r="QDG1634" s="1"/>
      <c r="QDH1634" s="1"/>
      <c r="QDI1634" s="1"/>
      <c r="QDJ1634" s="1"/>
      <c r="QDK1634" s="1"/>
      <c r="QDL1634" s="1"/>
      <c r="QDM1634" s="1"/>
      <c r="QDN1634" s="1"/>
      <c r="QDO1634" s="1"/>
      <c r="QDP1634" s="1"/>
      <c r="QDQ1634" s="1"/>
      <c r="QDR1634" s="1"/>
      <c r="QDS1634" s="1"/>
      <c r="QDT1634" s="1"/>
      <c r="QDU1634" s="1"/>
      <c r="QDV1634" s="1"/>
      <c r="QDW1634" s="1"/>
      <c r="QDX1634" s="1"/>
      <c r="QDY1634" s="1"/>
      <c r="QDZ1634" s="1"/>
      <c r="QEA1634" s="1"/>
      <c r="QEB1634" s="1"/>
      <c r="QEC1634" s="1"/>
      <c r="QED1634" s="1"/>
      <c r="QEE1634" s="1"/>
      <c r="QEF1634" s="1"/>
      <c r="QEG1634" s="1"/>
      <c r="QEH1634" s="1"/>
      <c r="QEI1634" s="1"/>
      <c r="QEJ1634" s="1"/>
      <c r="QEK1634" s="1"/>
      <c r="QEL1634" s="1"/>
      <c r="QEM1634" s="1"/>
      <c r="QEN1634" s="1"/>
      <c r="QEO1634" s="1"/>
      <c r="QEP1634" s="1"/>
      <c r="QEQ1634" s="1"/>
      <c r="QER1634" s="1"/>
      <c r="QES1634" s="1"/>
      <c r="QET1634" s="1"/>
      <c r="QEU1634" s="1"/>
      <c r="QEV1634" s="1"/>
      <c r="QEW1634" s="1"/>
      <c r="QEX1634" s="1"/>
      <c r="QEY1634" s="1"/>
      <c r="QEZ1634" s="1"/>
      <c r="QFA1634" s="1"/>
      <c r="QFB1634" s="1"/>
      <c r="QFC1634" s="1"/>
      <c r="QFD1634" s="1"/>
      <c r="QFE1634" s="1"/>
      <c r="QFF1634" s="1"/>
      <c r="QFG1634" s="1"/>
      <c r="QFH1634" s="1"/>
      <c r="QFI1634" s="1"/>
      <c r="QFJ1634" s="1"/>
      <c r="QFK1634" s="1"/>
      <c r="QFL1634" s="1"/>
      <c r="QFM1634" s="1"/>
      <c r="QFN1634" s="1"/>
      <c r="QFO1634" s="1"/>
      <c r="QFP1634" s="1"/>
      <c r="QFQ1634" s="1"/>
      <c r="QFR1634" s="1"/>
      <c r="QFS1634" s="1"/>
      <c r="QFT1634" s="1"/>
      <c r="QFU1634" s="1"/>
      <c r="QFV1634" s="1"/>
      <c r="QFW1634" s="1"/>
      <c r="QFX1634" s="1"/>
      <c r="QFY1634" s="1"/>
      <c r="QFZ1634" s="1"/>
      <c r="QGA1634" s="1"/>
      <c r="QGB1634" s="1"/>
      <c r="QGC1634" s="1"/>
      <c r="QGD1634" s="1"/>
      <c r="QGE1634" s="1"/>
      <c r="QGF1634" s="1"/>
      <c r="QGG1634" s="1"/>
      <c r="QGH1634" s="1"/>
      <c r="QGI1634" s="1"/>
      <c r="QGJ1634" s="1"/>
      <c r="QGK1634" s="1"/>
      <c r="QGL1634" s="1"/>
      <c r="QGM1634" s="1"/>
      <c r="QGN1634" s="1"/>
      <c r="QGO1634" s="1"/>
      <c r="QGP1634" s="1"/>
      <c r="QGQ1634" s="1"/>
      <c r="QGR1634" s="1"/>
      <c r="QGS1634" s="1"/>
      <c r="QGT1634" s="1"/>
      <c r="QGU1634" s="1"/>
      <c r="QGV1634" s="1"/>
      <c r="QGW1634" s="1"/>
      <c r="QGX1634" s="1"/>
      <c r="QGY1634" s="1"/>
      <c r="QGZ1634" s="1"/>
      <c r="QHA1634" s="1"/>
      <c r="QHB1634" s="1"/>
      <c r="QHC1634" s="1"/>
      <c r="QHD1634" s="1"/>
      <c r="QHE1634" s="1"/>
      <c r="QHF1634" s="1"/>
      <c r="QHG1634" s="1"/>
      <c r="QHH1634" s="1"/>
      <c r="QHI1634" s="1"/>
      <c r="QHJ1634" s="1"/>
      <c r="QHK1634" s="1"/>
      <c r="QHL1634" s="1"/>
      <c r="QHM1634" s="1"/>
      <c r="QHN1634" s="1"/>
      <c r="QHO1634" s="1"/>
      <c r="QHP1634" s="1"/>
      <c r="QHQ1634" s="1"/>
      <c r="QHR1634" s="1"/>
      <c r="QHS1634" s="1"/>
      <c r="QHT1634" s="1"/>
      <c r="QHU1634" s="1"/>
      <c r="QHV1634" s="1"/>
      <c r="QHW1634" s="1"/>
      <c r="QHX1634" s="1"/>
      <c r="QHY1634" s="1"/>
      <c r="QHZ1634" s="1"/>
      <c r="QIA1634" s="1"/>
      <c r="QIB1634" s="1"/>
      <c r="QIC1634" s="1"/>
      <c r="QID1634" s="1"/>
      <c r="QIE1634" s="1"/>
      <c r="QIF1634" s="1"/>
      <c r="QIG1634" s="1"/>
      <c r="QIH1634" s="1"/>
      <c r="QII1634" s="1"/>
      <c r="QIJ1634" s="1"/>
      <c r="QIK1634" s="1"/>
      <c r="QIL1634" s="1"/>
      <c r="QIM1634" s="1"/>
      <c r="QIN1634" s="1"/>
      <c r="QIO1634" s="1"/>
      <c r="QIP1634" s="1"/>
      <c r="QIQ1634" s="1"/>
      <c r="QIR1634" s="1"/>
      <c r="QIS1634" s="1"/>
      <c r="QIT1634" s="1"/>
      <c r="QIU1634" s="1"/>
      <c r="QIV1634" s="1"/>
      <c r="QIW1634" s="1"/>
      <c r="QIX1634" s="1"/>
      <c r="QIY1634" s="1"/>
      <c r="QIZ1634" s="1"/>
      <c r="QJA1634" s="1"/>
      <c r="QJB1634" s="1"/>
      <c r="QJC1634" s="1"/>
      <c r="QJD1634" s="1"/>
      <c r="QJE1634" s="1"/>
      <c r="QJF1634" s="1"/>
      <c r="QJG1634" s="1"/>
      <c r="QJH1634" s="1"/>
      <c r="QJI1634" s="1"/>
      <c r="QJJ1634" s="1"/>
      <c r="QJK1634" s="1"/>
      <c r="QJL1634" s="1"/>
      <c r="QJM1634" s="1"/>
      <c r="QJN1634" s="1"/>
      <c r="QJO1634" s="1"/>
      <c r="QJP1634" s="1"/>
      <c r="QJQ1634" s="1"/>
      <c r="QJR1634" s="1"/>
      <c r="QJS1634" s="1"/>
      <c r="QJT1634" s="1"/>
      <c r="QJU1634" s="1"/>
      <c r="QJV1634" s="1"/>
      <c r="QJW1634" s="1"/>
      <c r="QJX1634" s="1"/>
      <c r="QJY1634" s="1"/>
      <c r="QJZ1634" s="1"/>
      <c r="QKA1634" s="1"/>
      <c r="QKB1634" s="1"/>
      <c r="QKC1634" s="1"/>
      <c r="QKD1634" s="1"/>
      <c r="QKE1634" s="1"/>
      <c r="QKF1634" s="1"/>
      <c r="QKG1634" s="1"/>
      <c r="QKH1634" s="1"/>
      <c r="QKI1634" s="1"/>
      <c r="QKJ1634" s="1"/>
      <c r="QKK1634" s="1"/>
      <c r="QKL1634" s="1"/>
      <c r="QKM1634" s="1"/>
      <c r="QKN1634" s="1"/>
      <c r="QKO1634" s="1"/>
      <c r="QKP1634" s="1"/>
      <c r="QKQ1634" s="1"/>
      <c r="QKR1634" s="1"/>
      <c r="QKS1634" s="1"/>
      <c r="QKT1634" s="1"/>
      <c r="QKU1634" s="1"/>
      <c r="QKV1634" s="1"/>
      <c r="QKW1634" s="1"/>
      <c r="QKX1634" s="1"/>
      <c r="QKY1634" s="1"/>
      <c r="QKZ1634" s="1"/>
      <c r="QLA1634" s="1"/>
      <c r="QLB1634" s="1"/>
      <c r="QLC1634" s="1"/>
      <c r="QLD1634" s="1"/>
      <c r="QLE1634" s="1"/>
      <c r="QLF1634" s="1"/>
      <c r="QLG1634" s="1"/>
      <c r="QLH1634" s="1"/>
      <c r="QLI1634" s="1"/>
      <c r="QLJ1634" s="1"/>
      <c r="QLK1634" s="1"/>
      <c r="QLL1634" s="1"/>
      <c r="QLM1634" s="1"/>
      <c r="QLN1634" s="1"/>
      <c r="QLO1634" s="1"/>
      <c r="QLP1634" s="1"/>
      <c r="QLQ1634" s="1"/>
      <c r="QLR1634" s="1"/>
      <c r="QLS1634" s="1"/>
      <c r="QLT1634" s="1"/>
      <c r="QLU1634" s="1"/>
      <c r="QLV1634" s="1"/>
      <c r="QLW1634" s="1"/>
      <c r="QLX1634" s="1"/>
      <c r="QLY1634" s="1"/>
      <c r="QLZ1634" s="1"/>
      <c r="QMA1634" s="1"/>
      <c r="QMB1634" s="1"/>
      <c r="QMC1634" s="1"/>
      <c r="QMD1634" s="1"/>
      <c r="QME1634" s="1"/>
      <c r="QMF1634" s="1"/>
      <c r="QMG1634" s="1"/>
      <c r="QMH1634" s="1"/>
      <c r="QMI1634" s="1"/>
      <c r="QMJ1634" s="1"/>
      <c r="QMK1634" s="1"/>
      <c r="QML1634" s="1"/>
      <c r="QMM1634" s="1"/>
      <c r="QMN1634" s="1"/>
      <c r="QMO1634" s="1"/>
      <c r="QMP1634" s="1"/>
      <c r="QMQ1634" s="1"/>
      <c r="QMR1634" s="1"/>
      <c r="QMS1634" s="1"/>
      <c r="QMT1634" s="1"/>
      <c r="QMU1634" s="1"/>
      <c r="QMV1634" s="1"/>
      <c r="QMW1634" s="1"/>
      <c r="QMX1634" s="1"/>
      <c r="QMY1634" s="1"/>
      <c r="QMZ1634" s="1"/>
      <c r="QNA1634" s="1"/>
      <c r="QNB1634" s="1"/>
      <c r="QNC1634" s="1"/>
      <c r="QND1634" s="1"/>
      <c r="QNE1634" s="1"/>
      <c r="QNF1634" s="1"/>
      <c r="QNG1634" s="1"/>
      <c r="QNH1634" s="1"/>
      <c r="QNI1634" s="1"/>
      <c r="QNJ1634" s="1"/>
      <c r="QNK1634" s="1"/>
      <c r="QNL1634" s="1"/>
      <c r="QNM1634" s="1"/>
      <c r="QNN1634" s="1"/>
      <c r="QNO1634" s="1"/>
      <c r="QNP1634" s="1"/>
      <c r="QNQ1634" s="1"/>
      <c r="QNR1634" s="1"/>
      <c r="QNS1634" s="1"/>
      <c r="QNT1634" s="1"/>
      <c r="QNU1634" s="1"/>
      <c r="QNV1634" s="1"/>
      <c r="QNW1634" s="1"/>
      <c r="QNX1634" s="1"/>
      <c r="QNY1634" s="1"/>
      <c r="QNZ1634" s="1"/>
      <c r="QOA1634" s="1"/>
      <c r="QOB1634" s="1"/>
      <c r="QOC1634" s="1"/>
      <c r="QOD1634" s="1"/>
      <c r="QOE1634" s="1"/>
      <c r="QOF1634" s="1"/>
      <c r="QOG1634" s="1"/>
      <c r="QOH1634" s="1"/>
      <c r="QOI1634" s="1"/>
      <c r="QOJ1634" s="1"/>
      <c r="QOK1634" s="1"/>
      <c r="QOL1634" s="1"/>
      <c r="QOM1634" s="1"/>
      <c r="QON1634" s="1"/>
      <c r="QOO1634" s="1"/>
      <c r="QOP1634" s="1"/>
      <c r="QOQ1634" s="1"/>
      <c r="QOR1634" s="1"/>
      <c r="QOS1634" s="1"/>
      <c r="QOT1634" s="1"/>
      <c r="QOU1634" s="1"/>
      <c r="QOV1634" s="1"/>
      <c r="QOW1634" s="1"/>
      <c r="QOX1634" s="1"/>
      <c r="QOY1634" s="1"/>
      <c r="QOZ1634" s="1"/>
      <c r="QPA1634" s="1"/>
      <c r="QPB1634" s="1"/>
      <c r="QPC1634" s="1"/>
      <c r="QPD1634" s="1"/>
      <c r="QPE1634" s="1"/>
      <c r="QPF1634" s="1"/>
      <c r="QPG1634" s="1"/>
      <c r="QPH1634" s="1"/>
      <c r="QPI1634" s="1"/>
      <c r="QPJ1634" s="1"/>
      <c r="QPK1634" s="1"/>
      <c r="QPL1634" s="1"/>
      <c r="QPM1634" s="1"/>
      <c r="QPN1634" s="1"/>
      <c r="QPO1634" s="1"/>
      <c r="QPP1634" s="1"/>
      <c r="QPQ1634" s="1"/>
      <c r="QPR1634" s="1"/>
      <c r="QPS1634" s="1"/>
      <c r="QPT1634" s="1"/>
      <c r="QPU1634" s="1"/>
      <c r="QPV1634" s="1"/>
      <c r="QPW1634" s="1"/>
      <c r="QPX1634" s="1"/>
      <c r="QPY1634" s="1"/>
      <c r="QPZ1634" s="1"/>
      <c r="QQA1634" s="1"/>
      <c r="QQB1634" s="1"/>
      <c r="QQC1634" s="1"/>
      <c r="QQD1634" s="1"/>
      <c r="QQE1634" s="1"/>
      <c r="QQF1634" s="1"/>
      <c r="QQG1634" s="1"/>
      <c r="QQH1634" s="1"/>
      <c r="QQI1634" s="1"/>
      <c r="QQJ1634" s="1"/>
      <c r="QQK1634" s="1"/>
      <c r="QQL1634" s="1"/>
      <c r="QQM1634" s="1"/>
      <c r="QQN1634" s="1"/>
      <c r="QQO1634" s="1"/>
      <c r="QQP1634" s="1"/>
      <c r="QQQ1634" s="1"/>
      <c r="QQR1634" s="1"/>
      <c r="QQS1634" s="1"/>
      <c r="QQT1634" s="1"/>
      <c r="QQU1634" s="1"/>
      <c r="QQV1634" s="1"/>
      <c r="QQW1634" s="1"/>
      <c r="QQX1634" s="1"/>
      <c r="QQY1634" s="1"/>
      <c r="QQZ1634" s="1"/>
      <c r="QRA1634" s="1"/>
      <c r="QRB1634" s="1"/>
      <c r="QRC1634" s="1"/>
      <c r="QRD1634" s="1"/>
      <c r="QRE1634" s="1"/>
      <c r="QRF1634" s="1"/>
      <c r="QRG1634" s="1"/>
      <c r="QRH1634" s="1"/>
      <c r="QRI1634" s="1"/>
      <c r="QRJ1634" s="1"/>
      <c r="QRK1634" s="1"/>
      <c r="QRL1634" s="1"/>
      <c r="QRM1634" s="1"/>
      <c r="QRN1634" s="1"/>
      <c r="QRO1634" s="1"/>
      <c r="QRP1634" s="1"/>
      <c r="QRQ1634" s="1"/>
      <c r="QRR1634" s="1"/>
      <c r="QRS1634" s="1"/>
      <c r="QRT1634" s="1"/>
      <c r="QRU1634" s="1"/>
      <c r="QRV1634" s="1"/>
      <c r="QRW1634" s="1"/>
      <c r="QRX1634" s="1"/>
      <c r="QRY1634" s="1"/>
      <c r="QRZ1634" s="1"/>
      <c r="QSA1634" s="1"/>
      <c r="QSB1634" s="1"/>
      <c r="QSC1634" s="1"/>
      <c r="QSD1634" s="1"/>
      <c r="QSE1634" s="1"/>
      <c r="QSF1634" s="1"/>
      <c r="QSG1634" s="1"/>
      <c r="QSH1634" s="1"/>
      <c r="QSI1634" s="1"/>
      <c r="QSJ1634" s="1"/>
      <c r="QSK1634" s="1"/>
      <c r="QSL1634" s="1"/>
      <c r="QSM1634" s="1"/>
      <c r="QSN1634" s="1"/>
      <c r="QSO1634" s="1"/>
      <c r="QSP1634" s="1"/>
      <c r="QSQ1634" s="1"/>
      <c r="QSR1634" s="1"/>
      <c r="QSS1634" s="1"/>
      <c r="QST1634" s="1"/>
      <c r="QSU1634" s="1"/>
      <c r="QSV1634" s="1"/>
      <c r="QSW1634" s="1"/>
      <c r="QSX1634" s="1"/>
      <c r="QSY1634" s="1"/>
      <c r="QSZ1634" s="1"/>
      <c r="QTA1634" s="1"/>
      <c r="QTB1634" s="1"/>
      <c r="QTC1634" s="1"/>
      <c r="QTD1634" s="1"/>
      <c r="QTE1634" s="1"/>
      <c r="QTF1634" s="1"/>
      <c r="QTG1634" s="1"/>
      <c r="QTH1634" s="1"/>
      <c r="QTI1634" s="1"/>
      <c r="QTJ1634" s="1"/>
      <c r="QTK1634" s="1"/>
      <c r="QTL1634" s="1"/>
      <c r="QTM1634" s="1"/>
      <c r="QTN1634" s="1"/>
      <c r="QTO1634" s="1"/>
      <c r="QTP1634" s="1"/>
      <c r="QTQ1634" s="1"/>
      <c r="QTR1634" s="1"/>
      <c r="QTS1634" s="1"/>
      <c r="QTT1634" s="1"/>
      <c r="QTU1634" s="1"/>
      <c r="QTV1634" s="1"/>
      <c r="QTW1634" s="1"/>
      <c r="QTX1634" s="1"/>
      <c r="QTY1634" s="1"/>
      <c r="QTZ1634" s="1"/>
      <c r="QUA1634" s="1"/>
      <c r="QUB1634" s="1"/>
      <c r="QUC1634" s="1"/>
      <c r="QUD1634" s="1"/>
      <c r="QUE1634" s="1"/>
      <c r="QUF1634" s="1"/>
      <c r="QUG1634" s="1"/>
      <c r="QUH1634" s="1"/>
      <c r="QUI1634" s="1"/>
      <c r="QUJ1634" s="1"/>
      <c r="QUK1634" s="1"/>
      <c r="QUL1634" s="1"/>
      <c r="QUM1634" s="1"/>
      <c r="QUN1634" s="1"/>
      <c r="QUO1634" s="1"/>
      <c r="QUP1634" s="1"/>
      <c r="QUQ1634" s="1"/>
      <c r="QUR1634" s="1"/>
      <c r="QUS1634" s="1"/>
      <c r="QUT1634" s="1"/>
      <c r="QUU1634" s="1"/>
      <c r="QUV1634" s="1"/>
      <c r="QUW1634" s="1"/>
      <c r="QUX1634" s="1"/>
      <c r="QUY1634" s="1"/>
      <c r="QUZ1634" s="1"/>
      <c r="QVA1634" s="1"/>
      <c r="QVB1634" s="1"/>
      <c r="QVC1634" s="1"/>
      <c r="QVD1634" s="1"/>
      <c r="QVE1634" s="1"/>
      <c r="QVF1634" s="1"/>
      <c r="QVG1634" s="1"/>
      <c r="QVH1634" s="1"/>
      <c r="QVI1634" s="1"/>
      <c r="QVJ1634" s="1"/>
      <c r="QVK1634" s="1"/>
      <c r="QVL1634" s="1"/>
      <c r="QVM1634" s="1"/>
      <c r="QVN1634" s="1"/>
      <c r="QVO1634" s="1"/>
      <c r="QVP1634" s="1"/>
      <c r="QVQ1634" s="1"/>
      <c r="QVR1634" s="1"/>
      <c r="QVS1634" s="1"/>
      <c r="QVT1634" s="1"/>
      <c r="QVU1634" s="1"/>
      <c r="QVV1634" s="1"/>
      <c r="QVW1634" s="1"/>
      <c r="QVX1634" s="1"/>
      <c r="QVY1634" s="1"/>
      <c r="QVZ1634" s="1"/>
      <c r="QWA1634" s="1"/>
      <c r="QWB1634" s="1"/>
      <c r="QWC1634" s="1"/>
      <c r="QWD1634" s="1"/>
      <c r="QWE1634" s="1"/>
      <c r="QWF1634" s="1"/>
      <c r="QWG1634" s="1"/>
      <c r="QWH1634" s="1"/>
      <c r="QWI1634" s="1"/>
      <c r="QWJ1634" s="1"/>
      <c r="QWK1634" s="1"/>
      <c r="QWL1634" s="1"/>
      <c r="QWM1634" s="1"/>
      <c r="QWN1634" s="1"/>
      <c r="QWO1634" s="1"/>
      <c r="QWP1634" s="1"/>
      <c r="QWQ1634" s="1"/>
      <c r="QWR1634" s="1"/>
      <c r="QWS1634" s="1"/>
      <c r="QWT1634" s="1"/>
      <c r="QWU1634" s="1"/>
      <c r="QWV1634" s="1"/>
      <c r="QWW1634" s="1"/>
      <c r="QWX1634" s="1"/>
      <c r="QWY1634" s="1"/>
      <c r="QWZ1634" s="1"/>
      <c r="QXA1634" s="1"/>
      <c r="QXB1634" s="1"/>
      <c r="QXC1634" s="1"/>
      <c r="QXD1634" s="1"/>
      <c r="QXE1634" s="1"/>
      <c r="QXF1634" s="1"/>
      <c r="QXG1634" s="1"/>
      <c r="QXH1634" s="1"/>
      <c r="QXI1634" s="1"/>
      <c r="QXJ1634" s="1"/>
      <c r="QXK1634" s="1"/>
      <c r="QXL1634" s="1"/>
      <c r="QXM1634" s="1"/>
      <c r="QXN1634" s="1"/>
      <c r="QXO1634" s="1"/>
      <c r="QXP1634" s="1"/>
      <c r="QXQ1634" s="1"/>
      <c r="QXR1634" s="1"/>
      <c r="QXS1634" s="1"/>
      <c r="QXT1634" s="1"/>
      <c r="QXU1634" s="1"/>
      <c r="QXV1634" s="1"/>
      <c r="QXW1634" s="1"/>
      <c r="QXX1634" s="1"/>
      <c r="QXY1634" s="1"/>
      <c r="QXZ1634" s="1"/>
      <c r="QYA1634" s="1"/>
      <c r="QYB1634" s="1"/>
      <c r="QYC1634" s="1"/>
      <c r="QYD1634" s="1"/>
      <c r="QYE1634" s="1"/>
      <c r="QYF1634" s="1"/>
      <c r="QYG1634" s="1"/>
      <c r="QYH1634" s="1"/>
      <c r="QYI1634" s="1"/>
      <c r="QYJ1634" s="1"/>
      <c r="QYK1634" s="1"/>
      <c r="QYL1634" s="1"/>
      <c r="QYM1634" s="1"/>
      <c r="QYN1634" s="1"/>
      <c r="QYO1634" s="1"/>
      <c r="QYP1634" s="1"/>
      <c r="QYQ1634" s="1"/>
      <c r="QYR1634" s="1"/>
      <c r="QYS1634" s="1"/>
      <c r="QYT1634" s="1"/>
      <c r="QYU1634" s="1"/>
      <c r="QYV1634" s="1"/>
      <c r="QYW1634" s="1"/>
      <c r="QYX1634" s="1"/>
      <c r="QYY1634" s="1"/>
      <c r="QYZ1634" s="1"/>
      <c r="QZA1634" s="1"/>
      <c r="QZB1634" s="1"/>
      <c r="QZC1634" s="1"/>
      <c r="QZD1634" s="1"/>
      <c r="QZE1634" s="1"/>
      <c r="QZF1634" s="1"/>
      <c r="QZG1634" s="1"/>
      <c r="QZH1634" s="1"/>
      <c r="QZI1634" s="1"/>
      <c r="QZJ1634" s="1"/>
      <c r="QZK1634" s="1"/>
      <c r="QZL1634" s="1"/>
      <c r="QZM1634" s="1"/>
      <c r="QZN1634" s="1"/>
      <c r="QZO1634" s="1"/>
      <c r="QZP1634" s="1"/>
      <c r="QZQ1634" s="1"/>
      <c r="QZR1634" s="1"/>
      <c r="QZS1634" s="1"/>
      <c r="QZT1634" s="1"/>
      <c r="QZU1634" s="1"/>
      <c r="QZV1634" s="1"/>
      <c r="QZW1634" s="1"/>
      <c r="QZX1634" s="1"/>
      <c r="QZY1634" s="1"/>
      <c r="QZZ1634" s="1"/>
      <c r="RAA1634" s="1"/>
      <c r="RAB1634" s="1"/>
      <c r="RAC1634" s="1"/>
      <c r="RAD1634" s="1"/>
      <c r="RAE1634" s="1"/>
      <c r="RAF1634" s="1"/>
      <c r="RAG1634" s="1"/>
      <c r="RAH1634" s="1"/>
      <c r="RAI1634" s="1"/>
      <c r="RAJ1634" s="1"/>
      <c r="RAK1634" s="1"/>
      <c r="RAL1634" s="1"/>
      <c r="RAM1634" s="1"/>
      <c r="RAN1634" s="1"/>
      <c r="RAO1634" s="1"/>
      <c r="RAP1634" s="1"/>
      <c r="RAQ1634" s="1"/>
      <c r="RAR1634" s="1"/>
      <c r="RAS1634" s="1"/>
      <c r="RAT1634" s="1"/>
      <c r="RAU1634" s="1"/>
      <c r="RAV1634" s="1"/>
      <c r="RAW1634" s="1"/>
      <c r="RAX1634" s="1"/>
      <c r="RAY1634" s="1"/>
      <c r="RAZ1634" s="1"/>
      <c r="RBA1634" s="1"/>
      <c r="RBB1634" s="1"/>
      <c r="RBC1634" s="1"/>
      <c r="RBD1634" s="1"/>
      <c r="RBE1634" s="1"/>
      <c r="RBF1634" s="1"/>
      <c r="RBG1634" s="1"/>
      <c r="RBH1634" s="1"/>
      <c r="RBI1634" s="1"/>
      <c r="RBJ1634" s="1"/>
      <c r="RBK1634" s="1"/>
      <c r="RBL1634" s="1"/>
      <c r="RBM1634" s="1"/>
      <c r="RBN1634" s="1"/>
      <c r="RBO1634" s="1"/>
      <c r="RBP1634" s="1"/>
      <c r="RBQ1634" s="1"/>
      <c r="RBR1634" s="1"/>
      <c r="RBS1634" s="1"/>
      <c r="RBT1634" s="1"/>
      <c r="RBU1634" s="1"/>
      <c r="RBV1634" s="1"/>
      <c r="RBW1634" s="1"/>
      <c r="RBX1634" s="1"/>
      <c r="RBY1634" s="1"/>
      <c r="RBZ1634" s="1"/>
      <c r="RCA1634" s="1"/>
      <c r="RCB1634" s="1"/>
      <c r="RCC1634" s="1"/>
      <c r="RCD1634" s="1"/>
      <c r="RCE1634" s="1"/>
      <c r="RCF1634" s="1"/>
      <c r="RCG1634" s="1"/>
      <c r="RCH1634" s="1"/>
      <c r="RCI1634" s="1"/>
      <c r="RCJ1634" s="1"/>
      <c r="RCK1634" s="1"/>
      <c r="RCL1634" s="1"/>
      <c r="RCM1634" s="1"/>
      <c r="RCN1634" s="1"/>
      <c r="RCO1634" s="1"/>
      <c r="RCP1634" s="1"/>
      <c r="RCQ1634" s="1"/>
      <c r="RCR1634" s="1"/>
      <c r="RCS1634" s="1"/>
      <c r="RCT1634" s="1"/>
      <c r="RCU1634" s="1"/>
      <c r="RCV1634" s="1"/>
      <c r="RCW1634" s="1"/>
      <c r="RCX1634" s="1"/>
      <c r="RCY1634" s="1"/>
      <c r="RCZ1634" s="1"/>
      <c r="RDA1634" s="1"/>
      <c r="RDB1634" s="1"/>
      <c r="RDC1634" s="1"/>
      <c r="RDD1634" s="1"/>
      <c r="RDE1634" s="1"/>
      <c r="RDF1634" s="1"/>
      <c r="RDG1634" s="1"/>
      <c r="RDH1634" s="1"/>
      <c r="RDI1634" s="1"/>
      <c r="RDJ1634" s="1"/>
      <c r="RDK1634" s="1"/>
      <c r="RDL1634" s="1"/>
      <c r="RDM1634" s="1"/>
      <c r="RDN1634" s="1"/>
      <c r="RDO1634" s="1"/>
      <c r="RDP1634" s="1"/>
      <c r="RDQ1634" s="1"/>
      <c r="RDR1634" s="1"/>
      <c r="RDS1634" s="1"/>
      <c r="RDT1634" s="1"/>
      <c r="RDU1634" s="1"/>
      <c r="RDV1634" s="1"/>
      <c r="RDW1634" s="1"/>
      <c r="RDX1634" s="1"/>
      <c r="RDY1634" s="1"/>
      <c r="RDZ1634" s="1"/>
      <c r="REA1634" s="1"/>
      <c r="REB1634" s="1"/>
      <c r="REC1634" s="1"/>
      <c r="RED1634" s="1"/>
      <c r="REE1634" s="1"/>
      <c r="REF1634" s="1"/>
      <c r="REG1634" s="1"/>
      <c r="REH1634" s="1"/>
      <c r="REI1634" s="1"/>
      <c r="REJ1634" s="1"/>
      <c r="REK1634" s="1"/>
      <c r="REL1634" s="1"/>
      <c r="REM1634" s="1"/>
      <c r="REN1634" s="1"/>
      <c r="REO1634" s="1"/>
      <c r="REP1634" s="1"/>
      <c r="REQ1634" s="1"/>
      <c r="RER1634" s="1"/>
      <c r="RES1634" s="1"/>
      <c r="RET1634" s="1"/>
      <c r="REU1634" s="1"/>
      <c r="REV1634" s="1"/>
      <c r="REW1634" s="1"/>
      <c r="REX1634" s="1"/>
      <c r="REY1634" s="1"/>
      <c r="REZ1634" s="1"/>
      <c r="RFA1634" s="1"/>
      <c r="RFB1634" s="1"/>
      <c r="RFC1634" s="1"/>
      <c r="RFD1634" s="1"/>
      <c r="RFE1634" s="1"/>
      <c r="RFF1634" s="1"/>
      <c r="RFG1634" s="1"/>
      <c r="RFH1634" s="1"/>
      <c r="RFI1634" s="1"/>
      <c r="RFJ1634" s="1"/>
      <c r="RFK1634" s="1"/>
      <c r="RFL1634" s="1"/>
      <c r="RFM1634" s="1"/>
      <c r="RFN1634" s="1"/>
      <c r="RFO1634" s="1"/>
      <c r="RFP1634" s="1"/>
      <c r="RFQ1634" s="1"/>
      <c r="RFR1634" s="1"/>
      <c r="RFS1634" s="1"/>
      <c r="RFT1634" s="1"/>
      <c r="RFU1634" s="1"/>
      <c r="RFV1634" s="1"/>
      <c r="RFW1634" s="1"/>
      <c r="RFX1634" s="1"/>
      <c r="RFY1634" s="1"/>
      <c r="RFZ1634" s="1"/>
      <c r="RGA1634" s="1"/>
      <c r="RGB1634" s="1"/>
      <c r="RGC1634" s="1"/>
      <c r="RGD1634" s="1"/>
      <c r="RGE1634" s="1"/>
      <c r="RGF1634" s="1"/>
      <c r="RGG1634" s="1"/>
      <c r="RGH1634" s="1"/>
      <c r="RGI1634" s="1"/>
      <c r="RGJ1634" s="1"/>
      <c r="RGK1634" s="1"/>
      <c r="RGL1634" s="1"/>
      <c r="RGM1634" s="1"/>
      <c r="RGN1634" s="1"/>
      <c r="RGO1634" s="1"/>
      <c r="RGP1634" s="1"/>
      <c r="RGQ1634" s="1"/>
      <c r="RGR1634" s="1"/>
      <c r="RGS1634" s="1"/>
      <c r="RGT1634" s="1"/>
      <c r="RGU1634" s="1"/>
      <c r="RGV1634" s="1"/>
      <c r="RGW1634" s="1"/>
      <c r="RGX1634" s="1"/>
      <c r="RGY1634" s="1"/>
      <c r="RGZ1634" s="1"/>
      <c r="RHA1634" s="1"/>
      <c r="RHB1634" s="1"/>
      <c r="RHC1634" s="1"/>
      <c r="RHD1634" s="1"/>
      <c r="RHE1634" s="1"/>
      <c r="RHF1634" s="1"/>
      <c r="RHG1634" s="1"/>
      <c r="RHH1634" s="1"/>
      <c r="RHI1634" s="1"/>
      <c r="RHJ1634" s="1"/>
      <c r="RHK1634" s="1"/>
      <c r="RHL1634" s="1"/>
      <c r="RHM1634" s="1"/>
      <c r="RHN1634" s="1"/>
      <c r="RHO1634" s="1"/>
      <c r="RHP1634" s="1"/>
      <c r="RHQ1634" s="1"/>
      <c r="RHR1634" s="1"/>
      <c r="RHS1634" s="1"/>
      <c r="RHT1634" s="1"/>
      <c r="RHU1634" s="1"/>
      <c r="RHV1634" s="1"/>
      <c r="RHW1634" s="1"/>
      <c r="RHX1634" s="1"/>
      <c r="RHY1634" s="1"/>
      <c r="RHZ1634" s="1"/>
      <c r="RIA1634" s="1"/>
      <c r="RIB1634" s="1"/>
      <c r="RIC1634" s="1"/>
      <c r="RID1634" s="1"/>
      <c r="RIE1634" s="1"/>
      <c r="RIF1634" s="1"/>
      <c r="RIG1634" s="1"/>
      <c r="RIH1634" s="1"/>
      <c r="RII1634" s="1"/>
      <c r="RIJ1634" s="1"/>
      <c r="RIK1634" s="1"/>
      <c r="RIL1634" s="1"/>
      <c r="RIM1634" s="1"/>
      <c r="RIN1634" s="1"/>
      <c r="RIO1634" s="1"/>
      <c r="RIP1634" s="1"/>
      <c r="RIQ1634" s="1"/>
      <c r="RIR1634" s="1"/>
      <c r="RIS1634" s="1"/>
      <c r="RIT1634" s="1"/>
      <c r="RIU1634" s="1"/>
      <c r="RIV1634" s="1"/>
      <c r="RIW1634" s="1"/>
      <c r="RIX1634" s="1"/>
      <c r="RIY1634" s="1"/>
      <c r="RIZ1634" s="1"/>
      <c r="RJA1634" s="1"/>
      <c r="RJB1634" s="1"/>
      <c r="RJC1634" s="1"/>
      <c r="RJD1634" s="1"/>
      <c r="RJE1634" s="1"/>
      <c r="RJF1634" s="1"/>
      <c r="RJG1634" s="1"/>
      <c r="RJH1634" s="1"/>
      <c r="RJI1634" s="1"/>
      <c r="RJJ1634" s="1"/>
      <c r="RJK1634" s="1"/>
      <c r="RJL1634" s="1"/>
      <c r="RJM1634" s="1"/>
      <c r="RJN1634" s="1"/>
      <c r="RJO1634" s="1"/>
      <c r="RJP1634" s="1"/>
      <c r="RJQ1634" s="1"/>
      <c r="RJR1634" s="1"/>
      <c r="RJS1634" s="1"/>
      <c r="RJT1634" s="1"/>
      <c r="RJU1634" s="1"/>
      <c r="RJV1634" s="1"/>
      <c r="RJW1634" s="1"/>
      <c r="RJX1634" s="1"/>
      <c r="RJY1634" s="1"/>
      <c r="RJZ1634" s="1"/>
      <c r="RKA1634" s="1"/>
      <c r="RKB1634" s="1"/>
      <c r="RKC1634" s="1"/>
      <c r="RKD1634" s="1"/>
      <c r="RKE1634" s="1"/>
      <c r="RKF1634" s="1"/>
      <c r="RKG1634" s="1"/>
      <c r="RKH1634" s="1"/>
      <c r="RKI1634" s="1"/>
      <c r="RKJ1634" s="1"/>
      <c r="RKK1634" s="1"/>
      <c r="RKL1634" s="1"/>
      <c r="RKM1634" s="1"/>
      <c r="RKN1634" s="1"/>
      <c r="RKO1634" s="1"/>
      <c r="RKP1634" s="1"/>
      <c r="RKQ1634" s="1"/>
      <c r="RKR1634" s="1"/>
      <c r="RKS1634" s="1"/>
      <c r="RKT1634" s="1"/>
      <c r="RKU1634" s="1"/>
      <c r="RKV1634" s="1"/>
      <c r="RKW1634" s="1"/>
      <c r="RKX1634" s="1"/>
      <c r="RKY1634" s="1"/>
      <c r="RKZ1634" s="1"/>
      <c r="RLA1634" s="1"/>
      <c r="RLB1634" s="1"/>
      <c r="RLC1634" s="1"/>
      <c r="RLD1634" s="1"/>
      <c r="RLE1634" s="1"/>
      <c r="RLF1634" s="1"/>
      <c r="RLG1634" s="1"/>
      <c r="RLH1634" s="1"/>
      <c r="RLI1634" s="1"/>
      <c r="RLJ1634" s="1"/>
      <c r="RLK1634" s="1"/>
      <c r="RLL1634" s="1"/>
      <c r="RLM1634" s="1"/>
      <c r="RLN1634" s="1"/>
      <c r="RLO1634" s="1"/>
      <c r="RLP1634" s="1"/>
      <c r="RLQ1634" s="1"/>
      <c r="RLR1634" s="1"/>
      <c r="RLS1634" s="1"/>
      <c r="RLT1634" s="1"/>
      <c r="RLU1634" s="1"/>
      <c r="RLV1634" s="1"/>
      <c r="RLW1634" s="1"/>
      <c r="RLX1634" s="1"/>
      <c r="RLY1634" s="1"/>
      <c r="RLZ1634" s="1"/>
      <c r="RMA1634" s="1"/>
      <c r="RMB1634" s="1"/>
      <c r="RMC1634" s="1"/>
      <c r="RMD1634" s="1"/>
      <c r="RME1634" s="1"/>
      <c r="RMF1634" s="1"/>
      <c r="RMG1634" s="1"/>
      <c r="RMH1634" s="1"/>
      <c r="RMI1634" s="1"/>
      <c r="RMJ1634" s="1"/>
      <c r="RMK1634" s="1"/>
      <c r="RML1634" s="1"/>
      <c r="RMM1634" s="1"/>
      <c r="RMN1634" s="1"/>
      <c r="RMO1634" s="1"/>
      <c r="RMP1634" s="1"/>
      <c r="RMQ1634" s="1"/>
      <c r="RMR1634" s="1"/>
      <c r="RMS1634" s="1"/>
      <c r="RMT1634" s="1"/>
      <c r="RMU1634" s="1"/>
      <c r="RMV1634" s="1"/>
      <c r="RMW1634" s="1"/>
      <c r="RMX1634" s="1"/>
      <c r="RMY1634" s="1"/>
      <c r="RMZ1634" s="1"/>
      <c r="RNA1634" s="1"/>
      <c r="RNB1634" s="1"/>
      <c r="RNC1634" s="1"/>
      <c r="RND1634" s="1"/>
      <c r="RNE1634" s="1"/>
      <c r="RNF1634" s="1"/>
      <c r="RNG1634" s="1"/>
      <c r="RNH1634" s="1"/>
      <c r="RNI1634" s="1"/>
      <c r="RNJ1634" s="1"/>
      <c r="RNK1634" s="1"/>
      <c r="RNL1634" s="1"/>
      <c r="RNM1634" s="1"/>
      <c r="RNN1634" s="1"/>
      <c r="RNO1634" s="1"/>
      <c r="RNP1634" s="1"/>
      <c r="RNQ1634" s="1"/>
      <c r="RNR1634" s="1"/>
      <c r="RNS1634" s="1"/>
      <c r="RNT1634" s="1"/>
      <c r="RNU1634" s="1"/>
      <c r="RNV1634" s="1"/>
      <c r="RNW1634" s="1"/>
      <c r="RNX1634" s="1"/>
      <c r="RNY1634" s="1"/>
      <c r="RNZ1634" s="1"/>
      <c r="ROA1634" s="1"/>
      <c r="ROB1634" s="1"/>
      <c r="ROC1634" s="1"/>
      <c r="ROD1634" s="1"/>
      <c r="ROE1634" s="1"/>
      <c r="ROF1634" s="1"/>
      <c r="ROG1634" s="1"/>
      <c r="ROH1634" s="1"/>
      <c r="ROI1634" s="1"/>
      <c r="ROJ1634" s="1"/>
      <c r="ROK1634" s="1"/>
      <c r="ROL1634" s="1"/>
      <c r="ROM1634" s="1"/>
      <c r="RON1634" s="1"/>
      <c r="ROO1634" s="1"/>
      <c r="ROP1634" s="1"/>
      <c r="ROQ1634" s="1"/>
      <c r="ROR1634" s="1"/>
      <c r="ROS1634" s="1"/>
      <c r="ROT1634" s="1"/>
      <c r="ROU1634" s="1"/>
      <c r="ROV1634" s="1"/>
      <c r="ROW1634" s="1"/>
      <c r="ROX1634" s="1"/>
      <c r="ROY1634" s="1"/>
      <c r="ROZ1634" s="1"/>
      <c r="RPA1634" s="1"/>
      <c r="RPB1634" s="1"/>
      <c r="RPC1634" s="1"/>
      <c r="RPD1634" s="1"/>
      <c r="RPE1634" s="1"/>
      <c r="RPF1634" s="1"/>
      <c r="RPG1634" s="1"/>
      <c r="RPH1634" s="1"/>
      <c r="RPI1634" s="1"/>
      <c r="RPJ1634" s="1"/>
      <c r="RPK1634" s="1"/>
      <c r="RPL1634" s="1"/>
      <c r="RPM1634" s="1"/>
      <c r="RPN1634" s="1"/>
      <c r="RPO1634" s="1"/>
      <c r="RPP1634" s="1"/>
      <c r="RPQ1634" s="1"/>
      <c r="RPR1634" s="1"/>
      <c r="RPS1634" s="1"/>
      <c r="RPT1634" s="1"/>
      <c r="RPU1634" s="1"/>
      <c r="RPV1634" s="1"/>
      <c r="RPW1634" s="1"/>
      <c r="RPX1634" s="1"/>
      <c r="RPY1634" s="1"/>
      <c r="RPZ1634" s="1"/>
      <c r="RQA1634" s="1"/>
      <c r="RQB1634" s="1"/>
      <c r="RQC1634" s="1"/>
      <c r="RQD1634" s="1"/>
      <c r="RQE1634" s="1"/>
      <c r="RQF1634" s="1"/>
      <c r="RQG1634" s="1"/>
      <c r="RQH1634" s="1"/>
      <c r="RQI1634" s="1"/>
      <c r="RQJ1634" s="1"/>
      <c r="RQK1634" s="1"/>
      <c r="RQL1634" s="1"/>
      <c r="RQM1634" s="1"/>
      <c r="RQN1634" s="1"/>
      <c r="RQO1634" s="1"/>
      <c r="RQP1634" s="1"/>
      <c r="RQQ1634" s="1"/>
      <c r="RQR1634" s="1"/>
      <c r="RQS1634" s="1"/>
      <c r="RQT1634" s="1"/>
      <c r="RQU1634" s="1"/>
      <c r="RQV1634" s="1"/>
      <c r="RQW1634" s="1"/>
      <c r="RQX1634" s="1"/>
      <c r="RQY1634" s="1"/>
      <c r="RQZ1634" s="1"/>
      <c r="RRA1634" s="1"/>
      <c r="RRB1634" s="1"/>
      <c r="RRC1634" s="1"/>
      <c r="RRD1634" s="1"/>
      <c r="RRE1634" s="1"/>
      <c r="RRF1634" s="1"/>
      <c r="RRG1634" s="1"/>
      <c r="RRH1634" s="1"/>
      <c r="RRI1634" s="1"/>
      <c r="RRJ1634" s="1"/>
      <c r="RRK1634" s="1"/>
      <c r="RRL1634" s="1"/>
      <c r="RRM1634" s="1"/>
      <c r="RRN1634" s="1"/>
      <c r="RRO1634" s="1"/>
      <c r="RRP1634" s="1"/>
      <c r="RRQ1634" s="1"/>
      <c r="RRR1634" s="1"/>
      <c r="RRS1634" s="1"/>
      <c r="RRT1634" s="1"/>
      <c r="RRU1634" s="1"/>
      <c r="RRV1634" s="1"/>
      <c r="RRW1634" s="1"/>
      <c r="RRX1634" s="1"/>
      <c r="RRY1634" s="1"/>
      <c r="RRZ1634" s="1"/>
      <c r="RSA1634" s="1"/>
      <c r="RSB1634" s="1"/>
      <c r="RSC1634" s="1"/>
      <c r="RSD1634" s="1"/>
      <c r="RSE1634" s="1"/>
      <c r="RSF1634" s="1"/>
      <c r="RSG1634" s="1"/>
      <c r="RSH1634" s="1"/>
      <c r="RSI1634" s="1"/>
      <c r="RSJ1634" s="1"/>
      <c r="RSK1634" s="1"/>
      <c r="RSL1634" s="1"/>
      <c r="RSM1634" s="1"/>
      <c r="RSN1634" s="1"/>
      <c r="RSO1634" s="1"/>
      <c r="RSP1634" s="1"/>
      <c r="RSQ1634" s="1"/>
      <c r="RSR1634" s="1"/>
      <c r="RSS1634" s="1"/>
      <c r="RST1634" s="1"/>
      <c r="RSU1634" s="1"/>
      <c r="RSV1634" s="1"/>
      <c r="RSW1634" s="1"/>
      <c r="RSX1634" s="1"/>
      <c r="RSY1634" s="1"/>
      <c r="RSZ1634" s="1"/>
      <c r="RTA1634" s="1"/>
      <c r="RTB1634" s="1"/>
      <c r="RTC1634" s="1"/>
      <c r="RTD1634" s="1"/>
      <c r="RTE1634" s="1"/>
      <c r="RTF1634" s="1"/>
      <c r="RTG1634" s="1"/>
      <c r="RTH1634" s="1"/>
      <c r="RTI1634" s="1"/>
      <c r="RTJ1634" s="1"/>
      <c r="RTK1634" s="1"/>
      <c r="RTL1634" s="1"/>
      <c r="RTM1634" s="1"/>
      <c r="RTN1634" s="1"/>
      <c r="RTO1634" s="1"/>
      <c r="RTP1634" s="1"/>
      <c r="RTQ1634" s="1"/>
      <c r="RTR1634" s="1"/>
      <c r="RTS1634" s="1"/>
      <c r="RTT1634" s="1"/>
      <c r="RTU1634" s="1"/>
      <c r="RTV1634" s="1"/>
      <c r="RTW1634" s="1"/>
      <c r="RTX1634" s="1"/>
      <c r="RTY1634" s="1"/>
      <c r="RTZ1634" s="1"/>
      <c r="RUA1634" s="1"/>
      <c r="RUB1634" s="1"/>
      <c r="RUC1634" s="1"/>
      <c r="RUD1634" s="1"/>
      <c r="RUE1634" s="1"/>
      <c r="RUF1634" s="1"/>
      <c r="RUG1634" s="1"/>
      <c r="RUH1634" s="1"/>
      <c r="RUI1634" s="1"/>
      <c r="RUJ1634" s="1"/>
      <c r="RUK1634" s="1"/>
      <c r="RUL1634" s="1"/>
      <c r="RUM1634" s="1"/>
      <c r="RUN1634" s="1"/>
      <c r="RUO1634" s="1"/>
      <c r="RUP1634" s="1"/>
      <c r="RUQ1634" s="1"/>
      <c r="RUR1634" s="1"/>
      <c r="RUS1634" s="1"/>
      <c r="RUT1634" s="1"/>
      <c r="RUU1634" s="1"/>
      <c r="RUV1634" s="1"/>
      <c r="RUW1634" s="1"/>
      <c r="RUX1634" s="1"/>
      <c r="RUY1634" s="1"/>
      <c r="RUZ1634" s="1"/>
      <c r="RVA1634" s="1"/>
      <c r="RVB1634" s="1"/>
      <c r="RVC1634" s="1"/>
      <c r="RVD1634" s="1"/>
      <c r="RVE1634" s="1"/>
      <c r="RVF1634" s="1"/>
      <c r="RVG1634" s="1"/>
      <c r="RVH1634" s="1"/>
      <c r="RVI1634" s="1"/>
      <c r="RVJ1634" s="1"/>
      <c r="RVK1634" s="1"/>
      <c r="RVL1634" s="1"/>
      <c r="RVM1634" s="1"/>
      <c r="RVN1634" s="1"/>
      <c r="RVO1634" s="1"/>
      <c r="RVP1634" s="1"/>
      <c r="RVQ1634" s="1"/>
      <c r="RVR1634" s="1"/>
      <c r="RVS1634" s="1"/>
      <c r="RVT1634" s="1"/>
      <c r="RVU1634" s="1"/>
      <c r="RVV1634" s="1"/>
      <c r="RVW1634" s="1"/>
      <c r="RVX1634" s="1"/>
      <c r="RVY1634" s="1"/>
      <c r="RVZ1634" s="1"/>
      <c r="RWA1634" s="1"/>
      <c r="RWB1634" s="1"/>
      <c r="RWC1634" s="1"/>
      <c r="RWD1634" s="1"/>
      <c r="RWE1634" s="1"/>
      <c r="RWF1634" s="1"/>
      <c r="RWG1634" s="1"/>
      <c r="RWH1634" s="1"/>
      <c r="RWI1634" s="1"/>
      <c r="RWJ1634" s="1"/>
      <c r="RWK1634" s="1"/>
      <c r="RWL1634" s="1"/>
      <c r="RWM1634" s="1"/>
      <c r="RWN1634" s="1"/>
      <c r="RWO1634" s="1"/>
      <c r="RWP1634" s="1"/>
      <c r="RWQ1634" s="1"/>
      <c r="RWR1634" s="1"/>
      <c r="RWS1634" s="1"/>
      <c r="RWT1634" s="1"/>
      <c r="RWU1634" s="1"/>
      <c r="RWV1634" s="1"/>
      <c r="RWW1634" s="1"/>
      <c r="RWX1634" s="1"/>
      <c r="RWY1634" s="1"/>
      <c r="RWZ1634" s="1"/>
      <c r="RXA1634" s="1"/>
      <c r="RXB1634" s="1"/>
      <c r="RXC1634" s="1"/>
      <c r="RXD1634" s="1"/>
      <c r="RXE1634" s="1"/>
      <c r="RXF1634" s="1"/>
      <c r="RXG1634" s="1"/>
      <c r="RXH1634" s="1"/>
      <c r="RXI1634" s="1"/>
      <c r="RXJ1634" s="1"/>
      <c r="RXK1634" s="1"/>
      <c r="RXL1634" s="1"/>
      <c r="RXM1634" s="1"/>
      <c r="RXN1634" s="1"/>
      <c r="RXO1634" s="1"/>
      <c r="RXP1634" s="1"/>
      <c r="RXQ1634" s="1"/>
      <c r="RXR1634" s="1"/>
      <c r="RXS1634" s="1"/>
      <c r="RXT1634" s="1"/>
      <c r="RXU1634" s="1"/>
      <c r="RXV1634" s="1"/>
      <c r="RXW1634" s="1"/>
      <c r="RXX1634" s="1"/>
      <c r="RXY1634" s="1"/>
      <c r="RXZ1634" s="1"/>
      <c r="RYA1634" s="1"/>
      <c r="RYB1634" s="1"/>
      <c r="RYC1634" s="1"/>
      <c r="RYD1634" s="1"/>
      <c r="RYE1634" s="1"/>
      <c r="RYF1634" s="1"/>
      <c r="RYG1634" s="1"/>
      <c r="RYH1634" s="1"/>
      <c r="RYI1634" s="1"/>
      <c r="RYJ1634" s="1"/>
      <c r="RYK1634" s="1"/>
      <c r="RYL1634" s="1"/>
      <c r="RYM1634" s="1"/>
      <c r="RYN1634" s="1"/>
      <c r="RYO1634" s="1"/>
      <c r="RYP1634" s="1"/>
      <c r="RYQ1634" s="1"/>
      <c r="RYR1634" s="1"/>
      <c r="RYS1634" s="1"/>
      <c r="RYT1634" s="1"/>
      <c r="RYU1634" s="1"/>
      <c r="RYV1634" s="1"/>
      <c r="RYW1634" s="1"/>
      <c r="RYX1634" s="1"/>
      <c r="RYY1634" s="1"/>
      <c r="RYZ1634" s="1"/>
      <c r="RZA1634" s="1"/>
      <c r="RZB1634" s="1"/>
      <c r="RZC1634" s="1"/>
      <c r="RZD1634" s="1"/>
      <c r="RZE1634" s="1"/>
      <c r="RZF1634" s="1"/>
      <c r="RZG1634" s="1"/>
      <c r="RZH1634" s="1"/>
      <c r="RZI1634" s="1"/>
      <c r="RZJ1634" s="1"/>
      <c r="RZK1634" s="1"/>
      <c r="RZL1634" s="1"/>
      <c r="RZM1634" s="1"/>
      <c r="RZN1634" s="1"/>
      <c r="RZO1634" s="1"/>
      <c r="RZP1634" s="1"/>
      <c r="RZQ1634" s="1"/>
      <c r="RZR1634" s="1"/>
      <c r="RZS1634" s="1"/>
      <c r="RZT1634" s="1"/>
      <c r="RZU1634" s="1"/>
      <c r="RZV1634" s="1"/>
      <c r="RZW1634" s="1"/>
      <c r="RZX1634" s="1"/>
      <c r="RZY1634" s="1"/>
      <c r="RZZ1634" s="1"/>
      <c r="SAA1634" s="1"/>
      <c r="SAB1634" s="1"/>
      <c r="SAC1634" s="1"/>
      <c r="SAD1634" s="1"/>
      <c r="SAE1634" s="1"/>
      <c r="SAF1634" s="1"/>
      <c r="SAG1634" s="1"/>
      <c r="SAH1634" s="1"/>
      <c r="SAI1634" s="1"/>
      <c r="SAJ1634" s="1"/>
      <c r="SAK1634" s="1"/>
      <c r="SAL1634" s="1"/>
      <c r="SAM1634" s="1"/>
      <c r="SAN1634" s="1"/>
      <c r="SAO1634" s="1"/>
      <c r="SAP1634" s="1"/>
      <c r="SAQ1634" s="1"/>
      <c r="SAR1634" s="1"/>
      <c r="SAS1634" s="1"/>
      <c r="SAT1634" s="1"/>
      <c r="SAU1634" s="1"/>
      <c r="SAV1634" s="1"/>
      <c r="SAW1634" s="1"/>
      <c r="SAX1634" s="1"/>
      <c r="SAY1634" s="1"/>
      <c r="SAZ1634" s="1"/>
      <c r="SBA1634" s="1"/>
      <c r="SBB1634" s="1"/>
      <c r="SBC1634" s="1"/>
      <c r="SBD1634" s="1"/>
      <c r="SBE1634" s="1"/>
      <c r="SBF1634" s="1"/>
      <c r="SBG1634" s="1"/>
      <c r="SBH1634" s="1"/>
      <c r="SBI1634" s="1"/>
      <c r="SBJ1634" s="1"/>
      <c r="SBK1634" s="1"/>
      <c r="SBL1634" s="1"/>
      <c r="SBM1634" s="1"/>
      <c r="SBN1634" s="1"/>
      <c r="SBO1634" s="1"/>
      <c r="SBP1634" s="1"/>
      <c r="SBQ1634" s="1"/>
      <c r="SBR1634" s="1"/>
      <c r="SBS1634" s="1"/>
      <c r="SBT1634" s="1"/>
      <c r="SBU1634" s="1"/>
      <c r="SBV1634" s="1"/>
      <c r="SBW1634" s="1"/>
      <c r="SBX1634" s="1"/>
      <c r="SBY1634" s="1"/>
      <c r="SBZ1634" s="1"/>
      <c r="SCA1634" s="1"/>
      <c r="SCB1634" s="1"/>
      <c r="SCC1634" s="1"/>
      <c r="SCD1634" s="1"/>
      <c r="SCE1634" s="1"/>
      <c r="SCF1634" s="1"/>
      <c r="SCG1634" s="1"/>
      <c r="SCH1634" s="1"/>
      <c r="SCI1634" s="1"/>
      <c r="SCJ1634" s="1"/>
      <c r="SCK1634" s="1"/>
      <c r="SCL1634" s="1"/>
      <c r="SCM1634" s="1"/>
      <c r="SCN1634" s="1"/>
      <c r="SCO1634" s="1"/>
      <c r="SCP1634" s="1"/>
      <c r="SCQ1634" s="1"/>
      <c r="SCR1634" s="1"/>
      <c r="SCS1634" s="1"/>
      <c r="SCT1634" s="1"/>
      <c r="SCU1634" s="1"/>
      <c r="SCV1634" s="1"/>
      <c r="SCW1634" s="1"/>
      <c r="SCX1634" s="1"/>
      <c r="SCY1634" s="1"/>
      <c r="SCZ1634" s="1"/>
      <c r="SDA1634" s="1"/>
      <c r="SDB1634" s="1"/>
      <c r="SDC1634" s="1"/>
      <c r="SDD1634" s="1"/>
      <c r="SDE1634" s="1"/>
      <c r="SDF1634" s="1"/>
      <c r="SDG1634" s="1"/>
      <c r="SDH1634" s="1"/>
      <c r="SDI1634" s="1"/>
      <c r="SDJ1634" s="1"/>
      <c r="SDK1634" s="1"/>
      <c r="SDL1634" s="1"/>
      <c r="SDM1634" s="1"/>
      <c r="SDN1634" s="1"/>
      <c r="SDO1634" s="1"/>
      <c r="SDP1634" s="1"/>
      <c r="SDQ1634" s="1"/>
      <c r="SDR1634" s="1"/>
      <c r="SDS1634" s="1"/>
      <c r="SDT1634" s="1"/>
      <c r="SDU1634" s="1"/>
      <c r="SDV1634" s="1"/>
      <c r="SDW1634" s="1"/>
      <c r="SDX1634" s="1"/>
      <c r="SDY1634" s="1"/>
      <c r="SDZ1634" s="1"/>
      <c r="SEA1634" s="1"/>
      <c r="SEB1634" s="1"/>
      <c r="SEC1634" s="1"/>
      <c r="SED1634" s="1"/>
      <c r="SEE1634" s="1"/>
      <c r="SEF1634" s="1"/>
      <c r="SEG1634" s="1"/>
      <c r="SEH1634" s="1"/>
      <c r="SEI1634" s="1"/>
      <c r="SEJ1634" s="1"/>
      <c r="SEK1634" s="1"/>
      <c r="SEL1634" s="1"/>
      <c r="SEM1634" s="1"/>
      <c r="SEN1634" s="1"/>
      <c r="SEO1634" s="1"/>
      <c r="SEP1634" s="1"/>
      <c r="SEQ1634" s="1"/>
      <c r="SER1634" s="1"/>
      <c r="SES1634" s="1"/>
      <c r="SET1634" s="1"/>
      <c r="SEU1634" s="1"/>
      <c r="SEV1634" s="1"/>
      <c r="SEW1634" s="1"/>
      <c r="SEX1634" s="1"/>
      <c r="SEY1634" s="1"/>
      <c r="SEZ1634" s="1"/>
      <c r="SFA1634" s="1"/>
      <c r="SFB1634" s="1"/>
      <c r="SFC1634" s="1"/>
      <c r="SFD1634" s="1"/>
      <c r="SFE1634" s="1"/>
      <c r="SFF1634" s="1"/>
      <c r="SFG1634" s="1"/>
      <c r="SFH1634" s="1"/>
      <c r="SFI1634" s="1"/>
      <c r="SFJ1634" s="1"/>
      <c r="SFK1634" s="1"/>
      <c r="SFL1634" s="1"/>
      <c r="SFM1634" s="1"/>
      <c r="SFN1634" s="1"/>
      <c r="SFO1634" s="1"/>
      <c r="SFP1634" s="1"/>
      <c r="SFQ1634" s="1"/>
      <c r="SFR1634" s="1"/>
      <c r="SFS1634" s="1"/>
      <c r="SFT1634" s="1"/>
      <c r="SFU1634" s="1"/>
      <c r="SFV1634" s="1"/>
      <c r="SFW1634" s="1"/>
      <c r="SFX1634" s="1"/>
      <c r="SFY1634" s="1"/>
      <c r="SFZ1634" s="1"/>
      <c r="SGA1634" s="1"/>
      <c r="SGB1634" s="1"/>
      <c r="SGC1634" s="1"/>
      <c r="SGD1634" s="1"/>
      <c r="SGE1634" s="1"/>
      <c r="SGF1634" s="1"/>
      <c r="SGG1634" s="1"/>
      <c r="SGH1634" s="1"/>
      <c r="SGI1634" s="1"/>
      <c r="SGJ1634" s="1"/>
      <c r="SGK1634" s="1"/>
      <c r="SGL1634" s="1"/>
      <c r="SGM1634" s="1"/>
      <c r="SGN1634" s="1"/>
      <c r="SGO1634" s="1"/>
      <c r="SGP1634" s="1"/>
      <c r="SGQ1634" s="1"/>
      <c r="SGR1634" s="1"/>
      <c r="SGS1634" s="1"/>
      <c r="SGT1634" s="1"/>
      <c r="SGU1634" s="1"/>
      <c r="SGV1634" s="1"/>
      <c r="SGW1634" s="1"/>
      <c r="SGX1634" s="1"/>
      <c r="SGY1634" s="1"/>
      <c r="SGZ1634" s="1"/>
      <c r="SHA1634" s="1"/>
      <c r="SHB1634" s="1"/>
      <c r="SHC1634" s="1"/>
      <c r="SHD1634" s="1"/>
      <c r="SHE1634" s="1"/>
      <c r="SHF1634" s="1"/>
      <c r="SHG1634" s="1"/>
      <c r="SHH1634" s="1"/>
      <c r="SHI1634" s="1"/>
      <c r="SHJ1634" s="1"/>
      <c r="SHK1634" s="1"/>
      <c r="SHL1634" s="1"/>
      <c r="SHM1634" s="1"/>
      <c r="SHN1634" s="1"/>
      <c r="SHO1634" s="1"/>
      <c r="SHP1634" s="1"/>
      <c r="SHQ1634" s="1"/>
      <c r="SHR1634" s="1"/>
      <c r="SHS1634" s="1"/>
      <c r="SHT1634" s="1"/>
      <c r="SHU1634" s="1"/>
      <c r="SHV1634" s="1"/>
      <c r="SHW1634" s="1"/>
      <c r="SHX1634" s="1"/>
      <c r="SHY1634" s="1"/>
      <c r="SHZ1634" s="1"/>
      <c r="SIA1634" s="1"/>
      <c r="SIB1634" s="1"/>
      <c r="SIC1634" s="1"/>
      <c r="SID1634" s="1"/>
      <c r="SIE1634" s="1"/>
      <c r="SIF1634" s="1"/>
      <c r="SIG1634" s="1"/>
      <c r="SIH1634" s="1"/>
      <c r="SII1634" s="1"/>
      <c r="SIJ1634" s="1"/>
      <c r="SIK1634" s="1"/>
      <c r="SIL1634" s="1"/>
      <c r="SIM1634" s="1"/>
      <c r="SIN1634" s="1"/>
      <c r="SIO1634" s="1"/>
      <c r="SIP1634" s="1"/>
      <c r="SIQ1634" s="1"/>
      <c r="SIR1634" s="1"/>
      <c r="SIS1634" s="1"/>
      <c r="SIT1634" s="1"/>
      <c r="SIU1634" s="1"/>
      <c r="SIV1634" s="1"/>
      <c r="SIW1634" s="1"/>
      <c r="SIX1634" s="1"/>
      <c r="SIY1634" s="1"/>
      <c r="SIZ1634" s="1"/>
      <c r="SJA1634" s="1"/>
      <c r="SJB1634" s="1"/>
      <c r="SJC1634" s="1"/>
      <c r="SJD1634" s="1"/>
      <c r="SJE1634" s="1"/>
      <c r="SJF1634" s="1"/>
      <c r="SJG1634" s="1"/>
      <c r="SJH1634" s="1"/>
      <c r="SJI1634" s="1"/>
      <c r="SJJ1634" s="1"/>
      <c r="SJK1634" s="1"/>
      <c r="SJL1634" s="1"/>
      <c r="SJM1634" s="1"/>
      <c r="SJN1634" s="1"/>
      <c r="SJO1634" s="1"/>
      <c r="SJP1634" s="1"/>
      <c r="SJQ1634" s="1"/>
      <c r="SJR1634" s="1"/>
      <c r="SJS1634" s="1"/>
      <c r="SJT1634" s="1"/>
      <c r="SJU1634" s="1"/>
      <c r="SJV1634" s="1"/>
      <c r="SJW1634" s="1"/>
      <c r="SJX1634" s="1"/>
      <c r="SJY1634" s="1"/>
      <c r="SJZ1634" s="1"/>
      <c r="SKA1634" s="1"/>
      <c r="SKB1634" s="1"/>
      <c r="SKC1634" s="1"/>
      <c r="SKD1634" s="1"/>
      <c r="SKE1634" s="1"/>
      <c r="SKF1634" s="1"/>
      <c r="SKG1634" s="1"/>
      <c r="SKH1634" s="1"/>
      <c r="SKI1634" s="1"/>
      <c r="SKJ1634" s="1"/>
      <c r="SKK1634" s="1"/>
      <c r="SKL1634" s="1"/>
      <c r="SKM1634" s="1"/>
      <c r="SKN1634" s="1"/>
      <c r="SKO1634" s="1"/>
      <c r="SKP1634" s="1"/>
      <c r="SKQ1634" s="1"/>
      <c r="SKR1634" s="1"/>
      <c r="SKS1634" s="1"/>
      <c r="SKT1634" s="1"/>
      <c r="SKU1634" s="1"/>
      <c r="SKV1634" s="1"/>
      <c r="SKW1634" s="1"/>
      <c r="SKX1634" s="1"/>
      <c r="SKY1634" s="1"/>
      <c r="SKZ1634" s="1"/>
      <c r="SLA1634" s="1"/>
      <c r="SLB1634" s="1"/>
      <c r="SLC1634" s="1"/>
      <c r="SLD1634" s="1"/>
      <c r="SLE1634" s="1"/>
      <c r="SLF1634" s="1"/>
      <c r="SLG1634" s="1"/>
      <c r="SLH1634" s="1"/>
      <c r="SLI1634" s="1"/>
      <c r="SLJ1634" s="1"/>
      <c r="SLK1634" s="1"/>
      <c r="SLL1634" s="1"/>
      <c r="SLM1634" s="1"/>
      <c r="SLN1634" s="1"/>
      <c r="SLO1634" s="1"/>
      <c r="SLP1634" s="1"/>
      <c r="SLQ1634" s="1"/>
      <c r="SLR1634" s="1"/>
      <c r="SLS1634" s="1"/>
      <c r="SLT1634" s="1"/>
      <c r="SLU1634" s="1"/>
      <c r="SLV1634" s="1"/>
      <c r="SLW1634" s="1"/>
      <c r="SLX1634" s="1"/>
      <c r="SLY1634" s="1"/>
      <c r="SLZ1634" s="1"/>
      <c r="SMA1634" s="1"/>
      <c r="SMB1634" s="1"/>
      <c r="SMC1634" s="1"/>
      <c r="SMD1634" s="1"/>
      <c r="SME1634" s="1"/>
      <c r="SMF1634" s="1"/>
      <c r="SMG1634" s="1"/>
      <c r="SMH1634" s="1"/>
      <c r="SMI1634" s="1"/>
      <c r="SMJ1634" s="1"/>
      <c r="SMK1634" s="1"/>
      <c r="SML1634" s="1"/>
      <c r="SMM1634" s="1"/>
      <c r="SMN1634" s="1"/>
      <c r="SMO1634" s="1"/>
      <c r="SMP1634" s="1"/>
      <c r="SMQ1634" s="1"/>
      <c r="SMR1634" s="1"/>
      <c r="SMS1634" s="1"/>
      <c r="SMT1634" s="1"/>
      <c r="SMU1634" s="1"/>
      <c r="SMV1634" s="1"/>
      <c r="SMW1634" s="1"/>
      <c r="SMX1634" s="1"/>
      <c r="SMY1634" s="1"/>
      <c r="SMZ1634" s="1"/>
      <c r="SNA1634" s="1"/>
      <c r="SNB1634" s="1"/>
      <c r="SNC1634" s="1"/>
      <c r="SND1634" s="1"/>
      <c r="SNE1634" s="1"/>
      <c r="SNF1634" s="1"/>
      <c r="SNG1634" s="1"/>
      <c r="SNH1634" s="1"/>
      <c r="SNI1634" s="1"/>
      <c r="SNJ1634" s="1"/>
      <c r="SNK1634" s="1"/>
      <c r="SNL1634" s="1"/>
      <c r="SNM1634" s="1"/>
      <c r="SNN1634" s="1"/>
      <c r="SNO1634" s="1"/>
      <c r="SNP1634" s="1"/>
      <c r="SNQ1634" s="1"/>
      <c r="SNR1634" s="1"/>
      <c r="SNS1634" s="1"/>
      <c r="SNT1634" s="1"/>
      <c r="SNU1634" s="1"/>
      <c r="SNV1634" s="1"/>
      <c r="SNW1634" s="1"/>
      <c r="SNX1634" s="1"/>
      <c r="SNY1634" s="1"/>
      <c r="SNZ1634" s="1"/>
      <c r="SOA1634" s="1"/>
      <c r="SOB1634" s="1"/>
      <c r="SOC1634" s="1"/>
      <c r="SOD1634" s="1"/>
      <c r="SOE1634" s="1"/>
      <c r="SOF1634" s="1"/>
      <c r="SOG1634" s="1"/>
      <c r="SOH1634" s="1"/>
      <c r="SOI1634" s="1"/>
      <c r="SOJ1634" s="1"/>
      <c r="SOK1634" s="1"/>
      <c r="SOL1634" s="1"/>
      <c r="SOM1634" s="1"/>
      <c r="SON1634" s="1"/>
      <c r="SOO1634" s="1"/>
      <c r="SOP1634" s="1"/>
      <c r="SOQ1634" s="1"/>
      <c r="SOR1634" s="1"/>
      <c r="SOS1634" s="1"/>
      <c r="SOT1634" s="1"/>
      <c r="SOU1634" s="1"/>
      <c r="SOV1634" s="1"/>
      <c r="SOW1634" s="1"/>
      <c r="SOX1634" s="1"/>
      <c r="SOY1634" s="1"/>
      <c r="SOZ1634" s="1"/>
      <c r="SPA1634" s="1"/>
      <c r="SPB1634" s="1"/>
      <c r="SPC1634" s="1"/>
      <c r="SPD1634" s="1"/>
      <c r="SPE1634" s="1"/>
      <c r="SPF1634" s="1"/>
      <c r="SPG1634" s="1"/>
      <c r="SPH1634" s="1"/>
      <c r="SPI1634" s="1"/>
      <c r="SPJ1634" s="1"/>
      <c r="SPK1634" s="1"/>
      <c r="SPL1634" s="1"/>
      <c r="SPM1634" s="1"/>
      <c r="SPN1634" s="1"/>
      <c r="SPO1634" s="1"/>
      <c r="SPP1634" s="1"/>
      <c r="SPQ1634" s="1"/>
      <c r="SPR1634" s="1"/>
      <c r="SPS1634" s="1"/>
      <c r="SPT1634" s="1"/>
      <c r="SPU1634" s="1"/>
      <c r="SPV1634" s="1"/>
      <c r="SPW1634" s="1"/>
      <c r="SPX1634" s="1"/>
      <c r="SPY1634" s="1"/>
      <c r="SPZ1634" s="1"/>
      <c r="SQA1634" s="1"/>
      <c r="SQB1634" s="1"/>
      <c r="SQC1634" s="1"/>
      <c r="SQD1634" s="1"/>
      <c r="SQE1634" s="1"/>
      <c r="SQF1634" s="1"/>
      <c r="SQG1634" s="1"/>
      <c r="SQH1634" s="1"/>
      <c r="SQI1634" s="1"/>
      <c r="SQJ1634" s="1"/>
      <c r="SQK1634" s="1"/>
      <c r="SQL1634" s="1"/>
      <c r="SQM1634" s="1"/>
      <c r="SQN1634" s="1"/>
      <c r="SQO1634" s="1"/>
      <c r="SQP1634" s="1"/>
      <c r="SQQ1634" s="1"/>
      <c r="SQR1634" s="1"/>
      <c r="SQS1634" s="1"/>
      <c r="SQT1634" s="1"/>
      <c r="SQU1634" s="1"/>
      <c r="SQV1634" s="1"/>
      <c r="SQW1634" s="1"/>
      <c r="SQX1634" s="1"/>
      <c r="SQY1634" s="1"/>
      <c r="SQZ1634" s="1"/>
      <c r="SRA1634" s="1"/>
      <c r="SRB1634" s="1"/>
      <c r="SRC1634" s="1"/>
      <c r="SRD1634" s="1"/>
      <c r="SRE1634" s="1"/>
      <c r="SRF1634" s="1"/>
      <c r="SRG1634" s="1"/>
      <c r="SRH1634" s="1"/>
      <c r="SRI1634" s="1"/>
      <c r="SRJ1634" s="1"/>
      <c r="SRK1634" s="1"/>
      <c r="SRL1634" s="1"/>
      <c r="SRM1634" s="1"/>
      <c r="SRN1634" s="1"/>
      <c r="SRO1634" s="1"/>
      <c r="SRP1634" s="1"/>
      <c r="SRQ1634" s="1"/>
      <c r="SRR1634" s="1"/>
      <c r="SRS1634" s="1"/>
      <c r="SRT1634" s="1"/>
      <c r="SRU1634" s="1"/>
      <c r="SRV1634" s="1"/>
      <c r="SRW1634" s="1"/>
      <c r="SRX1634" s="1"/>
      <c r="SRY1634" s="1"/>
      <c r="SRZ1634" s="1"/>
      <c r="SSA1634" s="1"/>
      <c r="SSB1634" s="1"/>
      <c r="SSC1634" s="1"/>
      <c r="SSD1634" s="1"/>
      <c r="SSE1634" s="1"/>
      <c r="SSF1634" s="1"/>
      <c r="SSG1634" s="1"/>
      <c r="SSH1634" s="1"/>
      <c r="SSI1634" s="1"/>
      <c r="SSJ1634" s="1"/>
      <c r="SSK1634" s="1"/>
      <c r="SSL1634" s="1"/>
      <c r="SSM1634" s="1"/>
      <c r="SSN1634" s="1"/>
      <c r="SSO1634" s="1"/>
      <c r="SSP1634" s="1"/>
      <c r="SSQ1634" s="1"/>
      <c r="SSR1634" s="1"/>
      <c r="SSS1634" s="1"/>
      <c r="SST1634" s="1"/>
      <c r="SSU1634" s="1"/>
      <c r="SSV1634" s="1"/>
      <c r="SSW1634" s="1"/>
      <c r="SSX1634" s="1"/>
      <c r="SSY1634" s="1"/>
      <c r="SSZ1634" s="1"/>
      <c r="STA1634" s="1"/>
      <c r="STB1634" s="1"/>
      <c r="STC1634" s="1"/>
      <c r="STD1634" s="1"/>
      <c r="STE1634" s="1"/>
      <c r="STF1634" s="1"/>
      <c r="STG1634" s="1"/>
      <c r="STH1634" s="1"/>
      <c r="STI1634" s="1"/>
      <c r="STJ1634" s="1"/>
      <c r="STK1634" s="1"/>
      <c r="STL1634" s="1"/>
      <c r="STM1634" s="1"/>
      <c r="STN1634" s="1"/>
      <c r="STO1634" s="1"/>
      <c r="STP1634" s="1"/>
      <c r="STQ1634" s="1"/>
      <c r="STR1634" s="1"/>
      <c r="STS1634" s="1"/>
      <c r="STT1634" s="1"/>
      <c r="STU1634" s="1"/>
      <c r="STV1634" s="1"/>
      <c r="STW1634" s="1"/>
      <c r="STX1634" s="1"/>
      <c r="STY1634" s="1"/>
      <c r="STZ1634" s="1"/>
      <c r="SUA1634" s="1"/>
      <c r="SUB1634" s="1"/>
      <c r="SUC1634" s="1"/>
      <c r="SUD1634" s="1"/>
      <c r="SUE1634" s="1"/>
      <c r="SUF1634" s="1"/>
      <c r="SUG1634" s="1"/>
      <c r="SUH1634" s="1"/>
      <c r="SUI1634" s="1"/>
      <c r="SUJ1634" s="1"/>
      <c r="SUK1634" s="1"/>
      <c r="SUL1634" s="1"/>
      <c r="SUM1634" s="1"/>
      <c r="SUN1634" s="1"/>
      <c r="SUO1634" s="1"/>
      <c r="SUP1634" s="1"/>
      <c r="SUQ1634" s="1"/>
      <c r="SUR1634" s="1"/>
      <c r="SUS1634" s="1"/>
      <c r="SUT1634" s="1"/>
      <c r="SUU1634" s="1"/>
      <c r="SUV1634" s="1"/>
      <c r="SUW1634" s="1"/>
      <c r="SUX1634" s="1"/>
      <c r="SUY1634" s="1"/>
      <c r="SUZ1634" s="1"/>
      <c r="SVA1634" s="1"/>
      <c r="SVB1634" s="1"/>
      <c r="SVC1634" s="1"/>
      <c r="SVD1634" s="1"/>
      <c r="SVE1634" s="1"/>
      <c r="SVF1634" s="1"/>
      <c r="SVG1634" s="1"/>
      <c r="SVH1634" s="1"/>
      <c r="SVI1634" s="1"/>
      <c r="SVJ1634" s="1"/>
      <c r="SVK1634" s="1"/>
      <c r="SVL1634" s="1"/>
      <c r="SVM1634" s="1"/>
      <c r="SVN1634" s="1"/>
      <c r="SVO1634" s="1"/>
      <c r="SVP1634" s="1"/>
      <c r="SVQ1634" s="1"/>
      <c r="SVR1634" s="1"/>
      <c r="SVS1634" s="1"/>
      <c r="SVT1634" s="1"/>
      <c r="SVU1634" s="1"/>
      <c r="SVV1634" s="1"/>
      <c r="SVW1634" s="1"/>
      <c r="SVX1634" s="1"/>
      <c r="SVY1634" s="1"/>
      <c r="SVZ1634" s="1"/>
      <c r="SWA1634" s="1"/>
      <c r="SWB1634" s="1"/>
      <c r="SWC1634" s="1"/>
      <c r="SWD1634" s="1"/>
      <c r="SWE1634" s="1"/>
      <c r="SWF1634" s="1"/>
      <c r="SWG1634" s="1"/>
      <c r="SWH1634" s="1"/>
      <c r="SWI1634" s="1"/>
      <c r="SWJ1634" s="1"/>
      <c r="SWK1634" s="1"/>
      <c r="SWL1634" s="1"/>
      <c r="SWM1634" s="1"/>
      <c r="SWN1634" s="1"/>
      <c r="SWO1634" s="1"/>
      <c r="SWP1634" s="1"/>
      <c r="SWQ1634" s="1"/>
      <c r="SWR1634" s="1"/>
      <c r="SWS1634" s="1"/>
      <c r="SWT1634" s="1"/>
      <c r="SWU1634" s="1"/>
      <c r="SWV1634" s="1"/>
      <c r="SWW1634" s="1"/>
      <c r="SWX1634" s="1"/>
      <c r="SWY1634" s="1"/>
      <c r="SWZ1634" s="1"/>
      <c r="SXA1634" s="1"/>
      <c r="SXB1634" s="1"/>
      <c r="SXC1634" s="1"/>
      <c r="SXD1634" s="1"/>
      <c r="SXE1634" s="1"/>
      <c r="SXF1634" s="1"/>
      <c r="SXG1634" s="1"/>
      <c r="SXH1634" s="1"/>
      <c r="SXI1634" s="1"/>
      <c r="SXJ1634" s="1"/>
      <c r="SXK1634" s="1"/>
      <c r="SXL1634" s="1"/>
      <c r="SXM1634" s="1"/>
      <c r="SXN1634" s="1"/>
      <c r="SXO1634" s="1"/>
      <c r="SXP1634" s="1"/>
      <c r="SXQ1634" s="1"/>
      <c r="SXR1634" s="1"/>
      <c r="SXS1634" s="1"/>
      <c r="SXT1634" s="1"/>
      <c r="SXU1634" s="1"/>
      <c r="SXV1634" s="1"/>
      <c r="SXW1634" s="1"/>
      <c r="SXX1634" s="1"/>
      <c r="SXY1634" s="1"/>
      <c r="SXZ1634" s="1"/>
      <c r="SYA1634" s="1"/>
      <c r="SYB1634" s="1"/>
      <c r="SYC1634" s="1"/>
      <c r="SYD1634" s="1"/>
      <c r="SYE1634" s="1"/>
      <c r="SYF1634" s="1"/>
      <c r="SYG1634" s="1"/>
      <c r="SYH1634" s="1"/>
      <c r="SYI1634" s="1"/>
      <c r="SYJ1634" s="1"/>
      <c r="SYK1634" s="1"/>
      <c r="SYL1634" s="1"/>
      <c r="SYM1634" s="1"/>
      <c r="SYN1634" s="1"/>
      <c r="SYO1634" s="1"/>
      <c r="SYP1634" s="1"/>
      <c r="SYQ1634" s="1"/>
      <c r="SYR1634" s="1"/>
      <c r="SYS1634" s="1"/>
      <c r="SYT1634" s="1"/>
      <c r="SYU1634" s="1"/>
      <c r="SYV1634" s="1"/>
      <c r="SYW1634" s="1"/>
      <c r="SYX1634" s="1"/>
      <c r="SYY1634" s="1"/>
      <c r="SYZ1634" s="1"/>
      <c r="SZA1634" s="1"/>
      <c r="SZB1634" s="1"/>
      <c r="SZC1634" s="1"/>
      <c r="SZD1634" s="1"/>
      <c r="SZE1634" s="1"/>
      <c r="SZF1634" s="1"/>
      <c r="SZG1634" s="1"/>
      <c r="SZH1634" s="1"/>
      <c r="SZI1634" s="1"/>
      <c r="SZJ1634" s="1"/>
      <c r="SZK1634" s="1"/>
      <c r="SZL1634" s="1"/>
      <c r="SZM1634" s="1"/>
      <c r="SZN1634" s="1"/>
      <c r="SZO1634" s="1"/>
      <c r="SZP1634" s="1"/>
      <c r="SZQ1634" s="1"/>
      <c r="SZR1634" s="1"/>
      <c r="SZS1634" s="1"/>
      <c r="SZT1634" s="1"/>
      <c r="SZU1634" s="1"/>
      <c r="SZV1634" s="1"/>
      <c r="SZW1634" s="1"/>
      <c r="SZX1634" s="1"/>
      <c r="SZY1634" s="1"/>
      <c r="SZZ1634" s="1"/>
      <c r="TAA1634" s="1"/>
      <c r="TAB1634" s="1"/>
      <c r="TAC1634" s="1"/>
      <c r="TAD1634" s="1"/>
      <c r="TAE1634" s="1"/>
      <c r="TAF1634" s="1"/>
      <c r="TAG1634" s="1"/>
      <c r="TAH1634" s="1"/>
      <c r="TAI1634" s="1"/>
      <c r="TAJ1634" s="1"/>
      <c r="TAK1634" s="1"/>
      <c r="TAL1634" s="1"/>
      <c r="TAM1634" s="1"/>
      <c r="TAN1634" s="1"/>
      <c r="TAO1634" s="1"/>
      <c r="TAP1634" s="1"/>
      <c r="TAQ1634" s="1"/>
      <c r="TAR1634" s="1"/>
      <c r="TAS1634" s="1"/>
      <c r="TAT1634" s="1"/>
      <c r="TAU1634" s="1"/>
      <c r="TAV1634" s="1"/>
      <c r="TAW1634" s="1"/>
      <c r="TAX1634" s="1"/>
      <c r="TAY1634" s="1"/>
      <c r="TAZ1634" s="1"/>
      <c r="TBA1634" s="1"/>
      <c r="TBB1634" s="1"/>
      <c r="TBC1634" s="1"/>
      <c r="TBD1634" s="1"/>
      <c r="TBE1634" s="1"/>
      <c r="TBF1634" s="1"/>
      <c r="TBG1634" s="1"/>
      <c r="TBH1634" s="1"/>
      <c r="TBI1634" s="1"/>
      <c r="TBJ1634" s="1"/>
      <c r="TBK1634" s="1"/>
      <c r="TBL1634" s="1"/>
      <c r="TBM1634" s="1"/>
      <c r="TBN1634" s="1"/>
      <c r="TBO1634" s="1"/>
      <c r="TBP1634" s="1"/>
      <c r="TBQ1634" s="1"/>
      <c r="TBR1634" s="1"/>
      <c r="TBS1634" s="1"/>
      <c r="TBT1634" s="1"/>
      <c r="TBU1634" s="1"/>
      <c r="TBV1634" s="1"/>
      <c r="TBW1634" s="1"/>
      <c r="TBX1634" s="1"/>
      <c r="TBY1634" s="1"/>
      <c r="TBZ1634" s="1"/>
      <c r="TCA1634" s="1"/>
      <c r="TCB1634" s="1"/>
      <c r="TCC1634" s="1"/>
      <c r="TCD1634" s="1"/>
      <c r="TCE1634" s="1"/>
      <c r="TCF1634" s="1"/>
      <c r="TCG1634" s="1"/>
      <c r="TCH1634" s="1"/>
      <c r="TCI1634" s="1"/>
      <c r="TCJ1634" s="1"/>
      <c r="TCK1634" s="1"/>
      <c r="TCL1634" s="1"/>
      <c r="TCM1634" s="1"/>
      <c r="TCN1634" s="1"/>
      <c r="TCO1634" s="1"/>
      <c r="TCP1634" s="1"/>
      <c r="TCQ1634" s="1"/>
      <c r="TCR1634" s="1"/>
      <c r="TCS1634" s="1"/>
      <c r="TCT1634" s="1"/>
      <c r="TCU1634" s="1"/>
      <c r="TCV1634" s="1"/>
      <c r="TCW1634" s="1"/>
      <c r="TCX1634" s="1"/>
      <c r="TCY1634" s="1"/>
      <c r="TCZ1634" s="1"/>
      <c r="TDA1634" s="1"/>
      <c r="TDB1634" s="1"/>
      <c r="TDC1634" s="1"/>
      <c r="TDD1634" s="1"/>
      <c r="TDE1634" s="1"/>
      <c r="TDF1634" s="1"/>
      <c r="TDG1634" s="1"/>
      <c r="TDH1634" s="1"/>
      <c r="TDI1634" s="1"/>
      <c r="TDJ1634" s="1"/>
      <c r="TDK1634" s="1"/>
      <c r="TDL1634" s="1"/>
      <c r="TDM1634" s="1"/>
      <c r="TDN1634" s="1"/>
      <c r="TDO1634" s="1"/>
      <c r="TDP1634" s="1"/>
      <c r="TDQ1634" s="1"/>
      <c r="TDR1634" s="1"/>
      <c r="TDS1634" s="1"/>
      <c r="TDT1634" s="1"/>
      <c r="TDU1634" s="1"/>
      <c r="TDV1634" s="1"/>
      <c r="TDW1634" s="1"/>
      <c r="TDX1634" s="1"/>
      <c r="TDY1634" s="1"/>
      <c r="TDZ1634" s="1"/>
      <c r="TEA1634" s="1"/>
      <c r="TEB1634" s="1"/>
      <c r="TEC1634" s="1"/>
      <c r="TED1634" s="1"/>
      <c r="TEE1634" s="1"/>
      <c r="TEF1634" s="1"/>
      <c r="TEG1634" s="1"/>
      <c r="TEH1634" s="1"/>
      <c r="TEI1634" s="1"/>
      <c r="TEJ1634" s="1"/>
      <c r="TEK1634" s="1"/>
      <c r="TEL1634" s="1"/>
      <c r="TEM1634" s="1"/>
      <c r="TEN1634" s="1"/>
      <c r="TEO1634" s="1"/>
      <c r="TEP1634" s="1"/>
      <c r="TEQ1634" s="1"/>
      <c r="TER1634" s="1"/>
      <c r="TES1634" s="1"/>
      <c r="TET1634" s="1"/>
      <c r="TEU1634" s="1"/>
      <c r="TEV1634" s="1"/>
      <c r="TEW1634" s="1"/>
      <c r="TEX1634" s="1"/>
      <c r="TEY1634" s="1"/>
      <c r="TEZ1634" s="1"/>
      <c r="TFA1634" s="1"/>
      <c r="TFB1634" s="1"/>
      <c r="TFC1634" s="1"/>
      <c r="TFD1634" s="1"/>
      <c r="TFE1634" s="1"/>
      <c r="TFF1634" s="1"/>
      <c r="TFG1634" s="1"/>
      <c r="TFH1634" s="1"/>
      <c r="TFI1634" s="1"/>
      <c r="TFJ1634" s="1"/>
      <c r="TFK1634" s="1"/>
      <c r="TFL1634" s="1"/>
      <c r="TFM1634" s="1"/>
      <c r="TFN1634" s="1"/>
      <c r="TFO1634" s="1"/>
      <c r="TFP1634" s="1"/>
      <c r="TFQ1634" s="1"/>
      <c r="TFR1634" s="1"/>
      <c r="TFS1634" s="1"/>
      <c r="TFT1634" s="1"/>
      <c r="TFU1634" s="1"/>
      <c r="TFV1634" s="1"/>
      <c r="TFW1634" s="1"/>
      <c r="TFX1634" s="1"/>
      <c r="TFY1634" s="1"/>
      <c r="TFZ1634" s="1"/>
      <c r="TGA1634" s="1"/>
      <c r="TGB1634" s="1"/>
      <c r="TGC1634" s="1"/>
      <c r="TGD1634" s="1"/>
      <c r="TGE1634" s="1"/>
      <c r="TGF1634" s="1"/>
      <c r="TGG1634" s="1"/>
      <c r="TGH1634" s="1"/>
      <c r="TGI1634" s="1"/>
      <c r="TGJ1634" s="1"/>
      <c r="TGK1634" s="1"/>
      <c r="TGL1634" s="1"/>
      <c r="TGM1634" s="1"/>
      <c r="TGN1634" s="1"/>
      <c r="TGO1634" s="1"/>
      <c r="TGP1634" s="1"/>
      <c r="TGQ1634" s="1"/>
      <c r="TGR1634" s="1"/>
      <c r="TGS1634" s="1"/>
      <c r="TGT1634" s="1"/>
      <c r="TGU1634" s="1"/>
      <c r="TGV1634" s="1"/>
      <c r="TGW1634" s="1"/>
      <c r="TGX1634" s="1"/>
      <c r="TGY1634" s="1"/>
      <c r="TGZ1634" s="1"/>
      <c r="THA1634" s="1"/>
      <c r="THB1634" s="1"/>
      <c r="THC1634" s="1"/>
      <c r="THD1634" s="1"/>
      <c r="THE1634" s="1"/>
      <c r="THF1634" s="1"/>
      <c r="THG1634" s="1"/>
      <c r="THH1634" s="1"/>
      <c r="THI1634" s="1"/>
      <c r="THJ1634" s="1"/>
      <c r="THK1634" s="1"/>
      <c r="THL1634" s="1"/>
      <c r="THM1634" s="1"/>
      <c r="THN1634" s="1"/>
      <c r="THO1634" s="1"/>
      <c r="THP1634" s="1"/>
      <c r="THQ1634" s="1"/>
      <c r="THR1634" s="1"/>
      <c r="THS1634" s="1"/>
      <c r="THT1634" s="1"/>
      <c r="THU1634" s="1"/>
      <c r="THV1634" s="1"/>
      <c r="THW1634" s="1"/>
      <c r="THX1634" s="1"/>
      <c r="THY1634" s="1"/>
      <c r="THZ1634" s="1"/>
      <c r="TIA1634" s="1"/>
      <c r="TIB1634" s="1"/>
      <c r="TIC1634" s="1"/>
      <c r="TID1634" s="1"/>
      <c r="TIE1634" s="1"/>
      <c r="TIF1634" s="1"/>
      <c r="TIG1634" s="1"/>
      <c r="TIH1634" s="1"/>
      <c r="TII1634" s="1"/>
      <c r="TIJ1634" s="1"/>
      <c r="TIK1634" s="1"/>
      <c r="TIL1634" s="1"/>
      <c r="TIM1634" s="1"/>
      <c r="TIN1634" s="1"/>
      <c r="TIO1634" s="1"/>
      <c r="TIP1634" s="1"/>
      <c r="TIQ1634" s="1"/>
      <c r="TIR1634" s="1"/>
      <c r="TIS1634" s="1"/>
      <c r="TIT1634" s="1"/>
      <c r="TIU1634" s="1"/>
      <c r="TIV1634" s="1"/>
      <c r="TIW1634" s="1"/>
      <c r="TIX1634" s="1"/>
      <c r="TIY1634" s="1"/>
      <c r="TIZ1634" s="1"/>
      <c r="TJA1634" s="1"/>
      <c r="TJB1634" s="1"/>
      <c r="TJC1634" s="1"/>
      <c r="TJD1634" s="1"/>
      <c r="TJE1634" s="1"/>
      <c r="TJF1634" s="1"/>
      <c r="TJG1634" s="1"/>
      <c r="TJH1634" s="1"/>
      <c r="TJI1634" s="1"/>
      <c r="TJJ1634" s="1"/>
      <c r="TJK1634" s="1"/>
      <c r="TJL1634" s="1"/>
      <c r="TJM1634" s="1"/>
      <c r="TJN1634" s="1"/>
      <c r="TJO1634" s="1"/>
      <c r="TJP1634" s="1"/>
      <c r="TJQ1634" s="1"/>
      <c r="TJR1634" s="1"/>
      <c r="TJS1634" s="1"/>
      <c r="TJT1634" s="1"/>
      <c r="TJU1634" s="1"/>
      <c r="TJV1634" s="1"/>
      <c r="TJW1634" s="1"/>
      <c r="TJX1634" s="1"/>
      <c r="TJY1634" s="1"/>
      <c r="TJZ1634" s="1"/>
      <c r="TKA1634" s="1"/>
      <c r="TKB1634" s="1"/>
      <c r="TKC1634" s="1"/>
      <c r="TKD1634" s="1"/>
      <c r="TKE1634" s="1"/>
      <c r="TKF1634" s="1"/>
      <c r="TKG1634" s="1"/>
      <c r="TKH1634" s="1"/>
      <c r="TKI1634" s="1"/>
      <c r="TKJ1634" s="1"/>
      <c r="TKK1634" s="1"/>
      <c r="TKL1634" s="1"/>
      <c r="TKM1634" s="1"/>
      <c r="TKN1634" s="1"/>
      <c r="TKO1634" s="1"/>
      <c r="TKP1634" s="1"/>
      <c r="TKQ1634" s="1"/>
      <c r="TKR1634" s="1"/>
      <c r="TKS1634" s="1"/>
      <c r="TKT1634" s="1"/>
      <c r="TKU1634" s="1"/>
      <c r="TKV1634" s="1"/>
      <c r="TKW1634" s="1"/>
      <c r="TKX1634" s="1"/>
      <c r="TKY1634" s="1"/>
      <c r="TKZ1634" s="1"/>
      <c r="TLA1634" s="1"/>
      <c r="TLB1634" s="1"/>
      <c r="TLC1634" s="1"/>
      <c r="TLD1634" s="1"/>
      <c r="TLE1634" s="1"/>
      <c r="TLF1634" s="1"/>
      <c r="TLG1634" s="1"/>
      <c r="TLH1634" s="1"/>
      <c r="TLI1634" s="1"/>
      <c r="TLJ1634" s="1"/>
      <c r="TLK1634" s="1"/>
      <c r="TLL1634" s="1"/>
      <c r="TLM1634" s="1"/>
      <c r="TLN1634" s="1"/>
      <c r="TLO1634" s="1"/>
      <c r="TLP1634" s="1"/>
      <c r="TLQ1634" s="1"/>
      <c r="TLR1634" s="1"/>
      <c r="TLS1634" s="1"/>
      <c r="TLT1634" s="1"/>
      <c r="TLU1634" s="1"/>
      <c r="TLV1634" s="1"/>
      <c r="TLW1634" s="1"/>
      <c r="TLX1634" s="1"/>
      <c r="TLY1634" s="1"/>
      <c r="TLZ1634" s="1"/>
      <c r="TMA1634" s="1"/>
      <c r="TMB1634" s="1"/>
      <c r="TMC1634" s="1"/>
      <c r="TMD1634" s="1"/>
      <c r="TME1634" s="1"/>
      <c r="TMF1634" s="1"/>
      <c r="TMG1634" s="1"/>
      <c r="TMH1634" s="1"/>
      <c r="TMI1634" s="1"/>
      <c r="TMJ1634" s="1"/>
      <c r="TMK1634" s="1"/>
      <c r="TML1634" s="1"/>
      <c r="TMM1634" s="1"/>
      <c r="TMN1634" s="1"/>
      <c r="TMO1634" s="1"/>
      <c r="TMP1634" s="1"/>
      <c r="TMQ1634" s="1"/>
      <c r="TMR1634" s="1"/>
      <c r="TMS1634" s="1"/>
      <c r="TMT1634" s="1"/>
      <c r="TMU1634" s="1"/>
      <c r="TMV1634" s="1"/>
      <c r="TMW1634" s="1"/>
      <c r="TMX1634" s="1"/>
      <c r="TMY1634" s="1"/>
      <c r="TMZ1634" s="1"/>
      <c r="TNA1634" s="1"/>
      <c r="TNB1634" s="1"/>
      <c r="TNC1634" s="1"/>
      <c r="TND1634" s="1"/>
      <c r="TNE1634" s="1"/>
      <c r="TNF1634" s="1"/>
      <c r="TNG1634" s="1"/>
      <c r="TNH1634" s="1"/>
      <c r="TNI1634" s="1"/>
      <c r="TNJ1634" s="1"/>
      <c r="TNK1634" s="1"/>
      <c r="TNL1634" s="1"/>
      <c r="TNM1634" s="1"/>
      <c r="TNN1634" s="1"/>
      <c r="TNO1634" s="1"/>
      <c r="TNP1634" s="1"/>
      <c r="TNQ1634" s="1"/>
      <c r="TNR1634" s="1"/>
      <c r="TNS1634" s="1"/>
      <c r="TNT1634" s="1"/>
      <c r="TNU1634" s="1"/>
      <c r="TNV1634" s="1"/>
      <c r="TNW1634" s="1"/>
      <c r="TNX1634" s="1"/>
      <c r="TNY1634" s="1"/>
      <c r="TNZ1634" s="1"/>
      <c r="TOA1634" s="1"/>
      <c r="TOB1634" s="1"/>
      <c r="TOC1634" s="1"/>
      <c r="TOD1634" s="1"/>
      <c r="TOE1634" s="1"/>
      <c r="TOF1634" s="1"/>
      <c r="TOG1634" s="1"/>
      <c r="TOH1634" s="1"/>
      <c r="TOI1634" s="1"/>
      <c r="TOJ1634" s="1"/>
      <c r="TOK1634" s="1"/>
      <c r="TOL1634" s="1"/>
      <c r="TOM1634" s="1"/>
      <c r="TON1634" s="1"/>
      <c r="TOO1634" s="1"/>
      <c r="TOP1634" s="1"/>
      <c r="TOQ1634" s="1"/>
      <c r="TOR1634" s="1"/>
      <c r="TOS1634" s="1"/>
      <c r="TOT1634" s="1"/>
      <c r="TOU1634" s="1"/>
      <c r="TOV1634" s="1"/>
      <c r="TOW1634" s="1"/>
      <c r="TOX1634" s="1"/>
      <c r="TOY1634" s="1"/>
      <c r="TOZ1634" s="1"/>
      <c r="TPA1634" s="1"/>
      <c r="TPB1634" s="1"/>
      <c r="TPC1634" s="1"/>
      <c r="TPD1634" s="1"/>
      <c r="TPE1634" s="1"/>
      <c r="TPF1634" s="1"/>
      <c r="TPG1634" s="1"/>
      <c r="TPH1634" s="1"/>
      <c r="TPI1634" s="1"/>
      <c r="TPJ1634" s="1"/>
      <c r="TPK1634" s="1"/>
      <c r="TPL1634" s="1"/>
      <c r="TPM1634" s="1"/>
      <c r="TPN1634" s="1"/>
      <c r="TPO1634" s="1"/>
      <c r="TPP1634" s="1"/>
      <c r="TPQ1634" s="1"/>
      <c r="TPR1634" s="1"/>
      <c r="TPS1634" s="1"/>
      <c r="TPT1634" s="1"/>
      <c r="TPU1634" s="1"/>
      <c r="TPV1634" s="1"/>
      <c r="TPW1634" s="1"/>
      <c r="TPX1634" s="1"/>
      <c r="TPY1634" s="1"/>
      <c r="TPZ1634" s="1"/>
      <c r="TQA1634" s="1"/>
      <c r="TQB1634" s="1"/>
      <c r="TQC1634" s="1"/>
      <c r="TQD1634" s="1"/>
      <c r="TQE1634" s="1"/>
      <c r="TQF1634" s="1"/>
      <c r="TQG1634" s="1"/>
      <c r="TQH1634" s="1"/>
      <c r="TQI1634" s="1"/>
      <c r="TQJ1634" s="1"/>
      <c r="TQK1634" s="1"/>
      <c r="TQL1634" s="1"/>
      <c r="TQM1634" s="1"/>
      <c r="TQN1634" s="1"/>
      <c r="TQO1634" s="1"/>
      <c r="TQP1634" s="1"/>
      <c r="TQQ1634" s="1"/>
      <c r="TQR1634" s="1"/>
      <c r="TQS1634" s="1"/>
      <c r="TQT1634" s="1"/>
      <c r="TQU1634" s="1"/>
      <c r="TQV1634" s="1"/>
      <c r="TQW1634" s="1"/>
      <c r="TQX1634" s="1"/>
      <c r="TQY1634" s="1"/>
      <c r="TQZ1634" s="1"/>
      <c r="TRA1634" s="1"/>
      <c r="TRB1634" s="1"/>
      <c r="TRC1634" s="1"/>
      <c r="TRD1634" s="1"/>
      <c r="TRE1634" s="1"/>
      <c r="TRF1634" s="1"/>
      <c r="TRG1634" s="1"/>
      <c r="TRH1634" s="1"/>
      <c r="TRI1634" s="1"/>
      <c r="TRJ1634" s="1"/>
      <c r="TRK1634" s="1"/>
      <c r="TRL1634" s="1"/>
      <c r="TRM1634" s="1"/>
      <c r="TRN1634" s="1"/>
      <c r="TRO1634" s="1"/>
      <c r="TRP1634" s="1"/>
      <c r="TRQ1634" s="1"/>
      <c r="TRR1634" s="1"/>
      <c r="TRS1634" s="1"/>
      <c r="TRT1634" s="1"/>
      <c r="TRU1634" s="1"/>
      <c r="TRV1634" s="1"/>
      <c r="TRW1634" s="1"/>
      <c r="TRX1634" s="1"/>
      <c r="TRY1634" s="1"/>
      <c r="TRZ1634" s="1"/>
      <c r="TSA1634" s="1"/>
      <c r="TSB1634" s="1"/>
      <c r="TSC1634" s="1"/>
      <c r="TSD1634" s="1"/>
      <c r="TSE1634" s="1"/>
      <c r="TSF1634" s="1"/>
      <c r="TSG1634" s="1"/>
      <c r="TSH1634" s="1"/>
      <c r="TSI1634" s="1"/>
      <c r="TSJ1634" s="1"/>
      <c r="TSK1634" s="1"/>
      <c r="TSL1634" s="1"/>
      <c r="TSM1634" s="1"/>
      <c r="TSN1634" s="1"/>
      <c r="TSO1634" s="1"/>
      <c r="TSP1634" s="1"/>
      <c r="TSQ1634" s="1"/>
      <c r="TSR1634" s="1"/>
      <c r="TSS1634" s="1"/>
      <c r="TST1634" s="1"/>
      <c r="TSU1634" s="1"/>
      <c r="TSV1634" s="1"/>
      <c r="TSW1634" s="1"/>
      <c r="TSX1634" s="1"/>
      <c r="TSY1634" s="1"/>
      <c r="TSZ1634" s="1"/>
      <c r="TTA1634" s="1"/>
      <c r="TTB1634" s="1"/>
      <c r="TTC1634" s="1"/>
      <c r="TTD1634" s="1"/>
      <c r="TTE1634" s="1"/>
      <c r="TTF1634" s="1"/>
      <c r="TTG1634" s="1"/>
      <c r="TTH1634" s="1"/>
      <c r="TTI1634" s="1"/>
      <c r="TTJ1634" s="1"/>
      <c r="TTK1634" s="1"/>
      <c r="TTL1634" s="1"/>
      <c r="TTM1634" s="1"/>
      <c r="TTN1634" s="1"/>
      <c r="TTO1634" s="1"/>
      <c r="TTP1634" s="1"/>
      <c r="TTQ1634" s="1"/>
      <c r="TTR1634" s="1"/>
      <c r="TTS1634" s="1"/>
      <c r="TTT1634" s="1"/>
      <c r="TTU1634" s="1"/>
      <c r="TTV1634" s="1"/>
      <c r="TTW1634" s="1"/>
      <c r="TTX1634" s="1"/>
      <c r="TTY1634" s="1"/>
      <c r="TTZ1634" s="1"/>
      <c r="TUA1634" s="1"/>
      <c r="TUB1634" s="1"/>
      <c r="TUC1634" s="1"/>
      <c r="TUD1634" s="1"/>
      <c r="TUE1634" s="1"/>
      <c r="TUF1634" s="1"/>
      <c r="TUG1634" s="1"/>
      <c r="TUH1634" s="1"/>
      <c r="TUI1634" s="1"/>
      <c r="TUJ1634" s="1"/>
      <c r="TUK1634" s="1"/>
      <c r="TUL1634" s="1"/>
      <c r="TUM1634" s="1"/>
      <c r="TUN1634" s="1"/>
      <c r="TUO1634" s="1"/>
      <c r="TUP1634" s="1"/>
      <c r="TUQ1634" s="1"/>
      <c r="TUR1634" s="1"/>
      <c r="TUS1634" s="1"/>
      <c r="TUT1634" s="1"/>
      <c r="TUU1634" s="1"/>
      <c r="TUV1634" s="1"/>
      <c r="TUW1634" s="1"/>
      <c r="TUX1634" s="1"/>
      <c r="TUY1634" s="1"/>
      <c r="TUZ1634" s="1"/>
      <c r="TVA1634" s="1"/>
      <c r="TVB1634" s="1"/>
      <c r="TVC1634" s="1"/>
      <c r="TVD1634" s="1"/>
      <c r="TVE1634" s="1"/>
      <c r="TVF1634" s="1"/>
      <c r="TVG1634" s="1"/>
      <c r="TVH1634" s="1"/>
      <c r="TVI1634" s="1"/>
      <c r="TVJ1634" s="1"/>
      <c r="TVK1634" s="1"/>
      <c r="TVL1634" s="1"/>
      <c r="TVM1634" s="1"/>
      <c r="TVN1634" s="1"/>
      <c r="TVO1634" s="1"/>
      <c r="TVP1634" s="1"/>
      <c r="TVQ1634" s="1"/>
      <c r="TVR1634" s="1"/>
      <c r="TVS1634" s="1"/>
      <c r="TVT1634" s="1"/>
      <c r="TVU1634" s="1"/>
      <c r="TVV1634" s="1"/>
      <c r="TVW1634" s="1"/>
      <c r="TVX1634" s="1"/>
      <c r="TVY1634" s="1"/>
      <c r="TVZ1634" s="1"/>
      <c r="TWA1634" s="1"/>
      <c r="TWB1634" s="1"/>
      <c r="TWC1634" s="1"/>
      <c r="TWD1634" s="1"/>
      <c r="TWE1634" s="1"/>
      <c r="TWF1634" s="1"/>
      <c r="TWG1634" s="1"/>
      <c r="TWH1634" s="1"/>
      <c r="TWI1634" s="1"/>
      <c r="TWJ1634" s="1"/>
      <c r="TWK1634" s="1"/>
      <c r="TWL1634" s="1"/>
      <c r="TWM1634" s="1"/>
      <c r="TWN1634" s="1"/>
      <c r="TWO1634" s="1"/>
      <c r="TWP1634" s="1"/>
      <c r="TWQ1634" s="1"/>
      <c r="TWR1634" s="1"/>
      <c r="TWS1634" s="1"/>
      <c r="TWT1634" s="1"/>
      <c r="TWU1634" s="1"/>
      <c r="TWV1634" s="1"/>
      <c r="TWW1634" s="1"/>
      <c r="TWX1634" s="1"/>
      <c r="TWY1634" s="1"/>
      <c r="TWZ1634" s="1"/>
      <c r="TXA1634" s="1"/>
      <c r="TXB1634" s="1"/>
      <c r="TXC1634" s="1"/>
      <c r="TXD1634" s="1"/>
      <c r="TXE1634" s="1"/>
      <c r="TXF1634" s="1"/>
      <c r="TXG1634" s="1"/>
      <c r="TXH1634" s="1"/>
      <c r="TXI1634" s="1"/>
      <c r="TXJ1634" s="1"/>
      <c r="TXK1634" s="1"/>
      <c r="TXL1634" s="1"/>
      <c r="TXM1634" s="1"/>
      <c r="TXN1634" s="1"/>
      <c r="TXO1634" s="1"/>
      <c r="TXP1634" s="1"/>
      <c r="TXQ1634" s="1"/>
      <c r="TXR1634" s="1"/>
      <c r="TXS1634" s="1"/>
      <c r="TXT1634" s="1"/>
      <c r="TXU1634" s="1"/>
      <c r="TXV1634" s="1"/>
      <c r="TXW1634" s="1"/>
      <c r="TXX1634" s="1"/>
      <c r="TXY1634" s="1"/>
      <c r="TXZ1634" s="1"/>
      <c r="TYA1634" s="1"/>
      <c r="TYB1634" s="1"/>
      <c r="TYC1634" s="1"/>
      <c r="TYD1634" s="1"/>
      <c r="TYE1634" s="1"/>
      <c r="TYF1634" s="1"/>
      <c r="TYG1634" s="1"/>
      <c r="TYH1634" s="1"/>
      <c r="TYI1634" s="1"/>
      <c r="TYJ1634" s="1"/>
      <c r="TYK1634" s="1"/>
      <c r="TYL1634" s="1"/>
      <c r="TYM1634" s="1"/>
      <c r="TYN1634" s="1"/>
      <c r="TYO1634" s="1"/>
      <c r="TYP1634" s="1"/>
      <c r="TYQ1634" s="1"/>
      <c r="TYR1634" s="1"/>
      <c r="TYS1634" s="1"/>
      <c r="TYT1634" s="1"/>
      <c r="TYU1634" s="1"/>
      <c r="TYV1634" s="1"/>
      <c r="TYW1634" s="1"/>
      <c r="TYX1634" s="1"/>
      <c r="TYY1634" s="1"/>
      <c r="TYZ1634" s="1"/>
      <c r="TZA1634" s="1"/>
      <c r="TZB1634" s="1"/>
      <c r="TZC1634" s="1"/>
      <c r="TZD1634" s="1"/>
      <c r="TZE1634" s="1"/>
      <c r="TZF1634" s="1"/>
      <c r="TZG1634" s="1"/>
      <c r="TZH1634" s="1"/>
      <c r="TZI1634" s="1"/>
      <c r="TZJ1634" s="1"/>
      <c r="TZK1634" s="1"/>
      <c r="TZL1634" s="1"/>
      <c r="TZM1634" s="1"/>
      <c r="TZN1634" s="1"/>
      <c r="TZO1634" s="1"/>
      <c r="TZP1634" s="1"/>
      <c r="TZQ1634" s="1"/>
      <c r="TZR1634" s="1"/>
      <c r="TZS1634" s="1"/>
      <c r="TZT1634" s="1"/>
      <c r="TZU1634" s="1"/>
      <c r="TZV1634" s="1"/>
      <c r="TZW1634" s="1"/>
      <c r="TZX1634" s="1"/>
      <c r="TZY1634" s="1"/>
      <c r="TZZ1634" s="1"/>
      <c r="UAA1634" s="1"/>
      <c r="UAB1634" s="1"/>
      <c r="UAC1634" s="1"/>
      <c r="UAD1634" s="1"/>
      <c r="UAE1634" s="1"/>
      <c r="UAF1634" s="1"/>
      <c r="UAG1634" s="1"/>
      <c r="UAH1634" s="1"/>
      <c r="UAI1634" s="1"/>
      <c r="UAJ1634" s="1"/>
      <c r="UAK1634" s="1"/>
      <c r="UAL1634" s="1"/>
      <c r="UAM1634" s="1"/>
      <c r="UAN1634" s="1"/>
      <c r="UAO1634" s="1"/>
      <c r="UAP1634" s="1"/>
      <c r="UAQ1634" s="1"/>
      <c r="UAR1634" s="1"/>
      <c r="UAS1634" s="1"/>
      <c r="UAT1634" s="1"/>
      <c r="UAU1634" s="1"/>
      <c r="UAV1634" s="1"/>
      <c r="UAW1634" s="1"/>
      <c r="UAX1634" s="1"/>
      <c r="UAY1634" s="1"/>
      <c r="UAZ1634" s="1"/>
      <c r="UBA1634" s="1"/>
      <c r="UBB1634" s="1"/>
      <c r="UBC1634" s="1"/>
      <c r="UBD1634" s="1"/>
      <c r="UBE1634" s="1"/>
      <c r="UBF1634" s="1"/>
      <c r="UBG1634" s="1"/>
      <c r="UBH1634" s="1"/>
      <c r="UBI1634" s="1"/>
      <c r="UBJ1634" s="1"/>
      <c r="UBK1634" s="1"/>
      <c r="UBL1634" s="1"/>
      <c r="UBM1634" s="1"/>
      <c r="UBN1634" s="1"/>
      <c r="UBO1634" s="1"/>
      <c r="UBP1634" s="1"/>
      <c r="UBQ1634" s="1"/>
      <c r="UBR1634" s="1"/>
      <c r="UBS1634" s="1"/>
      <c r="UBT1634" s="1"/>
      <c r="UBU1634" s="1"/>
      <c r="UBV1634" s="1"/>
      <c r="UBW1634" s="1"/>
      <c r="UBX1634" s="1"/>
      <c r="UBY1634" s="1"/>
      <c r="UBZ1634" s="1"/>
      <c r="UCA1634" s="1"/>
      <c r="UCB1634" s="1"/>
      <c r="UCC1634" s="1"/>
      <c r="UCD1634" s="1"/>
      <c r="UCE1634" s="1"/>
      <c r="UCF1634" s="1"/>
      <c r="UCG1634" s="1"/>
      <c r="UCH1634" s="1"/>
      <c r="UCI1634" s="1"/>
      <c r="UCJ1634" s="1"/>
      <c r="UCK1634" s="1"/>
      <c r="UCL1634" s="1"/>
      <c r="UCM1634" s="1"/>
      <c r="UCN1634" s="1"/>
      <c r="UCO1634" s="1"/>
      <c r="UCP1634" s="1"/>
      <c r="UCQ1634" s="1"/>
      <c r="UCR1634" s="1"/>
      <c r="UCS1634" s="1"/>
      <c r="UCT1634" s="1"/>
      <c r="UCU1634" s="1"/>
      <c r="UCV1634" s="1"/>
      <c r="UCW1634" s="1"/>
      <c r="UCX1634" s="1"/>
      <c r="UCY1634" s="1"/>
      <c r="UCZ1634" s="1"/>
      <c r="UDA1634" s="1"/>
      <c r="UDB1634" s="1"/>
      <c r="UDC1634" s="1"/>
      <c r="UDD1634" s="1"/>
      <c r="UDE1634" s="1"/>
      <c r="UDF1634" s="1"/>
      <c r="UDG1634" s="1"/>
      <c r="UDH1634" s="1"/>
      <c r="UDI1634" s="1"/>
      <c r="UDJ1634" s="1"/>
      <c r="UDK1634" s="1"/>
      <c r="UDL1634" s="1"/>
      <c r="UDM1634" s="1"/>
      <c r="UDN1634" s="1"/>
      <c r="UDO1634" s="1"/>
      <c r="UDP1634" s="1"/>
      <c r="UDQ1634" s="1"/>
      <c r="UDR1634" s="1"/>
      <c r="UDS1634" s="1"/>
      <c r="UDT1634" s="1"/>
      <c r="UDU1634" s="1"/>
      <c r="UDV1634" s="1"/>
      <c r="UDW1634" s="1"/>
      <c r="UDX1634" s="1"/>
      <c r="UDY1634" s="1"/>
      <c r="UDZ1634" s="1"/>
      <c r="UEA1634" s="1"/>
      <c r="UEB1634" s="1"/>
      <c r="UEC1634" s="1"/>
      <c r="UED1634" s="1"/>
      <c r="UEE1634" s="1"/>
      <c r="UEF1634" s="1"/>
      <c r="UEG1634" s="1"/>
      <c r="UEH1634" s="1"/>
      <c r="UEI1634" s="1"/>
      <c r="UEJ1634" s="1"/>
      <c r="UEK1634" s="1"/>
      <c r="UEL1634" s="1"/>
      <c r="UEM1634" s="1"/>
      <c r="UEN1634" s="1"/>
      <c r="UEO1634" s="1"/>
      <c r="UEP1634" s="1"/>
      <c r="UEQ1634" s="1"/>
      <c r="UER1634" s="1"/>
      <c r="UES1634" s="1"/>
      <c r="UET1634" s="1"/>
      <c r="UEU1634" s="1"/>
      <c r="UEV1634" s="1"/>
      <c r="UEW1634" s="1"/>
      <c r="UEX1634" s="1"/>
      <c r="UEY1634" s="1"/>
      <c r="UEZ1634" s="1"/>
      <c r="UFA1634" s="1"/>
      <c r="UFB1634" s="1"/>
      <c r="UFC1634" s="1"/>
      <c r="UFD1634" s="1"/>
      <c r="UFE1634" s="1"/>
      <c r="UFF1634" s="1"/>
      <c r="UFG1634" s="1"/>
      <c r="UFH1634" s="1"/>
      <c r="UFI1634" s="1"/>
      <c r="UFJ1634" s="1"/>
      <c r="UFK1634" s="1"/>
      <c r="UFL1634" s="1"/>
      <c r="UFM1634" s="1"/>
      <c r="UFN1634" s="1"/>
      <c r="UFO1634" s="1"/>
      <c r="UFP1634" s="1"/>
      <c r="UFQ1634" s="1"/>
      <c r="UFR1634" s="1"/>
      <c r="UFS1634" s="1"/>
      <c r="UFT1634" s="1"/>
      <c r="UFU1634" s="1"/>
      <c r="UFV1634" s="1"/>
      <c r="UFW1634" s="1"/>
      <c r="UFX1634" s="1"/>
      <c r="UFY1634" s="1"/>
      <c r="UFZ1634" s="1"/>
      <c r="UGA1634" s="1"/>
      <c r="UGB1634" s="1"/>
      <c r="UGC1634" s="1"/>
      <c r="UGD1634" s="1"/>
      <c r="UGE1634" s="1"/>
      <c r="UGF1634" s="1"/>
      <c r="UGG1634" s="1"/>
      <c r="UGH1634" s="1"/>
      <c r="UGI1634" s="1"/>
      <c r="UGJ1634" s="1"/>
      <c r="UGK1634" s="1"/>
      <c r="UGL1634" s="1"/>
      <c r="UGM1634" s="1"/>
      <c r="UGN1634" s="1"/>
      <c r="UGO1634" s="1"/>
      <c r="UGP1634" s="1"/>
      <c r="UGQ1634" s="1"/>
      <c r="UGR1634" s="1"/>
      <c r="UGS1634" s="1"/>
      <c r="UGT1634" s="1"/>
      <c r="UGU1634" s="1"/>
      <c r="UGV1634" s="1"/>
      <c r="UGW1634" s="1"/>
      <c r="UGX1634" s="1"/>
      <c r="UGY1634" s="1"/>
      <c r="UGZ1634" s="1"/>
      <c r="UHA1634" s="1"/>
      <c r="UHB1634" s="1"/>
      <c r="UHC1634" s="1"/>
      <c r="UHD1634" s="1"/>
      <c r="UHE1634" s="1"/>
      <c r="UHF1634" s="1"/>
      <c r="UHG1634" s="1"/>
      <c r="UHH1634" s="1"/>
      <c r="UHI1634" s="1"/>
      <c r="UHJ1634" s="1"/>
      <c r="UHK1634" s="1"/>
      <c r="UHL1634" s="1"/>
      <c r="UHM1634" s="1"/>
      <c r="UHN1634" s="1"/>
      <c r="UHO1634" s="1"/>
      <c r="UHP1634" s="1"/>
      <c r="UHQ1634" s="1"/>
      <c r="UHR1634" s="1"/>
      <c r="UHS1634" s="1"/>
      <c r="UHT1634" s="1"/>
      <c r="UHU1634" s="1"/>
      <c r="UHV1634" s="1"/>
      <c r="UHW1634" s="1"/>
      <c r="UHX1634" s="1"/>
      <c r="UHY1634" s="1"/>
      <c r="UHZ1634" s="1"/>
      <c r="UIA1634" s="1"/>
      <c r="UIB1634" s="1"/>
      <c r="UIC1634" s="1"/>
      <c r="UID1634" s="1"/>
      <c r="UIE1634" s="1"/>
      <c r="UIF1634" s="1"/>
      <c r="UIG1634" s="1"/>
      <c r="UIH1634" s="1"/>
      <c r="UII1634" s="1"/>
      <c r="UIJ1634" s="1"/>
      <c r="UIK1634" s="1"/>
      <c r="UIL1634" s="1"/>
      <c r="UIM1634" s="1"/>
      <c r="UIN1634" s="1"/>
      <c r="UIO1634" s="1"/>
      <c r="UIP1634" s="1"/>
      <c r="UIQ1634" s="1"/>
      <c r="UIR1634" s="1"/>
      <c r="UIS1634" s="1"/>
      <c r="UIT1634" s="1"/>
      <c r="UIU1634" s="1"/>
      <c r="UIV1634" s="1"/>
      <c r="UIW1634" s="1"/>
      <c r="UIX1634" s="1"/>
      <c r="UIY1634" s="1"/>
      <c r="UIZ1634" s="1"/>
      <c r="UJA1634" s="1"/>
      <c r="UJB1634" s="1"/>
      <c r="UJC1634" s="1"/>
      <c r="UJD1634" s="1"/>
      <c r="UJE1634" s="1"/>
      <c r="UJF1634" s="1"/>
      <c r="UJG1634" s="1"/>
      <c r="UJH1634" s="1"/>
      <c r="UJI1634" s="1"/>
      <c r="UJJ1634" s="1"/>
      <c r="UJK1634" s="1"/>
      <c r="UJL1634" s="1"/>
      <c r="UJM1634" s="1"/>
      <c r="UJN1634" s="1"/>
      <c r="UJO1634" s="1"/>
      <c r="UJP1634" s="1"/>
      <c r="UJQ1634" s="1"/>
      <c r="UJR1634" s="1"/>
      <c r="UJS1634" s="1"/>
      <c r="UJT1634" s="1"/>
      <c r="UJU1634" s="1"/>
      <c r="UJV1634" s="1"/>
      <c r="UJW1634" s="1"/>
      <c r="UJX1634" s="1"/>
      <c r="UJY1634" s="1"/>
      <c r="UJZ1634" s="1"/>
      <c r="UKA1634" s="1"/>
      <c r="UKB1634" s="1"/>
      <c r="UKC1634" s="1"/>
      <c r="UKD1634" s="1"/>
      <c r="UKE1634" s="1"/>
      <c r="UKF1634" s="1"/>
      <c r="UKG1634" s="1"/>
      <c r="UKH1634" s="1"/>
      <c r="UKI1634" s="1"/>
      <c r="UKJ1634" s="1"/>
      <c r="UKK1634" s="1"/>
      <c r="UKL1634" s="1"/>
      <c r="UKM1634" s="1"/>
      <c r="UKN1634" s="1"/>
      <c r="UKO1634" s="1"/>
      <c r="UKP1634" s="1"/>
      <c r="UKQ1634" s="1"/>
      <c r="UKR1634" s="1"/>
      <c r="UKS1634" s="1"/>
      <c r="UKT1634" s="1"/>
      <c r="UKU1634" s="1"/>
      <c r="UKV1634" s="1"/>
      <c r="UKW1634" s="1"/>
      <c r="UKX1634" s="1"/>
      <c r="UKY1634" s="1"/>
      <c r="UKZ1634" s="1"/>
      <c r="ULA1634" s="1"/>
      <c r="ULB1634" s="1"/>
      <c r="ULC1634" s="1"/>
      <c r="ULD1634" s="1"/>
      <c r="ULE1634" s="1"/>
      <c r="ULF1634" s="1"/>
      <c r="ULG1634" s="1"/>
      <c r="ULH1634" s="1"/>
      <c r="ULI1634" s="1"/>
      <c r="ULJ1634" s="1"/>
      <c r="ULK1634" s="1"/>
      <c r="ULL1634" s="1"/>
      <c r="ULM1634" s="1"/>
      <c r="ULN1634" s="1"/>
      <c r="ULO1634" s="1"/>
      <c r="ULP1634" s="1"/>
      <c r="ULQ1634" s="1"/>
      <c r="ULR1634" s="1"/>
      <c r="ULS1634" s="1"/>
      <c r="ULT1634" s="1"/>
      <c r="ULU1634" s="1"/>
      <c r="ULV1634" s="1"/>
      <c r="ULW1634" s="1"/>
      <c r="ULX1634" s="1"/>
      <c r="ULY1634" s="1"/>
      <c r="ULZ1634" s="1"/>
      <c r="UMA1634" s="1"/>
      <c r="UMB1634" s="1"/>
      <c r="UMC1634" s="1"/>
      <c r="UMD1634" s="1"/>
      <c r="UME1634" s="1"/>
      <c r="UMF1634" s="1"/>
      <c r="UMG1634" s="1"/>
      <c r="UMH1634" s="1"/>
      <c r="UMI1634" s="1"/>
      <c r="UMJ1634" s="1"/>
      <c r="UMK1634" s="1"/>
      <c r="UML1634" s="1"/>
      <c r="UMM1634" s="1"/>
      <c r="UMN1634" s="1"/>
      <c r="UMO1634" s="1"/>
      <c r="UMP1634" s="1"/>
      <c r="UMQ1634" s="1"/>
      <c r="UMR1634" s="1"/>
      <c r="UMS1634" s="1"/>
      <c r="UMT1634" s="1"/>
      <c r="UMU1634" s="1"/>
      <c r="UMV1634" s="1"/>
      <c r="UMW1634" s="1"/>
      <c r="UMX1634" s="1"/>
      <c r="UMY1634" s="1"/>
      <c r="UMZ1634" s="1"/>
      <c r="UNA1634" s="1"/>
      <c r="UNB1634" s="1"/>
      <c r="UNC1634" s="1"/>
      <c r="UND1634" s="1"/>
      <c r="UNE1634" s="1"/>
      <c r="UNF1634" s="1"/>
      <c r="UNG1634" s="1"/>
      <c r="UNH1634" s="1"/>
      <c r="UNI1634" s="1"/>
      <c r="UNJ1634" s="1"/>
      <c r="UNK1634" s="1"/>
      <c r="UNL1634" s="1"/>
      <c r="UNM1634" s="1"/>
      <c r="UNN1634" s="1"/>
      <c r="UNO1634" s="1"/>
      <c r="UNP1634" s="1"/>
      <c r="UNQ1634" s="1"/>
      <c r="UNR1634" s="1"/>
      <c r="UNS1634" s="1"/>
      <c r="UNT1634" s="1"/>
      <c r="UNU1634" s="1"/>
      <c r="UNV1634" s="1"/>
      <c r="UNW1634" s="1"/>
      <c r="UNX1634" s="1"/>
      <c r="UNY1634" s="1"/>
      <c r="UNZ1634" s="1"/>
      <c r="UOA1634" s="1"/>
      <c r="UOB1634" s="1"/>
      <c r="UOC1634" s="1"/>
      <c r="UOD1634" s="1"/>
      <c r="UOE1634" s="1"/>
      <c r="UOF1634" s="1"/>
      <c r="UOG1634" s="1"/>
      <c r="UOH1634" s="1"/>
      <c r="UOI1634" s="1"/>
      <c r="UOJ1634" s="1"/>
      <c r="UOK1634" s="1"/>
      <c r="UOL1634" s="1"/>
      <c r="UOM1634" s="1"/>
      <c r="UON1634" s="1"/>
      <c r="UOO1634" s="1"/>
      <c r="UOP1634" s="1"/>
      <c r="UOQ1634" s="1"/>
      <c r="UOR1634" s="1"/>
      <c r="UOS1634" s="1"/>
      <c r="UOT1634" s="1"/>
      <c r="UOU1634" s="1"/>
      <c r="UOV1634" s="1"/>
      <c r="UOW1634" s="1"/>
      <c r="UOX1634" s="1"/>
      <c r="UOY1634" s="1"/>
      <c r="UOZ1634" s="1"/>
      <c r="UPA1634" s="1"/>
      <c r="UPB1634" s="1"/>
      <c r="UPC1634" s="1"/>
      <c r="UPD1634" s="1"/>
      <c r="UPE1634" s="1"/>
      <c r="UPF1634" s="1"/>
      <c r="UPG1634" s="1"/>
      <c r="UPH1634" s="1"/>
      <c r="UPI1634" s="1"/>
      <c r="UPJ1634" s="1"/>
      <c r="UPK1634" s="1"/>
      <c r="UPL1634" s="1"/>
      <c r="UPM1634" s="1"/>
      <c r="UPN1634" s="1"/>
      <c r="UPO1634" s="1"/>
      <c r="UPP1634" s="1"/>
      <c r="UPQ1634" s="1"/>
      <c r="UPR1634" s="1"/>
      <c r="UPS1634" s="1"/>
      <c r="UPT1634" s="1"/>
      <c r="UPU1634" s="1"/>
      <c r="UPV1634" s="1"/>
      <c r="UPW1634" s="1"/>
      <c r="UPX1634" s="1"/>
      <c r="UPY1634" s="1"/>
      <c r="UPZ1634" s="1"/>
      <c r="UQA1634" s="1"/>
      <c r="UQB1634" s="1"/>
      <c r="UQC1634" s="1"/>
      <c r="UQD1634" s="1"/>
      <c r="UQE1634" s="1"/>
      <c r="UQF1634" s="1"/>
      <c r="UQG1634" s="1"/>
      <c r="UQH1634" s="1"/>
      <c r="UQI1634" s="1"/>
      <c r="UQJ1634" s="1"/>
      <c r="UQK1634" s="1"/>
      <c r="UQL1634" s="1"/>
      <c r="UQM1634" s="1"/>
      <c r="UQN1634" s="1"/>
      <c r="UQO1634" s="1"/>
      <c r="UQP1634" s="1"/>
      <c r="UQQ1634" s="1"/>
      <c r="UQR1634" s="1"/>
      <c r="UQS1634" s="1"/>
      <c r="UQT1634" s="1"/>
      <c r="UQU1634" s="1"/>
      <c r="UQV1634" s="1"/>
      <c r="UQW1634" s="1"/>
      <c r="UQX1634" s="1"/>
      <c r="UQY1634" s="1"/>
      <c r="UQZ1634" s="1"/>
      <c r="URA1634" s="1"/>
      <c r="URB1634" s="1"/>
      <c r="URC1634" s="1"/>
      <c r="URD1634" s="1"/>
      <c r="URE1634" s="1"/>
      <c r="URF1634" s="1"/>
      <c r="URG1634" s="1"/>
      <c r="URH1634" s="1"/>
      <c r="URI1634" s="1"/>
      <c r="URJ1634" s="1"/>
      <c r="URK1634" s="1"/>
      <c r="URL1634" s="1"/>
      <c r="URM1634" s="1"/>
      <c r="URN1634" s="1"/>
      <c r="URO1634" s="1"/>
      <c r="URP1634" s="1"/>
      <c r="URQ1634" s="1"/>
      <c r="URR1634" s="1"/>
      <c r="URS1634" s="1"/>
      <c r="URT1634" s="1"/>
      <c r="URU1634" s="1"/>
      <c r="URV1634" s="1"/>
      <c r="URW1634" s="1"/>
      <c r="URX1634" s="1"/>
      <c r="URY1634" s="1"/>
      <c r="URZ1634" s="1"/>
      <c r="USA1634" s="1"/>
      <c r="USB1634" s="1"/>
      <c r="USC1634" s="1"/>
      <c r="USD1634" s="1"/>
      <c r="USE1634" s="1"/>
      <c r="USF1634" s="1"/>
      <c r="USG1634" s="1"/>
      <c r="USH1634" s="1"/>
      <c r="USI1634" s="1"/>
      <c r="USJ1634" s="1"/>
      <c r="USK1634" s="1"/>
      <c r="USL1634" s="1"/>
      <c r="USM1634" s="1"/>
      <c r="USN1634" s="1"/>
      <c r="USO1634" s="1"/>
      <c r="USP1634" s="1"/>
      <c r="USQ1634" s="1"/>
      <c r="USR1634" s="1"/>
      <c r="USS1634" s="1"/>
      <c r="UST1634" s="1"/>
      <c r="USU1634" s="1"/>
      <c r="USV1634" s="1"/>
      <c r="USW1634" s="1"/>
      <c r="USX1634" s="1"/>
      <c r="USY1634" s="1"/>
      <c r="USZ1634" s="1"/>
      <c r="UTA1634" s="1"/>
      <c r="UTB1634" s="1"/>
      <c r="UTC1634" s="1"/>
      <c r="UTD1634" s="1"/>
      <c r="UTE1634" s="1"/>
      <c r="UTF1634" s="1"/>
      <c r="UTG1634" s="1"/>
      <c r="UTH1634" s="1"/>
      <c r="UTI1634" s="1"/>
      <c r="UTJ1634" s="1"/>
      <c r="UTK1634" s="1"/>
      <c r="UTL1634" s="1"/>
      <c r="UTM1634" s="1"/>
      <c r="UTN1634" s="1"/>
      <c r="UTO1634" s="1"/>
      <c r="UTP1634" s="1"/>
      <c r="UTQ1634" s="1"/>
      <c r="UTR1634" s="1"/>
      <c r="UTS1634" s="1"/>
      <c r="UTT1634" s="1"/>
      <c r="UTU1634" s="1"/>
      <c r="UTV1634" s="1"/>
      <c r="UTW1634" s="1"/>
      <c r="UTX1634" s="1"/>
      <c r="UTY1634" s="1"/>
      <c r="UTZ1634" s="1"/>
      <c r="UUA1634" s="1"/>
      <c r="UUB1634" s="1"/>
      <c r="UUC1634" s="1"/>
      <c r="UUD1634" s="1"/>
      <c r="UUE1634" s="1"/>
      <c r="UUF1634" s="1"/>
      <c r="UUG1634" s="1"/>
      <c r="UUH1634" s="1"/>
      <c r="UUI1634" s="1"/>
      <c r="UUJ1634" s="1"/>
      <c r="UUK1634" s="1"/>
      <c r="UUL1634" s="1"/>
      <c r="UUM1634" s="1"/>
      <c r="UUN1634" s="1"/>
      <c r="UUO1634" s="1"/>
      <c r="UUP1634" s="1"/>
      <c r="UUQ1634" s="1"/>
      <c r="UUR1634" s="1"/>
      <c r="UUS1634" s="1"/>
      <c r="UUT1634" s="1"/>
      <c r="UUU1634" s="1"/>
      <c r="UUV1634" s="1"/>
      <c r="UUW1634" s="1"/>
      <c r="UUX1634" s="1"/>
      <c r="UUY1634" s="1"/>
      <c r="UUZ1634" s="1"/>
      <c r="UVA1634" s="1"/>
      <c r="UVB1634" s="1"/>
      <c r="UVC1634" s="1"/>
      <c r="UVD1634" s="1"/>
      <c r="UVE1634" s="1"/>
      <c r="UVF1634" s="1"/>
      <c r="UVG1634" s="1"/>
      <c r="UVH1634" s="1"/>
      <c r="UVI1634" s="1"/>
      <c r="UVJ1634" s="1"/>
      <c r="UVK1634" s="1"/>
      <c r="UVL1634" s="1"/>
      <c r="UVM1634" s="1"/>
      <c r="UVN1634" s="1"/>
      <c r="UVO1634" s="1"/>
      <c r="UVP1634" s="1"/>
      <c r="UVQ1634" s="1"/>
      <c r="UVR1634" s="1"/>
      <c r="UVS1634" s="1"/>
      <c r="UVT1634" s="1"/>
      <c r="UVU1634" s="1"/>
      <c r="UVV1634" s="1"/>
      <c r="UVW1634" s="1"/>
      <c r="UVX1634" s="1"/>
      <c r="UVY1634" s="1"/>
      <c r="UVZ1634" s="1"/>
      <c r="UWA1634" s="1"/>
      <c r="UWB1634" s="1"/>
      <c r="UWC1634" s="1"/>
      <c r="UWD1634" s="1"/>
      <c r="UWE1634" s="1"/>
      <c r="UWF1634" s="1"/>
      <c r="UWG1634" s="1"/>
      <c r="UWH1634" s="1"/>
      <c r="UWI1634" s="1"/>
      <c r="UWJ1634" s="1"/>
      <c r="UWK1634" s="1"/>
      <c r="UWL1634" s="1"/>
      <c r="UWM1634" s="1"/>
      <c r="UWN1634" s="1"/>
      <c r="UWO1634" s="1"/>
      <c r="UWP1634" s="1"/>
      <c r="UWQ1634" s="1"/>
      <c r="UWR1634" s="1"/>
      <c r="UWS1634" s="1"/>
      <c r="UWT1634" s="1"/>
      <c r="UWU1634" s="1"/>
      <c r="UWV1634" s="1"/>
      <c r="UWW1634" s="1"/>
      <c r="UWX1634" s="1"/>
      <c r="UWY1634" s="1"/>
      <c r="UWZ1634" s="1"/>
      <c r="UXA1634" s="1"/>
      <c r="UXB1634" s="1"/>
      <c r="UXC1634" s="1"/>
      <c r="UXD1634" s="1"/>
      <c r="UXE1634" s="1"/>
      <c r="UXF1634" s="1"/>
      <c r="UXG1634" s="1"/>
      <c r="UXH1634" s="1"/>
      <c r="UXI1634" s="1"/>
      <c r="UXJ1634" s="1"/>
      <c r="UXK1634" s="1"/>
      <c r="UXL1634" s="1"/>
      <c r="UXM1634" s="1"/>
      <c r="UXN1634" s="1"/>
      <c r="UXO1634" s="1"/>
      <c r="UXP1634" s="1"/>
      <c r="UXQ1634" s="1"/>
      <c r="UXR1634" s="1"/>
      <c r="UXS1634" s="1"/>
      <c r="UXT1634" s="1"/>
      <c r="UXU1634" s="1"/>
      <c r="UXV1634" s="1"/>
      <c r="UXW1634" s="1"/>
      <c r="UXX1634" s="1"/>
      <c r="UXY1634" s="1"/>
      <c r="UXZ1634" s="1"/>
      <c r="UYA1634" s="1"/>
      <c r="UYB1634" s="1"/>
      <c r="UYC1634" s="1"/>
      <c r="UYD1634" s="1"/>
      <c r="UYE1634" s="1"/>
      <c r="UYF1634" s="1"/>
      <c r="UYG1634" s="1"/>
      <c r="UYH1634" s="1"/>
      <c r="UYI1634" s="1"/>
      <c r="UYJ1634" s="1"/>
      <c r="UYK1634" s="1"/>
      <c r="UYL1634" s="1"/>
      <c r="UYM1634" s="1"/>
      <c r="UYN1634" s="1"/>
      <c r="UYO1634" s="1"/>
      <c r="UYP1634" s="1"/>
      <c r="UYQ1634" s="1"/>
      <c r="UYR1634" s="1"/>
      <c r="UYS1634" s="1"/>
      <c r="UYT1634" s="1"/>
      <c r="UYU1634" s="1"/>
      <c r="UYV1634" s="1"/>
      <c r="UYW1634" s="1"/>
      <c r="UYX1634" s="1"/>
      <c r="UYY1634" s="1"/>
      <c r="UYZ1634" s="1"/>
      <c r="UZA1634" s="1"/>
      <c r="UZB1634" s="1"/>
      <c r="UZC1634" s="1"/>
      <c r="UZD1634" s="1"/>
      <c r="UZE1634" s="1"/>
      <c r="UZF1634" s="1"/>
      <c r="UZG1634" s="1"/>
      <c r="UZH1634" s="1"/>
      <c r="UZI1634" s="1"/>
      <c r="UZJ1634" s="1"/>
      <c r="UZK1634" s="1"/>
      <c r="UZL1634" s="1"/>
      <c r="UZM1634" s="1"/>
      <c r="UZN1634" s="1"/>
      <c r="UZO1634" s="1"/>
      <c r="UZP1634" s="1"/>
      <c r="UZQ1634" s="1"/>
      <c r="UZR1634" s="1"/>
      <c r="UZS1634" s="1"/>
      <c r="UZT1634" s="1"/>
      <c r="UZU1634" s="1"/>
      <c r="UZV1634" s="1"/>
      <c r="UZW1634" s="1"/>
      <c r="UZX1634" s="1"/>
      <c r="UZY1634" s="1"/>
      <c r="UZZ1634" s="1"/>
      <c r="VAA1634" s="1"/>
      <c r="VAB1634" s="1"/>
      <c r="VAC1634" s="1"/>
      <c r="VAD1634" s="1"/>
      <c r="VAE1634" s="1"/>
      <c r="VAF1634" s="1"/>
      <c r="VAG1634" s="1"/>
      <c r="VAH1634" s="1"/>
      <c r="VAI1634" s="1"/>
      <c r="VAJ1634" s="1"/>
      <c r="VAK1634" s="1"/>
      <c r="VAL1634" s="1"/>
      <c r="VAM1634" s="1"/>
      <c r="VAN1634" s="1"/>
      <c r="VAO1634" s="1"/>
      <c r="VAP1634" s="1"/>
      <c r="VAQ1634" s="1"/>
      <c r="VAR1634" s="1"/>
      <c r="VAS1634" s="1"/>
      <c r="VAT1634" s="1"/>
      <c r="VAU1634" s="1"/>
      <c r="VAV1634" s="1"/>
      <c r="VAW1634" s="1"/>
      <c r="VAX1634" s="1"/>
      <c r="VAY1634" s="1"/>
      <c r="VAZ1634" s="1"/>
      <c r="VBA1634" s="1"/>
      <c r="VBB1634" s="1"/>
      <c r="VBC1634" s="1"/>
      <c r="VBD1634" s="1"/>
      <c r="VBE1634" s="1"/>
      <c r="VBF1634" s="1"/>
      <c r="VBG1634" s="1"/>
      <c r="VBH1634" s="1"/>
      <c r="VBI1634" s="1"/>
      <c r="VBJ1634" s="1"/>
      <c r="VBK1634" s="1"/>
      <c r="VBL1634" s="1"/>
      <c r="VBM1634" s="1"/>
      <c r="VBN1634" s="1"/>
      <c r="VBO1634" s="1"/>
      <c r="VBP1634" s="1"/>
      <c r="VBQ1634" s="1"/>
      <c r="VBR1634" s="1"/>
      <c r="VBS1634" s="1"/>
      <c r="VBT1634" s="1"/>
      <c r="VBU1634" s="1"/>
      <c r="VBV1634" s="1"/>
      <c r="VBW1634" s="1"/>
      <c r="VBX1634" s="1"/>
      <c r="VBY1634" s="1"/>
      <c r="VBZ1634" s="1"/>
      <c r="VCA1634" s="1"/>
      <c r="VCB1634" s="1"/>
      <c r="VCC1634" s="1"/>
      <c r="VCD1634" s="1"/>
      <c r="VCE1634" s="1"/>
      <c r="VCF1634" s="1"/>
      <c r="VCG1634" s="1"/>
      <c r="VCH1634" s="1"/>
      <c r="VCI1634" s="1"/>
      <c r="VCJ1634" s="1"/>
      <c r="VCK1634" s="1"/>
      <c r="VCL1634" s="1"/>
      <c r="VCM1634" s="1"/>
      <c r="VCN1634" s="1"/>
      <c r="VCO1634" s="1"/>
      <c r="VCP1634" s="1"/>
      <c r="VCQ1634" s="1"/>
      <c r="VCR1634" s="1"/>
      <c r="VCS1634" s="1"/>
      <c r="VCT1634" s="1"/>
      <c r="VCU1634" s="1"/>
      <c r="VCV1634" s="1"/>
      <c r="VCW1634" s="1"/>
      <c r="VCX1634" s="1"/>
      <c r="VCY1634" s="1"/>
      <c r="VCZ1634" s="1"/>
      <c r="VDA1634" s="1"/>
      <c r="VDB1634" s="1"/>
      <c r="VDC1634" s="1"/>
      <c r="VDD1634" s="1"/>
      <c r="VDE1634" s="1"/>
      <c r="VDF1634" s="1"/>
      <c r="VDG1634" s="1"/>
      <c r="VDH1634" s="1"/>
      <c r="VDI1634" s="1"/>
      <c r="VDJ1634" s="1"/>
      <c r="VDK1634" s="1"/>
      <c r="VDL1634" s="1"/>
      <c r="VDM1634" s="1"/>
      <c r="VDN1634" s="1"/>
      <c r="VDO1634" s="1"/>
      <c r="VDP1634" s="1"/>
      <c r="VDQ1634" s="1"/>
      <c r="VDR1634" s="1"/>
      <c r="VDS1634" s="1"/>
      <c r="VDT1634" s="1"/>
      <c r="VDU1634" s="1"/>
      <c r="VDV1634" s="1"/>
      <c r="VDW1634" s="1"/>
      <c r="VDX1634" s="1"/>
      <c r="VDY1634" s="1"/>
      <c r="VDZ1634" s="1"/>
      <c r="VEA1634" s="1"/>
      <c r="VEB1634" s="1"/>
      <c r="VEC1634" s="1"/>
      <c r="VED1634" s="1"/>
      <c r="VEE1634" s="1"/>
      <c r="VEF1634" s="1"/>
      <c r="VEG1634" s="1"/>
      <c r="VEH1634" s="1"/>
      <c r="VEI1634" s="1"/>
      <c r="VEJ1634" s="1"/>
      <c r="VEK1634" s="1"/>
      <c r="VEL1634" s="1"/>
      <c r="VEM1634" s="1"/>
      <c r="VEN1634" s="1"/>
      <c r="VEO1634" s="1"/>
      <c r="VEP1634" s="1"/>
      <c r="VEQ1634" s="1"/>
      <c r="VER1634" s="1"/>
      <c r="VES1634" s="1"/>
      <c r="VET1634" s="1"/>
      <c r="VEU1634" s="1"/>
      <c r="VEV1634" s="1"/>
      <c r="VEW1634" s="1"/>
      <c r="VEX1634" s="1"/>
      <c r="VEY1634" s="1"/>
      <c r="VEZ1634" s="1"/>
      <c r="VFA1634" s="1"/>
      <c r="VFB1634" s="1"/>
      <c r="VFC1634" s="1"/>
      <c r="VFD1634" s="1"/>
      <c r="VFE1634" s="1"/>
      <c r="VFF1634" s="1"/>
      <c r="VFG1634" s="1"/>
      <c r="VFH1634" s="1"/>
      <c r="VFI1634" s="1"/>
      <c r="VFJ1634" s="1"/>
      <c r="VFK1634" s="1"/>
      <c r="VFL1634" s="1"/>
      <c r="VFM1634" s="1"/>
      <c r="VFN1634" s="1"/>
      <c r="VFO1634" s="1"/>
      <c r="VFP1634" s="1"/>
      <c r="VFQ1634" s="1"/>
      <c r="VFR1634" s="1"/>
      <c r="VFS1634" s="1"/>
      <c r="VFT1634" s="1"/>
      <c r="VFU1634" s="1"/>
      <c r="VFV1634" s="1"/>
      <c r="VFW1634" s="1"/>
      <c r="VFX1634" s="1"/>
      <c r="VFY1634" s="1"/>
      <c r="VFZ1634" s="1"/>
      <c r="VGA1634" s="1"/>
      <c r="VGB1634" s="1"/>
      <c r="VGC1634" s="1"/>
      <c r="VGD1634" s="1"/>
      <c r="VGE1634" s="1"/>
      <c r="VGF1634" s="1"/>
      <c r="VGG1634" s="1"/>
      <c r="VGH1634" s="1"/>
      <c r="VGI1634" s="1"/>
      <c r="VGJ1634" s="1"/>
      <c r="VGK1634" s="1"/>
      <c r="VGL1634" s="1"/>
      <c r="VGM1634" s="1"/>
      <c r="VGN1634" s="1"/>
      <c r="VGO1634" s="1"/>
      <c r="VGP1634" s="1"/>
      <c r="VGQ1634" s="1"/>
      <c r="VGR1634" s="1"/>
      <c r="VGS1634" s="1"/>
      <c r="VGT1634" s="1"/>
      <c r="VGU1634" s="1"/>
      <c r="VGV1634" s="1"/>
      <c r="VGW1634" s="1"/>
      <c r="VGX1634" s="1"/>
      <c r="VGY1634" s="1"/>
      <c r="VGZ1634" s="1"/>
      <c r="VHA1634" s="1"/>
      <c r="VHB1634" s="1"/>
      <c r="VHC1634" s="1"/>
      <c r="VHD1634" s="1"/>
      <c r="VHE1634" s="1"/>
      <c r="VHF1634" s="1"/>
      <c r="VHG1634" s="1"/>
      <c r="VHH1634" s="1"/>
      <c r="VHI1634" s="1"/>
      <c r="VHJ1634" s="1"/>
      <c r="VHK1634" s="1"/>
      <c r="VHL1634" s="1"/>
      <c r="VHM1634" s="1"/>
      <c r="VHN1634" s="1"/>
      <c r="VHO1634" s="1"/>
      <c r="VHP1634" s="1"/>
      <c r="VHQ1634" s="1"/>
      <c r="VHR1634" s="1"/>
      <c r="VHS1634" s="1"/>
      <c r="VHT1634" s="1"/>
      <c r="VHU1634" s="1"/>
      <c r="VHV1634" s="1"/>
      <c r="VHW1634" s="1"/>
      <c r="VHX1634" s="1"/>
      <c r="VHY1634" s="1"/>
      <c r="VHZ1634" s="1"/>
      <c r="VIA1634" s="1"/>
      <c r="VIB1634" s="1"/>
      <c r="VIC1634" s="1"/>
      <c r="VID1634" s="1"/>
      <c r="VIE1634" s="1"/>
      <c r="VIF1634" s="1"/>
      <c r="VIG1634" s="1"/>
      <c r="VIH1634" s="1"/>
      <c r="VII1634" s="1"/>
      <c r="VIJ1634" s="1"/>
      <c r="VIK1634" s="1"/>
      <c r="VIL1634" s="1"/>
      <c r="VIM1634" s="1"/>
      <c r="VIN1634" s="1"/>
      <c r="VIO1634" s="1"/>
      <c r="VIP1634" s="1"/>
      <c r="VIQ1634" s="1"/>
      <c r="VIR1634" s="1"/>
      <c r="VIS1634" s="1"/>
      <c r="VIT1634" s="1"/>
      <c r="VIU1634" s="1"/>
      <c r="VIV1634" s="1"/>
      <c r="VIW1634" s="1"/>
      <c r="VIX1634" s="1"/>
      <c r="VIY1634" s="1"/>
      <c r="VIZ1634" s="1"/>
      <c r="VJA1634" s="1"/>
      <c r="VJB1634" s="1"/>
      <c r="VJC1634" s="1"/>
      <c r="VJD1634" s="1"/>
      <c r="VJE1634" s="1"/>
      <c r="VJF1634" s="1"/>
      <c r="VJG1634" s="1"/>
      <c r="VJH1634" s="1"/>
      <c r="VJI1634" s="1"/>
      <c r="VJJ1634" s="1"/>
      <c r="VJK1634" s="1"/>
      <c r="VJL1634" s="1"/>
      <c r="VJM1634" s="1"/>
      <c r="VJN1634" s="1"/>
      <c r="VJO1634" s="1"/>
      <c r="VJP1634" s="1"/>
      <c r="VJQ1634" s="1"/>
      <c r="VJR1634" s="1"/>
      <c r="VJS1634" s="1"/>
      <c r="VJT1634" s="1"/>
      <c r="VJU1634" s="1"/>
      <c r="VJV1634" s="1"/>
      <c r="VJW1634" s="1"/>
      <c r="VJX1634" s="1"/>
      <c r="VJY1634" s="1"/>
      <c r="VJZ1634" s="1"/>
      <c r="VKA1634" s="1"/>
      <c r="VKB1634" s="1"/>
      <c r="VKC1634" s="1"/>
      <c r="VKD1634" s="1"/>
      <c r="VKE1634" s="1"/>
      <c r="VKF1634" s="1"/>
      <c r="VKG1634" s="1"/>
      <c r="VKH1634" s="1"/>
      <c r="VKI1634" s="1"/>
      <c r="VKJ1634" s="1"/>
      <c r="VKK1634" s="1"/>
      <c r="VKL1634" s="1"/>
      <c r="VKM1634" s="1"/>
      <c r="VKN1634" s="1"/>
      <c r="VKO1634" s="1"/>
      <c r="VKP1634" s="1"/>
      <c r="VKQ1634" s="1"/>
      <c r="VKR1634" s="1"/>
      <c r="VKS1634" s="1"/>
      <c r="VKT1634" s="1"/>
      <c r="VKU1634" s="1"/>
      <c r="VKV1634" s="1"/>
      <c r="VKW1634" s="1"/>
      <c r="VKX1634" s="1"/>
      <c r="VKY1634" s="1"/>
      <c r="VKZ1634" s="1"/>
      <c r="VLA1634" s="1"/>
      <c r="VLB1634" s="1"/>
      <c r="VLC1634" s="1"/>
      <c r="VLD1634" s="1"/>
      <c r="VLE1634" s="1"/>
      <c r="VLF1634" s="1"/>
      <c r="VLG1634" s="1"/>
      <c r="VLH1634" s="1"/>
      <c r="VLI1634" s="1"/>
      <c r="VLJ1634" s="1"/>
      <c r="VLK1634" s="1"/>
      <c r="VLL1634" s="1"/>
      <c r="VLM1634" s="1"/>
      <c r="VLN1634" s="1"/>
      <c r="VLO1634" s="1"/>
      <c r="VLP1634" s="1"/>
      <c r="VLQ1634" s="1"/>
      <c r="VLR1634" s="1"/>
      <c r="VLS1634" s="1"/>
      <c r="VLT1634" s="1"/>
      <c r="VLU1634" s="1"/>
      <c r="VLV1634" s="1"/>
      <c r="VLW1634" s="1"/>
      <c r="VLX1634" s="1"/>
      <c r="VLY1634" s="1"/>
      <c r="VLZ1634" s="1"/>
      <c r="VMA1634" s="1"/>
      <c r="VMB1634" s="1"/>
      <c r="VMC1634" s="1"/>
      <c r="VMD1634" s="1"/>
      <c r="VME1634" s="1"/>
      <c r="VMF1634" s="1"/>
      <c r="VMG1634" s="1"/>
      <c r="VMH1634" s="1"/>
      <c r="VMI1634" s="1"/>
      <c r="VMJ1634" s="1"/>
      <c r="VMK1634" s="1"/>
      <c r="VML1634" s="1"/>
      <c r="VMM1634" s="1"/>
      <c r="VMN1634" s="1"/>
      <c r="VMO1634" s="1"/>
      <c r="VMP1634" s="1"/>
      <c r="VMQ1634" s="1"/>
      <c r="VMR1634" s="1"/>
      <c r="VMS1634" s="1"/>
      <c r="VMT1634" s="1"/>
      <c r="VMU1634" s="1"/>
      <c r="VMV1634" s="1"/>
      <c r="VMW1634" s="1"/>
      <c r="VMX1634" s="1"/>
      <c r="VMY1634" s="1"/>
      <c r="VMZ1634" s="1"/>
      <c r="VNA1634" s="1"/>
      <c r="VNB1634" s="1"/>
      <c r="VNC1634" s="1"/>
      <c r="VND1634" s="1"/>
      <c r="VNE1634" s="1"/>
      <c r="VNF1634" s="1"/>
      <c r="VNG1634" s="1"/>
      <c r="VNH1634" s="1"/>
      <c r="VNI1634" s="1"/>
      <c r="VNJ1634" s="1"/>
      <c r="VNK1634" s="1"/>
      <c r="VNL1634" s="1"/>
      <c r="VNM1634" s="1"/>
      <c r="VNN1634" s="1"/>
      <c r="VNO1634" s="1"/>
      <c r="VNP1634" s="1"/>
      <c r="VNQ1634" s="1"/>
      <c r="VNR1634" s="1"/>
      <c r="VNS1634" s="1"/>
      <c r="VNT1634" s="1"/>
      <c r="VNU1634" s="1"/>
      <c r="VNV1634" s="1"/>
      <c r="VNW1634" s="1"/>
      <c r="VNX1634" s="1"/>
      <c r="VNY1634" s="1"/>
      <c r="VNZ1634" s="1"/>
      <c r="VOA1634" s="1"/>
      <c r="VOB1634" s="1"/>
      <c r="VOC1634" s="1"/>
      <c r="VOD1634" s="1"/>
      <c r="VOE1634" s="1"/>
      <c r="VOF1634" s="1"/>
      <c r="VOG1634" s="1"/>
      <c r="VOH1634" s="1"/>
      <c r="VOI1634" s="1"/>
      <c r="VOJ1634" s="1"/>
      <c r="VOK1634" s="1"/>
      <c r="VOL1634" s="1"/>
      <c r="VOM1634" s="1"/>
      <c r="VON1634" s="1"/>
      <c r="VOO1634" s="1"/>
      <c r="VOP1634" s="1"/>
      <c r="VOQ1634" s="1"/>
      <c r="VOR1634" s="1"/>
      <c r="VOS1634" s="1"/>
      <c r="VOT1634" s="1"/>
      <c r="VOU1634" s="1"/>
      <c r="VOV1634" s="1"/>
      <c r="VOW1634" s="1"/>
      <c r="VOX1634" s="1"/>
      <c r="VOY1634" s="1"/>
      <c r="VOZ1634" s="1"/>
      <c r="VPA1634" s="1"/>
      <c r="VPB1634" s="1"/>
      <c r="VPC1634" s="1"/>
      <c r="VPD1634" s="1"/>
      <c r="VPE1634" s="1"/>
      <c r="VPF1634" s="1"/>
      <c r="VPG1634" s="1"/>
      <c r="VPH1634" s="1"/>
      <c r="VPI1634" s="1"/>
      <c r="VPJ1634" s="1"/>
      <c r="VPK1634" s="1"/>
      <c r="VPL1634" s="1"/>
      <c r="VPM1634" s="1"/>
      <c r="VPN1634" s="1"/>
      <c r="VPO1634" s="1"/>
      <c r="VPP1634" s="1"/>
      <c r="VPQ1634" s="1"/>
      <c r="VPR1634" s="1"/>
      <c r="VPS1634" s="1"/>
      <c r="VPT1634" s="1"/>
      <c r="VPU1634" s="1"/>
      <c r="VPV1634" s="1"/>
      <c r="VPW1634" s="1"/>
      <c r="VPX1634" s="1"/>
      <c r="VPY1634" s="1"/>
      <c r="VPZ1634" s="1"/>
      <c r="VQA1634" s="1"/>
      <c r="VQB1634" s="1"/>
      <c r="VQC1634" s="1"/>
      <c r="VQD1634" s="1"/>
      <c r="VQE1634" s="1"/>
      <c r="VQF1634" s="1"/>
      <c r="VQG1634" s="1"/>
      <c r="VQH1634" s="1"/>
      <c r="VQI1634" s="1"/>
      <c r="VQJ1634" s="1"/>
      <c r="VQK1634" s="1"/>
      <c r="VQL1634" s="1"/>
      <c r="VQM1634" s="1"/>
      <c r="VQN1634" s="1"/>
      <c r="VQO1634" s="1"/>
      <c r="VQP1634" s="1"/>
      <c r="VQQ1634" s="1"/>
      <c r="VQR1634" s="1"/>
      <c r="VQS1634" s="1"/>
      <c r="VQT1634" s="1"/>
      <c r="VQU1634" s="1"/>
      <c r="VQV1634" s="1"/>
      <c r="VQW1634" s="1"/>
      <c r="VQX1634" s="1"/>
      <c r="VQY1634" s="1"/>
      <c r="VQZ1634" s="1"/>
      <c r="VRA1634" s="1"/>
      <c r="VRB1634" s="1"/>
      <c r="VRC1634" s="1"/>
      <c r="VRD1634" s="1"/>
      <c r="VRE1634" s="1"/>
      <c r="VRF1634" s="1"/>
      <c r="VRG1634" s="1"/>
      <c r="VRH1634" s="1"/>
      <c r="VRI1634" s="1"/>
      <c r="VRJ1634" s="1"/>
      <c r="VRK1634" s="1"/>
      <c r="VRL1634" s="1"/>
      <c r="VRM1634" s="1"/>
      <c r="VRN1634" s="1"/>
      <c r="VRO1634" s="1"/>
      <c r="VRP1634" s="1"/>
      <c r="VRQ1634" s="1"/>
      <c r="VRR1634" s="1"/>
      <c r="VRS1634" s="1"/>
      <c r="VRT1634" s="1"/>
      <c r="VRU1634" s="1"/>
      <c r="VRV1634" s="1"/>
      <c r="VRW1634" s="1"/>
      <c r="VRX1634" s="1"/>
      <c r="VRY1634" s="1"/>
      <c r="VRZ1634" s="1"/>
      <c r="VSA1634" s="1"/>
      <c r="VSB1634" s="1"/>
      <c r="VSC1634" s="1"/>
      <c r="VSD1634" s="1"/>
      <c r="VSE1634" s="1"/>
      <c r="VSF1634" s="1"/>
      <c r="VSG1634" s="1"/>
      <c r="VSH1634" s="1"/>
      <c r="VSI1634" s="1"/>
      <c r="VSJ1634" s="1"/>
      <c r="VSK1634" s="1"/>
      <c r="VSL1634" s="1"/>
      <c r="VSM1634" s="1"/>
      <c r="VSN1634" s="1"/>
      <c r="VSO1634" s="1"/>
      <c r="VSP1634" s="1"/>
      <c r="VSQ1634" s="1"/>
      <c r="VSR1634" s="1"/>
      <c r="VSS1634" s="1"/>
      <c r="VST1634" s="1"/>
      <c r="VSU1634" s="1"/>
      <c r="VSV1634" s="1"/>
      <c r="VSW1634" s="1"/>
      <c r="VSX1634" s="1"/>
      <c r="VSY1634" s="1"/>
      <c r="VSZ1634" s="1"/>
      <c r="VTA1634" s="1"/>
      <c r="VTB1634" s="1"/>
      <c r="VTC1634" s="1"/>
      <c r="VTD1634" s="1"/>
      <c r="VTE1634" s="1"/>
      <c r="VTF1634" s="1"/>
      <c r="VTG1634" s="1"/>
      <c r="VTH1634" s="1"/>
      <c r="VTI1634" s="1"/>
      <c r="VTJ1634" s="1"/>
      <c r="VTK1634" s="1"/>
      <c r="VTL1634" s="1"/>
      <c r="VTM1634" s="1"/>
      <c r="VTN1634" s="1"/>
      <c r="VTO1634" s="1"/>
      <c r="VTP1634" s="1"/>
      <c r="VTQ1634" s="1"/>
      <c r="VTR1634" s="1"/>
      <c r="VTS1634" s="1"/>
      <c r="VTT1634" s="1"/>
      <c r="VTU1634" s="1"/>
      <c r="VTV1634" s="1"/>
      <c r="VTW1634" s="1"/>
      <c r="VTX1634" s="1"/>
      <c r="VTY1634" s="1"/>
      <c r="VTZ1634" s="1"/>
      <c r="VUA1634" s="1"/>
      <c r="VUB1634" s="1"/>
      <c r="VUC1634" s="1"/>
      <c r="VUD1634" s="1"/>
      <c r="VUE1634" s="1"/>
      <c r="VUF1634" s="1"/>
      <c r="VUG1634" s="1"/>
      <c r="VUH1634" s="1"/>
      <c r="VUI1634" s="1"/>
      <c r="VUJ1634" s="1"/>
      <c r="VUK1634" s="1"/>
      <c r="VUL1634" s="1"/>
      <c r="VUM1634" s="1"/>
      <c r="VUN1634" s="1"/>
      <c r="VUO1634" s="1"/>
      <c r="VUP1634" s="1"/>
      <c r="VUQ1634" s="1"/>
      <c r="VUR1634" s="1"/>
      <c r="VUS1634" s="1"/>
      <c r="VUT1634" s="1"/>
      <c r="VUU1634" s="1"/>
      <c r="VUV1634" s="1"/>
      <c r="VUW1634" s="1"/>
      <c r="VUX1634" s="1"/>
      <c r="VUY1634" s="1"/>
      <c r="VUZ1634" s="1"/>
      <c r="VVA1634" s="1"/>
      <c r="VVB1634" s="1"/>
      <c r="VVC1634" s="1"/>
      <c r="VVD1634" s="1"/>
      <c r="VVE1634" s="1"/>
      <c r="VVF1634" s="1"/>
      <c r="VVG1634" s="1"/>
      <c r="VVH1634" s="1"/>
      <c r="VVI1634" s="1"/>
      <c r="VVJ1634" s="1"/>
      <c r="VVK1634" s="1"/>
      <c r="VVL1634" s="1"/>
      <c r="VVM1634" s="1"/>
      <c r="VVN1634" s="1"/>
      <c r="VVO1634" s="1"/>
      <c r="VVP1634" s="1"/>
      <c r="VVQ1634" s="1"/>
      <c r="VVR1634" s="1"/>
      <c r="VVS1634" s="1"/>
      <c r="VVT1634" s="1"/>
      <c r="VVU1634" s="1"/>
      <c r="VVV1634" s="1"/>
      <c r="VVW1634" s="1"/>
      <c r="VVX1634" s="1"/>
      <c r="VVY1634" s="1"/>
      <c r="VVZ1634" s="1"/>
      <c r="VWA1634" s="1"/>
      <c r="VWB1634" s="1"/>
      <c r="VWC1634" s="1"/>
      <c r="VWD1634" s="1"/>
      <c r="VWE1634" s="1"/>
      <c r="VWF1634" s="1"/>
      <c r="VWG1634" s="1"/>
      <c r="VWH1634" s="1"/>
      <c r="VWI1634" s="1"/>
      <c r="VWJ1634" s="1"/>
      <c r="VWK1634" s="1"/>
      <c r="VWL1634" s="1"/>
      <c r="VWM1634" s="1"/>
      <c r="VWN1634" s="1"/>
      <c r="VWO1634" s="1"/>
      <c r="VWP1634" s="1"/>
      <c r="VWQ1634" s="1"/>
      <c r="VWR1634" s="1"/>
      <c r="VWS1634" s="1"/>
      <c r="VWT1634" s="1"/>
      <c r="VWU1634" s="1"/>
      <c r="VWV1634" s="1"/>
      <c r="VWW1634" s="1"/>
      <c r="VWX1634" s="1"/>
      <c r="VWY1634" s="1"/>
      <c r="VWZ1634" s="1"/>
      <c r="VXA1634" s="1"/>
      <c r="VXB1634" s="1"/>
      <c r="VXC1634" s="1"/>
      <c r="VXD1634" s="1"/>
      <c r="VXE1634" s="1"/>
      <c r="VXF1634" s="1"/>
      <c r="VXG1634" s="1"/>
      <c r="VXH1634" s="1"/>
      <c r="VXI1634" s="1"/>
      <c r="VXJ1634" s="1"/>
      <c r="VXK1634" s="1"/>
      <c r="VXL1634" s="1"/>
      <c r="VXM1634" s="1"/>
      <c r="VXN1634" s="1"/>
      <c r="VXO1634" s="1"/>
      <c r="VXP1634" s="1"/>
      <c r="VXQ1634" s="1"/>
      <c r="VXR1634" s="1"/>
      <c r="VXS1634" s="1"/>
      <c r="VXT1634" s="1"/>
      <c r="VXU1634" s="1"/>
      <c r="VXV1634" s="1"/>
      <c r="VXW1634" s="1"/>
      <c r="VXX1634" s="1"/>
      <c r="VXY1634" s="1"/>
      <c r="VXZ1634" s="1"/>
      <c r="VYA1634" s="1"/>
      <c r="VYB1634" s="1"/>
      <c r="VYC1634" s="1"/>
      <c r="VYD1634" s="1"/>
      <c r="VYE1634" s="1"/>
      <c r="VYF1634" s="1"/>
      <c r="VYG1634" s="1"/>
      <c r="VYH1634" s="1"/>
      <c r="VYI1634" s="1"/>
      <c r="VYJ1634" s="1"/>
      <c r="VYK1634" s="1"/>
      <c r="VYL1634" s="1"/>
      <c r="VYM1634" s="1"/>
      <c r="VYN1634" s="1"/>
      <c r="VYO1634" s="1"/>
      <c r="VYP1634" s="1"/>
      <c r="VYQ1634" s="1"/>
      <c r="VYR1634" s="1"/>
      <c r="VYS1634" s="1"/>
      <c r="VYT1634" s="1"/>
      <c r="VYU1634" s="1"/>
      <c r="VYV1634" s="1"/>
      <c r="VYW1634" s="1"/>
      <c r="VYX1634" s="1"/>
      <c r="VYY1634" s="1"/>
      <c r="VYZ1634" s="1"/>
      <c r="VZA1634" s="1"/>
      <c r="VZB1634" s="1"/>
      <c r="VZC1634" s="1"/>
      <c r="VZD1634" s="1"/>
      <c r="VZE1634" s="1"/>
      <c r="VZF1634" s="1"/>
      <c r="VZG1634" s="1"/>
      <c r="VZH1634" s="1"/>
      <c r="VZI1634" s="1"/>
      <c r="VZJ1634" s="1"/>
      <c r="VZK1634" s="1"/>
      <c r="VZL1634" s="1"/>
      <c r="VZM1634" s="1"/>
      <c r="VZN1634" s="1"/>
      <c r="VZO1634" s="1"/>
      <c r="VZP1634" s="1"/>
      <c r="VZQ1634" s="1"/>
      <c r="VZR1634" s="1"/>
      <c r="VZS1634" s="1"/>
      <c r="VZT1634" s="1"/>
      <c r="VZU1634" s="1"/>
      <c r="VZV1634" s="1"/>
      <c r="VZW1634" s="1"/>
      <c r="VZX1634" s="1"/>
      <c r="VZY1634" s="1"/>
      <c r="VZZ1634" s="1"/>
      <c r="WAA1634" s="1"/>
      <c r="WAB1634" s="1"/>
      <c r="WAC1634" s="1"/>
      <c r="WAD1634" s="1"/>
      <c r="WAE1634" s="1"/>
      <c r="WAF1634" s="1"/>
      <c r="WAG1634" s="1"/>
      <c r="WAH1634" s="1"/>
      <c r="WAI1634" s="1"/>
      <c r="WAJ1634" s="1"/>
      <c r="WAK1634" s="1"/>
      <c r="WAL1634" s="1"/>
      <c r="WAM1634" s="1"/>
      <c r="WAN1634" s="1"/>
      <c r="WAO1634" s="1"/>
      <c r="WAP1634" s="1"/>
      <c r="WAQ1634" s="1"/>
      <c r="WAR1634" s="1"/>
      <c r="WAS1634" s="1"/>
      <c r="WAT1634" s="1"/>
      <c r="WAU1634" s="1"/>
      <c r="WAV1634" s="1"/>
      <c r="WAW1634" s="1"/>
      <c r="WAX1634" s="1"/>
      <c r="WAY1634" s="1"/>
      <c r="WAZ1634" s="1"/>
      <c r="WBA1634" s="1"/>
      <c r="WBB1634" s="1"/>
      <c r="WBC1634" s="1"/>
      <c r="WBD1634" s="1"/>
      <c r="WBE1634" s="1"/>
      <c r="WBF1634" s="1"/>
      <c r="WBG1634" s="1"/>
      <c r="WBH1634" s="1"/>
      <c r="WBI1634" s="1"/>
      <c r="WBJ1634" s="1"/>
      <c r="WBK1634" s="1"/>
      <c r="WBL1634" s="1"/>
      <c r="WBM1634" s="1"/>
      <c r="WBN1634" s="1"/>
      <c r="WBO1634" s="1"/>
      <c r="WBP1634" s="1"/>
      <c r="WBQ1634" s="1"/>
      <c r="WBR1634" s="1"/>
      <c r="WBS1634" s="1"/>
      <c r="WBT1634" s="1"/>
      <c r="WBU1634" s="1"/>
      <c r="WBV1634" s="1"/>
      <c r="WBW1634" s="1"/>
      <c r="WBX1634" s="1"/>
      <c r="WBY1634" s="1"/>
      <c r="WBZ1634" s="1"/>
      <c r="WCA1634" s="1"/>
      <c r="WCB1634" s="1"/>
      <c r="WCC1634" s="1"/>
      <c r="WCD1634" s="1"/>
      <c r="WCE1634" s="1"/>
      <c r="WCF1634" s="1"/>
      <c r="WCG1634" s="1"/>
      <c r="WCH1634" s="1"/>
      <c r="WCI1634" s="1"/>
      <c r="WCJ1634" s="1"/>
      <c r="WCK1634" s="1"/>
      <c r="WCL1634" s="1"/>
      <c r="WCM1634" s="1"/>
      <c r="WCN1634" s="1"/>
      <c r="WCO1634" s="1"/>
      <c r="WCP1634" s="1"/>
      <c r="WCQ1634" s="1"/>
      <c r="WCR1634" s="1"/>
      <c r="WCS1634" s="1"/>
      <c r="WCT1634" s="1"/>
      <c r="WCU1634" s="1"/>
      <c r="WCV1634" s="1"/>
      <c r="WCW1634" s="1"/>
      <c r="WCX1634" s="1"/>
      <c r="WCY1634" s="1"/>
      <c r="WCZ1634" s="1"/>
      <c r="WDA1634" s="1"/>
      <c r="WDB1634" s="1"/>
      <c r="WDC1634" s="1"/>
      <c r="WDD1634" s="1"/>
      <c r="WDE1634" s="1"/>
      <c r="WDF1634" s="1"/>
      <c r="WDG1634" s="1"/>
      <c r="WDH1634" s="1"/>
      <c r="WDI1634" s="1"/>
      <c r="WDJ1634" s="1"/>
      <c r="WDK1634" s="1"/>
      <c r="WDL1634" s="1"/>
      <c r="WDM1634" s="1"/>
      <c r="WDN1634" s="1"/>
      <c r="WDO1634" s="1"/>
      <c r="WDP1634" s="1"/>
      <c r="WDQ1634" s="1"/>
      <c r="WDR1634" s="1"/>
      <c r="WDS1634" s="1"/>
      <c r="WDT1634" s="1"/>
      <c r="WDU1634" s="1"/>
      <c r="WDV1634" s="1"/>
      <c r="WDW1634" s="1"/>
      <c r="WDX1634" s="1"/>
      <c r="WDY1634" s="1"/>
      <c r="WDZ1634" s="1"/>
      <c r="WEA1634" s="1"/>
      <c r="WEB1634" s="1"/>
      <c r="WEC1634" s="1"/>
      <c r="WED1634" s="1"/>
      <c r="WEE1634" s="1"/>
      <c r="WEF1634" s="1"/>
      <c r="WEG1634" s="1"/>
      <c r="WEH1634" s="1"/>
      <c r="WEI1634" s="1"/>
      <c r="WEJ1634" s="1"/>
      <c r="WEK1634" s="1"/>
      <c r="WEL1634" s="1"/>
      <c r="WEM1634" s="1"/>
      <c r="WEN1634" s="1"/>
      <c r="WEO1634" s="1"/>
      <c r="WEP1634" s="1"/>
      <c r="WEQ1634" s="1"/>
      <c r="WER1634" s="1"/>
      <c r="WES1634" s="1"/>
      <c r="WET1634" s="1"/>
      <c r="WEU1634" s="1"/>
      <c r="WEV1634" s="1"/>
      <c r="WEW1634" s="1"/>
      <c r="WEX1634" s="1"/>
      <c r="WEY1634" s="1"/>
      <c r="WEZ1634" s="1"/>
      <c r="WFA1634" s="1"/>
      <c r="WFB1634" s="1"/>
      <c r="WFC1634" s="1"/>
      <c r="WFD1634" s="1"/>
      <c r="WFE1634" s="1"/>
      <c r="WFF1634" s="1"/>
      <c r="WFG1634" s="1"/>
      <c r="WFH1634" s="1"/>
      <c r="WFI1634" s="1"/>
      <c r="WFJ1634" s="1"/>
      <c r="WFK1634" s="1"/>
      <c r="WFL1634" s="1"/>
      <c r="WFM1634" s="1"/>
      <c r="WFN1634" s="1"/>
      <c r="WFO1634" s="1"/>
      <c r="WFP1634" s="1"/>
      <c r="WFQ1634" s="1"/>
      <c r="WFR1634" s="1"/>
      <c r="WFS1634" s="1"/>
      <c r="WFT1634" s="1"/>
      <c r="WFU1634" s="1"/>
      <c r="WFV1634" s="1"/>
      <c r="WFW1634" s="1"/>
      <c r="WFX1634" s="1"/>
      <c r="WFY1634" s="1"/>
      <c r="WFZ1634" s="1"/>
      <c r="WGA1634" s="1"/>
      <c r="WGB1634" s="1"/>
      <c r="WGC1634" s="1"/>
      <c r="WGD1634" s="1"/>
      <c r="WGE1634" s="1"/>
      <c r="WGF1634" s="1"/>
      <c r="WGG1634" s="1"/>
      <c r="WGH1634" s="1"/>
      <c r="WGI1634" s="1"/>
      <c r="WGJ1634" s="1"/>
      <c r="WGK1634" s="1"/>
      <c r="WGL1634" s="1"/>
      <c r="WGM1634" s="1"/>
      <c r="WGN1634" s="1"/>
      <c r="WGO1634" s="1"/>
      <c r="WGP1634" s="1"/>
      <c r="WGQ1634" s="1"/>
      <c r="WGR1634" s="1"/>
      <c r="WGS1634" s="1"/>
      <c r="WGT1634" s="1"/>
      <c r="WGU1634" s="1"/>
      <c r="WGV1634" s="1"/>
      <c r="WGW1634" s="1"/>
      <c r="WGX1634" s="1"/>
      <c r="WGY1634" s="1"/>
      <c r="WGZ1634" s="1"/>
      <c r="WHA1634" s="1"/>
      <c r="WHB1634" s="1"/>
      <c r="WHC1634" s="1"/>
      <c r="WHD1634" s="1"/>
      <c r="WHE1634" s="1"/>
      <c r="WHF1634" s="1"/>
      <c r="WHG1634" s="1"/>
      <c r="WHH1634" s="1"/>
      <c r="WHI1634" s="1"/>
      <c r="WHJ1634" s="1"/>
      <c r="WHK1634" s="1"/>
      <c r="WHL1634" s="1"/>
      <c r="WHM1634" s="1"/>
      <c r="WHN1634" s="1"/>
      <c r="WHO1634" s="1"/>
      <c r="WHP1634" s="1"/>
      <c r="WHQ1634" s="1"/>
      <c r="WHR1634" s="1"/>
      <c r="WHS1634" s="1"/>
      <c r="WHT1634" s="1"/>
      <c r="WHU1634" s="1"/>
      <c r="WHV1634" s="1"/>
      <c r="WHW1634" s="1"/>
      <c r="WHX1634" s="1"/>
      <c r="WHY1634" s="1"/>
      <c r="WHZ1634" s="1"/>
      <c r="WIA1634" s="1"/>
      <c r="WIB1634" s="1"/>
      <c r="WIC1634" s="1"/>
      <c r="WID1634" s="1"/>
      <c r="WIE1634" s="1"/>
      <c r="WIF1634" s="1"/>
      <c r="WIG1634" s="1"/>
      <c r="WIH1634" s="1"/>
      <c r="WII1634" s="1"/>
      <c r="WIJ1634" s="1"/>
      <c r="WIK1634" s="1"/>
      <c r="WIL1634" s="1"/>
      <c r="WIM1634" s="1"/>
      <c r="WIN1634" s="1"/>
      <c r="WIO1634" s="1"/>
      <c r="WIP1634" s="1"/>
      <c r="WIQ1634" s="1"/>
      <c r="WIR1634" s="1"/>
      <c r="WIS1634" s="1"/>
      <c r="WIT1634" s="1"/>
      <c r="WIU1634" s="1"/>
      <c r="WIV1634" s="1"/>
      <c r="WIW1634" s="1"/>
      <c r="WIX1634" s="1"/>
      <c r="WIY1634" s="1"/>
      <c r="WIZ1634" s="1"/>
      <c r="WJA1634" s="1"/>
      <c r="WJB1634" s="1"/>
      <c r="WJC1634" s="1"/>
      <c r="WJD1634" s="1"/>
      <c r="WJE1634" s="1"/>
      <c r="WJF1634" s="1"/>
      <c r="WJG1634" s="1"/>
      <c r="WJH1634" s="1"/>
      <c r="WJI1634" s="1"/>
      <c r="WJJ1634" s="1"/>
      <c r="WJK1634" s="1"/>
      <c r="WJL1634" s="1"/>
      <c r="WJM1634" s="1"/>
      <c r="WJN1634" s="1"/>
      <c r="WJO1634" s="1"/>
      <c r="WJP1634" s="1"/>
      <c r="WJQ1634" s="1"/>
      <c r="WJR1634" s="1"/>
      <c r="WJS1634" s="1"/>
      <c r="WJT1634" s="1"/>
      <c r="WJU1634" s="1"/>
      <c r="WJV1634" s="1"/>
      <c r="WJW1634" s="1"/>
      <c r="WJX1634" s="1"/>
      <c r="WJY1634" s="1"/>
      <c r="WJZ1634" s="1"/>
      <c r="WKA1634" s="1"/>
      <c r="WKB1634" s="1"/>
      <c r="WKC1634" s="1"/>
      <c r="WKD1634" s="1"/>
      <c r="WKE1634" s="1"/>
      <c r="WKF1634" s="1"/>
      <c r="WKG1634" s="1"/>
      <c r="WKH1634" s="1"/>
      <c r="WKI1634" s="1"/>
      <c r="WKJ1634" s="1"/>
      <c r="WKK1634" s="1"/>
      <c r="WKL1634" s="1"/>
      <c r="WKM1634" s="1"/>
      <c r="WKN1634" s="1"/>
      <c r="WKO1634" s="1"/>
      <c r="WKP1634" s="1"/>
      <c r="WKQ1634" s="1"/>
      <c r="WKR1634" s="1"/>
      <c r="WKS1634" s="1"/>
      <c r="WKT1634" s="1"/>
      <c r="WKU1634" s="1"/>
      <c r="WKV1634" s="1"/>
      <c r="WKW1634" s="1"/>
      <c r="WKX1634" s="1"/>
      <c r="WKY1634" s="1"/>
      <c r="WKZ1634" s="1"/>
      <c r="WLA1634" s="1"/>
      <c r="WLB1634" s="1"/>
      <c r="WLC1634" s="1"/>
      <c r="WLD1634" s="1"/>
      <c r="WLE1634" s="1"/>
      <c r="WLF1634" s="1"/>
      <c r="WLG1634" s="1"/>
      <c r="WLH1634" s="1"/>
      <c r="WLI1634" s="1"/>
      <c r="WLJ1634" s="1"/>
      <c r="WLK1634" s="1"/>
      <c r="WLL1634" s="1"/>
      <c r="WLM1634" s="1"/>
      <c r="WLN1634" s="1"/>
      <c r="WLO1634" s="1"/>
      <c r="WLP1634" s="1"/>
      <c r="WLQ1634" s="1"/>
      <c r="WLR1634" s="1"/>
      <c r="WLS1634" s="1"/>
      <c r="WLT1634" s="1"/>
      <c r="WLU1634" s="1"/>
      <c r="WLV1634" s="1"/>
      <c r="WLW1634" s="1"/>
      <c r="WLX1634" s="1"/>
      <c r="WLY1634" s="1"/>
      <c r="WLZ1634" s="1"/>
      <c r="WMA1634" s="1"/>
      <c r="WMB1634" s="1"/>
      <c r="WMC1634" s="1"/>
      <c r="WMD1634" s="1"/>
      <c r="WME1634" s="1"/>
      <c r="WMF1634" s="1"/>
      <c r="WMG1634" s="1"/>
      <c r="WMH1634" s="1"/>
      <c r="WMI1634" s="1"/>
      <c r="WMJ1634" s="1"/>
      <c r="WMK1634" s="1"/>
      <c r="WML1634" s="1"/>
      <c r="WMM1634" s="1"/>
      <c r="WMN1634" s="1"/>
      <c r="WMO1634" s="1"/>
      <c r="WMP1634" s="1"/>
      <c r="WMQ1634" s="1"/>
      <c r="WMR1634" s="1"/>
      <c r="WMS1634" s="1"/>
      <c r="WMT1634" s="1"/>
      <c r="WMU1634" s="1"/>
      <c r="WMV1634" s="1"/>
      <c r="WMW1634" s="1"/>
      <c r="WMX1634" s="1"/>
      <c r="WMY1634" s="1"/>
      <c r="WMZ1634" s="1"/>
      <c r="WNA1634" s="1"/>
      <c r="WNB1634" s="1"/>
      <c r="WNC1634" s="1"/>
      <c r="WND1634" s="1"/>
      <c r="WNE1634" s="1"/>
      <c r="WNF1634" s="1"/>
      <c r="WNG1634" s="1"/>
      <c r="WNH1634" s="1"/>
      <c r="WNI1634" s="1"/>
      <c r="WNJ1634" s="1"/>
      <c r="WNK1634" s="1"/>
      <c r="WNL1634" s="1"/>
      <c r="WNM1634" s="1"/>
      <c r="WNN1634" s="1"/>
      <c r="WNO1634" s="1"/>
      <c r="WNP1634" s="1"/>
      <c r="WNQ1634" s="1"/>
      <c r="WNR1634" s="1"/>
      <c r="WNS1634" s="1"/>
      <c r="WNT1634" s="1"/>
      <c r="WNU1634" s="1"/>
      <c r="WNV1634" s="1"/>
      <c r="WNW1634" s="1"/>
      <c r="WNX1634" s="1"/>
      <c r="WNY1634" s="1"/>
      <c r="WNZ1634" s="1"/>
      <c r="WOA1634" s="1"/>
      <c r="WOB1634" s="1"/>
      <c r="WOC1634" s="1"/>
      <c r="WOD1634" s="1"/>
      <c r="WOE1634" s="1"/>
      <c r="WOF1634" s="1"/>
      <c r="WOG1634" s="1"/>
      <c r="WOH1634" s="1"/>
      <c r="WOI1634" s="1"/>
      <c r="WOJ1634" s="1"/>
      <c r="WOK1634" s="1"/>
      <c r="WOL1634" s="1"/>
      <c r="WOM1634" s="1"/>
      <c r="WON1634" s="1"/>
      <c r="WOO1634" s="1"/>
      <c r="WOP1634" s="1"/>
      <c r="WOQ1634" s="1"/>
      <c r="WOR1634" s="1"/>
      <c r="WOS1634" s="1"/>
      <c r="WOT1634" s="1"/>
      <c r="WOU1634" s="1"/>
      <c r="WOV1634" s="1"/>
      <c r="WOW1634" s="1"/>
      <c r="WOX1634" s="1"/>
      <c r="WOY1634" s="1"/>
      <c r="WOZ1634" s="1"/>
      <c r="WPA1634" s="1"/>
      <c r="WPB1634" s="1"/>
      <c r="WPC1634" s="1"/>
      <c r="WPD1634" s="1"/>
      <c r="WPE1634" s="1"/>
      <c r="WPF1634" s="1"/>
      <c r="WPG1634" s="1"/>
      <c r="WPH1634" s="1"/>
      <c r="WPI1634" s="1"/>
      <c r="WPJ1634" s="1"/>
      <c r="WPK1634" s="1"/>
      <c r="WPL1634" s="1"/>
      <c r="WPM1634" s="1"/>
      <c r="WPN1634" s="1"/>
      <c r="WPO1634" s="1"/>
      <c r="WPP1634" s="1"/>
      <c r="WPQ1634" s="1"/>
      <c r="WPR1634" s="1"/>
      <c r="WPS1634" s="1"/>
      <c r="WPT1634" s="1"/>
      <c r="WPU1634" s="1"/>
      <c r="WPV1634" s="1"/>
      <c r="WPW1634" s="1"/>
      <c r="WPX1634" s="1"/>
      <c r="WPY1634" s="1"/>
      <c r="WPZ1634" s="1"/>
      <c r="WQA1634" s="1"/>
      <c r="WQB1634" s="1"/>
      <c r="WQC1634" s="1"/>
      <c r="WQD1634" s="1"/>
      <c r="WQE1634" s="1"/>
      <c r="WQF1634" s="1"/>
      <c r="WQG1634" s="1"/>
      <c r="WQH1634" s="1"/>
      <c r="WQI1634" s="1"/>
      <c r="WQJ1634" s="1"/>
      <c r="WQK1634" s="1"/>
      <c r="WQL1634" s="1"/>
      <c r="WQM1634" s="1"/>
      <c r="WQN1634" s="1"/>
      <c r="WQO1634" s="1"/>
      <c r="WQP1634" s="1"/>
      <c r="WQQ1634" s="1"/>
      <c r="WQR1634" s="1"/>
      <c r="WQS1634" s="1"/>
      <c r="WQT1634" s="1"/>
      <c r="WQU1634" s="1"/>
      <c r="WQV1634" s="1"/>
      <c r="WQW1634" s="1"/>
      <c r="WQX1634" s="1"/>
      <c r="WQY1634" s="1"/>
      <c r="WQZ1634" s="1"/>
      <c r="WRA1634" s="1"/>
      <c r="WRB1634" s="1"/>
      <c r="WRC1634" s="1"/>
      <c r="WRD1634" s="1"/>
      <c r="WRE1634" s="1"/>
      <c r="WRF1634" s="1"/>
      <c r="WRG1634" s="1"/>
      <c r="WRH1634" s="1"/>
      <c r="WRI1634" s="1"/>
      <c r="WRJ1634" s="1"/>
      <c r="WRK1634" s="1"/>
      <c r="WRL1634" s="1"/>
      <c r="WRM1634" s="1"/>
      <c r="WRN1634" s="1"/>
      <c r="WRO1634" s="1"/>
      <c r="WRP1634" s="1"/>
      <c r="WRQ1634" s="1"/>
      <c r="WRR1634" s="1"/>
      <c r="WRS1634" s="1"/>
      <c r="WRT1634" s="1"/>
      <c r="WRU1634" s="1"/>
      <c r="WRV1634" s="1"/>
      <c r="WRW1634" s="1"/>
      <c r="WRX1634" s="1"/>
      <c r="WRY1634" s="1"/>
      <c r="WRZ1634" s="1"/>
      <c r="WSA1634" s="1"/>
      <c r="WSB1634" s="1"/>
      <c r="WSC1634" s="1"/>
      <c r="WSD1634" s="1"/>
      <c r="WSE1634" s="1"/>
      <c r="WSF1634" s="1"/>
      <c r="WSG1634" s="1"/>
      <c r="WSH1634" s="1"/>
      <c r="WSI1634" s="1"/>
      <c r="WSJ1634" s="1"/>
      <c r="WSK1634" s="1"/>
      <c r="WSL1634" s="1"/>
      <c r="WSM1634" s="1"/>
      <c r="WSN1634" s="1"/>
      <c r="WSO1634" s="1"/>
      <c r="WSP1634" s="1"/>
      <c r="WSQ1634" s="1"/>
      <c r="WSR1634" s="1"/>
      <c r="WSS1634" s="1"/>
      <c r="WST1634" s="1"/>
      <c r="WSU1634" s="1"/>
      <c r="WSV1634" s="1"/>
      <c r="WSW1634" s="1"/>
      <c r="WSX1634" s="1"/>
      <c r="WSY1634" s="1"/>
      <c r="WSZ1634" s="1"/>
      <c r="WTA1634" s="1"/>
      <c r="WTB1634" s="1"/>
      <c r="WTC1634" s="1"/>
      <c r="WTD1634" s="1"/>
      <c r="WTE1634" s="1"/>
      <c r="WTF1634" s="1"/>
      <c r="WTG1634" s="1"/>
      <c r="WTH1634" s="1"/>
      <c r="WTI1634" s="1"/>
      <c r="WTJ1634" s="1"/>
      <c r="WTK1634" s="1"/>
      <c r="WTL1634" s="1"/>
      <c r="WTM1634" s="1"/>
      <c r="WTN1634" s="1"/>
      <c r="WTO1634" s="1"/>
      <c r="WTP1634" s="1"/>
      <c r="WTQ1634" s="1"/>
      <c r="WTR1634" s="1"/>
      <c r="WTS1634" s="1"/>
      <c r="WTT1634" s="1"/>
      <c r="WTU1634" s="1"/>
      <c r="WTV1634" s="1"/>
      <c r="WTW1634" s="1"/>
      <c r="WTX1634" s="1"/>
      <c r="WTY1634" s="1"/>
      <c r="WTZ1634" s="1"/>
      <c r="WUA1634" s="1"/>
      <c r="WUB1634" s="1"/>
      <c r="WUC1634" s="1"/>
      <c r="WUD1634" s="1"/>
      <c r="WUE1634" s="1"/>
      <c r="WUF1634" s="1"/>
      <c r="WUG1634" s="1"/>
      <c r="WUH1634" s="1"/>
      <c r="WUI1634" s="1"/>
      <c r="WUJ1634" s="1"/>
      <c r="WUK1634" s="1"/>
      <c r="WUL1634" s="1"/>
      <c r="WUM1634" s="1"/>
      <c r="WUN1634" s="1"/>
      <c r="WUO1634" s="1"/>
      <c r="WUP1634" s="1"/>
      <c r="WUQ1634" s="1"/>
      <c r="WUR1634" s="1"/>
      <c r="WUS1634" s="1"/>
      <c r="WUT1634" s="1"/>
      <c r="WUU1634" s="1"/>
      <c r="WUV1634" s="1"/>
      <c r="WUW1634" s="1"/>
      <c r="WUX1634" s="1"/>
      <c r="WUY1634" s="1"/>
      <c r="WUZ1634" s="1"/>
      <c r="WVA1634" s="1"/>
      <c r="WVB1634" s="1"/>
      <c r="WVC1634" s="1"/>
      <c r="WVD1634" s="1"/>
      <c r="WVE1634" s="1"/>
      <c r="WVF1634" s="1"/>
      <c r="WVG1634" s="1"/>
      <c r="WVH1634" s="1"/>
      <c r="WVI1634" s="1"/>
      <c r="WVJ1634" s="1"/>
      <c r="WVK1634" s="1"/>
      <c r="WVL1634" s="1"/>
      <c r="WVM1634" s="1"/>
      <c r="WVN1634" s="1"/>
      <c r="WVO1634" s="1"/>
      <c r="WVP1634" s="1"/>
      <c r="WVQ1634" s="1"/>
      <c r="WVR1634" s="1"/>
      <c r="WVS1634" s="1"/>
      <c r="WVT1634" s="1"/>
      <c r="WVU1634" s="1"/>
      <c r="WVV1634" s="1"/>
      <c r="WVW1634" s="1"/>
      <c r="WVX1634" s="1"/>
      <c r="WVY1634" s="1"/>
      <c r="WVZ1634" s="1"/>
      <c r="WWA1634" s="1"/>
      <c r="WWB1634" s="1"/>
      <c r="WWC1634" s="1"/>
      <c r="WWD1634" s="1"/>
      <c r="WWE1634" s="1"/>
      <c r="WWF1634" s="1"/>
      <c r="WWG1634" s="1"/>
      <c r="WWH1634" s="1"/>
      <c r="WWI1634" s="1"/>
      <c r="WWJ1634" s="1"/>
      <c r="WWK1634" s="1"/>
      <c r="WWL1634" s="1"/>
      <c r="WWM1634" s="1"/>
      <c r="WWN1634" s="1"/>
      <c r="WWO1634" s="1"/>
      <c r="WWP1634" s="1"/>
      <c r="WWQ1634" s="1"/>
      <c r="WWR1634" s="1"/>
      <c r="WWS1634" s="1"/>
      <c r="WWT1634" s="1"/>
      <c r="WWU1634" s="1"/>
      <c r="WWV1634" s="1"/>
      <c r="WWW1634" s="1"/>
      <c r="WWX1634" s="1"/>
      <c r="WWY1634" s="1"/>
      <c r="WWZ1634" s="1"/>
      <c r="WXA1634" s="1"/>
      <c r="WXB1634" s="1"/>
      <c r="WXC1634" s="1"/>
      <c r="WXD1634" s="1"/>
      <c r="WXE1634" s="1"/>
      <c r="WXF1634" s="1"/>
      <c r="WXG1634" s="1"/>
      <c r="WXH1634" s="1"/>
      <c r="WXI1634" s="1"/>
      <c r="WXJ1634" s="1"/>
      <c r="WXK1634" s="1"/>
      <c r="WXL1634" s="1"/>
      <c r="WXM1634" s="1"/>
      <c r="WXN1634" s="1"/>
      <c r="WXO1634" s="1"/>
      <c r="WXP1634" s="1"/>
      <c r="WXQ1634" s="1"/>
      <c r="WXR1634" s="1"/>
      <c r="WXS1634" s="1"/>
      <c r="WXT1634" s="1"/>
      <c r="WXU1634" s="1"/>
      <c r="WXV1634" s="1"/>
      <c r="WXW1634" s="1"/>
      <c r="WXX1634" s="1"/>
      <c r="WXY1634" s="1"/>
      <c r="WXZ1634" s="1"/>
      <c r="WYA1634" s="1"/>
      <c r="WYB1634" s="1"/>
      <c r="WYC1634" s="1"/>
      <c r="WYD1634" s="1"/>
      <c r="WYE1634" s="1"/>
      <c r="WYF1634" s="1"/>
      <c r="WYG1634" s="1"/>
      <c r="WYH1634" s="1"/>
      <c r="WYI1634" s="1"/>
      <c r="WYJ1634" s="1"/>
      <c r="WYK1634" s="1"/>
      <c r="WYL1634" s="1"/>
      <c r="WYM1634" s="1"/>
      <c r="WYN1634" s="1"/>
      <c r="WYO1634" s="1"/>
      <c r="WYP1634" s="1"/>
      <c r="WYQ1634" s="1"/>
      <c r="WYR1634" s="1"/>
      <c r="WYS1634" s="1"/>
      <c r="WYT1634" s="1"/>
      <c r="WYU1634" s="1"/>
      <c r="WYV1634" s="1"/>
      <c r="WYW1634" s="1"/>
      <c r="WYX1634" s="1"/>
      <c r="WYY1634" s="1"/>
      <c r="WYZ1634" s="1"/>
      <c r="WZA1634" s="1"/>
      <c r="WZB1634" s="1"/>
      <c r="WZC1634" s="1"/>
      <c r="WZD1634" s="1"/>
      <c r="WZE1634" s="1"/>
      <c r="WZF1634" s="1"/>
      <c r="WZG1634" s="1"/>
      <c r="WZH1634" s="1"/>
      <c r="WZI1634" s="1"/>
      <c r="WZJ1634" s="1"/>
      <c r="WZK1634" s="1"/>
      <c r="WZL1634" s="1"/>
      <c r="WZM1634" s="1"/>
      <c r="WZN1634" s="1"/>
      <c r="WZO1634" s="1"/>
      <c r="WZP1634" s="1"/>
      <c r="WZQ1634" s="1"/>
      <c r="WZR1634" s="1"/>
      <c r="WZS1634" s="1"/>
      <c r="WZT1634" s="1"/>
      <c r="WZU1634" s="1"/>
      <c r="WZV1634" s="1"/>
      <c r="WZW1634" s="1"/>
      <c r="WZX1634" s="1"/>
      <c r="WZY1634" s="1"/>
      <c r="WZZ1634" s="1"/>
      <c r="XAA1634" s="1"/>
      <c r="XAB1634" s="1"/>
      <c r="XAC1634" s="1"/>
      <c r="XAD1634" s="1"/>
      <c r="XAE1634" s="1"/>
      <c r="XAF1634" s="1"/>
      <c r="XAG1634" s="1"/>
      <c r="XAH1634" s="1"/>
      <c r="XAI1634" s="1"/>
      <c r="XAJ1634" s="1"/>
      <c r="XAK1634" s="1"/>
      <c r="XAL1634" s="1"/>
      <c r="XAM1634" s="1"/>
      <c r="XAN1634" s="1"/>
      <c r="XAO1634" s="1"/>
      <c r="XAP1634" s="1"/>
      <c r="XAQ1634" s="1"/>
      <c r="XAR1634" s="1"/>
      <c r="XAS1634" s="1"/>
      <c r="XAT1634" s="1"/>
      <c r="XAU1634" s="1"/>
      <c r="XAV1634" s="1"/>
      <c r="XAW1634" s="1"/>
      <c r="XAX1634" s="1"/>
      <c r="XAY1634" s="1"/>
      <c r="XAZ1634" s="1"/>
      <c r="XBA1634" s="1"/>
      <c r="XBB1634" s="1"/>
      <c r="XBC1634" s="1"/>
      <c r="XBD1634" s="1"/>
      <c r="XBE1634" s="1"/>
      <c r="XBF1634" s="1"/>
      <c r="XBG1634" s="1"/>
      <c r="XBH1634" s="1"/>
      <c r="XBI1634" s="1"/>
      <c r="XBJ1634" s="1"/>
      <c r="XBK1634" s="1"/>
      <c r="XBL1634" s="1"/>
      <c r="XBM1634" s="1"/>
      <c r="XBN1634" s="1"/>
      <c r="XBO1634" s="1"/>
      <c r="XBP1634" s="1"/>
      <c r="XBQ1634" s="1"/>
      <c r="XBR1634" s="1"/>
      <c r="XBS1634" s="1"/>
      <c r="XBT1634" s="1"/>
      <c r="XBU1634" s="1"/>
      <c r="XBV1634" s="1"/>
      <c r="XBW1634" s="1"/>
      <c r="XBX1634" s="1"/>
      <c r="XBY1634" s="1"/>
      <c r="XBZ1634" s="1"/>
      <c r="XCA1634" s="1"/>
      <c r="XCB1634" s="1"/>
      <c r="XCC1634" s="1"/>
      <c r="XCD1634" s="1"/>
      <c r="XCE1634" s="1"/>
      <c r="XCF1634" s="1"/>
      <c r="XCG1634" s="1"/>
      <c r="XCH1634" s="1"/>
      <c r="XCI1634" s="1"/>
      <c r="XCJ1634" s="1"/>
      <c r="XCK1634" s="1"/>
      <c r="XCL1634" s="1"/>
      <c r="XCM1634" s="1"/>
      <c r="XCN1634" s="1"/>
      <c r="XCO1634" s="1"/>
      <c r="XCP1634" s="1"/>
      <c r="XCQ1634" s="1"/>
      <c r="XCR1634" s="1"/>
      <c r="XCS1634" s="1"/>
      <c r="XCT1634" s="1"/>
      <c r="XCU1634" s="1"/>
      <c r="XCV1634" s="1"/>
      <c r="XCW1634" s="1"/>
      <c r="XCX1634" s="1"/>
      <c r="XCY1634" s="1"/>
      <c r="XCZ1634" s="1"/>
      <c r="XDA1634" s="1"/>
      <c r="XDB1634" s="1"/>
      <c r="XDC1634" s="1"/>
      <c r="XDD1634" s="1"/>
      <c r="XDE1634" s="1"/>
      <c r="XDF1634" s="1"/>
      <c r="XDG1634" s="1"/>
      <c r="XDH1634" s="1"/>
      <c r="XDI1634" s="1"/>
      <c r="XDJ1634" s="1"/>
      <c r="XDK1634" s="1"/>
      <c r="XDL1634" s="1"/>
      <c r="XDM1634" s="1"/>
      <c r="XDN1634" s="1"/>
      <c r="XDO1634" s="1"/>
      <c r="XDP1634" s="1"/>
      <c r="XDQ1634" s="1"/>
      <c r="XDR1634" s="1"/>
      <c r="XDS1634" s="1"/>
    </row>
    <row r="1635" spans="1:16347" s="26" customFormat="1" x14ac:dyDescent="0.25">
      <c r="A1635" s="1" t="s">
        <v>1014</v>
      </c>
      <c r="B1635" s="1" t="s">
        <v>1643</v>
      </c>
      <c r="C1635" s="1">
        <v>1572</v>
      </c>
      <c r="D1635" s="1">
        <v>0.5</v>
      </c>
      <c r="E1635" s="3">
        <f t="shared" si="104"/>
        <v>786</v>
      </c>
      <c r="F1635" s="1">
        <f t="shared" si="105"/>
        <v>943.19999999999993</v>
      </c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  <c r="BF1635" s="1"/>
      <c r="BG1635" s="1"/>
      <c r="BH1635" s="1"/>
      <c r="BI1635" s="1"/>
      <c r="BJ1635" s="1"/>
      <c r="BK1635" s="1"/>
      <c r="BL1635" s="1"/>
      <c r="BM1635" s="1"/>
      <c r="BN1635" s="1"/>
      <c r="BO1635" s="1"/>
      <c r="BP1635" s="1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  <c r="CC1635" s="1"/>
      <c r="CD1635" s="1"/>
      <c r="CE1635" s="1"/>
      <c r="CF1635" s="1"/>
      <c r="CG1635" s="1"/>
      <c r="CH1635" s="1"/>
      <c r="CI1635" s="1"/>
      <c r="CJ1635" s="1"/>
      <c r="CK1635" s="1"/>
      <c r="CL1635" s="1"/>
      <c r="CM1635" s="1"/>
      <c r="CN1635" s="1"/>
      <c r="CO1635" s="1"/>
      <c r="CP1635" s="1"/>
      <c r="CQ1635" s="1"/>
      <c r="CR1635" s="1"/>
      <c r="CS1635" s="1"/>
      <c r="CT1635" s="1"/>
      <c r="CU1635" s="1"/>
      <c r="CV1635" s="1"/>
      <c r="CW1635" s="1"/>
      <c r="CX1635" s="1"/>
      <c r="CY1635" s="1"/>
      <c r="CZ1635" s="1"/>
      <c r="DA1635" s="1"/>
      <c r="DB1635" s="1"/>
      <c r="DC1635" s="1"/>
      <c r="DD1635" s="1"/>
      <c r="DE1635" s="1"/>
      <c r="DF1635" s="1"/>
      <c r="DG1635" s="1"/>
      <c r="DH1635" s="1"/>
      <c r="DI1635" s="1"/>
      <c r="DJ1635" s="1"/>
      <c r="DK1635" s="1"/>
      <c r="DL1635" s="1"/>
      <c r="DM1635" s="1"/>
      <c r="DN1635" s="1"/>
      <c r="DO1635" s="1"/>
      <c r="DP1635" s="1"/>
      <c r="DQ1635" s="1"/>
      <c r="DR1635" s="1"/>
      <c r="DS1635" s="1"/>
      <c r="DT1635" s="1"/>
      <c r="DU1635" s="1"/>
      <c r="DV1635" s="1"/>
      <c r="DW1635" s="1"/>
      <c r="DX1635" s="1"/>
      <c r="DY1635" s="1"/>
      <c r="DZ1635" s="1"/>
      <c r="EA1635" s="1"/>
      <c r="EB1635" s="1"/>
      <c r="EC1635" s="1"/>
      <c r="ED1635" s="1"/>
      <c r="EE1635" s="1"/>
      <c r="EF1635" s="1"/>
      <c r="EG1635" s="1"/>
      <c r="EH1635" s="1"/>
      <c r="EI1635" s="1"/>
      <c r="EJ1635" s="1"/>
      <c r="EK1635" s="1"/>
      <c r="EL1635" s="1"/>
      <c r="EM1635" s="1"/>
      <c r="EN1635" s="1"/>
      <c r="EO1635" s="1"/>
      <c r="EP1635" s="1"/>
      <c r="EQ1635" s="1"/>
      <c r="ER1635" s="1"/>
      <c r="ES1635" s="1"/>
      <c r="ET1635" s="1"/>
      <c r="EU1635" s="1"/>
      <c r="EV1635" s="1"/>
      <c r="EW1635" s="1"/>
      <c r="EX1635" s="1"/>
      <c r="EY1635" s="1"/>
      <c r="EZ1635" s="1"/>
      <c r="FA1635" s="1"/>
      <c r="FB1635" s="1"/>
      <c r="FC1635" s="1"/>
      <c r="FD1635" s="1"/>
      <c r="FE1635" s="1"/>
      <c r="FF1635" s="1"/>
      <c r="FG1635" s="1"/>
      <c r="FH1635" s="1"/>
      <c r="FI1635" s="1"/>
      <c r="FJ1635" s="1"/>
      <c r="FK1635" s="1"/>
      <c r="FL1635" s="1"/>
      <c r="FM1635" s="1"/>
      <c r="FN1635" s="1"/>
      <c r="FO1635" s="1"/>
      <c r="FP1635" s="1"/>
      <c r="FQ1635" s="1"/>
      <c r="FR1635" s="1"/>
      <c r="FS1635" s="1"/>
      <c r="FT1635" s="1"/>
      <c r="FU1635" s="1"/>
      <c r="FV1635" s="1"/>
      <c r="FW1635" s="1"/>
      <c r="FX1635" s="1"/>
      <c r="FY1635" s="1"/>
      <c r="FZ1635" s="1"/>
      <c r="GA1635" s="1"/>
      <c r="GB1635" s="1"/>
      <c r="GC1635" s="1"/>
      <c r="GD1635" s="1"/>
      <c r="GE1635" s="1"/>
      <c r="GF1635" s="1"/>
      <c r="GG1635" s="1"/>
      <c r="GH1635" s="1"/>
      <c r="GI1635" s="1"/>
      <c r="GJ1635" s="1"/>
      <c r="GK1635" s="1"/>
      <c r="GL1635" s="1"/>
      <c r="GM1635" s="1"/>
      <c r="GN1635" s="1"/>
      <c r="GO1635" s="1"/>
      <c r="GP1635" s="1"/>
      <c r="GQ1635" s="1"/>
      <c r="GR1635" s="1"/>
      <c r="GS1635" s="1"/>
      <c r="GT1635" s="1"/>
      <c r="GU1635" s="1"/>
      <c r="GV1635" s="1"/>
      <c r="GW1635" s="1"/>
      <c r="GX1635" s="1"/>
      <c r="GY1635" s="1"/>
      <c r="GZ1635" s="1"/>
      <c r="HA1635" s="1"/>
      <c r="HB1635" s="1"/>
      <c r="HC1635" s="1"/>
      <c r="HD1635" s="1"/>
      <c r="HE1635" s="1"/>
      <c r="HF1635" s="1"/>
      <c r="HG1635" s="1"/>
      <c r="HH1635" s="1"/>
      <c r="HI1635" s="1"/>
      <c r="HJ1635" s="1"/>
      <c r="HK1635" s="1"/>
      <c r="HL1635" s="1"/>
      <c r="HM1635" s="1"/>
      <c r="HN1635" s="1"/>
      <c r="HO1635" s="1"/>
      <c r="HP1635" s="1"/>
      <c r="HQ1635" s="1"/>
      <c r="HR1635" s="1"/>
      <c r="HS1635" s="1"/>
      <c r="HT1635" s="1"/>
      <c r="HU1635" s="1"/>
      <c r="HV1635" s="1"/>
      <c r="HW1635" s="1"/>
      <c r="HX1635" s="1"/>
      <c r="HY1635" s="1"/>
      <c r="HZ1635" s="1"/>
      <c r="IA1635" s="1"/>
      <c r="IB1635" s="1"/>
      <c r="IC1635" s="1"/>
      <c r="ID1635" s="1"/>
      <c r="IE1635" s="1"/>
      <c r="IF1635" s="1"/>
      <c r="IG1635" s="1"/>
      <c r="IH1635" s="1"/>
      <c r="II1635" s="1"/>
      <c r="IJ1635" s="1"/>
      <c r="IK1635" s="1"/>
      <c r="IL1635" s="1"/>
      <c r="IM1635" s="1"/>
      <c r="IN1635" s="1"/>
      <c r="IO1635" s="1"/>
      <c r="IP1635" s="1"/>
      <c r="IQ1635" s="1"/>
      <c r="IR1635" s="1"/>
      <c r="IS1635" s="1"/>
      <c r="IT1635" s="1"/>
      <c r="IU1635" s="1"/>
      <c r="IV1635" s="1"/>
      <c r="IW1635" s="1"/>
      <c r="IX1635" s="1"/>
      <c r="IY1635" s="1"/>
      <c r="IZ1635" s="1"/>
      <c r="JA1635" s="1"/>
      <c r="JB1635" s="1"/>
      <c r="JC1635" s="1"/>
      <c r="JD1635" s="1"/>
      <c r="JE1635" s="1"/>
      <c r="JF1635" s="1"/>
      <c r="JG1635" s="1"/>
      <c r="JH1635" s="1"/>
      <c r="JI1635" s="1"/>
      <c r="JJ1635" s="1"/>
      <c r="JK1635" s="1"/>
      <c r="JL1635" s="1"/>
      <c r="JM1635" s="1"/>
      <c r="JN1635" s="1"/>
      <c r="JO1635" s="1"/>
      <c r="JP1635" s="1"/>
      <c r="JQ1635" s="1"/>
      <c r="JR1635" s="1"/>
      <c r="JS1635" s="1"/>
      <c r="JT1635" s="1"/>
      <c r="JU1635" s="1"/>
      <c r="JV1635" s="1"/>
      <c r="JW1635" s="1"/>
      <c r="JX1635" s="1"/>
      <c r="JY1635" s="1"/>
      <c r="JZ1635" s="1"/>
      <c r="KA1635" s="1"/>
      <c r="KB1635" s="1"/>
      <c r="KC1635" s="1"/>
      <c r="KD1635" s="1"/>
      <c r="KE1635" s="1"/>
      <c r="KF1635" s="1"/>
      <c r="KG1635" s="1"/>
      <c r="KH1635" s="1"/>
      <c r="KI1635" s="1"/>
      <c r="KJ1635" s="1"/>
      <c r="KK1635" s="1"/>
      <c r="KL1635" s="1"/>
      <c r="KM1635" s="1"/>
      <c r="KN1635" s="1"/>
      <c r="KO1635" s="1"/>
      <c r="KP1635" s="1"/>
      <c r="KQ1635" s="1"/>
      <c r="KR1635" s="1"/>
      <c r="KS1635" s="1"/>
      <c r="KT1635" s="1"/>
      <c r="KU1635" s="1"/>
      <c r="KV1635" s="1"/>
      <c r="KW1635" s="1"/>
      <c r="KX1635" s="1"/>
      <c r="KY1635" s="1"/>
      <c r="KZ1635" s="1"/>
      <c r="LA1635" s="1"/>
      <c r="LB1635" s="1"/>
      <c r="LC1635" s="1"/>
      <c r="LD1635" s="1"/>
      <c r="LE1635" s="1"/>
      <c r="LF1635" s="1"/>
      <c r="LG1635" s="1"/>
      <c r="LH1635" s="1"/>
      <c r="LI1635" s="1"/>
      <c r="LJ1635" s="1"/>
      <c r="LK1635" s="1"/>
      <c r="LL1635" s="1"/>
      <c r="LM1635" s="1"/>
      <c r="LN1635" s="1"/>
      <c r="LO1635" s="1"/>
      <c r="LP1635" s="1"/>
      <c r="LQ1635" s="1"/>
      <c r="LR1635" s="1"/>
      <c r="LS1635" s="1"/>
      <c r="LT1635" s="1"/>
      <c r="LU1635" s="1"/>
      <c r="LV1635" s="1"/>
      <c r="LW1635" s="1"/>
      <c r="LX1635" s="1"/>
      <c r="LY1635" s="1"/>
      <c r="LZ1635" s="1"/>
      <c r="MA1635" s="1"/>
      <c r="MB1635" s="1"/>
      <c r="MC1635" s="1"/>
      <c r="MD1635" s="1"/>
      <c r="ME1635" s="1"/>
      <c r="MF1635" s="1"/>
      <c r="MG1635" s="1"/>
      <c r="MH1635" s="1"/>
      <c r="MI1635" s="1"/>
      <c r="MJ1635" s="1"/>
      <c r="MK1635" s="1"/>
      <c r="ML1635" s="1"/>
      <c r="MM1635" s="1"/>
      <c r="MN1635" s="1"/>
      <c r="MO1635" s="1"/>
      <c r="MP1635" s="1"/>
      <c r="MQ1635" s="1"/>
      <c r="MR1635" s="1"/>
      <c r="MS1635" s="1"/>
      <c r="MT1635" s="1"/>
      <c r="MU1635" s="1"/>
      <c r="MV1635" s="1"/>
      <c r="MW1635" s="1"/>
      <c r="MX1635" s="1"/>
      <c r="MY1635" s="1"/>
      <c r="MZ1635" s="1"/>
      <c r="NA1635" s="1"/>
      <c r="NB1635" s="1"/>
      <c r="NC1635" s="1"/>
      <c r="ND1635" s="1"/>
      <c r="NE1635" s="1"/>
      <c r="NF1635" s="1"/>
      <c r="NG1635" s="1"/>
      <c r="NH1635" s="1"/>
      <c r="NI1635" s="1"/>
      <c r="NJ1635" s="1"/>
      <c r="NK1635" s="1"/>
      <c r="NL1635" s="1"/>
      <c r="NM1635" s="1"/>
      <c r="NN1635" s="1"/>
      <c r="NO1635" s="1"/>
      <c r="NP1635" s="1"/>
      <c r="NQ1635" s="1"/>
      <c r="NR1635" s="1"/>
      <c r="NS1635" s="1"/>
      <c r="NT1635" s="1"/>
      <c r="NU1635" s="1"/>
      <c r="NV1635" s="1"/>
      <c r="NW1635" s="1"/>
      <c r="NX1635" s="1"/>
      <c r="NY1635" s="1"/>
      <c r="NZ1635" s="1"/>
      <c r="OA1635" s="1"/>
      <c r="OB1635" s="1"/>
      <c r="OC1635" s="1"/>
      <c r="OD1635" s="1"/>
      <c r="OE1635" s="1"/>
      <c r="OF1635" s="1"/>
      <c r="OG1635" s="1"/>
      <c r="OH1635" s="1"/>
      <c r="OI1635" s="1"/>
      <c r="OJ1635" s="1"/>
      <c r="OK1635" s="1"/>
      <c r="OL1635" s="1"/>
      <c r="OM1635" s="1"/>
      <c r="ON1635" s="1"/>
      <c r="OO1635" s="1"/>
      <c r="OP1635" s="1"/>
      <c r="OQ1635" s="1"/>
      <c r="OR1635" s="1"/>
      <c r="OS1635" s="1"/>
      <c r="OT1635" s="1"/>
      <c r="OU1635" s="1"/>
      <c r="OV1635" s="1"/>
      <c r="OW1635" s="1"/>
      <c r="OX1635" s="1"/>
      <c r="OY1635" s="1"/>
      <c r="OZ1635" s="1"/>
      <c r="PA1635" s="1"/>
      <c r="PB1635" s="1"/>
      <c r="PC1635" s="1"/>
      <c r="PD1635" s="1"/>
      <c r="PE1635" s="1"/>
      <c r="PF1635" s="1"/>
      <c r="PG1635" s="1"/>
      <c r="PH1635" s="1"/>
      <c r="PI1635" s="1"/>
      <c r="PJ1635" s="1"/>
      <c r="PK1635" s="1"/>
      <c r="PL1635" s="1"/>
      <c r="PM1635" s="1"/>
      <c r="PN1635" s="1"/>
      <c r="PO1635" s="1"/>
      <c r="PP1635" s="1"/>
      <c r="PQ1635" s="1"/>
      <c r="PR1635" s="1"/>
      <c r="PS1635" s="1"/>
      <c r="PT1635" s="1"/>
      <c r="PU1635" s="1"/>
      <c r="PV1635" s="1"/>
      <c r="PW1635" s="1"/>
      <c r="PX1635" s="1"/>
      <c r="PY1635" s="1"/>
      <c r="PZ1635" s="1"/>
      <c r="QA1635" s="1"/>
      <c r="QB1635" s="1"/>
      <c r="QC1635" s="1"/>
      <c r="QD1635" s="1"/>
      <c r="QE1635" s="1"/>
      <c r="QF1635" s="1"/>
      <c r="QG1635" s="1"/>
      <c r="QH1635" s="1"/>
      <c r="QI1635" s="1"/>
      <c r="QJ1635" s="1"/>
      <c r="QK1635" s="1"/>
      <c r="QL1635" s="1"/>
      <c r="QM1635" s="1"/>
      <c r="QN1635" s="1"/>
      <c r="QO1635" s="1"/>
      <c r="QP1635" s="1"/>
      <c r="QQ1635" s="1"/>
      <c r="QR1635" s="1"/>
      <c r="QS1635" s="1"/>
      <c r="QT1635" s="1"/>
      <c r="QU1635" s="1"/>
      <c r="QV1635" s="1"/>
      <c r="QW1635" s="1"/>
      <c r="QX1635" s="1"/>
      <c r="QY1635" s="1"/>
      <c r="QZ1635" s="1"/>
      <c r="RA1635" s="1"/>
      <c r="RB1635" s="1"/>
      <c r="RC1635" s="1"/>
      <c r="RD1635" s="1"/>
      <c r="RE1635" s="1"/>
      <c r="RF1635" s="1"/>
      <c r="RG1635" s="1"/>
      <c r="RH1635" s="1"/>
      <c r="RI1635" s="1"/>
      <c r="RJ1635" s="1"/>
      <c r="RK1635" s="1"/>
      <c r="RL1635" s="1"/>
      <c r="RM1635" s="1"/>
      <c r="RN1635" s="1"/>
      <c r="RO1635" s="1"/>
      <c r="RP1635" s="1"/>
      <c r="RQ1635" s="1"/>
      <c r="RR1635" s="1"/>
      <c r="RS1635" s="1"/>
      <c r="RT1635" s="1"/>
      <c r="RU1635" s="1"/>
      <c r="RV1635" s="1"/>
      <c r="RW1635" s="1"/>
      <c r="RX1635" s="1"/>
      <c r="RY1635" s="1"/>
      <c r="RZ1635" s="1"/>
      <c r="SA1635" s="1"/>
      <c r="SB1635" s="1"/>
      <c r="SC1635" s="1"/>
      <c r="SD1635" s="1"/>
      <c r="SE1635" s="1"/>
      <c r="SF1635" s="1"/>
      <c r="SG1635" s="1"/>
      <c r="SH1635" s="1"/>
      <c r="SI1635" s="1"/>
      <c r="SJ1635" s="1"/>
      <c r="SK1635" s="1"/>
      <c r="SL1635" s="1"/>
      <c r="SM1635" s="1"/>
      <c r="SN1635" s="1"/>
      <c r="SO1635" s="1"/>
      <c r="SP1635" s="1"/>
      <c r="SQ1635" s="1"/>
      <c r="SR1635" s="1"/>
      <c r="SS1635" s="1"/>
      <c r="ST1635" s="1"/>
      <c r="SU1635" s="1"/>
      <c r="SV1635" s="1"/>
      <c r="SW1635" s="1"/>
      <c r="SX1635" s="1"/>
      <c r="SY1635" s="1"/>
      <c r="SZ1635" s="1"/>
      <c r="TA1635" s="1"/>
      <c r="TB1635" s="1"/>
      <c r="TC1635" s="1"/>
      <c r="TD1635" s="1"/>
      <c r="TE1635" s="1"/>
      <c r="TF1635" s="1"/>
      <c r="TG1635" s="1"/>
      <c r="TH1635" s="1"/>
      <c r="TI1635" s="1"/>
      <c r="TJ1635" s="1"/>
      <c r="TK1635" s="1"/>
      <c r="TL1635" s="1"/>
      <c r="TM1635" s="1"/>
      <c r="TN1635" s="1"/>
      <c r="TO1635" s="1"/>
      <c r="TP1635" s="1"/>
      <c r="TQ1635" s="1"/>
      <c r="TR1635" s="1"/>
      <c r="TS1635" s="1"/>
      <c r="TT1635" s="1"/>
      <c r="TU1635" s="1"/>
      <c r="TV1635" s="1"/>
      <c r="TW1635" s="1"/>
      <c r="TX1635" s="1"/>
      <c r="TY1635" s="1"/>
      <c r="TZ1635" s="1"/>
      <c r="UA1635" s="1"/>
      <c r="UB1635" s="1"/>
      <c r="UC1635" s="1"/>
      <c r="UD1635" s="1"/>
      <c r="UE1635" s="1"/>
      <c r="UF1635" s="1"/>
      <c r="UG1635" s="1"/>
      <c r="UH1635" s="1"/>
      <c r="UI1635" s="1"/>
      <c r="UJ1635" s="1"/>
      <c r="UK1635" s="1"/>
      <c r="UL1635" s="1"/>
      <c r="UM1635" s="1"/>
      <c r="UN1635" s="1"/>
      <c r="UO1635" s="1"/>
      <c r="UP1635" s="1"/>
      <c r="UQ1635" s="1"/>
      <c r="UR1635" s="1"/>
      <c r="US1635" s="1"/>
      <c r="UT1635" s="1"/>
      <c r="UU1635" s="1"/>
      <c r="UV1635" s="1"/>
      <c r="UW1635" s="1"/>
      <c r="UX1635" s="1"/>
      <c r="UY1635" s="1"/>
      <c r="UZ1635" s="1"/>
      <c r="VA1635" s="1"/>
      <c r="VB1635" s="1"/>
      <c r="VC1635" s="1"/>
      <c r="VD1635" s="1"/>
      <c r="VE1635" s="1"/>
      <c r="VF1635" s="1"/>
      <c r="VG1635" s="1"/>
      <c r="VH1635" s="1"/>
      <c r="VI1635" s="1"/>
      <c r="VJ1635" s="1"/>
      <c r="VK1635" s="1"/>
      <c r="VL1635" s="1"/>
      <c r="VM1635" s="1"/>
      <c r="VN1635" s="1"/>
      <c r="VO1635" s="1"/>
      <c r="VP1635" s="1"/>
      <c r="VQ1635" s="1"/>
      <c r="VR1635" s="1"/>
      <c r="VS1635" s="1"/>
      <c r="VT1635" s="1"/>
      <c r="VU1635" s="1"/>
      <c r="VV1635" s="1"/>
      <c r="VW1635" s="1"/>
      <c r="VX1635" s="1"/>
      <c r="VY1635" s="1"/>
      <c r="VZ1635" s="1"/>
      <c r="WA1635" s="1"/>
      <c r="WB1635" s="1"/>
      <c r="WC1635" s="1"/>
      <c r="WD1635" s="1"/>
      <c r="WE1635" s="1"/>
      <c r="WF1635" s="1"/>
      <c r="WG1635" s="1"/>
      <c r="WH1635" s="1"/>
      <c r="WI1635" s="1"/>
      <c r="WJ1635" s="1"/>
      <c r="WK1635" s="1"/>
      <c r="WL1635" s="1"/>
      <c r="WM1635" s="1"/>
      <c r="WN1635" s="1"/>
      <c r="WO1635" s="1"/>
      <c r="WP1635" s="1"/>
      <c r="WQ1635" s="1"/>
      <c r="WR1635" s="1"/>
      <c r="WS1635" s="1"/>
      <c r="WT1635" s="1"/>
      <c r="WU1635" s="1"/>
      <c r="WV1635" s="1"/>
      <c r="WW1635" s="1"/>
      <c r="WX1635" s="1"/>
      <c r="WY1635" s="1"/>
      <c r="WZ1635" s="1"/>
      <c r="XA1635" s="1"/>
      <c r="XB1635" s="1"/>
      <c r="XC1635" s="1"/>
      <c r="XD1635" s="1"/>
      <c r="XE1635" s="1"/>
      <c r="XF1635" s="1"/>
      <c r="XG1635" s="1"/>
      <c r="XH1635" s="1"/>
      <c r="XI1635" s="1"/>
      <c r="XJ1635" s="1"/>
      <c r="XK1635" s="1"/>
      <c r="XL1635" s="1"/>
      <c r="XM1635" s="1"/>
      <c r="XN1635" s="1"/>
      <c r="XO1635" s="1"/>
      <c r="XP1635" s="1"/>
      <c r="XQ1635" s="1"/>
      <c r="XR1635" s="1"/>
      <c r="XS1635" s="1"/>
      <c r="XT1635" s="1"/>
      <c r="XU1635" s="1"/>
      <c r="XV1635" s="1"/>
      <c r="XW1635" s="1"/>
      <c r="XX1635" s="1"/>
      <c r="XY1635" s="1"/>
      <c r="XZ1635" s="1"/>
      <c r="YA1635" s="1"/>
      <c r="YB1635" s="1"/>
      <c r="YC1635" s="1"/>
      <c r="YD1635" s="1"/>
      <c r="YE1635" s="1"/>
      <c r="YF1635" s="1"/>
      <c r="YG1635" s="1"/>
      <c r="YH1635" s="1"/>
      <c r="YI1635" s="1"/>
      <c r="YJ1635" s="1"/>
      <c r="YK1635" s="1"/>
      <c r="YL1635" s="1"/>
      <c r="YM1635" s="1"/>
      <c r="YN1635" s="1"/>
      <c r="YO1635" s="1"/>
      <c r="YP1635" s="1"/>
      <c r="YQ1635" s="1"/>
      <c r="YR1635" s="1"/>
      <c r="YS1635" s="1"/>
      <c r="YT1635" s="1"/>
      <c r="YU1635" s="1"/>
      <c r="YV1635" s="1"/>
      <c r="YW1635" s="1"/>
      <c r="YX1635" s="1"/>
      <c r="YY1635" s="1"/>
      <c r="YZ1635" s="1"/>
      <c r="ZA1635" s="1"/>
      <c r="ZB1635" s="1"/>
      <c r="ZC1635" s="1"/>
      <c r="ZD1635" s="1"/>
      <c r="ZE1635" s="1"/>
      <c r="ZF1635" s="1"/>
      <c r="ZG1635" s="1"/>
      <c r="ZH1635" s="1"/>
      <c r="ZI1635" s="1"/>
      <c r="ZJ1635" s="1"/>
      <c r="ZK1635" s="1"/>
      <c r="ZL1635" s="1"/>
      <c r="ZM1635" s="1"/>
      <c r="ZN1635" s="1"/>
      <c r="ZO1635" s="1"/>
      <c r="ZP1635" s="1"/>
      <c r="ZQ1635" s="1"/>
      <c r="ZR1635" s="1"/>
      <c r="ZS1635" s="1"/>
      <c r="ZT1635" s="1"/>
      <c r="ZU1635" s="1"/>
      <c r="ZV1635" s="1"/>
      <c r="ZW1635" s="1"/>
      <c r="ZX1635" s="1"/>
      <c r="ZY1635" s="1"/>
      <c r="ZZ1635" s="1"/>
      <c r="AAA1635" s="1"/>
      <c r="AAB1635" s="1"/>
      <c r="AAC1635" s="1"/>
      <c r="AAD1635" s="1"/>
      <c r="AAE1635" s="1"/>
      <c r="AAF1635" s="1"/>
      <c r="AAG1635" s="1"/>
      <c r="AAH1635" s="1"/>
      <c r="AAI1635" s="1"/>
      <c r="AAJ1635" s="1"/>
      <c r="AAK1635" s="1"/>
      <c r="AAL1635" s="1"/>
      <c r="AAM1635" s="1"/>
      <c r="AAN1635" s="1"/>
      <c r="AAO1635" s="1"/>
      <c r="AAP1635" s="1"/>
      <c r="AAQ1635" s="1"/>
      <c r="AAR1635" s="1"/>
      <c r="AAS1635" s="1"/>
      <c r="AAT1635" s="1"/>
      <c r="AAU1635" s="1"/>
      <c r="AAV1635" s="1"/>
      <c r="AAW1635" s="1"/>
      <c r="AAX1635" s="1"/>
      <c r="AAY1635" s="1"/>
      <c r="AAZ1635" s="1"/>
      <c r="ABA1635" s="1"/>
      <c r="ABB1635" s="1"/>
      <c r="ABC1635" s="1"/>
      <c r="ABD1635" s="1"/>
      <c r="ABE1635" s="1"/>
      <c r="ABF1635" s="1"/>
      <c r="ABG1635" s="1"/>
      <c r="ABH1635" s="1"/>
      <c r="ABI1635" s="1"/>
      <c r="ABJ1635" s="1"/>
      <c r="ABK1635" s="1"/>
      <c r="ABL1635" s="1"/>
      <c r="ABM1635" s="1"/>
      <c r="ABN1635" s="1"/>
      <c r="ABO1635" s="1"/>
      <c r="ABP1635" s="1"/>
      <c r="ABQ1635" s="1"/>
      <c r="ABR1635" s="1"/>
      <c r="ABS1635" s="1"/>
      <c r="ABT1635" s="1"/>
      <c r="ABU1635" s="1"/>
      <c r="ABV1635" s="1"/>
      <c r="ABW1635" s="1"/>
      <c r="ABX1635" s="1"/>
      <c r="ABY1635" s="1"/>
      <c r="ABZ1635" s="1"/>
      <c r="ACA1635" s="1"/>
      <c r="ACB1635" s="1"/>
      <c r="ACC1635" s="1"/>
      <c r="ACD1635" s="1"/>
      <c r="ACE1635" s="1"/>
      <c r="ACF1635" s="1"/>
      <c r="ACG1635" s="1"/>
      <c r="ACH1635" s="1"/>
      <c r="ACI1635" s="1"/>
      <c r="ACJ1635" s="1"/>
      <c r="ACK1635" s="1"/>
      <c r="ACL1635" s="1"/>
      <c r="ACM1635" s="1"/>
      <c r="ACN1635" s="1"/>
      <c r="ACO1635" s="1"/>
      <c r="ACP1635" s="1"/>
      <c r="ACQ1635" s="1"/>
      <c r="ACR1635" s="1"/>
      <c r="ACS1635" s="1"/>
      <c r="ACT1635" s="1"/>
      <c r="ACU1635" s="1"/>
      <c r="ACV1635" s="1"/>
      <c r="ACW1635" s="1"/>
      <c r="ACX1635" s="1"/>
      <c r="ACY1635" s="1"/>
      <c r="ACZ1635" s="1"/>
      <c r="ADA1635" s="1"/>
      <c r="ADB1635" s="1"/>
      <c r="ADC1635" s="1"/>
      <c r="ADD1635" s="1"/>
      <c r="ADE1635" s="1"/>
      <c r="ADF1635" s="1"/>
      <c r="ADG1635" s="1"/>
      <c r="ADH1635" s="1"/>
      <c r="ADI1635" s="1"/>
      <c r="ADJ1635" s="1"/>
      <c r="ADK1635" s="1"/>
      <c r="ADL1635" s="1"/>
      <c r="ADM1635" s="1"/>
      <c r="ADN1635" s="1"/>
      <c r="ADO1635" s="1"/>
      <c r="ADP1635" s="1"/>
      <c r="ADQ1635" s="1"/>
      <c r="ADR1635" s="1"/>
      <c r="ADS1635" s="1"/>
      <c r="ADT1635" s="1"/>
      <c r="ADU1635" s="1"/>
      <c r="ADV1635" s="1"/>
      <c r="ADW1635" s="1"/>
      <c r="ADX1635" s="1"/>
      <c r="ADY1635" s="1"/>
      <c r="ADZ1635" s="1"/>
      <c r="AEA1635" s="1"/>
      <c r="AEB1635" s="1"/>
      <c r="AEC1635" s="1"/>
      <c r="AED1635" s="1"/>
      <c r="AEE1635" s="1"/>
      <c r="AEF1635" s="1"/>
      <c r="AEG1635" s="1"/>
      <c r="AEH1635" s="1"/>
      <c r="AEI1635" s="1"/>
      <c r="AEJ1635" s="1"/>
      <c r="AEK1635" s="1"/>
      <c r="AEL1635" s="1"/>
      <c r="AEM1635" s="1"/>
      <c r="AEN1635" s="1"/>
      <c r="AEO1635" s="1"/>
      <c r="AEP1635" s="1"/>
      <c r="AEQ1635" s="1"/>
      <c r="AER1635" s="1"/>
      <c r="AES1635" s="1"/>
      <c r="AET1635" s="1"/>
      <c r="AEU1635" s="1"/>
      <c r="AEV1635" s="1"/>
      <c r="AEW1635" s="1"/>
      <c r="AEX1635" s="1"/>
      <c r="AEY1635" s="1"/>
      <c r="AEZ1635" s="1"/>
      <c r="AFA1635" s="1"/>
      <c r="AFB1635" s="1"/>
      <c r="AFC1635" s="1"/>
      <c r="AFD1635" s="1"/>
      <c r="AFE1635" s="1"/>
      <c r="AFF1635" s="1"/>
      <c r="AFG1635" s="1"/>
      <c r="AFH1635" s="1"/>
      <c r="AFI1635" s="1"/>
      <c r="AFJ1635" s="1"/>
      <c r="AFK1635" s="1"/>
      <c r="AFL1635" s="1"/>
      <c r="AFM1635" s="1"/>
      <c r="AFN1635" s="1"/>
      <c r="AFO1635" s="1"/>
      <c r="AFP1635" s="1"/>
      <c r="AFQ1635" s="1"/>
      <c r="AFR1635" s="1"/>
      <c r="AFS1635" s="1"/>
      <c r="AFT1635" s="1"/>
      <c r="AFU1635" s="1"/>
      <c r="AFV1635" s="1"/>
      <c r="AFW1635" s="1"/>
      <c r="AFX1635" s="1"/>
      <c r="AFY1635" s="1"/>
      <c r="AFZ1635" s="1"/>
      <c r="AGA1635" s="1"/>
      <c r="AGB1635" s="1"/>
      <c r="AGC1635" s="1"/>
      <c r="AGD1635" s="1"/>
      <c r="AGE1635" s="1"/>
      <c r="AGF1635" s="1"/>
      <c r="AGG1635" s="1"/>
      <c r="AGH1635" s="1"/>
      <c r="AGI1635" s="1"/>
      <c r="AGJ1635" s="1"/>
      <c r="AGK1635" s="1"/>
      <c r="AGL1635" s="1"/>
      <c r="AGM1635" s="1"/>
      <c r="AGN1635" s="1"/>
      <c r="AGO1635" s="1"/>
      <c r="AGP1635" s="1"/>
      <c r="AGQ1635" s="1"/>
      <c r="AGR1635" s="1"/>
      <c r="AGS1635" s="1"/>
      <c r="AGT1635" s="1"/>
      <c r="AGU1635" s="1"/>
      <c r="AGV1635" s="1"/>
      <c r="AGW1635" s="1"/>
      <c r="AGX1635" s="1"/>
      <c r="AGY1635" s="1"/>
      <c r="AGZ1635" s="1"/>
      <c r="AHA1635" s="1"/>
      <c r="AHB1635" s="1"/>
      <c r="AHC1635" s="1"/>
      <c r="AHD1635" s="1"/>
      <c r="AHE1635" s="1"/>
      <c r="AHF1635" s="1"/>
      <c r="AHG1635" s="1"/>
      <c r="AHH1635" s="1"/>
      <c r="AHI1635" s="1"/>
      <c r="AHJ1635" s="1"/>
      <c r="AHK1635" s="1"/>
      <c r="AHL1635" s="1"/>
      <c r="AHM1635" s="1"/>
      <c r="AHN1635" s="1"/>
      <c r="AHO1635" s="1"/>
      <c r="AHP1635" s="1"/>
      <c r="AHQ1635" s="1"/>
      <c r="AHR1635" s="1"/>
      <c r="AHS1635" s="1"/>
      <c r="AHT1635" s="1"/>
      <c r="AHU1635" s="1"/>
      <c r="AHV1635" s="1"/>
      <c r="AHW1635" s="1"/>
      <c r="AHX1635" s="1"/>
      <c r="AHY1635" s="1"/>
      <c r="AHZ1635" s="1"/>
      <c r="AIA1635" s="1"/>
      <c r="AIB1635" s="1"/>
      <c r="AIC1635" s="1"/>
      <c r="AID1635" s="1"/>
      <c r="AIE1635" s="1"/>
      <c r="AIF1635" s="1"/>
      <c r="AIG1635" s="1"/>
      <c r="AIH1635" s="1"/>
      <c r="AII1635" s="1"/>
      <c r="AIJ1635" s="1"/>
      <c r="AIK1635" s="1"/>
      <c r="AIL1635" s="1"/>
      <c r="AIM1635" s="1"/>
      <c r="AIN1635" s="1"/>
      <c r="AIO1635" s="1"/>
      <c r="AIP1635" s="1"/>
      <c r="AIQ1635" s="1"/>
      <c r="AIR1635" s="1"/>
      <c r="AIS1635" s="1"/>
      <c r="AIT1635" s="1"/>
      <c r="AIU1635" s="1"/>
      <c r="AIV1635" s="1"/>
      <c r="AIW1635" s="1"/>
      <c r="AIX1635" s="1"/>
      <c r="AIY1635" s="1"/>
      <c r="AIZ1635" s="1"/>
      <c r="AJA1635" s="1"/>
      <c r="AJB1635" s="1"/>
      <c r="AJC1635" s="1"/>
      <c r="AJD1635" s="1"/>
      <c r="AJE1635" s="1"/>
      <c r="AJF1635" s="1"/>
      <c r="AJG1635" s="1"/>
      <c r="AJH1635" s="1"/>
      <c r="AJI1635" s="1"/>
      <c r="AJJ1635" s="1"/>
      <c r="AJK1635" s="1"/>
      <c r="AJL1635" s="1"/>
      <c r="AJM1635" s="1"/>
      <c r="AJN1635" s="1"/>
      <c r="AJO1635" s="1"/>
      <c r="AJP1635" s="1"/>
      <c r="AJQ1635" s="1"/>
      <c r="AJR1635" s="1"/>
      <c r="AJS1635" s="1"/>
      <c r="AJT1635" s="1"/>
      <c r="AJU1635" s="1"/>
      <c r="AJV1635" s="1"/>
      <c r="AJW1635" s="1"/>
      <c r="AJX1635" s="1"/>
      <c r="AJY1635" s="1"/>
      <c r="AJZ1635" s="1"/>
      <c r="AKA1635" s="1"/>
      <c r="AKB1635" s="1"/>
      <c r="AKC1635" s="1"/>
      <c r="AKD1635" s="1"/>
      <c r="AKE1635" s="1"/>
      <c r="AKF1635" s="1"/>
      <c r="AKG1635" s="1"/>
      <c r="AKH1635" s="1"/>
      <c r="AKI1635" s="1"/>
      <c r="AKJ1635" s="1"/>
      <c r="AKK1635" s="1"/>
      <c r="AKL1635" s="1"/>
      <c r="AKM1635" s="1"/>
      <c r="AKN1635" s="1"/>
      <c r="AKO1635" s="1"/>
      <c r="AKP1635" s="1"/>
      <c r="AKQ1635" s="1"/>
      <c r="AKR1635" s="1"/>
      <c r="AKS1635" s="1"/>
      <c r="AKT1635" s="1"/>
      <c r="AKU1635" s="1"/>
      <c r="AKV1635" s="1"/>
      <c r="AKW1635" s="1"/>
      <c r="AKX1635" s="1"/>
      <c r="AKY1635" s="1"/>
      <c r="AKZ1635" s="1"/>
      <c r="ALA1635" s="1"/>
      <c r="ALB1635" s="1"/>
      <c r="ALC1635" s="1"/>
      <c r="ALD1635" s="1"/>
      <c r="ALE1635" s="1"/>
      <c r="ALF1635" s="1"/>
      <c r="ALG1635" s="1"/>
      <c r="ALH1635" s="1"/>
      <c r="ALI1635" s="1"/>
      <c r="ALJ1635" s="1"/>
      <c r="ALK1635" s="1"/>
      <c r="ALL1635" s="1"/>
      <c r="ALM1635" s="1"/>
      <c r="ALN1635" s="1"/>
      <c r="ALO1635" s="1"/>
      <c r="ALP1635" s="1"/>
      <c r="ALQ1635" s="1"/>
      <c r="ALR1635" s="1"/>
      <c r="ALS1635" s="1"/>
      <c r="ALT1635" s="1"/>
      <c r="ALU1635" s="1"/>
      <c r="ALV1635" s="1"/>
      <c r="ALW1635" s="1"/>
      <c r="ALX1635" s="1"/>
      <c r="ALY1635" s="1"/>
      <c r="ALZ1635" s="1"/>
      <c r="AMA1635" s="1"/>
      <c r="AMB1635" s="1"/>
      <c r="AMC1635" s="1"/>
      <c r="AMD1635" s="1"/>
      <c r="AME1635" s="1"/>
      <c r="AMF1635" s="1"/>
      <c r="AMG1635" s="1"/>
      <c r="AMH1635" s="1"/>
      <c r="AMI1635" s="1"/>
      <c r="AMJ1635" s="1"/>
      <c r="AMK1635" s="1"/>
      <c r="AML1635" s="1"/>
      <c r="AMM1635" s="1"/>
      <c r="AMN1635" s="1"/>
      <c r="AMO1635" s="1"/>
      <c r="AMP1635" s="1"/>
      <c r="AMQ1635" s="1"/>
      <c r="AMR1635" s="1"/>
      <c r="AMS1635" s="1"/>
      <c r="AMT1635" s="1"/>
      <c r="AMU1635" s="1"/>
      <c r="AMV1635" s="1"/>
      <c r="AMW1635" s="1"/>
      <c r="AMX1635" s="1"/>
      <c r="AMY1635" s="1"/>
      <c r="AMZ1635" s="1"/>
      <c r="ANA1635" s="1"/>
      <c r="ANB1635" s="1"/>
      <c r="ANC1635" s="1"/>
      <c r="AND1635" s="1"/>
      <c r="ANE1635" s="1"/>
      <c r="ANF1635" s="1"/>
      <c r="ANG1635" s="1"/>
      <c r="ANH1635" s="1"/>
      <c r="ANI1635" s="1"/>
      <c r="ANJ1635" s="1"/>
      <c r="ANK1635" s="1"/>
      <c r="ANL1635" s="1"/>
      <c r="ANM1635" s="1"/>
      <c r="ANN1635" s="1"/>
      <c r="ANO1635" s="1"/>
      <c r="ANP1635" s="1"/>
      <c r="ANQ1635" s="1"/>
      <c r="ANR1635" s="1"/>
      <c r="ANS1635" s="1"/>
      <c r="ANT1635" s="1"/>
      <c r="ANU1635" s="1"/>
      <c r="ANV1635" s="1"/>
      <c r="ANW1635" s="1"/>
      <c r="ANX1635" s="1"/>
      <c r="ANY1635" s="1"/>
      <c r="ANZ1635" s="1"/>
      <c r="AOA1635" s="1"/>
      <c r="AOB1635" s="1"/>
      <c r="AOC1635" s="1"/>
      <c r="AOD1635" s="1"/>
      <c r="AOE1635" s="1"/>
      <c r="AOF1635" s="1"/>
      <c r="AOG1635" s="1"/>
      <c r="AOH1635" s="1"/>
      <c r="AOI1635" s="1"/>
      <c r="AOJ1635" s="1"/>
      <c r="AOK1635" s="1"/>
      <c r="AOL1635" s="1"/>
      <c r="AOM1635" s="1"/>
      <c r="AON1635" s="1"/>
      <c r="AOO1635" s="1"/>
      <c r="AOP1635" s="1"/>
      <c r="AOQ1635" s="1"/>
      <c r="AOR1635" s="1"/>
      <c r="AOS1635" s="1"/>
      <c r="AOT1635" s="1"/>
      <c r="AOU1635" s="1"/>
      <c r="AOV1635" s="1"/>
      <c r="AOW1635" s="1"/>
      <c r="AOX1635" s="1"/>
      <c r="AOY1635" s="1"/>
      <c r="AOZ1635" s="1"/>
      <c r="APA1635" s="1"/>
      <c r="APB1635" s="1"/>
      <c r="APC1635" s="1"/>
      <c r="APD1635" s="1"/>
      <c r="APE1635" s="1"/>
      <c r="APF1635" s="1"/>
      <c r="APG1635" s="1"/>
      <c r="APH1635" s="1"/>
      <c r="API1635" s="1"/>
      <c r="APJ1635" s="1"/>
      <c r="APK1635" s="1"/>
      <c r="APL1635" s="1"/>
      <c r="APM1635" s="1"/>
      <c r="APN1635" s="1"/>
      <c r="APO1635" s="1"/>
      <c r="APP1635" s="1"/>
      <c r="APQ1635" s="1"/>
      <c r="APR1635" s="1"/>
      <c r="APS1635" s="1"/>
      <c r="APT1635" s="1"/>
      <c r="APU1635" s="1"/>
      <c r="APV1635" s="1"/>
      <c r="APW1635" s="1"/>
      <c r="APX1635" s="1"/>
      <c r="APY1635" s="1"/>
      <c r="APZ1635" s="1"/>
      <c r="AQA1635" s="1"/>
      <c r="AQB1635" s="1"/>
      <c r="AQC1635" s="1"/>
      <c r="AQD1635" s="1"/>
      <c r="AQE1635" s="1"/>
      <c r="AQF1635" s="1"/>
      <c r="AQG1635" s="1"/>
      <c r="AQH1635" s="1"/>
      <c r="AQI1635" s="1"/>
      <c r="AQJ1635" s="1"/>
      <c r="AQK1635" s="1"/>
      <c r="AQL1635" s="1"/>
      <c r="AQM1635" s="1"/>
      <c r="AQN1635" s="1"/>
      <c r="AQO1635" s="1"/>
      <c r="AQP1635" s="1"/>
      <c r="AQQ1635" s="1"/>
      <c r="AQR1635" s="1"/>
      <c r="AQS1635" s="1"/>
      <c r="AQT1635" s="1"/>
      <c r="AQU1635" s="1"/>
      <c r="AQV1635" s="1"/>
      <c r="AQW1635" s="1"/>
      <c r="AQX1635" s="1"/>
      <c r="AQY1635" s="1"/>
      <c r="AQZ1635" s="1"/>
      <c r="ARA1635" s="1"/>
      <c r="ARB1635" s="1"/>
      <c r="ARC1635" s="1"/>
      <c r="ARD1635" s="1"/>
      <c r="ARE1635" s="1"/>
      <c r="ARF1635" s="1"/>
      <c r="ARG1635" s="1"/>
      <c r="ARH1635" s="1"/>
      <c r="ARI1635" s="1"/>
      <c r="ARJ1635" s="1"/>
      <c r="ARK1635" s="1"/>
      <c r="ARL1635" s="1"/>
      <c r="ARM1635" s="1"/>
      <c r="ARN1635" s="1"/>
      <c r="ARO1635" s="1"/>
      <c r="ARP1635" s="1"/>
      <c r="ARQ1635" s="1"/>
      <c r="ARR1635" s="1"/>
      <c r="ARS1635" s="1"/>
      <c r="ART1635" s="1"/>
      <c r="ARU1635" s="1"/>
      <c r="ARV1635" s="1"/>
      <c r="ARW1635" s="1"/>
      <c r="ARX1635" s="1"/>
      <c r="ARY1635" s="1"/>
      <c r="ARZ1635" s="1"/>
      <c r="ASA1635" s="1"/>
      <c r="ASB1635" s="1"/>
      <c r="ASC1635" s="1"/>
      <c r="ASD1635" s="1"/>
      <c r="ASE1635" s="1"/>
      <c r="ASF1635" s="1"/>
      <c r="ASG1635" s="1"/>
      <c r="ASH1635" s="1"/>
      <c r="ASI1635" s="1"/>
      <c r="ASJ1635" s="1"/>
      <c r="ASK1635" s="1"/>
      <c r="ASL1635" s="1"/>
      <c r="ASM1635" s="1"/>
      <c r="ASN1635" s="1"/>
      <c r="ASO1635" s="1"/>
      <c r="ASP1635" s="1"/>
      <c r="ASQ1635" s="1"/>
      <c r="ASR1635" s="1"/>
      <c r="ASS1635" s="1"/>
      <c r="AST1635" s="1"/>
      <c r="ASU1635" s="1"/>
      <c r="ASV1635" s="1"/>
      <c r="ASW1635" s="1"/>
      <c r="ASX1635" s="1"/>
      <c r="ASY1635" s="1"/>
      <c r="ASZ1635" s="1"/>
      <c r="ATA1635" s="1"/>
      <c r="ATB1635" s="1"/>
      <c r="ATC1635" s="1"/>
      <c r="ATD1635" s="1"/>
      <c r="ATE1635" s="1"/>
      <c r="ATF1635" s="1"/>
      <c r="ATG1635" s="1"/>
      <c r="ATH1635" s="1"/>
      <c r="ATI1635" s="1"/>
      <c r="ATJ1635" s="1"/>
      <c r="ATK1635" s="1"/>
      <c r="ATL1635" s="1"/>
      <c r="ATM1635" s="1"/>
      <c r="ATN1635" s="1"/>
      <c r="ATO1635" s="1"/>
      <c r="ATP1635" s="1"/>
      <c r="ATQ1635" s="1"/>
      <c r="ATR1635" s="1"/>
      <c r="ATS1635" s="1"/>
      <c r="ATT1635" s="1"/>
      <c r="ATU1635" s="1"/>
      <c r="ATV1635" s="1"/>
      <c r="ATW1635" s="1"/>
      <c r="ATX1635" s="1"/>
      <c r="ATY1635" s="1"/>
      <c r="ATZ1635" s="1"/>
      <c r="AUA1635" s="1"/>
      <c r="AUB1635" s="1"/>
      <c r="AUC1635" s="1"/>
      <c r="AUD1635" s="1"/>
      <c r="AUE1635" s="1"/>
      <c r="AUF1635" s="1"/>
      <c r="AUG1635" s="1"/>
      <c r="AUH1635" s="1"/>
      <c r="AUI1635" s="1"/>
      <c r="AUJ1635" s="1"/>
      <c r="AUK1635" s="1"/>
      <c r="AUL1635" s="1"/>
      <c r="AUM1635" s="1"/>
      <c r="AUN1635" s="1"/>
      <c r="AUO1635" s="1"/>
      <c r="AUP1635" s="1"/>
      <c r="AUQ1635" s="1"/>
      <c r="AUR1635" s="1"/>
      <c r="AUS1635" s="1"/>
      <c r="AUT1635" s="1"/>
      <c r="AUU1635" s="1"/>
      <c r="AUV1635" s="1"/>
      <c r="AUW1635" s="1"/>
      <c r="AUX1635" s="1"/>
      <c r="AUY1635" s="1"/>
      <c r="AUZ1635" s="1"/>
      <c r="AVA1635" s="1"/>
      <c r="AVB1635" s="1"/>
      <c r="AVC1635" s="1"/>
      <c r="AVD1635" s="1"/>
      <c r="AVE1635" s="1"/>
      <c r="AVF1635" s="1"/>
      <c r="AVG1635" s="1"/>
      <c r="AVH1635" s="1"/>
      <c r="AVI1635" s="1"/>
      <c r="AVJ1635" s="1"/>
      <c r="AVK1635" s="1"/>
      <c r="AVL1635" s="1"/>
      <c r="AVM1635" s="1"/>
      <c r="AVN1635" s="1"/>
      <c r="AVO1635" s="1"/>
      <c r="AVP1635" s="1"/>
      <c r="AVQ1635" s="1"/>
      <c r="AVR1635" s="1"/>
      <c r="AVS1635" s="1"/>
      <c r="AVT1635" s="1"/>
      <c r="AVU1635" s="1"/>
      <c r="AVV1635" s="1"/>
      <c r="AVW1635" s="1"/>
      <c r="AVX1635" s="1"/>
      <c r="AVY1635" s="1"/>
      <c r="AVZ1635" s="1"/>
      <c r="AWA1635" s="1"/>
      <c r="AWB1635" s="1"/>
      <c r="AWC1635" s="1"/>
      <c r="AWD1635" s="1"/>
      <c r="AWE1635" s="1"/>
      <c r="AWF1635" s="1"/>
      <c r="AWG1635" s="1"/>
      <c r="AWH1635" s="1"/>
      <c r="AWI1635" s="1"/>
      <c r="AWJ1635" s="1"/>
      <c r="AWK1635" s="1"/>
      <c r="AWL1635" s="1"/>
      <c r="AWM1635" s="1"/>
      <c r="AWN1635" s="1"/>
      <c r="AWO1635" s="1"/>
      <c r="AWP1635" s="1"/>
      <c r="AWQ1635" s="1"/>
      <c r="AWR1635" s="1"/>
      <c r="AWS1635" s="1"/>
      <c r="AWT1635" s="1"/>
      <c r="AWU1635" s="1"/>
      <c r="AWV1635" s="1"/>
      <c r="AWW1635" s="1"/>
      <c r="AWX1635" s="1"/>
      <c r="AWY1635" s="1"/>
      <c r="AWZ1635" s="1"/>
      <c r="AXA1635" s="1"/>
      <c r="AXB1635" s="1"/>
      <c r="AXC1635" s="1"/>
      <c r="AXD1635" s="1"/>
      <c r="AXE1635" s="1"/>
      <c r="AXF1635" s="1"/>
      <c r="AXG1635" s="1"/>
      <c r="AXH1635" s="1"/>
      <c r="AXI1635" s="1"/>
      <c r="AXJ1635" s="1"/>
      <c r="AXK1635" s="1"/>
      <c r="AXL1635" s="1"/>
      <c r="AXM1635" s="1"/>
      <c r="AXN1635" s="1"/>
      <c r="AXO1635" s="1"/>
      <c r="AXP1635" s="1"/>
      <c r="AXQ1635" s="1"/>
      <c r="AXR1635" s="1"/>
      <c r="AXS1635" s="1"/>
      <c r="AXT1635" s="1"/>
      <c r="AXU1635" s="1"/>
      <c r="AXV1635" s="1"/>
      <c r="AXW1635" s="1"/>
      <c r="AXX1635" s="1"/>
      <c r="AXY1635" s="1"/>
      <c r="AXZ1635" s="1"/>
      <c r="AYA1635" s="1"/>
      <c r="AYB1635" s="1"/>
      <c r="AYC1635" s="1"/>
      <c r="AYD1635" s="1"/>
      <c r="AYE1635" s="1"/>
      <c r="AYF1635" s="1"/>
      <c r="AYG1635" s="1"/>
      <c r="AYH1635" s="1"/>
      <c r="AYI1635" s="1"/>
      <c r="AYJ1635" s="1"/>
      <c r="AYK1635" s="1"/>
      <c r="AYL1635" s="1"/>
      <c r="AYM1635" s="1"/>
      <c r="AYN1635" s="1"/>
      <c r="AYO1635" s="1"/>
      <c r="AYP1635" s="1"/>
      <c r="AYQ1635" s="1"/>
      <c r="AYR1635" s="1"/>
      <c r="AYS1635" s="1"/>
      <c r="AYT1635" s="1"/>
      <c r="AYU1635" s="1"/>
      <c r="AYV1635" s="1"/>
      <c r="AYW1635" s="1"/>
      <c r="AYX1635" s="1"/>
      <c r="AYY1635" s="1"/>
      <c r="AYZ1635" s="1"/>
      <c r="AZA1635" s="1"/>
      <c r="AZB1635" s="1"/>
      <c r="AZC1635" s="1"/>
      <c r="AZD1635" s="1"/>
      <c r="AZE1635" s="1"/>
      <c r="AZF1635" s="1"/>
      <c r="AZG1635" s="1"/>
      <c r="AZH1635" s="1"/>
      <c r="AZI1635" s="1"/>
      <c r="AZJ1635" s="1"/>
      <c r="AZK1635" s="1"/>
      <c r="AZL1635" s="1"/>
      <c r="AZM1635" s="1"/>
      <c r="AZN1635" s="1"/>
      <c r="AZO1635" s="1"/>
      <c r="AZP1635" s="1"/>
      <c r="AZQ1635" s="1"/>
      <c r="AZR1635" s="1"/>
      <c r="AZS1635" s="1"/>
      <c r="AZT1635" s="1"/>
      <c r="AZU1635" s="1"/>
      <c r="AZV1635" s="1"/>
      <c r="AZW1635" s="1"/>
      <c r="AZX1635" s="1"/>
      <c r="AZY1635" s="1"/>
      <c r="AZZ1635" s="1"/>
      <c r="BAA1635" s="1"/>
      <c r="BAB1635" s="1"/>
      <c r="BAC1635" s="1"/>
      <c r="BAD1635" s="1"/>
      <c r="BAE1635" s="1"/>
      <c r="BAF1635" s="1"/>
      <c r="BAG1635" s="1"/>
      <c r="BAH1635" s="1"/>
      <c r="BAI1635" s="1"/>
      <c r="BAJ1635" s="1"/>
      <c r="BAK1635" s="1"/>
      <c r="BAL1635" s="1"/>
      <c r="BAM1635" s="1"/>
      <c r="BAN1635" s="1"/>
      <c r="BAO1635" s="1"/>
      <c r="BAP1635" s="1"/>
      <c r="BAQ1635" s="1"/>
      <c r="BAR1635" s="1"/>
      <c r="BAS1635" s="1"/>
      <c r="BAT1635" s="1"/>
      <c r="BAU1635" s="1"/>
      <c r="BAV1635" s="1"/>
      <c r="BAW1635" s="1"/>
      <c r="BAX1635" s="1"/>
      <c r="BAY1635" s="1"/>
      <c r="BAZ1635" s="1"/>
      <c r="BBA1635" s="1"/>
      <c r="BBB1635" s="1"/>
      <c r="BBC1635" s="1"/>
      <c r="BBD1635" s="1"/>
      <c r="BBE1635" s="1"/>
      <c r="BBF1635" s="1"/>
      <c r="BBG1635" s="1"/>
      <c r="BBH1635" s="1"/>
      <c r="BBI1635" s="1"/>
      <c r="BBJ1635" s="1"/>
      <c r="BBK1635" s="1"/>
      <c r="BBL1635" s="1"/>
      <c r="BBM1635" s="1"/>
      <c r="BBN1635" s="1"/>
      <c r="BBO1635" s="1"/>
      <c r="BBP1635" s="1"/>
      <c r="BBQ1635" s="1"/>
      <c r="BBR1635" s="1"/>
      <c r="BBS1635" s="1"/>
      <c r="BBT1635" s="1"/>
      <c r="BBU1635" s="1"/>
      <c r="BBV1635" s="1"/>
      <c r="BBW1635" s="1"/>
      <c r="BBX1635" s="1"/>
      <c r="BBY1635" s="1"/>
      <c r="BBZ1635" s="1"/>
      <c r="BCA1635" s="1"/>
      <c r="BCB1635" s="1"/>
      <c r="BCC1635" s="1"/>
      <c r="BCD1635" s="1"/>
      <c r="BCE1635" s="1"/>
      <c r="BCF1635" s="1"/>
      <c r="BCG1635" s="1"/>
      <c r="BCH1635" s="1"/>
      <c r="BCI1635" s="1"/>
      <c r="BCJ1635" s="1"/>
      <c r="BCK1635" s="1"/>
      <c r="BCL1635" s="1"/>
      <c r="BCM1635" s="1"/>
      <c r="BCN1635" s="1"/>
      <c r="BCO1635" s="1"/>
      <c r="BCP1635" s="1"/>
      <c r="BCQ1635" s="1"/>
      <c r="BCR1635" s="1"/>
      <c r="BCS1635" s="1"/>
      <c r="BCT1635" s="1"/>
      <c r="BCU1635" s="1"/>
      <c r="BCV1635" s="1"/>
      <c r="BCW1635" s="1"/>
      <c r="BCX1635" s="1"/>
      <c r="BCY1635" s="1"/>
      <c r="BCZ1635" s="1"/>
      <c r="BDA1635" s="1"/>
      <c r="BDB1635" s="1"/>
      <c r="BDC1635" s="1"/>
      <c r="BDD1635" s="1"/>
      <c r="BDE1635" s="1"/>
      <c r="BDF1635" s="1"/>
      <c r="BDG1635" s="1"/>
      <c r="BDH1635" s="1"/>
      <c r="BDI1635" s="1"/>
      <c r="BDJ1635" s="1"/>
      <c r="BDK1635" s="1"/>
      <c r="BDL1635" s="1"/>
      <c r="BDM1635" s="1"/>
      <c r="BDN1635" s="1"/>
      <c r="BDO1635" s="1"/>
      <c r="BDP1635" s="1"/>
      <c r="BDQ1635" s="1"/>
      <c r="BDR1635" s="1"/>
      <c r="BDS1635" s="1"/>
      <c r="BDT1635" s="1"/>
      <c r="BDU1635" s="1"/>
      <c r="BDV1635" s="1"/>
      <c r="BDW1635" s="1"/>
      <c r="BDX1635" s="1"/>
      <c r="BDY1635" s="1"/>
      <c r="BDZ1635" s="1"/>
      <c r="BEA1635" s="1"/>
      <c r="BEB1635" s="1"/>
      <c r="BEC1635" s="1"/>
      <c r="BED1635" s="1"/>
      <c r="BEE1635" s="1"/>
      <c r="BEF1635" s="1"/>
      <c r="BEG1635" s="1"/>
      <c r="BEH1635" s="1"/>
      <c r="BEI1635" s="1"/>
      <c r="BEJ1635" s="1"/>
      <c r="BEK1635" s="1"/>
      <c r="BEL1635" s="1"/>
      <c r="BEM1635" s="1"/>
      <c r="BEN1635" s="1"/>
      <c r="BEO1635" s="1"/>
      <c r="BEP1635" s="1"/>
      <c r="BEQ1635" s="1"/>
      <c r="BER1635" s="1"/>
      <c r="BES1635" s="1"/>
      <c r="BET1635" s="1"/>
      <c r="BEU1635" s="1"/>
      <c r="BEV1635" s="1"/>
      <c r="BEW1635" s="1"/>
      <c r="BEX1635" s="1"/>
      <c r="BEY1635" s="1"/>
      <c r="BEZ1635" s="1"/>
      <c r="BFA1635" s="1"/>
      <c r="BFB1635" s="1"/>
      <c r="BFC1635" s="1"/>
      <c r="BFD1635" s="1"/>
      <c r="BFE1635" s="1"/>
      <c r="BFF1635" s="1"/>
      <c r="BFG1635" s="1"/>
      <c r="BFH1635" s="1"/>
      <c r="BFI1635" s="1"/>
      <c r="BFJ1635" s="1"/>
      <c r="BFK1635" s="1"/>
      <c r="BFL1635" s="1"/>
      <c r="BFM1635" s="1"/>
      <c r="BFN1635" s="1"/>
      <c r="BFO1635" s="1"/>
      <c r="BFP1635" s="1"/>
      <c r="BFQ1635" s="1"/>
      <c r="BFR1635" s="1"/>
      <c r="BFS1635" s="1"/>
      <c r="BFT1635" s="1"/>
      <c r="BFU1635" s="1"/>
      <c r="BFV1635" s="1"/>
      <c r="BFW1635" s="1"/>
      <c r="BFX1635" s="1"/>
      <c r="BFY1635" s="1"/>
      <c r="BFZ1635" s="1"/>
      <c r="BGA1635" s="1"/>
      <c r="BGB1635" s="1"/>
      <c r="BGC1635" s="1"/>
      <c r="BGD1635" s="1"/>
      <c r="BGE1635" s="1"/>
      <c r="BGF1635" s="1"/>
      <c r="BGG1635" s="1"/>
      <c r="BGH1635" s="1"/>
      <c r="BGI1635" s="1"/>
      <c r="BGJ1635" s="1"/>
      <c r="BGK1635" s="1"/>
      <c r="BGL1635" s="1"/>
      <c r="BGM1635" s="1"/>
      <c r="BGN1635" s="1"/>
      <c r="BGO1635" s="1"/>
      <c r="BGP1635" s="1"/>
      <c r="BGQ1635" s="1"/>
      <c r="BGR1635" s="1"/>
      <c r="BGS1635" s="1"/>
      <c r="BGT1635" s="1"/>
      <c r="BGU1635" s="1"/>
      <c r="BGV1635" s="1"/>
      <c r="BGW1635" s="1"/>
      <c r="BGX1635" s="1"/>
      <c r="BGY1635" s="1"/>
      <c r="BGZ1635" s="1"/>
      <c r="BHA1635" s="1"/>
      <c r="BHB1635" s="1"/>
      <c r="BHC1635" s="1"/>
      <c r="BHD1635" s="1"/>
      <c r="BHE1635" s="1"/>
      <c r="BHF1635" s="1"/>
      <c r="BHG1635" s="1"/>
      <c r="BHH1635" s="1"/>
      <c r="BHI1635" s="1"/>
      <c r="BHJ1635" s="1"/>
      <c r="BHK1635" s="1"/>
      <c r="BHL1635" s="1"/>
      <c r="BHM1635" s="1"/>
      <c r="BHN1635" s="1"/>
      <c r="BHO1635" s="1"/>
      <c r="BHP1635" s="1"/>
      <c r="BHQ1635" s="1"/>
      <c r="BHR1635" s="1"/>
      <c r="BHS1635" s="1"/>
      <c r="BHT1635" s="1"/>
      <c r="BHU1635" s="1"/>
      <c r="BHV1635" s="1"/>
      <c r="BHW1635" s="1"/>
      <c r="BHX1635" s="1"/>
      <c r="BHY1635" s="1"/>
      <c r="BHZ1635" s="1"/>
      <c r="BIA1635" s="1"/>
      <c r="BIB1635" s="1"/>
      <c r="BIC1635" s="1"/>
      <c r="BID1635" s="1"/>
      <c r="BIE1635" s="1"/>
      <c r="BIF1635" s="1"/>
      <c r="BIG1635" s="1"/>
      <c r="BIH1635" s="1"/>
      <c r="BII1635" s="1"/>
      <c r="BIJ1635" s="1"/>
      <c r="BIK1635" s="1"/>
      <c r="BIL1635" s="1"/>
      <c r="BIM1635" s="1"/>
      <c r="BIN1635" s="1"/>
      <c r="BIO1635" s="1"/>
      <c r="BIP1635" s="1"/>
      <c r="BIQ1635" s="1"/>
      <c r="BIR1635" s="1"/>
      <c r="BIS1635" s="1"/>
      <c r="BIT1635" s="1"/>
      <c r="BIU1635" s="1"/>
      <c r="BIV1635" s="1"/>
      <c r="BIW1635" s="1"/>
      <c r="BIX1635" s="1"/>
      <c r="BIY1635" s="1"/>
      <c r="BIZ1635" s="1"/>
      <c r="BJA1635" s="1"/>
      <c r="BJB1635" s="1"/>
      <c r="BJC1635" s="1"/>
      <c r="BJD1635" s="1"/>
      <c r="BJE1635" s="1"/>
      <c r="BJF1635" s="1"/>
      <c r="BJG1635" s="1"/>
      <c r="BJH1635" s="1"/>
      <c r="BJI1635" s="1"/>
      <c r="BJJ1635" s="1"/>
      <c r="BJK1635" s="1"/>
      <c r="BJL1635" s="1"/>
      <c r="BJM1635" s="1"/>
      <c r="BJN1635" s="1"/>
      <c r="BJO1635" s="1"/>
      <c r="BJP1635" s="1"/>
      <c r="BJQ1635" s="1"/>
      <c r="BJR1635" s="1"/>
      <c r="BJS1635" s="1"/>
      <c r="BJT1635" s="1"/>
      <c r="BJU1635" s="1"/>
      <c r="BJV1635" s="1"/>
      <c r="BJW1635" s="1"/>
      <c r="BJX1635" s="1"/>
      <c r="BJY1635" s="1"/>
      <c r="BJZ1635" s="1"/>
      <c r="BKA1635" s="1"/>
      <c r="BKB1635" s="1"/>
      <c r="BKC1635" s="1"/>
      <c r="BKD1635" s="1"/>
      <c r="BKE1635" s="1"/>
      <c r="BKF1635" s="1"/>
      <c r="BKG1635" s="1"/>
      <c r="BKH1635" s="1"/>
      <c r="BKI1635" s="1"/>
      <c r="BKJ1635" s="1"/>
      <c r="BKK1635" s="1"/>
      <c r="BKL1635" s="1"/>
      <c r="BKM1635" s="1"/>
      <c r="BKN1635" s="1"/>
      <c r="BKO1635" s="1"/>
      <c r="BKP1635" s="1"/>
      <c r="BKQ1635" s="1"/>
      <c r="BKR1635" s="1"/>
      <c r="BKS1635" s="1"/>
      <c r="BKT1635" s="1"/>
      <c r="BKU1635" s="1"/>
      <c r="BKV1635" s="1"/>
      <c r="BKW1635" s="1"/>
      <c r="BKX1635" s="1"/>
      <c r="BKY1635" s="1"/>
      <c r="BKZ1635" s="1"/>
      <c r="BLA1635" s="1"/>
      <c r="BLB1635" s="1"/>
      <c r="BLC1635" s="1"/>
      <c r="BLD1635" s="1"/>
      <c r="BLE1635" s="1"/>
      <c r="BLF1635" s="1"/>
      <c r="BLG1635" s="1"/>
      <c r="BLH1635" s="1"/>
      <c r="BLI1635" s="1"/>
      <c r="BLJ1635" s="1"/>
      <c r="BLK1635" s="1"/>
      <c r="BLL1635" s="1"/>
      <c r="BLM1635" s="1"/>
      <c r="BLN1635" s="1"/>
      <c r="BLO1635" s="1"/>
      <c r="BLP1635" s="1"/>
      <c r="BLQ1635" s="1"/>
      <c r="BLR1635" s="1"/>
      <c r="BLS1635" s="1"/>
      <c r="BLT1635" s="1"/>
      <c r="BLU1635" s="1"/>
      <c r="BLV1635" s="1"/>
      <c r="BLW1635" s="1"/>
      <c r="BLX1635" s="1"/>
      <c r="BLY1635" s="1"/>
      <c r="BLZ1635" s="1"/>
      <c r="BMA1635" s="1"/>
      <c r="BMB1635" s="1"/>
      <c r="BMC1635" s="1"/>
      <c r="BMD1635" s="1"/>
      <c r="BME1635" s="1"/>
      <c r="BMF1635" s="1"/>
      <c r="BMG1635" s="1"/>
      <c r="BMH1635" s="1"/>
      <c r="BMI1635" s="1"/>
      <c r="BMJ1635" s="1"/>
      <c r="BMK1635" s="1"/>
      <c r="BML1635" s="1"/>
      <c r="BMM1635" s="1"/>
      <c r="BMN1635" s="1"/>
      <c r="BMO1635" s="1"/>
      <c r="BMP1635" s="1"/>
      <c r="BMQ1635" s="1"/>
      <c r="BMR1635" s="1"/>
      <c r="BMS1635" s="1"/>
      <c r="BMT1635" s="1"/>
      <c r="BMU1635" s="1"/>
      <c r="BMV1635" s="1"/>
      <c r="BMW1635" s="1"/>
      <c r="BMX1635" s="1"/>
      <c r="BMY1635" s="1"/>
      <c r="BMZ1635" s="1"/>
      <c r="BNA1635" s="1"/>
      <c r="BNB1635" s="1"/>
      <c r="BNC1635" s="1"/>
      <c r="BND1635" s="1"/>
      <c r="BNE1635" s="1"/>
      <c r="BNF1635" s="1"/>
      <c r="BNG1635" s="1"/>
      <c r="BNH1635" s="1"/>
      <c r="BNI1635" s="1"/>
      <c r="BNJ1635" s="1"/>
      <c r="BNK1635" s="1"/>
      <c r="BNL1635" s="1"/>
      <c r="BNM1635" s="1"/>
      <c r="BNN1635" s="1"/>
      <c r="BNO1635" s="1"/>
      <c r="BNP1635" s="1"/>
      <c r="BNQ1635" s="1"/>
      <c r="BNR1635" s="1"/>
      <c r="BNS1635" s="1"/>
      <c r="BNT1635" s="1"/>
      <c r="BNU1635" s="1"/>
      <c r="BNV1635" s="1"/>
      <c r="BNW1635" s="1"/>
      <c r="BNX1635" s="1"/>
      <c r="BNY1635" s="1"/>
      <c r="BNZ1635" s="1"/>
      <c r="BOA1635" s="1"/>
      <c r="BOB1635" s="1"/>
      <c r="BOC1635" s="1"/>
      <c r="BOD1635" s="1"/>
      <c r="BOE1635" s="1"/>
      <c r="BOF1635" s="1"/>
      <c r="BOG1635" s="1"/>
      <c r="BOH1635" s="1"/>
      <c r="BOI1635" s="1"/>
      <c r="BOJ1635" s="1"/>
      <c r="BOK1635" s="1"/>
      <c r="BOL1635" s="1"/>
      <c r="BOM1635" s="1"/>
      <c r="BON1635" s="1"/>
      <c r="BOO1635" s="1"/>
      <c r="BOP1635" s="1"/>
      <c r="BOQ1635" s="1"/>
      <c r="BOR1635" s="1"/>
      <c r="BOS1635" s="1"/>
      <c r="BOT1635" s="1"/>
      <c r="BOU1635" s="1"/>
      <c r="BOV1635" s="1"/>
      <c r="BOW1635" s="1"/>
      <c r="BOX1635" s="1"/>
      <c r="BOY1635" s="1"/>
      <c r="BOZ1635" s="1"/>
      <c r="BPA1635" s="1"/>
      <c r="BPB1635" s="1"/>
      <c r="BPC1635" s="1"/>
      <c r="BPD1635" s="1"/>
      <c r="BPE1635" s="1"/>
      <c r="BPF1635" s="1"/>
      <c r="BPG1635" s="1"/>
      <c r="BPH1635" s="1"/>
      <c r="BPI1635" s="1"/>
      <c r="BPJ1635" s="1"/>
      <c r="BPK1635" s="1"/>
      <c r="BPL1635" s="1"/>
      <c r="BPM1635" s="1"/>
      <c r="BPN1635" s="1"/>
      <c r="BPO1635" s="1"/>
      <c r="BPP1635" s="1"/>
      <c r="BPQ1635" s="1"/>
      <c r="BPR1635" s="1"/>
      <c r="BPS1635" s="1"/>
      <c r="BPT1635" s="1"/>
      <c r="BPU1635" s="1"/>
      <c r="BPV1635" s="1"/>
      <c r="BPW1635" s="1"/>
      <c r="BPX1635" s="1"/>
      <c r="BPY1635" s="1"/>
      <c r="BPZ1635" s="1"/>
      <c r="BQA1635" s="1"/>
      <c r="BQB1635" s="1"/>
      <c r="BQC1635" s="1"/>
      <c r="BQD1635" s="1"/>
      <c r="BQE1635" s="1"/>
      <c r="BQF1635" s="1"/>
      <c r="BQG1635" s="1"/>
      <c r="BQH1635" s="1"/>
      <c r="BQI1635" s="1"/>
      <c r="BQJ1635" s="1"/>
      <c r="BQK1635" s="1"/>
      <c r="BQL1635" s="1"/>
      <c r="BQM1635" s="1"/>
      <c r="BQN1635" s="1"/>
      <c r="BQO1635" s="1"/>
      <c r="BQP1635" s="1"/>
      <c r="BQQ1635" s="1"/>
      <c r="BQR1635" s="1"/>
      <c r="BQS1635" s="1"/>
      <c r="BQT1635" s="1"/>
      <c r="BQU1635" s="1"/>
      <c r="BQV1635" s="1"/>
      <c r="BQW1635" s="1"/>
      <c r="BQX1635" s="1"/>
      <c r="BQY1635" s="1"/>
      <c r="BQZ1635" s="1"/>
      <c r="BRA1635" s="1"/>
      <c r="BRB1635" s="1"/>
      <c r="BRC1635" s="1"/>
      <c r="BRD1635" s="1"/>
      <c r="BRE1635" s="1"/>
      <c r="BRF1635" s="1"/>
      <c r="BRG1635" s="1"/>
      <c r="BRH1635" s="1"/>
      <c r="BRI1635" s="1"/>
      <c r="BRJ1635" s="1"/>
      <c r="BRK1635" s="1"/>
      <c r="BRL1635" s="1"/>
      <c r="BRM1635" s="1"/>
      <c r="BRN1635" s="1"/>
      <c r="BRO1635" s="1"/>
      <c r="BRP1635" s="1"/>
      <c r="BRQ1635" s="1"/>
      <c r="BRR1635" s="1"/>
      <c r="BRS1635" s="1"/>
      <c r="BRT1635" s="1"/>
      <c r="BRU1635" s="1"/>
      <c r="BRV1635" s="1"/>
      <c r="BRW1635" s="1"/>
      <c r="BRX1635" s="1"/>
      <c r="BRY1635" s="1"/>
      <c r="BRZ1635" s="1"/>
      <c r="BSA1635" s="1"/>
      <c r="BSB1635" s="1"/>
      <c r="BSC1635" s="1"/>
      <c r="BSD1635" s="1"/>
      <c r="BSE1635" s="1"/>
      <c r="BSF1635" s="1"/>
      <c r="BSG1635" s="1"/>
      <c r="BSH1635" s="1"/>
      <c r="BSI1635" s="1"/>
      <c r="BSJ1635" s="1"/>
      <c r="BSK1635" s="1"/>
      <c r="BSL1635" s="1"/>
      <c r="BSM1635" s="1"/>
      <c r="BSN1635" s="1"/>
      <c r="BSO1635" s="1"/>
      <c r="BSP1635" s="1"/>
      <c r="BSQ1635" s="1"/>
      <c r="BSR1635" s="1"/>
      <c r="BSS1635" s="1"/>
      <c r="BST1635" s="1"/>
      <c r="BSU1635" s="1"/>
      <c r="BSV1635" s="1"/>
      <c r="BSW1635" s="1"/>
      <c r="BSX1635" s="1"/>
      <c r="BSY1635" s="1"/>
      <c r="BSZ1635" s="1"/>
      <c r="BTA1635" s="1"/>
      <c r="BTB1635" s="1"/>
      <c r="BTC1635" s="1"/>
      <c r="BTD1635" s="1"/>
      <c r="BTE1635" s="1"/>
      <c r="BTF1635" s="1"/>
      <c r="BTG1635" s="1"/>
      <c r="BTH1635" s="1"/>
      <c r="BTI1635" s="1"/>
      <c r="BTJ1635" s="1"/>
      <c r="BTK1635" s="1"/>
      <c r="BTL1635" s="1"/>
      <c r="BTM1635" s="1"/>
      <c r="BTN1635" s="1"/>
      <c r="BTO1635" s="1"/>
      <c r="BTP1635" s="1"/>
      <c r="BTQ1635" s="1"/>
      <c r="BTR1635" s="1"/>
      <c r="BTS1635" s="1"/>
      <c r="BTT1635" s="1"/>
      <c r="BTU1635" s="1"/>
      <c r="BTV1635" s="1"/>
      <c r="BTW1635" s="1"/>
      <c r="BTX1635" s="1"/>
      <c r="BTY1635" s="1"/>
      <c r="BTZ1635" s="1"/>
      <c r="BUA1635" s="1"/>
      <c r="BUB1635" s="1"/>
      <c r="BUC1635" s="1"/>
      <c r="BUD1635" s="1"/>
      <c r="BUE1635" s="1"/>
      <c r="BUF1635" s="1"/>
      <c r="BUG1635" s="1"/>
      <c r="BUH1635" s="1"/>
      <c r="BUI1635" s="1"/>
      <c r="BUJ1635" s="1"/>
      <c r="BUK1635" s="1"/>
      <c r="BUL1635" s="1"/>
      <c r="BUM1635" s="1"/>
      <c r="BUN1635" s="1"/>
      <c r="BUO1635" s="1"/>
      <c r="BUP1635" s="1"/>
      <c r="BUQ1635" s="1"/>
      <c r="BUR1635" s="1"/>
      <c r="BUS1635" s="1"/>
      <c r="BUT1635" s="1"/>
      <c r="BUU1635" s="1"/>
      <c r="BUV1635" s="1"/>
      <c r="BUW1635" s="1"/>
      <c r="BUX1635" s="1"/>
      <c r="BUY1635" s="1"/>
      <c r="BUZ1635" s="1"/>
      <c r="BVA1635" s="1"/>
      <c r="BVB1635" s="1"/>
      <c r="BVC1635" s="1"/>
      <c r="BVD1635" s="1"/>
      <c r="BVE1635" s="1"/>
      <c r="BVF1635" s="1"/>
      <c r="BVG1635" s="1"/>
      <c r="BVH1635" s="1"/>
      <c r="BVI1635" s="1"/>
      <c r="BVJ1635" s="1"/>
      <c r="BVK1635" s="1"/>
      <c r="BVL1635" s="1"/>
      <c r="BVM1635" s="1"/>
      <c r="BVN1635" s="1"/>
      <c r="BVO1635" s="1"/>
      <c r="BVP1635" s="1"/>
      <c r="BVQ1635" s="1"/>
      <c r="BVR1635" s="1"/>
      <c r="BVS1635" s="1"/>
      <c r="BVT1635" s="1"/>
      <c r="BVU1635" s="1"/>
      <c r="BVV1635" s="1"/>
      <c r="BVW1635" s="1"/>
      <c r="BVX1635" s="1"/>
      <c r="BVY1635" s="1"/>
      <c r="BVZ1635" s="1"/>
      <c r="BWA1635" s="1"/>
      <c r="BWB1635" s="1"/>
      <c r="BWC1635" s="1"/>
      <c r="BWD1635" s="1"/>
      <c r="BWE1635" s="1"/>
      <c r="BWF1635" s="1"/>
      <c r="BWG1635" s="1"/>
      <c r="BWH1635" s="1"/>
      <c r="BWI1635" s="1"/>
      <c r="BWJ1635" s="1"/>
      <c r="BWK1635" s="1"/>
      <c r="BWL1635" s="1"/>
      <c r="BWM1635" s="1"/>
      <c r="BWN1635" s="1"/>
      <c r="BWO1635" s="1"/>
      <c r="BWP1635" s="1"/>
      <c r="BWQ1635" s="1"/>
      <c r="BWR1635" s="1"/>
      <c r="BWS1635" s="1"/>
      <c r="BWT1635" s="1"/>
      <c r="BWU1635" s="1"/>
      <c r="BWV1635" s="1"/>
      <c r="BWW1635" s="1"/>
      <c r="BWX1635" s="1"/>
      <c r="BWY1635" s="1"/>
      <c r="BWZ1635" s="1"/>
      <c r="BXA1635" s="1"/>
      <c r="BXB1635" s="1"/>
      <c r="BXC1635" s="1"/>
      <c r="BXD1635" s="1"/>
      <c r="BXE1635" s="1"/>
      <c r="BXF1635" s="1"/>
      <c r="BXG1635" s="1"/>
      <c r="BXH1635" s="1"/>
      <c r="BXI1635" s="1"/>
      <c r="BXJ1635" s="1"/>
      <c r="BXK1635" s="1"/>
      <c r="BXL1635" s="1"/>
      <c r="BXM1635" s="1"/>
      <c r="BXN1635" s="1"/>
      <c r="BXO1635" s="1"/>
      <c r="BXP1635" s="1"/>
      <c r="BXQ1635" s="1"/>
      <c r="BXR1635" s="1"/>
      <c r="BXS1635" s="1"/>
      <c r="BXT1635" s="1"/>
      <c r="BXU1635" s="1"/>
      <c r="BXV1635" s="1"/>
      <c r="BXW1635" s="1"/>
      <c r="BXX1635" s="1"/>
      <c r="BXY1635" s="1"/>
      <c r="BXZ1635" s="1"/>
      <c r="BYA1635" s="1"/>
      <c r="BYB1635" s="1"/>
      <c r="BYC1635" s="1"/>
      <c r="BYD1635" s="1"/>
      <c r="BYE1635" s="1"/>
      <c r="BYF1635" s="1"/>
      <c r="BYG1635" s="1"/>
      <c r="BYH1635" s="1"/>
      <c r="BYI1635" s="1"/>
      <c r="BYJ1635" s="1"/>
      <c r="BYK1635" s="1"/>
      <c r="BYL1635" s="1"/>
      <c r="BYM1635" s="1"/>
      <c r="BYN1635" s="1"/>
      <c r="BYO1635" s="1"/>
      <c r="BYP1635" s="1"/>
      <c r="BYQ1635" s="1"/>
      <c r="BYR1635" s="1"/>
      <c r="BYS1635" s="1"/>
      <c r="BYT1635" s="1"/>
      <c r="BYU1635" s="1"/>
      <c r="BYV1635" s="1"/>
      <c r="BYW1635" s="1"/>
      <c r="BYX1635" s="1"/>
      <c r="BYY1635" s="1"/>
      <c r="BYZ1635" s="1"/>
      <c r="BZA1635" s="1"/>
      <c r="BZB1635" s="1"/>
      <c r="BZC1635" s="1"/>
      <c r="BZD1635" s="1"/>
      <c r="BZE1635" s="1"/>
      <c r="BZF1635" s="1"/>
      <c r="BZG1635" s="1"/>
      <c r="BZH1635" s="1"/>
      <c r="BZI1635" s="1"/>
      <c r="BZJ1635" s="1"/>
      <c r="BZK1635" s="1"/>
      <c r="BZL1635" s="1"/>
      <c r="BZM1635" s="1"/>
      <c r="BZN1635" s="1"/>
      <c r="BZO1635" s="1"/>
      <c r="BZP1635" s="1"/>
      <c r="BZQ1635" s="1"/>
      <c r="BZR1635" s="1"/>
      <c r="BZS1635" s="1"/>
      <c r="BZT1635" s="1"/>
      <c r="BZU1635" s="1"/>
      <c r="BZV1635" s="1"/>
      <c r="BZW1635" s="1"/>
      <c r="BZX1635" s="1"/>
      <c r="BZY1635" s="1"/>
      <c r="BZZ1635" s="1"/>
      <c r="CAA1635" s="1"/>
      <c r="CAB1635" s="1"/>
      <c r="CAC1635" s="1"/>
      <c r="CAD1635" s="1"/>
      <c r="CAE1635" s="1"/>
      <c r="CAF1635" s="1"/>
      <c r="CAG1635" s="1"/>
      <c r="CAH1635" s="1"/>
      <c r="CAI1635" s="1"/>
      <c r="CAJ1635" s="1"/>
      <c r="CAK1635" s="1"/>
      <c r="CAL1635" s="1"/>
      <c r="CAM1635" s="1"/>
      <c r="CAN1635" s="1"/>
      <c r="CAO1635" s="1"/>
      <c r="CAP1635" s="1"/>
      <c r="CAQ1635" s="1"/>
      <c r="CAR1635" s="1"/>
      <c r="CAS1635" s="1"/>
      <c r="CAT1635" s="1"/>
      <c r="CAU1635" s="1"/>
      <c r="CAV1635" s="1"/>
      <c r="CAW1635" s="1"/>
      <c r="CAX1635" s="1"/>
      <c r="CAY1635" s="1"/>
      <c r="CAZ1635" s="1"/>
      <c r="CBA1635" s="1"/>
      <c r="CBB1635" s="1"/>
      <c r="CBC1635" s="1"/>
      <c r="CBD1635" s="1"/>
      <c r="CBE1635" s="1"/>
      <c r="CBF1635" s="1"/>
      <c r="CBG1635" s="1"/>
      <c r="CBH1635" s="1"/>
      <c r="CBI1635" s="1"/>
      <c r="CBJ1635" s="1"/>
      <c r="CBK1635" s="1"/>
      <c r="CBL1635" s="1"/>
      <c r="CBM1635" s="1"/>
      <c r="CBN1635" s="1"/>
      <c r="CBO1635" s="1"/>
      <c r="CBP1635" s="1"/>
      <c r="CBQ1635" s="1"/>
      <c r="CBR1635" s="1"/>
      <c r="CBS1635" s="1"/>
      <c r="CBT1635" s="1"/>
      <c r="CBU1635" s="1"/>
      <c r="CBV1635" s="1"/>
      <c r="CBW1635" s="1"/>
      <c r="CBX1635" s="1"/>
      <c r="CBY1635" s="1"/>
      <c r="CBZ1635" s="1"/>
      <c r="CCA1635" s="1"/>
      <c r="CCB1635" s="1"/>
      <c r="CCC1635" s="1"/>
      <c r="CCD1635" s="1"/>
      <c r="CCE1635" s="1"/>
      <c r="CCF1635" s="1"/>
      <c r="CCG1635" s="1"/>
      <c r="CCH1635" s="1"/>
      <c r="CCI1635" s="1"/>
      <c r="CCJ1635" s="1"/>
      <c r="CCK1635" s="1"/>
      <c r="CCL1635" s="1"/>
      <c r="CCM1635" s="1"/>
      <c r="CCN1635" s="1"/>
      <c r="CCO1635" s="1"/>
      <c r="CCP1635" s="1"/>
      <c r="CCQ1635" s="1"/>
      <c r="CCR1635" s="1"/>
      <c r="CCS1635" s="1"/>
      <c r="CCT1635" s="1"/>
      <c r="CCU1635" s="1"/>
      <c r="CCV1635" s="1"/>
      <c r="CCW1635" s="1"/>
      <c r="CCX1635" s="1"/>
      <c r="CCY1635" s="1"/>
      <c r="CCZ1635" s="1"/>
      <c r="CDA1635" s="1"/>
      <c r="CDB1635" s="1"/>
      <c r="CDC1635" s="1"/>
      <c r="CDD1635" s="1"/>
      <c r="CDE1635" s="1"/>
      <c r="CDF1635" s="1"/>
      <c r="CDG1635" s="1"/>
      <c r="CDH1635" s="1"/>
      <c r="CDI1635" s="1"/>
      <c r="CDJ1635" s="1"/>
      <c r="CDK1635" s="1"/>
      <c r="CDL1635" s="1"/>
      <c r="CDM1635" s="1"/>
      <c r="CDN1635" s="1"/>
      <c r="CDO1635" s="1"/>
      <c r="CDP1635" s="1"/>
      <c r="CDQ1635" s="1"/>
      <c r="CDR1635" s="1"/>
      <c r="CDS1635" s="1"/>
      <c r="CDT1635" s="1"/>
      <c r="CDU1635" s="1"/>
      <c r="CDV1635" s="1"/>
      <c r="CDW1635" s="1"/>
      <c r="CDX1635" s="1"/>
      <c r="CDY1635" s="1"/>
      <c r="CDZ1635" s="1"/>
      <c r="CEA1635" s="1"/>
      <c r="CEB1635" s="1"/>
      <c r="CEC1635" s="1"/>
      <c r="CED1635" s="1"/>
      <c r="CEE1635" s="1"/>
      <c r="CEF1635" s="1"/>
      <c r="CEG1635" s="1"/>
      <c r="CEH1635" s="1"/>
      <c r="CEI1635" s="1"/>
      <c r="CEJ1635" s="1"/>
      <c r="CEK1635" s="1"/>
      <c r="CEL1635" s="1"/>
      <c r="CEM1635" s="1"/>
      <c r="CEN1635" s="1"/>
      <c r="CEO1635" s="1"/>
      <c r="CEP1635" s="1"/>
      <c r="CEQ1635" s="1"/>
      <c r="CER1635" s="1"/>
      <c r="CES1635" s="1"/>
      <c r="CET1635" s="1"/>
      <c r="CEU1635" s="1"/>
      <c r="CEV1635" s="1"/>
      <c r="CEW1635" s="1"/>
      <c r="CEX1635" s="1"/>
      <c r="CEY1635" s="1"/>
      <c r="CEZ1635" s="1"/>
      <c r="CFA1635" s="1"/>
      <c r="CFB1635" s="1"/>
      <c r="CFC1635" s="1"/>
      <c r="CFD1635" s="1"/>
      <c r="CFE1635" s="1"/>
      <c r="CFF1635" s="1"/>
      <c r="CFG1635" s="1"/>
      <c r="CFH1635" s="1"/>
      <c r="CFI1635" s="1"/>
      <c r="CFJ1635" s="1"/>
      <c r="CFK1635" s="1"/>
      <c r="CFL1635" s="1"/>
      <c r="CFM1635" s="1"/>
      <c r="CFN1635" s="1"/>
      <c r="CFO1635" s="1"/>
      <c r="CFP1635" s="1"/>
      <c r="CFQ1635" s="1"/>
      <c r="CFR1635" s="1"/>
      <c r="CFS1635" s="1"/>
      <c r="CFT1635" s="1"/>
      <c r="CFU1635" s="1"/>
      <c r="CFV1635" s="1"/>
      <c r="CFW1635" s="1"/>
      <c r="CFX1635" s="1"/>
      <c r="CFY1635" s="1"/>
      <c r="CFZ1635" s="1"/>
      <c r="CGA1635" s="1"/>
      <c r="CGB1635" s="1"/>
      <c r="CGC1635" s="1"/>
      <c r="CGD1635" s="1"/>
      <c r="CGE1635" s="1"/>
      <c r="CGF1635" s="1"/>
      <c r="CGG1635" s="1"/>
      <c r="CGH1635" s="1"/>
      <c r="CGI1635" s="1"/>
      <c r="CGJ1635" s="1"/>
      <c r="CGK1635" s="1"/>
      <c r="CGL1635" s="1"/>
      <c r="CGM1635" s="1"/>
      <c r="CGN1635" s="1"/>
      <c r="CGO1635" s="1"/>
      <c r="CGP1635" s="1"/>
      <c r="CGQ1635" s="1"/>
      <c r="CGR1635" s="1"/>
      <c r="CGS1635" s="1"/>
      <c r="CGT1635" s="1"/>
      <c r="CGU1635" s="1"/>
      <c r="CGV1635" s="1"/>
      <c r="CGW1635" s="1"/>
      <c r="CGX1635" s="1"/>
      <c r="CGY1635" s="1"/>
      <c r="CGZ1635" s="1"/>
      <c r="CHA1635" s="1"/>
      <c r="CHB1635" s="1"/>
      <c r="CHC1635" s="1"/>
      <c r="CHD1635" s="1"/>
      <c r="CHE1635" s="1"/>
      <c r="CHF1635" s="1"/>
      <c r="CHG1635" s="1"/>
      <c r="CHH1635" s="1"/>
      <c r="CHI1635" s="1"/>
      <c r="CHJ1635" s="1"/>
      <c r="CHK1635" s="1"/>
      <c r="CHL1635" s="1"/>
      <c r="CHM1635" s="1"/>
      <c r="CHN1635" s="1"/>
      <c r="CHO1635" s="1"/>
      <c r="CHP1635" s="1"/>
      <c r="CHQ1635" s="1"/>
      <c r="CHR1635" s="1"/>
      <c r="CHS1635" s="1"/>
      <c r="CHT1635" s="1"/>
      <c r="CHU1635" s="1"/>
      <c r="CHV1635" s="1"/>
      <c r="CHW1635" s="1"/>
      <c r="CHX1635" s="1"/>
      <c r="CHY1635" s="1"/>
      <c r="CHZ1635" s="1"/>
      <c r="CIA1635" s="1"/>
      <c r="CIB1635" s="1"/>
      <c r="CIC1635" s="1"/>
      <c r="CID1635" s="1"/>
      <c r="CIE1635" s="1"/>
      <c r="CIF1635" s="1"/>
      <c r="CIG1635" s="1"/>
      <c r="CIH1635" s="1"/>
      <c r="CII1635" s="1"/>
      <c r="CIJ1635" s="1"/>
      <c r="CIK1635" s="1"/>
      <c r="CIL1635" s="1"/>
      <c r="CIM1635" s="1"/>
      <c r="CIN1635" s="1"/>
      <c r="CIO1635" s="1"/>
      <c r="CIP1635" s="1"/>
      <c r="CIQ1635" s="1"/>
      <c r="CIR1635" s="1"/>
      <c r="CIS1635" s="1"/>
      <c r="CIT1635" s="1"/>
      <c r="CIU1635" s="1"/>
      <c r="CIV1635" s="1"/>
      <c r="CIW1635" s="1"/>
      <c r="CIX1635" s="1"/>
      <c r="CIY1635" s="1"/>
      <c r="CIZ1635" s="1"/>
      <c r="CJA1635" s="1"/>
      <c r="CJB1635" s="1"/>
      <c r="CJC1635" s="1"/>
      <c r="CJD1635" s="1"/>
      <c r="CJE1635" s="1"/>
      <c r="CJF1635" s="1"/>
      <c r="CJG1635" s="1"/>
      <c r="CJH1635" s="1"/>
      <c r="CJI1635" s="1"/>
      <c r="CJJ1635" s="1"/>
      <c r="CJK1635" s="1"/>
      <c r="CJL1635" s="1"/>
      <c r="CJM1635" s="1"/>
      <c r="CJN1635" s="1"/>
      <c r="CJO1635" s="1"/>
      <c r="CJP1635" s="1"/>
      <c r="CJQ1635" s="1"/>
      <c r="CJR1635" s="1"/>
      <c r="CJS1635" s="1"/>
      <c r="CJT1635" s="1"/>
      <c r="CJU1635" s="1"/>
      <c r="CJV1635" s="1"/>
      <c r="CJW1635" s="1"/>
      <c r="CJX1635" s="1"/>
      <c r="CJY1635" s="1"/>
      <c r="CJZ1635" s="1"/>
      <c r="CKA1635" s="1"/>
      <c r="CKB1635" s="1"/>
      <c r="CKC1635" s="1"/>
      <c r="CKD1635" s="1"/>
      <c r="CKE1635" s="1"/>
      <c r="CKF1635" s="1"/>
      <c r="CKG1635" s="1"/>
      <c r="CKH1635" s="1"/>
      <c r="CKI1635" s="1"/>
      <c r="CKJ1635" s="1"/>
      <c r="CKK1635" s="1"/>
      <c r="CKL1635" s="1"/>
      <c r="CKM1635" s="1"/>
      <c r="CKN1635" s="1"/>
      <c r="CKO1635" s="1"/>
      <c r="CKP1635" s="1"/>
      <c r="CKQ1635" s="1"/>
      <c r="CKR1635" s="1"/>
      <c r="CKS1635" s="1"/>
      <c r="CKT1635" s="1"/>
      <c r="CKU1635" s="1"/>
      <c r="CKV1635" s="1"/>
      <c r="CKW1635" s="1"/>
      <c r="CKX1635" s="1"/>
      <c r="CKY1635" s="1"/>
      <c r="CKZ1635" s="1"/>
      <c r="CLA1635" s="1"/>
      <c r="CLB1635" s="1"/>
      <c r="CLC1635" s="1"/>
      <c r="CLD1635" s="1"/>
      <c r="CLE1635" s="1"/>
      <c r="CLF1635" s="1"/>
      <c r="CLG1635" s="1"/>
      <c r="CLH1635" s="1"/>
      <c r="CLI1635" s="1"/>
      <c r="CLJ1635" s="1"/>
      <c r="CLK1635" s="1"/>
      <c r="CLL1635" s="1"/>
      <c r="CLM1635" s="1"/>
      <c r="CLN1635" s="1"/>
      <c r="CLO1635" s="1"/>
      <c r="CLP1635" s="1"/>
      <c r="CLQ1635" s="1"/>
      <c r="CLR1635" s="1"/>
      <c r="CLS1635" s="1"/>
      <c r="CLT1635" s="1"/>
      <c r="CLU1635" s="1"/>
      <c r="CLV1635" s="1"/>
      <c r="CLW1635" s="1"/>
      <c r="CLX1635" s="1"/>
      <c r="CLY1635" s="1"/>
      <c r="CLZ1635" s="1"/>
      <c r="CMA1635" s="1"/>
      <c r="CMB1635" s="1"/>
      <c r="CMC1635" s="1"/>
      <c r="CMD1635" s="1"/>
      <c r="CME1635" s="1"/>
      <c r="CMF1635" s="1"/>
      <c r="CMG1635" s="1"/>
      <c r="CMH1635" s="1"/>
      <c r="CMI1635" s="1"/>
      <c r="CMJ1635" s="1"/>
      <c r="CMK1635" s="1"/>
      <c r="CML1635" s="1"/>
      <c r="CMM1635" s="1"/>
      <c r="CMN1635" s="1"/>
      <c r="CMO1635" s="1"/>
      <c r="CMP1635" s="1"/>
      <c r="CMQ1635" s="1"/>
      <c r="CMR1635" s="1"/>
      <c r="CMS1635" s="1"/>
      <c r="CMT1635" s="1"/>
      <c r="CMU1635" s="1"/>
      <c r="CMV1635" s="1"/>
      <c r="CMW1635" s="1"/>
      <c r="CMX1635" s="1"/>
      <c r="CMY1635" s="1"/>
      <c r="CMZ1635" s="1"/>
      <c r="CNA1635" s="1"/>
      <c r="CNB1635" s="1"/>
      <c r="CNC1635" s="1"/>
      <c r="CND1635" s="1"/>
      <c r="CNE1635" s="1"/>
      <c r="CNF1635" s="1"/>
      <c r="CNG1635" s="1"/>
      <c r="CNH1635" s="1"/>
      <c r="CNI1635" s="1"/>
      <c r="CNJ1635" s="1"/>
      <c r="CNK1635" s="1"/>
      <c r="CNL1635" s="1"/>
      <c r="CNM1635" s="1"/>
      <c r="CNN1635" s="1"/>
      <c r="CNO1635" s="1"/>
      <c r="CNP1635" s="1"/>
      <c r="CNQ1635" s="1"/>
      <c r="CNR1635" s="1"/>
      <c r="CNS1635" s="1"/>
      <c r="CNT1635" s="1"/>
      <c r="CNU1635" s="1"/>
      <c r="CNV1635" s="1"/>
      <c r="CNW1635" s="1"/>
      <c r="CNX1635" s="1"/>
      <c r="CNY1635" s="1"/>
      <c r="CNZ1635" s="1"/>
      <c r="COA1635" s="1"/>
      <c r="COB1635" s="1"/>
      <c r="COC1635" s="1"/>
      <c r="COD1635" s="1"/>
      <c r="COE1635" s="1"/>
      <c r="COF1635" s="1"/>
      <c r="COG1635" s="1"/>
      <c r="COH1635" s="1"/>
      <c r="COI1635" s="1"/>
      <c r="COJ1635" s="1"/>
      <c r="COK1635" s="1"/>
      <c r="COL1635" s="1"/>
      <c r="COM1635" s="1"/>
      <c r="CON1635" s="1"/>
      <c r="COO1635" s="1"/>
      <c r="COP1635" s="1"/>
      <c r="COQ1635" s="1"/>
      <c r="COR1635" s="1"/>
      <c r="COS1635" s="1"/>
      <c r="COT1635" s="1"/>
      <c r="COU1635" s="1"/>
      <c r="COV1635" s="1"/>
      <c r="COW1635" s="1"/>
      <c r="COX1635" s="1"/>
      <c r="COY1635" s="1"/>
      <c r="COZ1635" s="1"/>
      <c r="CPA1635" s="1"/>
      <c r="CPB1635" s="1"/>
      <c r="CPC1635" s="1"/>
      <c r="CPD1635" s="1"/>
      <c r="CPE1635" s="1"/>
      <c r="CPF1635" s="1"/>
      <c r="CPG1635" s="1"/>
      <c r="CPH1635" s="1"/>
      <c r="CPI1635" s="1"/>
      <c r="CPJ1635" s="1"/>
      <c r="CPK1635" s="1"/>
      <c r="CPL1635" s="1"/>
      <c r="CPM1635" s="1"/>
      <c r="CPN1635" s="1"/>
      <c r="CPO1635" s="1"/>
      <c r="CPP1635" s="1"/>
      <c r="CPQ1635" s="1"/>
      <c r="CPR1635" s="1"/>
      <c r="CPS1635" s="1"/>
      <c r="CPT1635" s="1"/>
      <c r="CPU1635" s="1"/>
      <c r="CPV1635" s="1"/>
      <c r="CPW1635" s="1"/>
      <c r="CPX1635" s="1"/>
      <c r="CPY1635" s="1"/>
      <c r="CPZ1635" s="1"/>
      <c r="CQA1635" s="1"/>
      <c r="CQB1635" s="1"/>
      <c r="CQC1635" s="1"/>
      <c r="CQD1635" s="1"/>
      <c r="CQE1635" s="1"/>
      <c r="CQF1635" s="1"/>
      <c r="CQG1635" s="1"/>
      <c r="CQH1635" s="1"/>
      <c r="CQI1635" s="1"/>
      <c r="CQJ1635" s="1"/>
      <c r="CQK1635" s="1"/>
      <c r="CQL1635" s="1"/>
      <c r="CQM1635" s="1"/>
      <c r="CQN1635" s="1"/>
      <c r="CQO1635" s="1"/>
      <c r="CQP1635" s="1"/>
      <c r="CQQ1635" s="1"/>
      <c r="CQR1635" s="1"/>
      <c r="CQS1635" s="1"/>
      <c r="CQT1635" s="1"/>
      <c r="CQU1635" s="1"/>
      <c r="CQV1635" s="1"/>
      <c r="CQW1635" s="1"/>
      <c r="CQX1635" s="1"/>
      <c r="CQY1635" s="1"/>
      <c r="CQZ1635" s="1"/>
      <c r="CRA1635" s="1"/>
      <c r="CRB1635" s="1"/>
      <c r="CRC1635" s="1"/>
      <c r="CRD1635" s="1"/>
      <c r="CRE1635" s="1"/>
      <c r="CRF1635" s="1"/>
      <c r="CRG1635" s="1"/>
      <c r="CRH1635" s="1"/>
      <c r="CRI1635" s="1"/>
      <c r="CRJ1635" s="1"/>
      <c r="CRK1635" s="1"/>
      <c r="CRL1635" s="1"/>
      <c r="CRM1635" s="1"/>
      <c r="CRN1635" s="1"/>
      <c r="CRO1635" s="1"/>
      <c r="CRP1635" s="1"/>
      <c r="CRQ1635" s="1"/>
      <c r="CRR1635" s="1"/>
      <c r="CRS1635" s="1"/>
      <c r="CRT1635" s="1"/>
      <c r="CRU1635" s="1"/>
      <c r="CRV1635" s="1"/>
      <c r="CRW1635" s="1"/>
      <c r="CRX1635" s="1"/>
      <c r="CRY1635" s="1"/>
      <c r="CRZ1635" s="1"/>
      <c r="CSA1635" s="1"/>
      <c r="CSB1635" s="1"/>
      <c r="CSC1635" s="1"/>
      <c r="CSD1635" s="1"/>
      <c r="CSE1635" s="1"/>
      <c r="CSF1635" s="1"/>
      <c r="CSG1635" s="1"/>
      <c r="CSH1635" s="1"/>
      <c r="CSI1635" s="1"/>
      <c r="CSJ1635" s="1"/>
      <c r="CSK1635" s="1"/>
      <c r="CSL1635" s="1"/>
      <c r="CSM1635" s="1"/>
      <c r="CSN1635" s="1"/>
      <c r="CSO1635" s="1"/>
      <c r="CSP1635" s="1"/>
      <c r="CSQ1635" s="1"/>
      <c r="CSR1635" s="1"/>
      <c r="CSS1635" s="1"/>
      <c r="CST1635" s="1"/>
      <c r="CSU1635" s="1"/>
      <c r="CSV1635" s="1"/>
      <c r="CSW1635" s="1"/>
      <c r="CSX1635" s="1"/>
      <c r="CSY1635" s="1"/>
      <c r="CSZ1635" s="1"/>
      <c r="CTA1635" s="1"/>
      <c r="CTB1635" s="1"/>
      <c r="CTC1635" s="1"/>
      <c r="CTD1635" s="1"/>
      <c r="CTE1635" s="1"/>
      <c r="CTF1635" s="1"/>
      <c r="CTG1635" s="1"/>
      <c r="CTH1635" s="1"/>
      <c r="CTI1635" s="1"/>
      <c r="CTJ1635" s="1"/>
      <c r="CTK1635" s="1"/>
      <c r="CTL1635" s="1"/>
      <c r="CTM1635" s="1"/>
      <c r="CTN1635" s="1"/>
      <c r="CTO1635" s="1"/>
      <c r="CTP1635" s="1"/>
      <c r="CTQ1635" s="1"/>
      <c r="CTR1635" s="1"/>
      <c r="CTS1635" s="1"/>
      <c r="CTT1635" s="1"/>
      <c r="CTU1635" s="1"/>
      <c r="CTV1635" s="1"/>
      <c r="CTW1635" s="1"/>
      <c r="CTX1635" s="1"/>
      <c r="CTY1635" s="1"/>
      <c r="CTZ1635" s="1"/>
      <c r="CUA1635" s="1"/>
      <c r="CUB1635" s="1"/>
      <c r="CUC1635" s="1"/>
      <c r="CUD1635" s="1"/>
      <c r="CUE1635" s="1"/>
      <c r="CUF1635" s="1"/>
      <c r="CUG1635" s="1"/>
      <c r="CUH1635" s="1"/>
      <c r="CUI1635" s="1"/>
      <c r="CUJ1635" s="1"/>
      <c r="CUK1635" s="1"/>
      <c r="CUL1635" s="1"/>
      <c r="CUM1635" s="1"/>
      <c r="CUN1635" s="1"/>
      <c r="CUO1635" s="1"/>
      <c r="CUP1635" s="1"/>
      <c r="CUQ1635" s="1"/>
      <c r="CUR1635" s="1"/>
      <c r="CUS1635" s="1"/>
      <c r="CUT1635" s="1"/>
      <c r="CUU1635" s="1"/>
      <c r="CUV1635" s="1"/>
      <c r="CUW1635" s="1"/>
      <c r="CUX1635" s="1"/>
      <c r="CUY1635" s="1"/>
      <c r="CUZ1635" s="1"/>
      <c r="CVA1635" s="1"/>
      <c r="CVB1635" s="1"/>
      <c r="CVC1635" s="1"/>
      <c r="CVD1635" s="1"/>
      <c r="CVE1635" s="1"/>
      <c r="CVF1635" s="1"/>
      <c r="CVG1635" s="1"/>
      <c r="CVH1635" s="1"/>
      <c r="CVI1635" s="1"/>
      <c r="CVJ1635" s="1"/>
      <c r="CVK1635" s="1"/>
      <c r="CVL1635" s="1"/>
      <c r="CVM1635" s="1"/>
      <c r="CVN1635" s="1"/>
      <c r="CVO1635" s="1"/>
      <c r="CVP1635" s="1"/>
      <c r="CVQ1635" s="1"/>
      <c r="CVR1635" s="1"/>
      <c r="CVS1635" s="1"/>
      <c r="CVT1635" s="1"/>
      <c r="CVU1635" s="1"/>
      <c r="CVV1635" s="1"/>
      <c r="CVW1635" s="1"/>
      <c r="CVX1635" s="1"/>
      <c r="CVY1635" s="1"/>
      <c r="CVZ1635" s="1"/>
      <c r="CWA1635" s="1"/>
      <c r="CWB1635" s="1"/>
      <c r="CWC1635" s="1"/>
      <c r="CWD1635" s="1"/>
      <c r="CWE1635" s="1"/>
      <c r="CWF1635" s="1"/>
      <c r="CWG1635" s="1"/>
      <c r="CWH1635" s="1"/>
      <c r="CWI1635" s="1"/>
      <c r="CWJ1635" s="1"/>
      <c r="CWK1635" s="1"/>
      <c r="CWL1635" s="1"/>
      <c r="CWM1635" s="1"/>
      <c r="CWN1635" s="1"/>
      <c r="CWO1635" s="1"/>
      <c r="CWP1635" s="1"/>
      <c r="CWQ1635" s="1"/>
      <c r="CWR1635" s="1"/>
      <c r="CWS1635" s="1"/>
      <c r="CWT1635" s="1"/>
      <c r="CWU1635" s="1"/>
      <c r="CWV1635" s="1"/>
      <c r="CWW1635" s="1"/>
      <c r="CWX1635" s="1"/>
      <c r="CWY1635" s="1"/>
      <c r="CWZ1635" s="1"/>
      <c r="CXA1635" s="1"/>
      <c r="CXB1635" s="1"/>
      <c r="CXC1635" s="1"/>
      <c r="CXD1635" s="1"/>
      <c r="CXE1635" s="1"/>
      <c r="CXF1635" s="1"/>
      <c r="CXG1635" s="1"/>
      <c r="CXH1635" s="1"/>
      <c r="CXI1635" s="1"/>
      <c r="CXJ1635" s="1"/>
      <c r="CXK1635" s="1"/>
      <c r="CXL1635" s="1"/>
      <c r="CXM1635" s="1"/>
      <c r="CXN1635" s="1"/>
      <c r="CXO1635" s="1"/>
      <c r="CXP1635" s="1"/>
      <c r="CXQ1635" s="1"/>
      <c r="CXR1635" s="1"/>
      <c r="CXS1635" s="1"/>
      <c r="CXT1635" s="1"/>
      <c r="CXU1635" s="1"/>
      <c r="CXV1635" s="1"/>
      <c r="CXW1635" s="1"/>
      <c r="CXX1635" s="1"/>
      <c r="CXY1635" s="1"/>
      <c r="CXZ1635" s="1"/>
      <c r="CYA1635" s="1"/>
      <c r="CYB1635" s="1"/>
      <c r="CYC1635" s="1"/>
      <c r="CYD1635" s="1"/>
      <c r="CYE1635" s="1"/>
      <c r="CYF1635" s="1"/>
      <c r="CYG1635" s="1"/>
      <c r="CYH1635" s="1"/>
      <c r="CYI1635" s="1"/>
      <c r="CYJ1635" s="1"/>
      <c r="CYK1635" s="1"/>
      <c r="CYL1635" s="1"/>
      <c r="CYM1635" s="1"/>
      <c r="CYN1635" s="1"/>
      <c r="CYO1635" s="1"/>
      <c r="CYP1635" s="1"/>
      <c r="CYQ1635" s="1"/>
      <c r="CYR1635" s="1"/>
      <c r="CYS1635" s="1"/>
      <c r="CYT1635" s="1"/>
      <c r="CYU1635" s="1"/>
      <c r="CYV1635" s="1"/>
      <c r="CYW1635" s="1"/>
      <c r="CYX1635" s="1"/>
      <c r="CYY1635" s="1"/>
      <c r="CYZ1635" s="1"/>
      <c r="CZA1635" s="1"/>
      <c r="CZB1635" s="1"/>
      <c r="CZC1635" s="1"/>
      <c r="CZD1635" s="1"/>
      <c r="CZE1635" s="1"/>
      <c r="CZF1635" s="1"/>
      <c r="CZG1635" s="1"/>
      <c r="CZH1635" s="1"/>
      <c r="CZI1635" s="1"/>
      <c r="CZJ1635" s="1"/>
      <c r="CZK1635" s="1"/>
      <c r="CZL1635" s="1"/>
      <c r="CZM1635" s="1"/>
      <c r="CZN1635" s="1"/>
      <c r="CZO1635" s="1"/>
      <c r="CZP1635" s="1"/>
      <c r="CZQ1635" s="1"/>
      <c r="CZR1635" s="1"/>
      <c r="CZS1635" s="1"/>
      <c r="CZT1635" s="1"/>
      <c r="CZU1635" s="1"/>
      <c r="CZV1635" s="1"/>
      <c r="CZW1635" s="1"/>
      <c r="CZX1635" s="1"/>
      <c r="CZY1635" s="1"/>
      <c r="CZZ1635" s="1"/>
      <c r="DAA1635" s="1"/>
      <c r="DAB1635" s="1"/>
      <c r="DAC1635" s="1"/>
      <c r="DAD1635" s="1"/>
      <c r="DAE1635" s="1"/>
      <c r="DAF1635" s="1"/>
      <c r="DAG1635" s="1"/>
      <c r="DAH1635" s="1"/>
      <c r="DAI1635" s="1"/>
      <c r="DAJ1635" s="1"/>
      <c r="DAK1635" s="1"/>
      <c r="DAL1635" s="1"/>
      <c r="DAM1635" s="1"/>
      <c r="DAN1635" s="1"/>
      <c r="DAO1635" s="1"/>
      <c r="DAP1635" s="1"/>
      <c r="DAQ1635" s="1"/>
      <c r="DAR1635" s="1"/>
      <c r="DAS1635" s="1"/>
      <c r="DAT1635" s="1"/>
      <c r="DAU1635" s="1"/>
      <c r="DAV1635" s="1"/>
      <c r="DAW1635" s="1"/>
      <c r="DAX1635" s="1"/>
      <c r="DAY1635" s="1"/>
      <c r="DAZ1635" s="1"/>
      <c r="DBA1635" s="1"/>
      <c r="DBB1635" s="1"/>
      <c r="DBC1635" s="1"/>
      <c r="DBD1635" s="1"/>
      <c r="DBE1635" s="1"/>
      <c r="DBF1635" s="1"/>
      <c r="DBG1635" s="1"/>
      <c r="DBH1635" s="1"/>
      <c r="DBI1635" s="1"/>
      <c r="DBJ1635" s="1"/>
      <c r="DBK1635" s="1"/>
      <c r="DBL1635" s="1"/>
      <c r="DBM1635" s="1"/>
      <c r="DBN1635" s="1"/>
      <c r="DBO1635" s="1"/>
      <c r="DBP1635" s="1"/>
      <c r="DBQ1635" s="1"/>
      <c r="DBR1635" s="1"/>
      <c r="DBS1635" s="1"/>
      <c r="DBT1635" s="1"/>
      <c r="DBU1635" s="1"/>
      <c r="DBV1635" s="1"/>
      <c r="DBW1635" s="1"/>
      <c r="DBX1635" s="1"/>
      <c r="DBY1635" s="1"/>
      <c r="DBZ1635" s="1"/>
      <c r="DCA1635" s="1"/>
      <c r="DCB1635" s="1"/>
      <c r="DCC1635" s="1"/>
      <c r="DCD1635" s="1"/>
      <c r="DCE1635" s="1"/>
      <c r="DCF1635" s="1"/>
      <c r="DCG1635" s="1"/>
      <c r="DCH1635" s="1"/>
      <c r="DCI1635" s="1"/>
      <c r="DCJ1635" s="1"/>
      <c r="DCK1635" s="1"/>
      <c r="DCL1635" s="1"/>
      <c r="DCM1635" s="1"/>
      <c r="DCN1635" s="1"/>
      <c r="DCO1635" s="1"/>
      <c r="DCP1635" s="1"/>
      <c r="DCQ1635" s="1"/>
      <c r="DCR1635" s="1"/>
      <c r="DCS1635" s="1"/>
      <c r="DCT1635" s="1"/>
      <c r="DCU1635" s="1"/>
      <c r="DCV1635" s="1"/>
      <c r="DCW1635" s="1"/>
      <c r="DCX1635" s="1"/>
      <c r="DCY1635" s="1"/>
      <c r="DCZ1635" s="1"/>
      <c r="DDA1635" s="1"/>
      <c r="DDB1635" s="1"/>
      <c r="DDC1635" s="1"/>
      <c r="DDD1635" s="1"/>
      <c r="DDE1635" s="1"/>
      <c r="DDF1635" s="1"/>
      <c r="DDG1635" s="1"/>
      <c r="DDH1635" s="1"/>
      <c r="DDI1635" s="1"/>
      <c r="DDJ1635" s="1"/>
      <c r="DDK1635" s="1"/>
      <c r="DDL1635" s="1"/>
      <c r="DDM1635" s="1"/>
      <c r="DDN1635" s="1"/>
      <c r="DDO1635" s="1"/>
      <c r="DDP1635" s="1"/>
      <c r="DDQ1635" s="1"/>
      <c r="DDR1635" s="1"/>
      <c r="DDS1635" s="1"/>
      <c r="DDT1635" s="1"/>
      <c r="DDU1635" s="1"/>
      <c r="DDV1635" s="1"/>
      <c r="DDW1635" s="1"/>
      <c r="DDX1635" s="1"/>
      <c r="DDY1635" s="1"/>
      <c r="DDZ1635" s="1"/>
      <c r="DEA1635" s="1"/>
      <c r="DEB1635" s="1"/>
      <c r="DEC1635" s="1"/>
      <c r="DED1635" s="1"/>
      <c r="DEE1635" s="1"/>
      <c r="DEF1635" s="1"/>
      <c r="DEG1635" s="1"/>
      <c r="DEH1635" s="1"/>
      <c r="DEI1635" s="1"/>
      <c r="DEJ1635" s="1"/>
      <c r="DEK1635" s="1"/>
      <c r="DEL1635" s="1"/>
      <c r="DEM1635" s="1"/>
      <c r="DEN1635" s="1"/>
      <c r="DEO1635" s="1"/>
      <c r="DEP1635" s="1"/>
      <c r="DEQ1635" s="1"/>
      <c r="DER1635" s="1"/>
      <c r="DES1635" s="1"/>
      <c r="DET1635" s="1"/>
      <c r="DEU1635" s="1"/>
      <c r="DEV1635" s="1"/>
      <c r="DEW1635" s="1"/>
      <c r="DEX1635" s="1"/>
      <c r="DEY1635" s="1"/>
      <c r="DEZ1635" s="1"/>
      <c r="DFA1635" s="1"/>
      <c r="DFB1635" s="1"/>
      <c r="DFC1635" s="1"/>
      <c r="DFD1635" s="1"/>
      <c r="DFE1635" s="1"/>
      <c r="DFF1635" s="1"/>
      <c r="DFG1635" s="1"/>
      <c r="DFH1635" s="1"/>
      <c r="DFI1635" s="1"/>
      <c r="DFJ1635" s="1"/>
      <c r="DFK1635" s="1"/>
      <c r="DFL1635" s="1"/>
      <c r="DFM1635" s="1"/>
      <c r="DFN1635" s="1"/>
      <c r="DFO1635" s="1"/>
      <c r="DFP1635" s="1"/>
      <c r="DFQ1635" s="1"/>
      <c r="DFR1635" s="1"/>
      <c r="DFS1635" s="1"/>
      <c r="DFT1635" s="1"/>
      <c r="DFU1635" s="1"/>
      <c r="DFV1635" s="1"/>
      <c r="DFW1635" s="1"/>
      <c r="DFX1635" s="1"/>
      <c r="DFY1635" s="1"/>
      <c r="DFZ1635" s="1"/>
      <c r="DGA1635" s="1"/>
      <c r="DGB1635" s="1"/>
      <c r="DGC1635" s="1"/>
      <c r="DGD1635" s="1"/>
      <c r="DGE1635" s="1"/>
      <c r="DGF1635" s="1"/>
      <c r="DGG1635" s="1"/>
      <c r="DGH1635" s="1"/>
      <c r="DGI1635" s="1"/>
      <c r="DGJ1635" s="1"/>
      <c r="DGK1635" s="1"/>
      <c r="DGL1635" s="1"/>
      <c r="DGM1635" s="1"/>
      <c r="DGN1635" s="1"/>
      <c r="DGO1635" s="1"/>
      <c r="DGP1635" s="1"/>
      <c r="DGQ1635" s="1"/>
      <c r="DGR1635" s="1"/>
      <c r="DGS1635" s="1"/>
      <c r="DGT1635" s="1"/>
      <c r="DGU1635" s="1"/>
      <c r="DGV1635" s="1"/>
      <c r="DGW1635" s="1"/>
      <c r="DGX1635" s="1"/>
      <c r="DGY1635" s="1"/>
      <c r="DGZ1635" s="1"/>
      <c r="DHA1635" s="1"/>
      <c r="DHB1635" s="1"/>
      <c r="DHC1635" s="1"/>
      <c r="DHD1635" s="1"/>
      <c r="DHE1635" s="1"/>
      <c r="DHF1635" s="1"/>
      <c r="DHG1635" s="1"/>
      <c r="DHH1635" s="1"/>
      <c r="DHI1635" s="1"/>
      <c r="DHJ1635" s="1"/>
      <c r="DHK1635" s="1"/>
      <c r="DHL1635" s="1"/>
      <c r="DHM1635" s="1"/>
      <c r="DHN1635" s="1"/>
      <c r="DHO1635" s="1"/>
      <c r="DHP1635" s="1"/>
      <c r="DHQ1635" s="1"/>
      <c r="DHR1635" s="1"/>
      <c r="DHS1635" s="1"/>
      <c r="DHT1635" s="1"/>
      <c r="DHU1635" s="1"/>
      <c r="DHV1635" s="1"/>
      <c r="DHW1635" s="1"/>
      <c r="DHX1635" s="1"/>
      <c r="DHY1635" s="1"/>
      <c r="DHZ1635" s="1"/>
      <c r="DIA1635" s="1"/>
      <c r="DIB1635" s="1"/>
      <c r="DIC1635" s="1"/>
      <c r="DID1635" s="1"/>
      <c r="DIE1635" s="1"/>
      <c r="DIF1635" s="1"/>
      <c r="DIG1635" s="1"/>
      <c r="DIH1635" s="1"/>
      <c r="DII1635" s="1"/>
      <c r="DIJ1635" s="1"/>
      <c r="DIK1635" s="1"/>
      <c r="DIL1635" s="1"/>
      <c r="DIM1635" s="1"/>
      <c r="DIN1635" s="1"/>
      <c r="DIO1635" s="1"/>
      <c r="DIP1635" s="1"/>
      <c r="DIQ1635" s="1"/>
      <c r="DIR1635" s="1"/>
      <c r="DIS1635" s="1"/>
      <c r="DIT1635" s="1"/>
      <c r="DIU1635" s="1"/>
      <c r="DIV1635" s="1"/>
      <c r="DIW1635" s="1"/>
      <c r="DIX1635" s="1"/>
      <c r="DIY1635" s="1"/>
      <c r="DIZ1635" s="1"/>
      <c r="DJA1635" s="1"/>
      <c r="DJB1635" s="1"/>
      <c r="DJC1635" s="1"/>
      <c r="DJD1635" s="1"/>
      <c r="DJE1635" s="1"/>
      <c r="DJF1635" s="1"/>
      <c r="DJG1635" s="1"/>
      <c r="DJH1635" s="1"/>
      <c r="DJI1635" s="1"/>
      <c r="DJJ1635" s="1"/>
      <c r="DJK1635" s="1"/>
      <c r="DJL1635" s="1"/>
      <c r="DJM1635" s="1"/>
      <c r="DJN1635" s="1"/>
      <c r="DJO1635" s="1"/>
      <c r="DJP1635" s="1"/>
      <c r="DJQ1635" s="1"/>
      <c r="DJR1635" s="1"/>
      <c r="DJS1635" s="1"/>
      <c r="DJT1635" s="1"/>
      <c r="DJU1635" s="1"/>
      <c r="DJV1635" s="1"/>
      <c r="DJW1635" s="1"/>
      <c r="DJX1635" s="1"/>
      <c r="DJY1635" s="1"/>
      <c r="DJZ1635" s="1"/>
      <c r="DKA1635" s="1"/>
      <c r="DKB1635" s="1"/>
      <c r="DKC1635" s="1"/>
      <c r="DKD1635" s="1"/>
      <c r="DKE1635" s="1"/>
      <c r="DKF1635" s="1"/>
      <c r="DKG1635" s="1"/>
      <c r="DKH1635" s="1"/>
      <c r="DKI1635" s="1"/>
      <c r="DKJ1635" s="1"/>
      <c r="DKK1635" s="1"/>
      <c r="DKL1635" s="1"/>
      <c r="DKM1635" s="1"/>
      <c r="DKN1635" s="1"/>
      <c r="DKO1635" s="1"/>
      <c r="DKP1635" s="1"/>
      <c r="DKQ1635" s="1"/>
      <c r="DKR1635" s="1"/>
      <c r="DKS1635" s="1"/>
      <c r="DKT1635" s="1"/>
      <c r="DKU1635" s="1"/>
      <c r="DKV1635" s="1"/>
      <c r="DKW1635" s="1"/>
      <c r="DKX1635" s="1"/>
      <c r="DKY1635" s="1"/>
      <c r="DKZ1635" s="1"/>
      <c r="DLA1635" s="1"/>
      <c r="DLB1635" s="1"/>
      <c r="DLC1635" s="1"/>
      <c r="DLD1635" s="1"/>
      <c r="DLE1635" s="1"/>
      <c r="DLF1635" s="1"/>
      <c r="DLG1635" s="1"/>
      <c r="DLH1635" s="1"/>
      <c r="DLI1635" s="1"/>
      <c r="DLJ1635" s="1"/>
      <c r="DLK1635" s="1"/>
      <c r="DLL1635" s="1"/>
      <c r="DLM1635" s="1"/>
      <c r="DLN1635" s="1"/>
      <c r="DLO1635" s="1"/>
      <c r="DLP1635" s="1"/>
      <c r="DLQ1635" s="1"/>
      <c r="DLR1635" s="1"/>
      <c r="DLS1635" s="1"/>
      <c r="DLT1635" s="1"/>
      <c r="DLU1635" s="1"/>
      <c r="DLV1635" s="1"/>
      <c r="DLW1635" s="1"/>
      <c r="DLX1635" s="1"/>
      <c r="DLY1635" s="1"/>
      <c r="DLZ1635" s="1"/>
      <c r="DMA1635" s="1"/>
      <c r="DMB1635" s="1"/>
      <c r="DMC1635" s="1"/>
      <c r="DMD1635" s="1"/>
      <c r="DME1635" s="1"/>
      <c r="DMF1635" s="1"/>
      <c r="DMG1635" s="1"/>
      <c r="DMH1635" s="1"/>
      <c r="DMI1635" s="1"/>
      <c r="DMJ1635" s="1"/>
      <c r="DMK1635" s="1"/>
      <c r="DML1635" s="1"/>
      <c r="DMM1635" s="1"/>
      <c r="DMN1635" s="1"/>
      <c r="DMO1635" s="1"/>
      <c r="DMP1635" s="1"/>
      <c r="DMQ1635" s="1"/>
      <c r="DMR1635" s="1"/>
      <c r="DMS1635" s="1"/>
      <c r="DMT1635" s="1"/>
      <c r="DMU1635" s="1"/>
      <c r="DMV1635" s="1"/>
      <c r="DMW1635" s="1"/>
      <c r="DMX1635" s="1"/>
      <c r="DMY1635" s="1"/>
      <c r="DMZ1635" s="1"/>
      <c r="DNA1635" s="1"/>
      <c r="DNB1635" s="1"/>
      <c r="DNC1635" s="1"/>
      <c r="DND1635" s="1"/>
      <c r="DNE1635" s="1"/>
      <c r="DNF1635" s="1"/>
      <c r="DNG1635" s="1"/>
      <c r="DNH1635" s="1"/>
      <c r="DNI1635" s="1"/>
      <c r="DNJ1635" s="1"/>
      <c r="DNK1635" s="1"/>
      <c r="DNL1635" s="1"/>
      <c r="DNM1635" s="1"/>
      <c r="DNN1635" s="1"/>
      <c r="DNO1635" s="1"/>
      <c r="DNP1635" s="1"/>
      <c r="DNQ1635" s="1"/>
      <c r="DNR1635" s="1"/>
      <c r="DNS1635" s="1"/>
      <c r="DNT1635" s="1"/>
      <c r="DNU1635" s="1"/>
      <c r="DNV1635" s="1"/>
      <c r="DNW1635" s="1"/>
      <c r="DNX1635" s="1"/>
      <c r="DNY1635" s="1"/>
      <c r="DNZ1635" s="1"/>
      <c r="DOA1635" s="1"/>
      <c r="DOB1635" s="1"/>
      <c r="DOC1635" s="1"/>
      <c r="DOD1635" s="1"/>
      <c r="DOE1635" s="1"/>
      <c r="DOF1635" s="1"/>
      <c r="DOG1635" s="1"/>
      <c r="DOH1635" s="1"/>
      <c r="DOI1635" s="1"/>
      <c r="DOJ1635" s="1"/>
      <c r="DOK1635" s="1"/>
      <c r="DOL1635" s="1"/>
      <c r="DOM1635" s="1"/>
      <c r="DON1635" s="1"/>
      <c r="DOO1635" s="1"/>
      <c r="DOP1635" s="1"/>
      <c r="DOQ1635" s="1"/>
      <c r="DOR1635" s="1"/>
      <c r="DOS1635" s="1"/>
      <c r="DOT1635" s="1"/>
      <c r="DOU1635" s="1"/>
      <c r="DOV1635" s="1"/>
      <c r="DOW1635" s="1"/>
      <c r="DOX1635" s="1"/>
      <c r="DOY1635" s="1"/>
      <c r="DOZ1635" s="1"/>
      <c r="DPA1635" s="1"/>
      <c r="DPB1635" s="1"/>
      <c r="DPC1635" s="1"/>
      <c r="DPD1635" s="1"/>
      <c r="DPE1635" s="1"/>
      <c r="DPF1635" s="1"/>
      <c r="DPG1635" s="1"/>
      <c r="DPH1635" s="1"/>
      <c r="DPI1635" s="1"/>
      <c r="DPJ1635" s="1"/>
      <c r="DPK1635" s="1"/>
      <c r="DPL1635" s="1"/>
      <c r="DPM1635" s="1"/>
      <c r="DPN1635" s="1"/>
      <c r="DPO1635" s="1"/>
      <c r="DPP1635" s="1"/>
      <c r="DPQ1635" s="1"/>
      <c r="DPR1635" s="1"/>
      <c r="DPS1635" s="1"/>
      <c r="DPT1635" s="1"/>
      <c r="DPU1635" s="1"/>
      <c r="DPV1635" s="1"/>
      <c r="DPW1635" s="1"/>
      <c r="DPX1635" s="1"/>
      <c r="DPY1635" s="1"/>
      <c r="DPZ1635" s="1"/>
      <c r="DQA1635" s="1"/>
      <c r="DQB1635" s="1"/>
      <c r="DQC1635" s="1"/>
      <c r="DQD1635" s="1"/>
      <c r="DQE1635" s="1"/>
      <c r="DQF1635" s="1"/>
      <c r="DQG1635" s="1"/>
      <c r="DQH1635" s="1"/>
      <c r="DQI1635" s="1"/>
      <c r="DQJ1635" s="1"/>
      <c r="DQK1635" s="1"/>
      <c r="DQL1635" s="1"/>
      <c r="DQM1635" s="1"/>
      <c r="DQN1635" s="1"/>
      <c r="DQO1635" s="1"/>
      <c r="DQP1635" s="1"/>
      <c r="DQQ1635" s="1"/>
      <c r="DQR1635" s="1"/>
      <c r="DQS1635" s="1"/>
      <c r="DQT1635" s="1"/>
      <c r="DQU1635" s="1"/>
      <c r="DQV1635" s="1"/>
      <c r="DQW1635" s="1"/>
      <c r="DQX1635" s="1"/>
      <c r="DQY1635" s="1"/>
      <c r="DQZ1635" s="1"/>
      <c r="DRA1635" s="1"/>
      <c r="DRB1635" s="1"/>
      <c r="DRC1635" s="1"/>
      <c r="DRD1635" s="1"/>
      <c r="DRE1635" s="1"/>
      <c r="DRF1635" s="1"/>
      <c r="DRG1635" s="1"/>
      <c r="DRH1635" s="1"/>
      <c r="DRI1635" s="1"/>
      <c r="DRJ1635" s="1"/>
      <c r="DRK1635" s="1"/>
      <c r="DRL1635" s="1"/>
      <c r="DRM1635" s="1"/>
      <c r="DRN1635" s="1"/>
      <c r="DRO1635" s="1"/>
      <c r="DRP1635" s="1"/>
      <c r="DRQ1635" s="1"/>
      <c r="DRR1635" s="1"/>
      <c r="DRS1635" s="1"/>
      <c r="DRT1635" s="1"/>
      <c r="DRU1635" s="1"/>
      <c r="DRV1635" s="1"/>
      <c r="DRW1635" s="1"/>
      <c r="DRX1635" s="1"/>
      <c r="DRY1635" s="1"/>
      <c r="DRZ1635" s="1"/>
      <c r="DSA1635" s="1"/>
      <c r="DSB1635" s="1"/>
      <c r="DSC1635" s="1"/>
      <c r="DSD1635" s="1"/>
      <c r="DSE1635" s="1"/>
      <c r="DSF1635" s="1"/>
      <c r="DSG1635" s="1"/>
      <c r="DSH1635" s="1"/>
      <c r="DSI1635" s="1"/>
      <c r="DSJ1635" s="1"/>
      <c r="DSK1635" s="1"/>
      <c r="DSL1635" s="1"/>
      <c r="DSM1635" s="1"/>
      <c r="DSN1635" s="1"/>
      <c r="DSO1635" s="1"/>
      <c r="DSP1635" s="1"/>
      <c r="DSQ1635" s="1"/>
      <c r="DSR1635" s="1"/>
      <c r="DSS1635" s="1"/>
      <c r="DST1635" s="1"/>
      <c r="DSU1635" s="1"/>
      <c r="DSV1635" s="1"/>
      <c r="DSW1635" s="1"/>
      <c r="DSX1635" s="1"/>
      <c r="DSY1635" s="1"/>
      <c r="DSZ1635" s="1"/>
      <c r="DTA1635" s="1"/>
      <c r="DTB1635" s="1"/>
      <c r="DTC1635" s="1"/>
      <c r="DTD1635" s="1"/>
      <c r="DTE1635" s="1"/>
      <c r="DTF1635" s="1"/>
      <c r="DTG1635" s="1"/>
      <c r="DTH1635" s="1"/>
      <c r="DTI1635" s="1"/>
      <c r="DTJ1635" s="1"/>
      <c r="DTK1635" s="1"/>
      <c r="DTL1635" s="1"/>
      <c r="DTM1635" s="1"/>
      <c r="DTN1635" s="1"/>
      <c r="DTO1635" s="1"/>
      <c r="DTP1635" s="1"/>
      <c r="DTQ1635" s="1"/>
      <c r="DTR1635" s="1"/>
      <c r="DTS1635" s="1"/>
      <c r="DTT1635" s="1"/>
      <c r="DTU1635" s="1"/>
      <c r="DTV1635" s="1"/>
      <c r="DTW1635" s="1"/>
      <c r="DTX1635" s="1"/>
      <c r="DTY1635" s="1"/>
      <c r="DTZ1635" s="1"/>
      <c r="DUA1635" s="1"/>
      <c r="DUB1635" s="1"/>
      <c r="DUC1635" s="1"/>
      <c r="DUD1635" s="1"/>
      <c r="DUE1635" s="1"/>
      <c r="DUF1635" s="1"/>
      <c r="DUG1635" s="1"/>
      <c r="DUH1635" s="1"/>
      <c r="DUI1635" s="1"/>
      <c r="DUJ1635" s="1"/>
      <c r="DUK1635" s="1"/>
      <c r="DUL1635" s="1"/>
      <c r="DUM1635" s="1"/>
      <c r="DUN1635" s="1"/>
      <c r="DUO1635" s="1"/>
      <c r="DUP1635" s="1"/>
      <c r="DUQ1635" s="1"/>
      <c r="DUR1635" s="1"/>
      <c r="DUS1635" s="1"/>
      <c r="DUT1635" s="1"/>
      <c r="DUU1635" s="1"/>
      <c r="DUV1635" s="1"/>
      <c r="DUW1635" s="1"/>
      <c r="DUX1635" s="1"/>
      <c r="DUY1635" s="1"/>
      <c r="DUZ1635" s="1"/>
      <c r="DVA1635" s="1"/>
      <c r="DVB1635" s="1"/>
      <c r="DVC1635" s="1"/>
      <c r="DVD1635" s="1"/>
      <c r="DVE1635" s="1"/>
      <c r="DVF1635" s="1"/>
      <c r="DVG1635" s="1"/>
      <c r="DVH1635" s="1"/>
      <c r="DVI1635" s="1"/>
      <c r="DVJ1635" s="1"/>
      <c r="DVK1635" s="1"/>
      <c r="DVL1635" s="1"/>
      <c r="DVM1635" s="1"/>
      <c r="DVN1635" s="1"/>
      <c r="DVO1635" s="1"/>
      <c r="DVP1635" s="1"/>
      <c r="DVQ1635" s="1"/>
      <c r="DVR1635" s="1"/>
      <c r="DVS1635" s="1"/>
      <c r="DVT1635" s="1"/>
      <c r="DVU1635" s="1"/>
      <c r="DVV1635" s="1"/>
      <c r="DVW1635" s="1"/>
      <c r="DVX1635" s="1"/>
      <c r="DVY1635" s="1"/>
      <c r="DVZ1635" s="1"/>
      <c r="DWA1635" s="1"/>
      <c r="DWB1635" s="1"/>
      <c r="DWC1635" s="1"/>
      <c r="DWD1635" s="1"/>
      <c r="DWE1635" s="1"/>
      <c r="DWF1635" s="1"/>
      <c r="DWG1635" s="1"/>
      <c r="DWH1635" s="1"/>
      <c r="DWI1635" s="1"/>
      <c r="DWJ1635" s="1"/>
      <c r="DWK1635" s="1"/>
      <c r="DWL1635" s="1"/>
      <c r="DWM1635" s="1"/>
      <c r="DWN1635" s="1"/>
      <c r="DWO1635" s="1"/>
      <c r="DWP1635" s="1"/>
      <c r="DWQ1635" s="1"/>
      <c r="DWR1635" s="1"/>
      <c r="DWS1635" s="1"/>
      <c r="DWT1635" s="1"/>
      <c r="DWU1635" s="1"/>
      <c r="DWV1635" s="1"/>
      <c r="DWW1635" s="1"/>
      <c r="DWX1635" s="1"/>
      <c r="DWY1635" s="1"/>
      <c r="DWZ1635" s="1"/>
      <c r="DXA1635" s="1"/>
      <c r="DXB1635" s="1"/>
      <c r="DXC1635" s="1"/>
      <c r="DXD1635" s="1"/>
      <c r="DXE1635" s="1"/>
      <c r="DXF1635" s="1"/>
      <c r="DXG1635" s="1"/>
      <c r="DXH1635" s="1"/>
      <c r="DXI1635" s="1"/>
      <c r="DXJ1635" s="1"/>
      <c r="DXK1635" s="1"/>
      <c r="DXL1635" s="1"/>
      <c r="DXM1635" s="1"/>
      <c r="DXN1635" s="1"/>
      <c r="DXO1635" s="1"/>
      <c r="DXP1635" s="1"/>
      <c r="DXQ1635" s="1"/>
      <c r="DXR1635" s="1"/>
      <c r="DXS1635" s="1"/>
      <c r="DXT1635" s="1"/>
      <c r="DXU1635" s="1"/>
      <c r="DXV1635" s="1"/>
      <c r="DXW1635" s="1"/>
      <c r="DXX1635" s="1"/>
      <c r="DXY1635" s="1"/>
      <c r="DXZ1635" s="1"/>
      <c r="DYA1635" s="1"/>
      <c r="DYB1635" s="1"/>
      <c r="DYC1635" s="1"/>
      <c r="DYD1635" s="1"/>
      <c r="DYE1635" s="1"/>
      <c r="DYF1635" s="1"/>
      <c r="DYG1635" s="1"/>
      <c r="DYH1635" s="1"/>
      <c r="DYI1635" s="1"/>
      <c r="DYJ1635" s="1"/>
      <c r="DYK1635" s="1"/>
      <c r="DYL1635" s="1"/>
      <c r="DYM1635" s="1"/>
      <c r="DYN1635" s="1"/>
      <c r="DYO1635" s="1"/>
      <c r="DYP1635" s="1"/>
      <c r="DYQ1635" s="1"/>
      <c r="DYR1635" s="1"/>
      <c r="DYS1635" s="1"/>
      <c r="DYT1635" s="1"/>
      <c r="DYU1635" s="1"/>
      <c r="DYV1635" s="1"/>
      <c r="DYW1635" s="1"/>
      <c r="DYX1635" s="1"/>
      <c r="DYY1635" s="1"/>
      <c r="DYZ1635" s="1"/>
      <c r="DZA1635" s="1"/>
      <c r="DZB1635" s="1"/>
      <c r="DZC1635" s="1"/>
      <c r="DZD1635" s="1"/>
      <c r="DZE1635" s="1"/>
      <c r="DZF1635" s="1"/>
      <c r="DZG1635" s="1"/>
      <c r="DZH1635" s="1"/>
      <c r="DZI1635" s="1"/>
      <c r="DZJ1635" s="1"/>
      <c r="DZK1635" s="1"/>
      <c r="DZL1635" s="1"/>
      <c r="DZM1635" s="1"/>
      <c r="DZN1635" s="1"/>
      <c r="DZO1635" s="1"/>
      <c r="DZP1635" s="1"/>
      <c r="DZQ1635" s="1"/>
      <c r="DZR1635" s="1"/>
      <c r="DZS1635" s="1"/>
      <c r="DZT1635" s="1"/>
      <c r="DZU1635" s="1"/>
      <c r="DZV1635" s="1"/>
      <c r="DZW1635" s="1"/>
      <c r="DZX1635" s="1"/>
      <c r="DZY1635" s="1"/>
      <c r="DZZ1635" s="1"/>
      <c r="EAA1635" s="1"/>
      <c r="EAB1635" s="1"/>
      <c r="EAC1635" s="1"/>
      <c r="EAD1635" s="1"/>
      <c r="EAE1635" s="1"/>
      <c r="EAF1635" s="1"/>
      <c r="EAG1635" s="1"/>
      <c r="EAH1635" s="1"/>
      <c r="EAI1635" s="1"/>
      <c r="EAJ1635" s="1"/>
      <c r="EAK1635" s="1"/>
      <c r="EAL1635" s="1"/>
      <c r="EAM1635" s="1"/>
      <c r="EAN1635" s="1"/>
      <c r="EAO1635" s="1"/>
      <c r="EAP1635" s="1"/>
      <c r="EAQ1635" s="1"/>
      <c r="EAR1635" s="1"/>
      <c r="EAS1635" s="1"/>
      <c r="EAT1635" s="1"/>
      <c r="EAU1635" s="1"/>
      <c r="EAV1635" s="1"/>
      <c r="EAW1635" s="1"/>
      <c r="EAX1635" s="1"/>
      <c r="EAY1635" s="1"/>
      <c r="EAZ1635" s="1"/>
      <c r="EBA1635" s="1"/>
      <c r="EBB1635" s="1"/>
      <c r="EBC1635" s="1"/>
      <c r="EBD1635" s="1"/>
      <c r="EBE1635" s="1"/>
      <c r="EBF1635" s="1"/>
      <c r="EBG1635" s="1"/>
      <c r="EBH1635" s="1"/>
      <c r="EBI1635" s="1"/>
      <c r="EBJ1635" s="1"/>
      <c r="EBK1635" s="1"/>
      <c r="EBL1635" s="1"/>
      <c r="EBM1635" s="1"/>
      <c r="EBN1635" s="1"/>
      <c r="EBO1635" s="1"/>
      <c r="EBP1635" s="1"/>
      <c r="EBQ1635" s="1"/>
      <c r="EBR1635" s="1"/>
      <c r="EBS1635" s="1"/>
      <c r="EBT1635" s="1"/>
      <c r="EBU1635" s="1"/>
      <c r="EBV1635" s="1"/>
      <c r="EBW1635" s="1"/>
      <c r="EBX1635" s="1"/>
      <c r="EBY1635" s="1"/>
      <c r="EBZ1635" s="1"/>
      <c r="ECA1635" s="1"/>
      <c r="ECB1635" s="1"/>
      <c r="ECC1635" s="1"/>
      <c r="ECD1635" s="1"/>
      <c r="ECE1635" s="1"/>
      <c r="ECF1635" s="1"/>
      <c r="ECG1635" s="1"/>
      <c r="ECH1635" s="1"/>
      <c r="ECI1635" s="1"/>
      <c r="ECJ1635" s="1"/>
      <c r="ECK1635" s="1"/>
      <c r="ECL1635" s="1"/>
      <c r="ECM1635" s="1"/>
      <c r="ECN1635" s="1"/>
      <c r="ECO1635" s="1"/>
      <c r="ECP1635" s="1"/>
      <c r="ECQ1635" s="1"/>
      <c r="ECR1635" s="1"/>
      <c r="ECS1635" s="1"/>
      <c r="ECT1635" s="1"/>
      <c r="ECU1635" s="1"/>
      <c r="ECV1635" s="1"/>
      <c r="ECW1635" s="1"/>
      <c r="ECX1635" s="1"/>
      <c r="ECY1635" s="1"/>
      <c r="ECZ1635" s="1"/>
      <c r="EDA1635" s="1"/>
      <c r="EDB1635" s="1"/>
      <c r="EDC1635" s="1"/>
      <c r="EDD1635" s="1"/>
      <c r="EDE1635" s="1"/>
      <c r="EDF1635" s="1"/>
      <c r="EDG1635" s="1"/>
      <c r="EDH1635" s="1"/>
      <c r="EDI1635" s="1"/>
      <c r="EDJ1635" s="1"/>
      <c r="EDK1635" s="1"/>
      <c r="EDL1635" s="1"/>
      <c r="EDM1635" s="1"/>
      <c r="EDN1635" s="1"/>
      <c r="EDO1635" s="1"/>
      <c r="EDP1635" s="1"/>
      <c r="EDQ1635" s="1"/>
      <c r="EDR1635" s="1"/>
      <c r="EDS1635" s="1"/>
      <c r="EDT1635" s="1"/>
      <c r="EDU1635" s="1"/>
      <c r="EDV1635" s="1"/>
      <c r="EDW1635" s="1"/>
      <c r="EDX1635" s="1"/>
      <c r="EDY1635" s="1"/>
      <c r="EDZ1635" s="1"/>
      <c r="EEA1635" s="1"/>
      <c r="EEB1635" s="1"/>
      <c r="EEC1635" s="1"/>
      <c r="EED1635" s="1"/>
      <c r="EEE1635" s="1"/>
      <c r="EEF1635" s="1"/>
      <c r="EEG1635" s="1"/>
      <c r="EEH1635" s="1"/>
      <c r="EEI1635" s="1"/>
      <c r="EEJ1635" s="1"/>
      <c r="EEK1635" s="1"/>
      <c r="EEL1635" s="1"/>
      <c r="EEM1635" s="1"/>
      <c r="EEN1635" s="1"/>
      <c r="EEO1635" s="1"/>
      <c r="EEP1635" s="1"/>
      <c r="EEQ1635" s="1"/>
      <c r="EER1635" s="1"/>
      <c r="EES1635" s="1"/>
      <c r="EET1635" s="1"/>
      <c r="EEU1635" s="1"/>
      <c r="EEV1635" s="1"/>
      <c r="EEW1635" s="1"/>
      <c r="EEX1635" s="1"/>
      <c r="EEY1635" s="1"/>
      <c r="EEZ1635" s="1"/>
      <c r="EFA1635" s="1"/>
      <c r="EFB1635" s="1"/>
      <c r="EFC1635" s="1"/>
      <c r="EFD1635" s="1"/>
      <c r="EFE1635" s="1"/>
      <c r="EFF1635" s="1"/>
      <c r="EFG1635" s="1"/>
      <c r="EFH1635" s="1"/>
      <c r="EFI1635" s="1"/>
      <c r="EFJ1635" s="1"/>
      <c r="EFK1635" s="1"/>
      <c r="EFL1635" s="1"/>
      <c r="EFM1635" s="1"/>
      <c r="EFN1635" s="1"/>
      <c r="EFO1635" s="1"/>
      <c r="EFP1635" s="1"/>
      <c r="EFQ1635" s="1"/>
      <c r="EFR1635" s="1"/>
      <c r="EFS1635" s="1"/>
      <c r="EFT1635" s="1"/>
      <c r="EFU1635" s="1"/>
      <c r="EFV1635" s="1"/>
      <c r="EFW1635" s="1"/>
      <c r="EFX1635" s="1"/>
      <c r="EFY1635" s="1"/>
      <c r="EFZ1635" s="1"/>
      <c r="EGA1635" s="1"/>
      <c r="EGB1635" s="1"/>
      <c r="EGC1635" s="1"/>
      <c r="EGD1635" s="1"/>
      <c r="EGE1635" s="1"/>
      <c r="EGF1635" s="1"/>
      <c r="EGG1635" s="1"/>
      <c r="EGH1635" s="1"/>
      <c r="EGI1635" s="1"/>
      <c r="EGJ1635" s="1"/>
      <c r="EGK1635" s="1"/>
      <c r="EGL1635" s="1"/>
      <c r="EGM1635" s="1"/>
      <c r="EGN1635" s="1"/>
      <c r="EGO1635" s="1"/>
      <c r="EGP1635" s="1"/>
      <c r="EGQ1635" s="1"/>
      <c r="EGR1635" s="1"/>
      <c r="EGS1635" s="1"/>
      <c r="EGT1635" s="1"/>
      <c r="EGU1635" s="1"/>
      <c r="EGV1635" s="1"/>
      <c r="EGW1635" s="1"/>
      <c r="EGX1635" s="1"/>
      <c r="EGY1635" s="1"/>
      <c r="EGZ1635" s="1"/>
      <c r="EHA1635" s="1"/>
      <c r="EHB1635" s="1"/>
      <c r="EHC1635" s="1"/>
      <c r="EHD1635" s="1"/>
      <c r="EHE1635" s="1"/>
      <c r="EHF1635" s="1"/>
      <c r="EHG1635" s="1"/>
      <c r="EHH1635" s="1"/>
      <c r="EHI1635" s="1"/>
      <c r="EHJ1635" s="1"/>
      <c r="EHK1635" s="1"/>
      <c r="EHL1635" s="1"/>
      <c r="EHM1635" s="1"/>
      <c r="EHN1635" s="1"/>
      <c r="EHO1635" s="1"/>
      <c r="EHP1635" s="1"/>
      <c r="EHQ1635" s="1"/>
      <c r="EHR1635" s="1"/>
      <c r="EHS1635" s="1"/>
      <c r="EHT1635" s="1"/>
      <c r="EHU1635" s="1"/>
      <c r="EHV1635" s="1"/>
      <c r="EHW1635" s="1"/>
      <c r="EHX1635" s="1"/>
      <c r="EHY1635" s="1"/>
      <c r="EHZ1635" s="1"/>
      <c r="EIA1635" s="1"/>
      <c r="EIB1635" s="1"/>
      <c r="EIC1635" s="1"/>
      <c r="EID1635" s="1"/>
      <c r="EIE1635" s="1"/>
      <c r="EIF1635" s="1"/>
      <c r="EIG1635" s="1"/>
      <c r="EIH1635" s="1"/>
      <c r="EII1635" s="1"/>
      <c r="EIJ1635" s="1"/>
      <c r="EIK1635" s="1"/>
      <c r="EIL1635" s="1"/>
      <c r="EIM1635" s="1"/>
      <c r="EIN1635" s="1"/>
      <c r="EIO1635" s="1"/>
      <c r="EIP1635" s="1"/>
      <c r="EIQ1635" s="1"/>
      <c r="EIR1635" s="1"/>
      <c r="EIS1635" s="1"/>
      <c r="EIT1635" s="1"/>
      <c r="EIU1635" s="1"/>
      <c r="EIV1635" s="1"/>
      <c r="EIW1635" s="1"/>
      <c r="EIX1635" s="1"/>
      <c r="EIY1635" s="1"/>
      <c r="EIZ1635" s="1"/>
      <c r="EJA1635" s="1"/>
      <c r="EJB1635" s="1"/>
      <c r="EJC1635" s="1"/>
      <c r="EJD1635" s="1"/>
      <c r="EJE1635" s="1"/>
      <c r="EJF1635" s="1"/>
      <c r="EJG1635" s="1"/>
      <c r="EJH1635" s="1"/>
      <c r="EJI1635" s="1"/>
      <c r="EJJ1635" s="1"/>
      <c r="EJK1635" s="1"/>
      <c r="EJL1635" s="1"/>
      <c r="EJM1635" s="1"/>
      <c r="EJN1635" s="1"/>
      <c r="EJO1635" s="1"/>
      <c r="EJP1635" s="1"/>
      <c r="EJQ1635" s="1"/>
      <c r="EJR1635" s="1"/>
      <c r="EJS1635" s="1"/>
      <c r="EJT1635" s="1"/>
      <c r="EJU1635" s="1"/>
      <c r="EJV1635" s="1"/>
      <c r="EJW1635" s="1"/>
      <c r="EJX1635" s="1"/>
      <c r="EJY1635" s="1"/>
      <c r="EJZ1635" s="1"/>
      <c r="EKA1635" s="1"/>
      <c r="EKB1635" s="1"/>
      <c r="EKC1635" s="1"/>
      <c r="EKD1635" s="1"/>
      <c r="EKE1635" s="1"/>
      <c r="EKF1635" s="1"/>
      <c r="EKG1635" s="1"/>
      <c r="EKH1635" s="1"/>
      <c r="EKI1635" s="1"/>
      <c r="EKJ1635" s="1"/>
      <c r="EKK1635" s="1"/>
      <c r="EKL1635" s="1"/>
      <c r="EKM1635" s="1"/>
      <c r="EKN1635" s="1"/>
      <c r="EKO1635" s="1"/>
      <c r="EKP1635" s="1"/>
      <c r="EKQ1635" s="1"/>
      <c r="EKR1635" s="1"/>
      <c r="EKS1635" s="1"/>
      <c r="EKT1635" s="1"/>
      <c r="EKU1635" s="1"/>
      <c r="EKV1635" s="1"/>
      <c r="EKW1635" s="1"/>
      <c r="EKX1635" s="1"/>
      <c r="EKY1635" s="1"/>
      <c r="EKZ1635" s="1"/>
      <c r="ELA1635" s="1"/>
      <c r="ELB1635" s="1"/>
      <c r="ELC1635" s="1"/>
      <c r="ELD1635" s="1"/>
      <c r="ELE1635" s="1"/>
      <c r="ELF1635" s="1"/>
      <c r="ELG1635" s="1"/>
      <c r="ELH1635" s="1"/>
      <c r="ELI1635" s="1"/>
      <c r="ELJ1635" s="1"/>
      <c r="ELK1635" s="1"/>
      <c r="ELL1635" s="1"/>
      <c r="ELM1635" s="1"/>
      <c r="ELN1635" s="1"/>
      <c r="ELO1635" s="1"/>
      <c r="ELP1635" s="1"/>
      <c r="ELQ1635" s="1"/>
      <c r="ELR1635" s="1"/>
      <c r="ELS1635" s="1"/>
      <c r="ELT1635" s="1"/>
      <c r="ELU1635" s="1"/>
      <c r="ELV1635" s="1"/>
      <c r="ELW1635" s="1"/>
      <c r="ELX1635" s="1"/>
      <c r="ELY1635" s="1"/>
      <c r="ELZ1635" s="1"/>
      <c r="EMA1635" s="1"/>
      <c r="EMB1635" s="1"/>
      <c r="EMC1635" s="1"/>
      <c r="EMD1635" s="1"/>
      <c r="EME1635" s="1"/>
      <c r="EMF1635" s="1"/>
      <c r="EMG1635" s="1"/>
      <c r="EMH1635" s="1"/>
      <c r="EMI1635" s="1"/>
      <c r="EMJ1635" s="1"/>
      <c r="EMK1635" s="1"/>
      <c r="EML1635" s="1"/>
      <c r="EMM1635" s="1"/>
      <c r="EMN1635" s="1"/>
      <c r="EMO1635" s="1"/>
      <c r="EMP1635" s="1"/>
      <c r="EMQ1635" s="1"/>
      <c r="EMR1635" s="1"/>
      <c r="EMS1635" s="1"/>
      <c r="EMT1635" s="1"/>
      <c r="EMU1635" s="1"/>
      <c r="EMV1635" s="1"/>
      <c r="EMW1635" s="1"/>
      <c r="EMX1635" s="1"/>
      <c r="EMY1635" s="1"/>
      <c r="EMZ1635" s="1"/>
      <c r="ENA1635" s="1"/>
      <c r="ENB1635" s="1"/>
      <c r="ENC1635" s="1"/>
      <c r="END1635" s="1"/>
      <c r="ENE1635" s="1"/>
      <c r="ENF1635" s="1"/>
      <c r="ENG1635" s="1"/>
      <c r="ENH1635" s="1"/>
      <c r="ENI1635" s="1"/>
      <c r="ENJ1635" s="1"/>
      <c r="ENK1635" s="1"/>
      <c r="ENL1635" s="1"/>
      <c r="ENM1635" s="1"/>
      <c r="ENN1635" s="1"/>
      <c r="ENO1635" s="1"/>
      <c r="ENP1635" s="1"/>
      <c r="ENQ1635" s="1"/>
      <c r="ENR1635" s="1"/>
      <c r="ENS1635" s="1"/>
      <c r="ENT1635" s="1"/>
      <c r="ENU1635" s="1"/>
      <c r="ENV1635" s="1"/>
      <c r="ENW1635" s="1"/>
      <c r="ENX1635" s="1"/>
      <c r="ENY1635" s="1"/>
      <c r="ENZ1635" s="1"/>
      <c r="EOA1635" s="1"/>
      <c r="EOB1635" s="1"/>
      <c r="EOC1635" s="1"/>
      <c r="EOD1635" s="1"/>
      <c r="EOE1635" s="1"/>
      <c r="EOF1635" s="1"/>
      <c r="EOG1635" s="1"/>
      <c r="EOH1635" s="1"/>
      <c r="EOI1635" s="1"/>
      <c r="EOJ1635" s="1"/>
      <c r="EOK1635" s="1"/>
      <c r="EOL1635" s="1"/>
      <c r="EOM1635" s="1"/>
      <c r="EON1635" s="1"/>
      <c r="EOO1635" s="1"/>
      <c r="EOP1635" s="1"/>
      <c r="EOQ1635" s="1"/>
      <c r="EOR1635" s="1"/>
      <c r="EOS1635" s="1"/>
      <c r="EOT1635" s="1"/>
      <c r="EOU1635" s="1"/>
      <c r="EOV1635" s="1"/>
      <c r="EOW1635" s="1"/>
      <c r="EOX1635" s="1"/>
      <c r="EOY1635" s="1"/>
      <c r="EOZ1635" s="1"/>
      <c r="EPA1635" s="1"/>
      <c r="EPB1635" s="1"/>
      <c r="EPC1635" s="1"/>
      <c r="EPD1635" s="1"/>
      <c r="EPE1635" s="1"/>
      <c r="EPF1635" s="1"/>
      <c r="EPG1635" s="1"/>
      <c r="EPH1635" s="1"/>
      <c r="EPI1635" s="1"/>
      <c r="EPJ1635" s="1"/>
      <c r="EPK1635" s="1"/>
      <c r="EPL1635" s="1"/>
      <c r="EPM1635" s="1"/>
      <c r="EPN1635" s="1"/>
      <c r="EPO1635" s="1"/>
      <c r="EPP1635" s="1"/>
      <c r="EPQ1635" s="1"/>
      <c r="EPR1635" s="1"/>
      <c r="EPS1635" s="1"/>
      <c r="EPT1635" s="1"/>
      <c r="EPU1635" s="1"/>
      <c r="EPV1635" s="1"/>
      <c r="EPW1635" s="1"/>
      <c r="EPX1635" s="1"/>
      <c r="EPY1635" s="1"/>
      <c r="EPZ1635" s="1"/>
      <c r="EQA1635" s="1"/>
      <c r="EQB1635" s="1"/>
      <c r="EQC1635" s="1"/>
      <c r="EQD1635" s="1"/>
      <c r="EQE1635" s="1"/>
      <c r="EQF1635" s="1"/>
      <c r="EQG1635" s="1"/>
      <c r="EQH1635" s="1"/>
      <c r="EQI1635" s="1"/>
      <c r="EQJ1635" s="1"/>
      <c r="EQK1635" s="1"/>
      <c r="EQL1635" s="1"/>
      <c r="EQM1635" s="1"/>
      <c r="EQN1635" s="1"/>
      <c r="EQO1635" s="1"/>
      <c r="EQP1635" s="1"/>
      <c r="EQQ1635" s="1"/>
      <c r="EQR1635" s="1"/>
      <c r="EQS1635" s="1"/>
      <c r="EQT1635" s="1"/>
      <c r="EQU1635" s="1"/>
      <c r="EQV1635" s="1"/>
      <c r="EQW1635" s="1"/>
      <c r="EQX1635" s="1"/>
      <c r="EQY1635" s="1"/>
      <c r="EQZ1635" s="1"/>
      <c r="ERA1635" s="1"/>
      <c r="ERB1635" s="1"/>
      <c r="ERC1635" s="1"/>
      <c r="ERD1635" s="1"/>
      <c r="ERE1635" s="1"/>
      <c r="ERF1635" s="1"/>
      <c r="ERG1635" s="1"/>
      <c r="ERH1635" s="1"/>
      <c r="ERI1635" s="1"/>
      <c r="ERJ1635" s="1"/>
      <c r="ERK1635" s="1"/>
      <c r="ERL1635" s="1"/>
      <c r="ERM1635" s="1"/>
      <c r="ERN1635" s="1"/>
      <c r="ERO1635" s="1"/>
      <c r="ERP1635" s="1"/>
      <c r="ERQ1635" s="1"/>
      <c r="ERR1635" s="1"/>
      <c r="ERS1635" s="1"/>
      <c r="ERT1635" s="1"/>
      <c r="ERU1635" s="1"/>
      <c r="ERV1635" s="1"/>
      <c r="ERW1635" s="1"/>
      <c r="ERX1635" s="1"/>
      <c r="ERY1635" s="1"/>
      <c r="ERZ1635" s="1"/>
      <c r="ESA1635" s="1"/>
      <c r="ESB1635" s="1"/>
      <c r="ESC1635" s="1"/>
      <c r="ESD1635" s="1"/>
      <c r="ESE1635" s="1"/>
      <c r="ESF1635" s="1"/>
      <c r="ESG1635" s="1"/>
      <c r="ESH1635" s="1"/>
      <c r="ESI1635" s="1"/>
      <c r="ESJ1635" s="1"/>
      <c r="ESK1635" s="1"/>
      <c r="ESL1635" s="1"/>
      <c r="ESM1635" s="1"/>
      <c r="ESN1635" s="1"/>
      <c r="ESO1635" s="1"/>
      <c r="ESP1635" s="1"/>
      <c r="ESQ1635" s="1"/>
      <c r="ESR1635" s="1"/>
      <c r="ESS1635" s="1"/>
      <c r="EST1635" s="1"/>
      <c r="ESU1635" s="1"/>
      <c r="ESV1635" s="1"/>
      <c r="ESW1635" s="1"/>
      <c r="ESX1635" s="1"/>
      <c r="ESY1635" s="1"/>
      <c r="ESZ1635" s="1"/>
      <c r="ETA1635" s="1"/>
      <c r="ETB1635" s="1"/>
      <c r="ETC1635" s="1"/>
      <c r="ETD1635" s="1"/>
      <c r="ETE1635" s="1"/>
      <c r="ETF1635" s="1"/>
      <c r="ETG1635" s="1"/>
      <c r="ETH1635" s="1"/>
      <c r="ETI1635" s="1"/>
      <c r="ETJ1635" s="1"/>
      <c r="ETK1635" s="1"/>
      <c r="ETL1635" s="1"/>
      <c r="ETM1635" s="1"/>
      <c r="ETN1635" s="1"/>
      <c r="ETO1635" s="1"/>
      <c r="ETP1635" s="1"/>
      <c r="ETQ1635" s="1"/>
      <c r="ETR1635" s="1"/>
      <c r="ETS1635" s="1"/>
      <c r="ETT1635" s="1"/>
      <c r="ETU1635" s="1"/>
      <c r="ETV1635" s="1"/>
      <c r="ETW1635" s="1"/>
      <c r="ETX1635" s="1"/>
      <c r="ETY1635" s="1"/>
      <c r="ETZ1635" s="1"/>
      <c r="EUA1635" s="1"/>
      <c r="EUB1635" s="1"/>
      <c r="EUC1635" s="1"/>
      <c r="EUD1635" s="1"/>
      <c r="EUE1635" s="1"/>
      <c r="EUF1635" s="1"/>
      <c r="EUG1635" s="1"/>
      <c r="EUH1635" s="1"/>
      <c r="EUI1635" s="1"/>
      <c r="EUJ1635" s="1"/>
      <c r="EUK1635" s="1"/>
      <c r="EUL1635" s="1"/>
      <c r="EUM1635" s="1"/>
      <c r="EUN1635" s="1"/>
      <c r="EUO1635" s="1"/>
      <c r="EUP1635" s="1"/>
      <c r="EUQ1635" s="1"/>
      <c r="EUR1635" s="1"/>
      <c r="EUS1635" s="1"/>
      <c r="EUT1635" s="1"/>
      <c r="EUU1635" s="1"/>
      <c r="EUV1635" s="1"/>
      <c r="EUW1635" s="1"/>
      <c r="EUX1635" s="1"/>
      <c r="EUY1635" s="1"/>
      <c r="EUZ1635" s="1"/>
      <c r="EVA1635" s="1"/>
      <c r="EVB1635" s="1"/>
      <c r="EVC1635" s="1"/>
      <c r="EVD1635" s="1"/>
      <c r="EVE1635" s="1"/>
      <c r="EVF1635" s="1"/>
      <c r="EVG1635" s="1"/>
      <c r="EVH1635" s="1"/>
      <c r="EVI1635" s="1"/>
      <c r="EVJ1635" s="1"/>
      <c r="EVK1635" s="1"/>
      <c r="EVL1635" s="1"/>
      <c r="EVM1635" s="1"/>
      <c r="EVN1635" s="1"/>
      <c r="EVO1635" s="1"/>
      <c r="EVP1635" s="1"/>
      <c r="EVQ1635" s="1"/>
      <c r="EVR1635" s="1"/>
      <c r="EVS1635" s="1"/>
      <c r="EVT1635" s="1"/>
      <c r="EVU1635" s="1"/>
      <c r="EVV1635" s="1"/>
      <c r="EVW1635" s="1"/>
      <c r="EVX1635" s="1"/>
      <c r="EVY1635" s="1"/>
      <c r="EVZ1635" s="1"/>
      <c r="EWA1635" s="1"/>
      <c r="EWB1635" s="1"/>
      <c r="EWC1635" s="1"/>
      <c r="EWD1635" s="1"/>
      <c r="EWE1635" s="1"/>
      <c r="EWF1635" s="1"/>
      <c r="EWG1635" s="1"/>
      <c r="EWH1635" s="1"/>
      <c r="EWI1635" s="1"/>
      <c r="EWJ1635" s="1"/>
      <c r="EWK1635" s="1"/>
      <c r="EWL1635" s="1"/>
      <c r="EWM1635" s="1"/>
      <c r="EWN1635" s="1"/>
      <c r="EWO1635" s="1"/>
      <c r="EWP1635" s="1"/>
      <c r="EWQ1635" s="1"/>
      <c r="EWR1635" s="1"/>
      <c r="EWS1635" s="1"/>
      <c r="EWT1635" s="1"/>
      <c r="EWU1635" s="1"/>
      <c r="EWV1635" s="1"/>
      <c r="EWW1635" s="1"/>
      <c r="EWX1635" s="1"/>
      <c r="EWY1635" s="1"/>
      <c r="EWZ1635" s="1"/>
      <c r="EXA1635" s="1"/>
      <c r="EXB1635" s="1"/>
      <c r="EXC1635" s="1"/>
      <c r="EXD1635" s="1"/>
      <c r="EXE1635" s="1"/>
      <c r="EXF1635" s="1"/>
      <c r="EXG1635" s="1"/>
      <c r="EXH1635" s="1"/>
      <c r="EXI1635" s="1"/>
      <c r="EXJ1635" s="1"/>
      <c r="EXK1635" s="1"/>
      <c r="EXL1635" s="1"/>
      <c r="EXM1635" s="1"/>
      <c r="EXN1635" s="1"/>
      <c r="EXO1635" s="1"/>
      <c r="EXP1635" s="1"/>
      <c r="EXQ1635" s="1"/>
      <c r="EXR1635" s="1"/>
      <c r="EXS1635" s="1"/>
      <c r="EXT1635" s="1"/>
      <c r="EXU1635" s="1"/>
      <c r="EXV1635" s="1"/>
      <c r="EXW1635" s="1"/>
      <c r="EXX1635" s="1"/>
      <c r="EXY1635" s="1"/>
      <c r="EXZ1635" s="1"/>
      <c r="EYA1635" s="1"/>
      <c r="EYB1635" s="1"/>
      <c r="EYC1635" s="1"/>
      <c r="EYD1635" s="1"/>
      <c r="EYE1635" s="1"/>
      <c r="EYF1635" s="1"/>
      <c r="EYG1635" s="1"/>
      <c r="EYH1635" s="1"/>
      <c r="EYI1635" s="1"/>
      <c r="EYJ1635" s="1"/>
      <c r="EYK1635" s="1"/>
      <c r="EYL1635" s="1"/>
      <c r="EYM1635" s="1"/>
      <c r="EYN1635" s="1"/>
      <c r="EYO1635" s="1"/>
      <c r="EYP1635" s="1"/>
      <c r="EYQ1635" s="1"/>
      <c r="EYR1635" s="1"/>
      <c r="EYS1635" s="1"/>
      <c r="EYT1635" s="1"/>
      <c r="EYU1635" s="1"/>
      <c r="EYV1635" s="1"/>
      <c r="EYW1635" s="1"/>
      <c r="EYX1635" s="1"/>
      <c r="EYY1635" s="1"/>
      <c r="EYZ1635" s="1"/>
      <c r="EZA1635" s="1"/>
      <c r="EZB1635" s="1"/>
      <c r="EZC1635" s="1"/>
      <c r="EZD1635" s="1"/>
      <c r="EZE1635" s="1"/>
      <c r="EZF1635" s="1"/>
      <c r="EZG1635" s="1"/>
      <c r="EZH1635" s="1"/>
      <c r="EZI1635" s="1"/>
      <c r="EZJ1635" s="1"/>
      <c r="EZK1635" s="1"/>
      <c r="EZL1635" s="1"/>
      <c r="EZM1635" s="1"/>
      <c r="EZN1635" s="1"/>
      <c r="EZO1635" s="1"/>
      <c r="EZP1635" s="1"/>
      <c r="EZQ1635" s="1"/>
      <c r="EZR1635" s="1"/>
      <c r="EZS1635" s="1"/>
      <c r="EZT1635" s="1"/>
      <c r="EZU1635" s="1"/>
      <c r="EZV1635" s="1"/>
      <c r="EZW1635" s="1"/>
      <c r="EZX1635" s="1"/>
      <c r="EZY1635" s="1"/>
      <c r="EZZ1635" s="1"/>
      <c r="FAA1635" s="1"/>
      <c r="FAB1635" s="1"/>
      <c r="FAC1635" s="1"/>
      <c r="FAD1635" s="1"/>
      <c r="FAE1635" s="1"/>
      <c r="FAF1635" s="1"/>
      <c r="FAG1635" s="1"/>
      <c r="FAH1635" s="1"/>
      <c r="FAI1635" s="1"/>
      <c r="FAJ1635" s="1"/>
      <c r="FAK1635" s="1"/>
      <c r="FAL1635" s="1"/>
      <c r="FAM1635" s="1"/>
      <c r="FAN1635" s="1"/>
      <c r="FAO1635" s="1"/>
      <c r="FAP1635" s="1"/>
      <c r="FAQ1635" s="1"/>
      <c r="FAR1635" s="1"/>
      <c r="FAS1635" s="1"/>
      <c r="FAT1635" s="1"/>
      <c r="FAU1635" s="1"/>
      <c r="FAV1635" s="1"/>
      <c r="FAW1635" s="1"/>
      <c r="FAX1635" s="1"/>
      <c r="FAY1635" s="1"/>
      <c r="FAZ1635" s="1"/>
      <c r="FBA1635" s="1"/>
      <c r="FBB1635" s="1"/>
      <c r="FBC1635" s="1"/>
      <c r="FBD1635" s="1"/>
      <c r="FBE1635" s="1"/>
      <c r="FBF1635" s="1"/>
      <c r="FBG1635" s="1"/>
      <c r="FBH1635" s="1"/>
      <c r="FBI1635" s="1"/>
      <c r="FBJ1635" s="1"/>
      <c r="FBK1635" s="1"/>
      <c r="FBL1635" s="1"/>
      <c r="FBM1635" s="1"/>
      <c r="FBN1635" s="1"/>
      <c r="FBO1635" s="1"/>
      <c r="FBP1635" s="1"/>
      <c r="FBQ1635" s="1"/>
      <c r="FBR1635" s="1"/>
      <c r="FBS1635" s="1"/>
      <c r="FBT1635" s="1"/>
      <c r="FBU1635" s="1"/>
      <c r="FBV1635" s="1"/>
      <c r="FBW1635" s="1"/>
      <c r="FBX1635" s="1"/>
      <c r="FBY1635" s="1"/>
      <c r="FBZ1635" s="1"/>
      <c r="FCA1635" s="1"/>
      <c r="FCB1635" s="1"/>
      <c r="FCC1635" s="1"/>
      <c r="FCD1635" s="1"/>
      <c r="FCE1635" s="1"/>
      <c r="FCF1635" s="1"/>
      <c r="FCG1635" s="1"/>
      <c r="FCH1635" s="1"/>
      <c r="FCI1635" s="1"/>
      <c r="FCJ1635" s="1"/>
      <c r="FCK1635" s="1"/>
      <c r="FCL1635" s="1"/>
      <c r="FCM1635" s="1"/>
      <c r="FCN1635" s="1"/>
      <c r="FCO1635" s="1"/>
      <c r="FCP1635" s="1"/>
      <c r="FCQ1635" s="1"/>
      <c r="FCR1635" s="1"/>
      <c r="FCS1635" s="1"/>
      <c r="FCT1635" s="1"/>
      <c r="FCU1635" s="1"/>
      <c r="FCV1635" s="1"/>
      <c r="FCW1635" s="1"/>
      <c r="FCX1635" s="1"/>
      <c r="FCY1635" s="1"/>
      <c r="FCZ1635" s="1"/>
      <c r="FDA1635" s="1"/>
      <c r="FDB1635" s="1"/>
      <c r="FDC1635" s="1"/>
      <c r="FDD1635" s="1"/>
      <c r="FDE1635" s="1"/>
      <c r="FDF1635" s="1"/>
      <c r="FDG1635" s="1"/>
      <c r="FDH1635" s="1"/>
      <c r="FDI1635" s="1"/>
      <c r="FDJ1635" s="1"/>
      <c r="FDK1635" s="1"/>
      <c r="FDL1635" s="1"/>
      <c r="FDM1635" s="1"/>
      <c r="FDN1635" s="1"/>
      <c r="FDO1635" s="1"/>
      <c r="FDP1635" s="1"/>
      <c r="FDQ1635" s="1"/>
      <c r="FDR1635" s="1"/>
      <c r="FDS1635" s="1"/>
      <c r="FDT1635" s="1"/>
      <c r="FDU1635" s="1"/>
      <c r="FDV1635" s="1"/>
      <c r="FDW1635" s="1"/>
      <c r="FDX1635" s="1"/>
      <c r="FDY1635" s="1"/>
      <c r="FDZ1635" s="1"/>
      <c r="FEA1635" s="1"/>
      <c r="FEB1635" s="1"/>
      <c r="FEC1635" s="1"/>
      <c r="FED1635" s="1"/>
      <c r="FEE1635" s="1"/>
      <c r="FEF1635" s="1"/>
      <c r="FEG1635" s="1"/>
      <c r="FEH1635" s="1"/>
      <c r="FEI1635" s="1"/>
      <c r="FEJ1635" s="1"/>
      <c r="FEK1635" s="1"/>
      <c r="FEL1635" s="1"/>
      <c r="FEM1635" s="1"/>
      <c r="FEN1635" s="1"/>
      <c r="FEO1635" s="1"/>
      <c r="FEP1635" s="1"/>
      <c r="FEQ1635" s="1"/>
      <c r="FER1635" s="1"/>
      <c r="FES1635" s="1"/>
      <c r="FET1635" s="1"/>
      <c r="FEU1635" s="1"/>
      <c r="FEV1635" s="1"/>
      <c r="FEW1635" s="1"/>
      <c r="FEX1635" s="1"/>
      <c r="FEY1635" s="1"/>
      <c r="FEZ1635" s="1"/>
      <c r="FFA1635" s="1"/>
      <c r="FFB1635" s="1"/>
      <c r="FFC1635" s="1"/>
      <c r="FFD1635" s="1"/>
      <c r="FFE1635" s="1"/>
      <c r="FFF1635" s="1"/>
      <c r="FFG1635" s="1"/>
      <c r="FFH1635" s="1"/>
      <c r="FFI1635" s="1"/>
      <c r="FFJ1635" s="1"/>
      <c r="FFK1635" s="1"/>
      <c r="FFL1635" s="1"/>
      <c r="FFM1635" s="1"/>
      <c r="FFN1635" s="1"/>
      <c r="FFO1635" s="1"/>
      <c r="FFP1635" s="1"/>
      <c r="FFQ1635" s="1"/>
      <c r="FFR1635" s="1"/>
      <c r="FFS1635" s="1"/>
      <c r="FFT1635" s="1"/>
      <c r="FFU1635" s="1"/>
      <c r="FFV1635" s="1"/>
      <c r="FFW1635" s="1"/>
      <c r="FFX1635" s="1"/>
      <c r="FFY1635" s="1"/>
      <c r="FFZ1635" s="1"/>
      <c r="FGA1635" s="1"/>
      <c r="FGB1635" s="1"/>
      <c r="FGC1635" s="1"/>
      <c r="FGD1635" s="1"/>
      <c r="FGE1635" s="1"/>
      <c r="FGF1635" s="1"/>
      <c r="FGG1635" s="1"/>
      <c r="FGH1635" s="1"/>
      <c r="FGI1635" s="1"/>
      <c r="FGJ1635" s="1"/>
      <c r="FGK1635" s="1"/>
      <c r="FGL1635" s="1"/>
      <c r="FGM1635" s="1"/>
      <c r="FGN1635" s="1"/>
      <c r="FGO1635" s="1"/>
      <c r="FGP1635" s="1"/>
      <c r="FGQ1635" s="1"/>
      <c r="FGR1635" s="1"/>
      <c r="FGS1635" s="1"/>
      <c r="FGT1635" s="1"/>
      <c r="FGU1635" s="1"/>
      <c r="FGV1635" s="1"/>
      <c r="FGW1635" s="1"/>
      <c r="FGX1635" s="1"/>
      <c r="FGY1635" s="1"/>
      <c r="FGZ1635" s="1"/>
      <c r="FHA1635" s="1"/>
      <c r="FHB1635" s="1"/>
      <c r="FHC1635" s="1"/>
      <c r="FHD1635" s="1"/>
      <c r="FHE1635" s="1"/>
      <c r="FHF1635" s="1"/>
      <c r="FHG1635" s="1"/>
      <c r="FHH1635" s="1"/>
      <c r="FHI1635" s="1"/>
      <c r="FHJ1635" s="1"/>
      <c r="FHK1635" s="1"/>
      <c r="FHL1635" s="1"/>
      <c r="FHM1635" s="1"/>
      <c r="FHN1635" s="1"/>
      <c r="FHO1635" s="1"/>
      <c r="FHP1635" s="1"/>
      <c r="FHQ1635" s="1"/>
      <c r="FHR1635" s="1"/>
      <c r="FHS1635" s="1"/>
      <c r="FHT1635" s="1"/>
      <c r="FHU1635" s="1"/>
      <c r="FHV1635" s="1"/>
      <c r="FHW1635" s="1"/>
      <c r="FHX1635" s="1"/>
      <c r="FHY1635" s="1"/>
      <c r="FHZ1635" s="1"/>
      <c r="FIA1635" s="1"/>
      <c r="FIB1635" s="1"/>
      <c r="FIC1635" s="1"/>
      <c r="FID1635" s="1"/>
      <c r="FIE1635" s="1"/>
      <c r="FIF1635" s="1"/>
      <c r="FIG1635" s="1"/>
      <c r="FIH1635" s="1"/>
      <c r="FII1635" s="1"/>
      <c r="FIJ1635" s="1"/>
      <c r="FIK1635" s="1"/>
      <c r="FIL1635" s="1"/>
      <c r="FIM1635" s="1"/>
      <c r="FIN1635" s="1"/>
      <c r="FIO1635" s="1"/>
      <c r="FIP1635" s="1"/>
      <c r="FIQ1635" s="1"/>
      <c r="FIR1635" s="1"/>
      <c r="FIS1635" s="1"/>
      <c r="FIT1635" s="1"/>
      <c r="FIU1635" s="1"/>
      <c r="FIV1635" s="1"/>
      <c r="FIW1635" s="1"/>
      <c r="FIX1635" s="1"/>
      <c r="FIY1635" s="1"/>
      <c r="FIZ1635" s="1"/>
      <c r="FJA1635" s="1"/>
      <c r="FJB1635" s="1"/>
      <c r="FJC1635" s="1"/>
      <c r="FJD1635" s="1"/>
      <c r="FJE1635" s="1"/>
      <c r="FJF1635" s="1"/>
      <c r="FJG1635" s="1"/>
      <c r="FJH1635" s="1"/>
      <c r="FJI1635" s="1"/>
      <c r="FJJ1635" s="1"/>
      <c r="FJK1635" s="1"/>
      <c r="FJL1635" s="1"/>
      <c r="FJM1635" s="1"/>
      <c r="FJN1635" s="1"/>
      <c r="FJO1635" s="1"/>
      <c r="FJP1635" s="1"/>
      <c r="FJQ1635" s="1"/>
      <c r="FJR1635" s="1"/>
      <c r="FJS1635" s="1"/>
      <c r="FJT1635" s="1"/>
      <c r="FJU1635" s="1"/>
      <c r="FJV1635" s="1"/>
      <c r="FJW1635" s="1"/>
      <c r="FJX1635" s="1"/>
      <c r="FJY1635" s="1"/>
      <c r="FJZ1635" s="1"/>
      <c r="FKA1635" s="1"/>
      <c r="FKB1635" s="1"/>
      <c r="FKC1635" s="1"/>
      <c r="FKD1635" s="1"/>
      <c r="FKE1635" s="1"/>
      <c r="FKF1635" s="1"/>
      <c r="FKG1635" s="1"/>
      <c r="FKH1635" s="1"/>
      <c r="FKI1635" s="1"/>
      <c r="FKJ1635" s="1"/>
      <c r="FKK1635" s="1"/>
      <c r="FKL1635" s="1"/>
      <c r="FKM1635" s="1"/>
      <c r="FKN1635" s="1"/>
      <c r="FKO1635" s="1"/>
      <c r="FKP1635" s="1"/>
      <c r="FKQ1635" s="1"/>
      <c r="FKR1635" s="1"/>
      <c r="FKS1635" s="1"/>
      <c r="FKT1635" s="1"/>
      <c r="FKU1635" s="1"/>
      <c r="FKV1635" s="1"/>
      <c r="FKW1635" s="1"/>
      <c r="FKX1635" s="1"/>
      <c r="FKY1635" s="1"/>
      <c r="FKZ1635" s="1"/>
      <c r="FLA1635" s="1"/>
      <c r="FLB1635" s="1"/>
      <c r="FLC1635" s="1"/>
      <c r="FLD1635" s="1"/>
      <c r="FLE1635" s="1"/>
      <c r="FLF1635" s="1"/>
      <c r="FLG1635" s="1"/>
      <c r="FLH1635" s="1"/>
      <c r="FLI1635" s="1"/>
      <c r="FLJ1635" s="1"/>
      <c r="FLK1635" s="1"/>
      <c r="FLL1635" s="1"/>
      <c r="FLM1635" s="1"/>
      <c r="FLN1635" s="1"/>
      <c r="FLO1635" s="1"/>
      <c r="FLP1635" s="1"/>
      <c r="FLQ1635" s="1"/>
      <c r="FLR1635" s="1"/>
      <c r="FLS1635" s="1"/>
      <c r="FLT1635" s="1"/>
      <c r="FLU1635" s="1"/>
      <c r="FLV1635" s="1"/>
      <c r="FLW1635" s="1"/>
      <c r="FLX1635" s="1"/>
      <c r="FLY1635" s="1"/>
      <c r="FLZ1635" s="1"/>
      <c r="FMA1635" s="1"/>
      <c r="FMB1635" s="1"/>
      <c r="FMC1635" s="1"/>
      <c r="FMD1635" s="1"/>
      <c r="FME1635" s="1"/>
      <c r="FMF1635" s="1"/>
      <c r="FMG1635" s="1"/>
      <c r="FMH1635" s="1"/>
      <c r="FMI1635" s="1"/>
      <c r="FMJ1635" s="1"/>
      <c r="FMK1635" s="1"/>
      <c r="FML1635" s="1"/>
      <c r="FMM1635" s="1"/>
      <c r="FMN1635" s="1"/>
      <c r="FMO1635" s="1"/>
      <c r="FMP1635" s="1"/>
      <c r="FMQ1635" s="1"/>
      <c r="FMR1635" s="1"/>
      <c r="FMS1635" s="1"/>
      <c r="FMT1635" s="1"/>
      <c r="FMU1635" s="1"/>
      <c r="FMV1635" s="1"/>
      <c r="FMW1635" s="1"/>
      <c r="FMX1635" s="1"/>
      <c r="FMY1635" s="1"/>
      <c r="FMZ1635" s="1"/>
      <c r="FNA1635" s="1"/>
      <c r="FNB1635" s="1"/>
      <c r="FNC1635" s="1"/>
      <c r="FND1635" s="1"/>
      <c r="FNE1635" s="1"/>
      <c r="FNF1635" s="1"/>
      <c r="FNG1635" s="1"/>
      <c r="FNH1635" s="1"/>
      <c r="FNI1635" s="1"/>
      <c r="FNJ1635" s="1"/>
      <c r="FNK1635" s="1"/>
      <c r="FNL1635" s="1"/>
      <c r="FNM1635" s="1"/>
      <c r="FNN1635" s="1"/>
      <c r="FNO1635" s="1"/>
      <c r="FNP1635" s="1"/>
      <c r="FNQ1635" s="1"/>
      <c r="FNR1635" s="1"/>
      <c r="FNS1635" s="1"/>
      <c r="FNT1635" s="1"/>
      <c r="FNU1635" s="1"/>
      <c r="FNV1635" s="1"/>
      <c r="FNW1635" s="1"/>
      <c r="FNX1635" s="1"/>
      <c r="FNY1635" s="1"/>
      <c r="FNZ1635" s="1"/>
      <c r="FOA1635" s="1"/>
      <c r="FOB1635" s="1"/>
      <c r="FOC1635" s="1"/>
      <c r="FOD1635" s="1"/>
      <c r="FOE1635" s="1"/>
      <c r="FOF1635" s="1"/>
      <c r="FOG1635" s="1"/>
      <c r="FOH1635" s="1"/>
      <c r="FOI1635" s="1"/>
      <c r="FOJ1635" s="1"/>
      <c r="FOK1635" s="1"/>
      <c r="FOL1635" s="1"/>
      <c r="FOM1635" s="1"/>
      <c r="FON1635" s="1"/>
      <c r="FOO1635" s="1"/>
      <c r="FOP1635" s="1"/>
      <c r="FOQ1635" s="1"/>
      <c r="FOR1635" s="1"/>
      <c r="FOS1635" s="1"/>
      <c r="FOT1635" s="1"/>
      <c r="FOU1635" s="1"/>
      <c r="FOV1635" s="1"/>
      <c r="FOW1635" s="1"/>
      <c r="FOX1635" s="1"/>
      <c r="FOY1635" s="1"/>
      <c r="FOZ1635" s="1"/>
      <c r="FPA1635" s="1"/>
      <c r="FPB1635" s="1"/>
      <c r="FPC1635" s="1"/>
      <c r="FPD1635" s="1"/>
      <c r="FPE1635" s="1"/>
      <c r="FPF1635" s="1"/>
      <c r="FPG1635" s="1"/>
      <c r="FPH1635" s="1"/>
      <c r="FPI1635" s="1"/>
      <c r="FPJ1635" s="1"/>
      <c r="FPK1635" s="1"/>
      <c r="FPL1635" s="1"/>
      <c r="FPM1635" s="1"/>
      <c r="FPN1635" s="1"/>
      <c r="FPO1635" s="1"/>
      <c r="FPP1635" s="1"/>
      <c r="FPQ1635" s="1"/>
      <c r="FPR1635" s="1"/>
      <c r="FPS1635" s="1"/>
      <c r="FPT1635" s="1"/>
      <c r="FPU1635" s="1"/>
      <c r="FPV1635" s="1"/>
      <c r="FPW1635" s="1"/>
      <c r="FPX1635" s="1"/>
      <c r="FPY1635" s="1"/>
      <c r="FPZ1635" s="1"/>
      <c r="FQA1635" s="1"/>
      <c r="FQB1635" s="1"/>
      <c r="FQC1635" s="1"/>
      <c r="FQD1635" s="1"/>
      <c r="FQE1635" s="1"/>
      <c r="FQF1635" s="1"/>
      <c r="FQG1635" s="1"/>
      <c r="FQH1635" s="1"/>
      <c r="FQI1635" s="1"/>
      <c r="FQJ1635" s="1"/>
      <c r="FQK1635" s="1"/>
      <c r="FQL1635" s="1"/>
      <c r="FQM1635" s="1"/>
      <c r="FQN1635" s="1"/>
      <c r="FQO1635" s="1"/>
      <c r="FQP1635" s="1"/>
      <c r="FQQ1635" s="1"/>
      <c r="FQR1635" s="1"/>
      <c r="FQS1635" s="1"/>
      <c r="FQT1635" s="1"/>
      <c r="FQU1635" s="1"/>
      <c r="FQV1635" s="1"/>
      <c r="FQW1635" s="1"/>
      <c r="FQX1635" s="1"/>
      <c r="FQY1635" s="1"/>
      <c r="FQZ1635" s="1"/>
      <c r="FRA1635" s="1"/>
      <c r="FRB1635" s="1"/>
      <c r="FRC1635" s="1"/>
      <c r="FRD1635" s="1"/>
      <c r="FRE1635" s="1"/>
      <c r="FRF1635" s="1"/>
      <c r="FRG1635" s="1"/>
      <c r="FRH1635" s="1"/>
      <c r="FRI1635" s="1"/>
      <c r="FRJ1635" s="1"/>
      <c r="FRK1635" s="1"/>
      <c r="FRL1635" s="1"/>
      <c r="FRM1635" s="1"/>
      <c r="FRN1635" s="1"/>
      <c r="FRO1635" s="1"/>
      <c r="FRP1635" s="1"/>
      <c r="FRQ1635" s="1"/>
      <c r="FRR1635" s="1"/>
      <c r="FRS1635" s="1"/>
      <c r="FRT1635" s="1"/>
      <c r="FRU1635" s="1"/>
      <c r="FRV1635" s="1"/>
      <c r="FRW1635" s="1"/>
      <c r="FRX1635" s="1"/>
      <c r="FRY1635" s="1"/>
      <c r="FRZ1635" s="1"/>
      <c r="FSA1635" s="1"/>
      <c r="FSB1635" s="1"/>
      <c r="FSC1635" s="1"/>
      <c r="FSD1635" s="1"/>
      <c r="FSE1635" s="1"/>
      <c r="FSF1635" s="1"/>
      <c r="FSG1635" s="1"/>
      <c r="FSH1635" s="1"/>
      <c r="FSI1635" s="1"/>
      <c r="FSJ1635" s="1"/>
      <c r="FSK1635" s="1"/>
      <c r="FSL1635" s="1"/>
      <c r="FSM1635" s="1"/>
      <c r="FSN1635" s="1"/>
      <c r="FSO1635" s="1"/>
      <c r="FSP1635" s="1"/>
      <c r="FSQ1635" s="1"/>
      <c r="FSR1635" s="1"/>
      <c r="FSS1635" s="1"/>
      <c r="FST1635" s="1"/>
      <c r="FSU1635" s="1"/>
      <c r="FSV1635" s="1"/>
      <c r="FSW1635" s="1"/>
      <c r="FSX1635" s="1"/>
      <c r="FSY1635" s="1"/>
      <c r="FSZ1635" s="1"/>
      <c r="FTA1635" s="1"/>
      <c r="FTB1635" s="1"/>
      <c r="FTC1635" s="1"/>
      <c r="FTD1635" s="1"/>
      <c r="FTE1635" s="1"/>
      <c r="FTF1635" s="1"/>
      <c r="FTG1635" s="1"/>
      <c r="FTH1635" s="1"/>
      <c r="FTI1635" s="1"/>
      <c r="FTJ1635" s="1"/>
      <c r="FTK1635" s="1"/>
      <c r="FTL1635" s="1"/>
      <c r="FTM1635" s="1"/>
      <c r="FTN1635" s="1"/>
      <c r="FTO1635" s="1"/>
      <c r="FTP1635" s="1"/>
      <c r="FTQ1635" s="1"/>
      <c r="FTR1635" s="1"/>
      <c r="FTS1635" s="1"/>
      <c r="FTT1635" s="1"/>
      <c r="FTU1635" s="1"/>
      <c r="FTV1635" s="1"/>
      <c r="FTW1635" s="1"/>
      <c r="FTX1635" s="1"/>
      <c r="FTY1635" s="1"/>
      <c r="FTZ1635" s="1"/>
      <c r="FUA1635" s="1"/>
      <c r="FUB1635" s="1"/>
      <c r="FUC1635" s="1"/>
      <c r="FUD1635" s="1"/>
      <c r="FUE1635" s="1"/>
      <c r="FUF1635" s="1"/>
      <c r="FUG1635" s="1"/>
      <c r="FUH1635" s="1"/>
      <c r="FUI1635" s="1"/>
      <c r="FUJ1635" s="1"/>
      <c r="FUK1635" s="1"/>
      <c r="FUL1635" s="1"/>
      <c r="FUM1635" s="1"/>
      <c r="FUN1635" s="1"/>
      <c r="FUO1635" s="1"/>
      <c r="FUP1635" s="1"/>
      <c r="FUQ1635" s="1"/>
      <c r="FUR1635" s="1"/>
      <c r="FUS1635" s="1"/>
      <c r="FUT1635" s="1"/>
      <c r="FUU1635" s="1"/>
      <c r="FUV1635" s="1"/>
      <c r="FUW1635" s="1"/>
      <c r="FUX1635" s="1"/>
      <c r="FUY1635" s="1"/>
      <c r="FUZ1635" s="1"/>
      <c r="FVA1635" s="1"/>
      <c r="FVB1635" s="1"/>
      <c r="FVC1635" s="1"/>
      <c r="FVD1635" s="1"/>
      <c r="FVE1635" s="1"/>
      <c r="FVF1635" s="1"/>
      <c r="FVG1635" s="1"/>
      <c r="FVH1635" s="1"/>
      <c r="FVI1635" s="1"/>
      <c r="FVJ1635" s="1"/>
      <c r="FVK1635" s="1"/>
      <c r="FVL1635" s="1"/>
      <c r="FVM1635" s="1"/>
      <c r="FVN1635" s="1"/>
      <c r="FVO1635" s="1"/>
      <c r="FVP1635" s="1"/>
      <c r="FVQ1635" s="1"/>
      <c r="FVR1635" s="1"/>
      <c r="FVS1635" s="1"/>
      <c r="FVT1635" s="1"/>
      <c r="FVU1635" s="1"/>
      <c r="FVV1635" s="1"/>
      <c r="FVW1635" s="1"/>
      <c r="FVX1635" s="1"/>
      <c r="FVY1635" s="1"/>
      <c r="FVZ1635" s="1"/>
      <c r="FWA1635" s="1"/>
      <c r="FWB1635" s="1"/>
      <c r="FWC1635" s="1"/>
      <c r="FWD1635" s="1"/>
      <c r="FWE1635" s="1"/>
      <c r="FWF1635" s="1"/>
      <c r="FWG1635" s="1"/>
      <c r="FWH1635" s="1"/>
      <c r="FWI1635" s="1"/>
      <c r="FWJ1635" s="1"/>
      <c r="FWK1635" s="1"/>
      <c r="FWL1635" s="1"/>
      <c r="FWM1635" s="1"/>
      <c r="FWN1635" s="1"/>
      <c r="FWO1635" s="1"/>
      <c r="FWP1635" s="1"/>
      <c r="FWQ1635" s="1"/>
      <c r="FWR1635" s="1"/>
      <c r="FWS1635" s="1"/>
      <c r="FWT1635" s="1"/>
      <c r="FWU1635" s="1"/>
      <c r="FWV1635" s="1"/>
      <c r="FWW1635" s="1"/>
      <c r="FWX1635" s="1"/>
      <c r="FWY1635" s="1"/>
      <c r="FWZ1635" s="1"/>
      <c r="FXA1635" s="1"/>
      <c r="FXB1635" s="1"/>
      <c r="FXC1635" s="1"/>
      <c r="FXD1635" s="1"/>
      <c r="FXE1635" s="1"/>
      <c r="FXF1635" s="1"/>
      <c r="FXG1635" s="1"/>
      <c r="FXH1635" s="1"/>
      <c r="FXI1635" s="1"/>
      <c r="FXJ1635" s="1"/>
      <c r="FXK1635" s="1"/>
      <c r="FXL1635" s="1"/>
      <c r="FXM1635" s="1"/>
      <c r="FXN1635" s="1"/>
      <c r="FXO1635" s="1"/>
      <c r="FXP1635" s="1"/>
      <c r="FXQ1635" s="1"/>
      <c r="FXR1635" s="1"/>
      <c r="FXS1635" s="1"/>
      <c r="FXT1635" s="1"/>
      <c r="FXU1635" s="1"/>
      <c r="FXV1635" s="1"/>
      <c r="FXW1635" s="1"/>
      <c r="FXX1635" s="1"/>
      <c r="FXY1635" s="1"/>
      <c r="FXZ1635" s="1"/>
      <c r="FYA1635" s="1"/>
      <c r="FYB1635" s="1"/>
      <c r="FYC1635" s="1"/>
      <c r="FYD1635" s="1"/>
      <c r="FYE1635" s="1"/>
      <c r="FYF1635" s="1"/>
      <c r="FYG1635" s="1"/>
      <c r="FYH1635" s="1"/>
      <c r="FYI1635" s="1"/>
      <c r="FYJ1635" s="1"/>
      <c r="FYK1635" s="1"/>
      <c r="FYL1635" s="1"/>
      <c r="FYM1635" s="1"/>
      <c r="FYN1635" s="1"/>
      <c r="FYO1635" s="1"/>
      <c r="FYP1635" s="1"/>
      <c r="FYQ1635" s="1"/>
      <c r="FYR1635" s="1"/>
      <c r="FYS1635" s="1"/>
      <c r="FYT1635" s="1"/>
      <c r="FYU1635" s="1"/>
      <c r="FYV1635" s="1"/>
      <c r="FYW1635" s="1"/>
      <c r="FYX1635" s="1"/>
      <c r="FYY1635" s="1"/>
      <c r="FYZ1635" s="1"/>
      <c r="FZA1635" s="1"/>
      <c r="FZB1635" s="1"/>
      <c r="FZC1635" s="1"/>
      <c r="FZD1635" s="1"/>
      <c r="FZE1635" s="1"/>
      <c r="FZF1635" s="1"/>
      <c r="FZG1635" s="1"/>
      <c r="FZH1635" s="1"/>
      <c r="FZI1635" s="1"/>
      <c r="FZJ1635" s="1"/>
      <c r="FZK1635" s="1"/>
      <c r="FZL1635" s="1"/>
      <c r="FZM1635" s="1"/>
      <c r="FZN1635" s="1"/>
      <c r="FZO1635" s="1"/>
      <c r="FZP1635" s="1"/>
      <c r="FZQ1635" s="1"/>
      <c r="FZR1635" s="1"/>
      <c r="FZS1635" s="1"/>
      <c r="FZT1635" s="1"/>
      <c r="FZU1635" s="1"/>
      <c r="FZV1635" s="1"/>
      <c r="FZW1635" s="1"/>
      <c r="FZX1635" s="1"/>
      <c r="FZY1635" s="1"/>
      <c r="FZZ1635" s="1"/>
      <c r="GAA1635" s="1"/>
      <c r="GAB1635" s="1"/>
      <c r="GAC1635" s="1"/>
      <c r="GAD1635" s="1"/>
      <c r="GAE1635" s="1"/>
      <c r="GAF1635" s="1"/>
      <c r="GAG1635" s="1"/>
      <c r="GAH1635" s="1"/>
      <c r="GAI1635" s="1"/>
      <c r="GAJ1635" s="1"/>
      <c r="GAK1635" s="1"/>
      <c r="GAL1635" s="1"/>
      <c r="GAM1635" s="1"/>
      <c r="GAN1635" s="1"/>
      <c r="GAO1635" s="1"/>
      <c r="GAP1635" s="1"/>
      <c r="GAQ1635" s="1"/>
      <c r="GAR1635" s="1"/>
      <c r="GAS1635" s="1"/>
      <c r="GAT1635" s="1"/>
      <c r="GAU1635" s="1"/>
      <c r="GAV1635" s="1"/>
      <c r="GAW1635" s="1"/>
      <c r="GAX1635" s="1"/>
      <c r="GAY1635" s="1"/>
      <c r="GAZ1635" s="1"/>
      <c r="GBA1635" s="1"/>
      <c r="GBB1635" s="1"/>
      <c r="GBC1635" s="1"/>
      <c r="GBD1635" s="1"/>
      <c r="GBE1635" s="1"/>
      <c r="GBF1635" s="1"/>
      <c r="GBG1635" s="1"/>
      <c r="GBH1635" s="1"/>
      <c r="GBI1635" s="1"/>
      <c r="GBJ1635" s="1"/>
      <c r="GBK1635" s="1"/>
      <c r="GBL1635" s="1"/>
      <c r="GBM1635" s="1"/>
      <c r="GBN1635" s="1"/>
      <c r="GBO1635" s="1"/>
      <c r="GBP1635" s="1"/>
      <c r="GBQ1635" s="1"/>
      <c r="GBR1635" s="1"/>
      <c r="GBS1635" s="1"/>
      <c r="GBT1635" s="1"/>
      <c r="GBU1635" s="1"/>
      <c r="GBV1635" s="1"/>
      <c r="GBW1635" s="1"/>
      <c r="GBX1635" s="1"/>
      <c r="GBY1635" s="1"/>
      <c r="GBZ1635" s="1"/>
      <c r="GCA1635" s="1"/>
      <c r="GCB1635" s="1"/>
      <c r="GCC1635" s="1"/>
      <c r="GCD1635" s="1"/>
      <c r="GCE1635" s="1"/>
      <c r="GCF1635" s="1"/>
      <c r="GCG1635" s="1"/>
      <c r="GCH1635" s="1"/>
      <c r="GCI1635" s="1"/>
      <c r="GCJ1635" s="1"/>
      <c r="GCK1635" s="1"/>
      <c r="GCL1635" s="1"/>
      <c r="GCM1635" s="1"/>
      <c r="GCN1635" s="1"/>
      <c r="GCO1635" s="1"/>
      <c r="GCP1635" s="1"/>
      <c r="GCQ1635" s="1"/>
      <c r="GCR1635" s="1"/>
      <c r="GCS1635" s="1"/>
      <c r="GCT1635" s="1"/>
      <c r="GCU1635" s="1"/>
      <c r="GCV1635" s="1"/>
      <c r="GCW1635" s="1"/>
      <c r="GCX1635" s="1"/>
      <c r="GCY1635" s="1"/>
      <c r="GCZ1635" s="1"/>
      <c r="GDA1635" s="1"/>
      <c r="GDB1635" s="1"/>
      <c r="GDC1635" s="1"/>
      <c r="GDD1635" s="1"/>
      <c r="GDE1635" s="1"/>
      <c r="GDF1635" s="1"/>
      <c r="GDG1635" s="1"/>
      <c r="GDH1635" s="1"/>
      <c r="GDI1635" s="1"/>
      <c r="GDJ1635" s="1"/>
      <c r="GDK1635" s="1"/>
      <c r="GDL1635" s="1"/>
      <c r="GDM1635" s="1"/>
      <c r="GDN1635" s="1"/>
      <c r="GDO1635" s="1"/>
      <c r="GDP1635" s="1"/>
      <c r="GDQ1635" s="1"/>
      <c r="GDR1635" s="1"/>
      <c r="GDS1635" s="1"/>
      <c r="GDT1635" s="1"/>
      <c r="GDU1635" s="1"/>
      <c r="GDV1635" s="1"/>
      <c r="GDW1635" s="1"/>
      <c r="GDX1635" s="1"/>
      <c r="GDY1635" s="1"/>
      <c r="GDZ1635" s="1"/>
      <c r="GEA1635" s="1"/>
      <c r="GEB1635" s="1"/>
      <c r="GEC1635" s="1"/>
      <c r="GED1635" s="1"/>
      <c r="GEE1635" s="1"/>
      <c r="GEF1635" s="1"/>
      <c r="GEG1635" s="1"/>
      <c r="GEH1635" s="1"/>
      <c r="GEI1635" s="1"/>
      <c r="GEJ1635" s="1"/>
      <c r="GEK1635" s="1"/>
      <c r="GEL1635" s="1"/>
      <c r="GEM1635" s="1"/>
      <c r="GEN1635" s="1"/>
      <c r="GEO1635" s="1"/>
      <c r="GEP1635" s="1"/>
      <c r="GEQ1635" s="1"/>
      <c r="GER1635" s="1"/>
      <c r="GES1635" s="1"/>
      <c r="GET1635" s="1"/>
      <c r="GEU1635" s="1"/>
      <c r="GEV1635" s="1"/>
      <c r="GEW1635" s="1"/>
      <c r="GEX1635" s="1"/>
      <c r="GEY1635" s="1"/>
      <c r="GEZ1635" s="1"/>
      <c r="GFA1635" s="1"/>
      <c r="GFB1635" s="1"/>
      <c r="GFC1635" s="1"/>
      <c r="GFD1635" s="1"/>
      <c r="GFE1635" s="1"/>
      <c r="GFF1635" s="1"/>
      <c r="GFG1635" s="1"/>
      <c r="GFH1635" s="1"/>
      <c r="GFI1635" s="1"/>
      <c r="GFJ1635" s="1"/>
      <c r="GFK1635" s="1"/>
      <c r="GFL1635" s="1"/>
      <c r="GFM1635" s="1"/>
      <c r="GFN1635" s="1"/>
      <c r="GFO1635" s="1"/>
      <c r="GFP1635" s="1"/>
      <c r="GFQ1635" s="1"/>
      <c r="GFR1635" s="1"/>
      <c r="GFS1635" s="1"/>
      <c r="GFT1635" s="1"/>
      <c r="GFU1635" s="1"/>
      <c r="GFV1635" s="1"/>
      <c r="GFW1635" s="1"/>
      <c r="GFX1635" s="1"/>
      <c r="GFY1635" s="1"/>
      <c r="GFZ1635" s="1"/>
      <c r="GGA1635" s="1"/>
      <c r="GGB1635" s="1"/>
      <c r="GGC1635" s="1"/>
      <c r="GGD1635" s="1"/>
      <c r="GGE1635" s="1"/>
      <c r="GGF1635" s="1"/>
      <c r="GGG1635" s="1"/>
      <c r="GGH1635" s="1"/>
      <c r="GGI1635" s="1"/>
      <c r="GGJ1635" s="1"/>
      <c r="GGK1635" s="1"/>
      <c r="GGL1635" s="1"/>
      <c r="GGM1635" s="1"/>
      <c r="GGN1635" s="1"/>
      <c r="GGO1635" s="1"/>
      <c r="GGP1635" s="1"/>
      <c r="GGQ1635" s="1"/>
      <c r="GGR1635" s="1"/>
      <c r="GGS1635" s="1"/>
      <c r="GGT1635" s="1"/>
      <c r="GGU1635" s="1"/>
      <c r="GGV1635" s="1"/>
      <c r="GGW1635" s="1"/>
      <c r="GGX1635" s="1"/>
      <c r="GGY1635" s="1"/>
      <c r="GGZ1635" s="1"/>
      <c r="GHA1635" s="1"/>
      <c r="GHB1635" s="1"/>
      <c r="GHC1635" s="1"/>
      <c r="GHD1635" s="1"/>
      <c r="GHE1635" s="1"/>
      <c r="GHF1635" s="1"/>
      <c r="GHG1635" s="1"/>
      <c r="GHH1635" s="1"/>
      <c r="GHI1635" s="1"/>
      <c r="GHJ1635" s="1"/>
      <c r="GHK1635" s="1"/>
      <c r="GHL1635" s="1"/>
      <c r="GHM1635" s="1"/>
      <c r="GHN1635" s="1"/>
      <c r="GHO1635" s="1"/>
      <c r="GHP1635" s="1"/>
      <c r="GHQ1635" s="1"/>
      <c r="GHR1635" s="1"/>
      <c r="GHS1635" s="1"/>
      <c r="GHT1635" s="1"/>
      <c r="GHU1635" s="1"/>
      <c r="GHV1635" s="1"/>
      <c r="GHW1635" s="1"/>
      <c r="GHX1635" s="1"/>
      <c r="GHY1635" s="1"/>
      <c r="GHZ1635" s="1"/>
      <c r="GIA1635" s="1"/>
      <c r="GIB1635" s="1"/>
      <c r="GIC1635" s="1"/>
      <c r="GID1635" s="1"/>
      <c r="GIE1635" s="1"/>
      <c r="GIF1635" s="1"/>
      <c r="GIG1635" s="1"/>
      <c r="GIH1635" s="1"/>
      <c r="GII1635" s="1"/>
      <c r="GIJ1635" s="1"/>
      <c r="GIK1635" s="1"/>
      <c r="GIL1635" s="1"/>
      <c r="GIM1635" s="1"/>
      <c r="GIN1635" s="1"/>
      <c r="GIO1635" s="1"/>
      <c r="GIP1635" s="1"/>
      <c r="GIQ1635" s="1"/>
      <c r="GIR1635" s="1"/>
      <c r="GIS1635" s="1"/>
      <c r="GIT1635" s="1"/>
      <c r="GIU1635" s="1"/>
      <c r="GIV1635" s="1"/>
      <c r="GIW1635" s="1"/>
      <c r="GIX1635" s="1"/>
      <c r="GIY1635" s="1"/>
      <c r="GIZ1635" s="1"/>
      <c r="GJA1635" s="1"/>
      <c r="GJB1635" s="1"/>
      <c r="GJC1635" s="1"/>
      <c r="GJD1635" s="1"/>
      <c r="GJE1635" s="1"/>
      <c r="GJF1635" s="1"/>
      <c r="GJG1635" s="1"/>
      <c r="GJH1635" s="1"/>
      <c r="GJI1635" s="1"/>
      <c r="GJJ1635" s="1"/>
      <c r="GJK1635" s="1"/>
      <c r="GJL1635" s="1"/>
      <c r="GJM1635" s="1"/>
      <c r="GJN1635" s="1"/>
      <c r="GJO1635" s="1"/>
      <c r="GJP1635" s="1"/>
      <c r="GJQ1635" s="1"/>
      <c r="GJR1635" s="1"/>
      <c r="GJS1635" s="1"/>
      <c r="GJT1635" s="1"/>
      <c r="GJU1635" s="1"/>
      <c r="GJV1635" s="1"/>
      <c r="GJW1635" s="1"/>
      <c r="GJX1635" s="1"/>
      <c r="GJY1635" s="1"/>
      <c r="GJZ1635" s="1"/>
      <c r="GKA1635" s="1"/>
      <c r="GKB1635" s="1"/>
      <c r="GKC1635" s="1"/>
      <c r="GKD1635" s="1"/>
      <c r="GKE1635" s="1"/>
      <c r="GKF1635" s="1"/>
      <c r="GKG1635" s="1"/>
      <c r="GKH1635" s="1"/>
      <c r="GKI1635" s="1"/>
      <c r="GKJ1635" s="1"/>
      <c r="GKK1635" s="1"/>
      <c r="GKL1635" s="1"/>
      <c r="GKM1635" s="1"/>
      <c r="GKN1635" s="1"/>
      <c r="GKO1635" s="1"/>
      <c r="GKP1635" s="1"/>
      <c r="GKQ1635" s="1"/>
      <c r="GKR1635" s="1"/>
      <c r="GKS1635" s="1"/>
      <c r="GKT1635" s="1"/>
      <c r="GKU1635" s="1"/>
      <c r="GKV1635" s="1"/>
      <c r="GKW1635" s="1"/>
      <c r="GKX1635" s="1"/>
      <c r="GKY1635" s="1"/>
      <c r="GKZ1635" s="1"/>
      <c r="GLA1635" s="1"/>
      <c r="GLB1635" s="1"/>
      <c r="GLC1635" s="1"/>
      <c r="GLD1635" s="1"/>
      <c r="GLE1635" s="1"/>
      <c r="GLF1635" s="1"/>
      <c r="GLG1635" s="1"/>
      <c r="GLH1635" s="1"/>
      <c r="GLI1635" s="1"/>
      <c r="GLJ1635" s="1"/>
      <c r="GLK1635" s="1"/>
      <c r="GLL1635" s="1"/>
      <c r="GLM1635" s="1"/>
      <c r="GLN1635" s="1"/>
      <c r="GLO1635" s="1"/>
      <c r="GLP1635" s="1"/>
      <c r="GLQ1635" s="1"/>
      <c r="GLR1635" s="1"/>
      <c r="GLS1635" s="1"/>
      <c r="GLT1635" s="1"/>
      <c r="GLU1635" s="1"/>
      <c r="GLV1635" s="1"/>
      <c r="GLW1635" s="1"/>
      <c r="GLX1635" s="1"/>
      <c r="GLY1635" s="1"/>
      <c r="GLZ1635" s="1"/>
      <c r="GMA1635" s="1"/>
      <c r="GMB1635" s="1"/>
      <c r="GMC1635" s="1"/>
      <c r="GMD1635" s="1"/>
      <c r="GME1635" s="1"/>
      <c r="GMF1635" s="1"/>
      <c r="GMG1635" s="1"/>
      <c r="GMH1635" s="1"/>
      <c r="GMI1635" s="1"/>
      <c r="GMJ1635" s="1"/>
      <c r="GMK1635" s="1"/>
      <c r="GML1635" s="1"/>
      <c r="GMM1635" s="1"/>
      <c r="GMN1635" s="1"/>
      <c r="GMO1635" s="1"/>
      <c r="GMP1635" s="1"/>
      <c r="GMQ1635" s="1"/>
      <c r="GMR1635" s="1"/>
      <c r="GMS1635" s="1"/>
      <c r="GMT1635" s="1"/>
      <c r="GMU1635" s="1"/>
      <c r="GMV1635" s="1"/>
      <c r="GMW1635" s="1"/>
      <c r="GMX1635" s="1"/>
      <c r="GMY1635" s="1"/>
      <c r="GMZ1635" s="1"/>
      <c r="GNA1635" s="1"/>
      <c r="GNB1635" s="1"/>
      <c r="GNC1635" s="1"/>
      <c r="GND1635" s="1"/>
      <c r="GNE1635" s="1"/>
      <c r="GNF1635" s="1"/>
      <c r="GNG1635" s="1"/>
      <c r="GNH1635" s="1"/>
      <c r="GNI1635" s="1"/>
      <c r="GNJ1635" s="1"/>
      <c r="GNK1635" s="1"/>
      <c r="GNL1635" s="1"/>
      <c r="GNM1635" s="1"/>
      <c r="GNN1635" s="1"/>
      <c r="GNO1635" s="1"/>
      <c r="GNP1635" s="1"/>
      <c r="GNQ1635" s="1"/>
      <c r="GNR1635" s="1"/>
      <c r="GNS1635" s="1"/>
      <c r="GNT1635" s="1"/>
      <c r="GNU1635" s="1"/>
      <c r="GNV1635" s="1"/>
      <c r="GNW1635" s="1"/>
      <c r="GNX1635" s="1"/>
      <c r="GNY1635" s="1"/>
      <c r="GNZ1635" s="1"/>
      <c r="GOA1635" s="1"/>
      <c r="GOB1635" s="1"/>
      <c r="GOC1635" s="1"/>
      <c r="GOD1635" s="1"/>
      <c r="GOE1635" s="1"/>
      <c r="GOF1635" s="1"/>
      <c r="GOG1635" s="1"/>
      <c r="GOH1635" s="1"/>
      <c r="GOI1635" s="1"/>
      <c r="GOJ1635" s="1"/>
      <c r="GOK1635" s="1"/>
      <c r="GOL1635" s="1"/>
      <c r="GOM1635" s="1"/>
      <c r="GON1635" s="1"/>
      <c r="GOO1635" s="1"/>
      <c r="GOP1635" s="1"/>
      <c r="GOQ1635" s="1"/>
      <c r="GOR1635" s="1"/>
      <c r="GOS1635" s="1"/>
      <c r="GOT1635" s="1"/>
      <c r="GOU1635" s="1"/>
      <c r="GOV1635" s="1"/>
      <c r="GOW1635" s="1"/>
      <c r="GOX1635" s="1"/>
      <c r="GOY1635" s="1"/>
      <c r="GOZ1635" s="1"/>
      <c r="GPA1635" s="1"/>
      <c r="GPB1635" s="1"/>
      <c r="GPC1635" s="1"/>
      <c r="GPD1635" s="1"/>
      <c r="GPE1635" s="1"/>
      <c r="GPF1635" s="1"/>
      <c r="GPG1635" s="1"/>
      <c r="GPH1635" s="1"/>
      <c r="GPI1635" s="1"/>
      <c r="GPJ1635" s="1"/>
      <c r="GPK1635" s="1"/>
      <c r="GPL1635" s="1"/>
      <c r="GPM1635" s="1"/>
      <c r="GPN1635" s="1"/>
      <c r="GPO1635" s="1"/>
      <c r="GPP1635" s="1"/>
      <c r="GPQ1635" s="1"/>
      <c r="GPR1635" s="1"/>
      <c r="GPS1635" s="1"/>
      <c r="GPT1635" s="1"/>
      <c r="GPU1635" s="1"/>
      <c r="GPV1635" s="1"/>
      <c r="GPW1635" s="1"/>
      <c r="GPX1635" s="1"/>
      <c r="GPY1635" s="1"/>
      <c r="GPZ1635" s="1"/>
      <c r="GQA1635" s="1"/>
      <c r="GQB1635" s="1"/>
      <c r="GQC1635" s="1"/>
      <c r="GQD1635" s="1"/>
      <c r="GQE1635" s="1"/>
      <c r="GQF1635" s="1"/>
      <c r="GQG1635" s="1"/>
      <c r="GQH1635" s="1"/>
      <c r="GQI1635" s="1"/>
      <c r="GQJ1635" s="1"/>
      <c r="GQK1635" s="1"/>
      <c r="GQL1635" s="1"/>
      <c r="GQM1635" s="1"/>
      <c r="GQN1635" s="1"/>
      <c r="GQO1635" s="1"/>
      <c r="GQP1635" s="1"/>
      <c r="GQQ1635" s="1"/>
      <c r="GQR1635" s="1"/>
      <c r="GQS1635" s="1"/>
      <c r="GQT1635" s="1"/>
      <c r="GQU1635" s="1"/>
      <c r="GQV1635" s="1"/>
      <c r="GQW1635" s="1"/>
      <c r="GQX1635" s="1"/>
      <c r="GQY1635" s="1"/>
      <c r="GQZ1635" s="1"/>
      <c r="GRA1635" s="1"/>
      <c r="GRB1635" s="1"/>
      <c r="GRC1635" s="1"/>
      <c r="GRD1635" s="1"/>
      <c r="GRE1635" s="1"/>
      <c r="GRF1635" s="1"/>
      <c r="GRG1635" s="1"/>
      <c r="GRH1635" s="1"/>
      <c r="GRI1635" s="1"/>
      <c r="GRJ1635" s="1"/>
      <c r="GRK1635" s="1"/>
      <c r="GRL1635" s="1"/>
      <c r="GRM1635" s="1"/>
      <c r="GRN1635" s="1"/>
      <c r="GRO1635" s="1"/>
      <c r="GRP1635" s="1"/>
      <c r="GRQ1635" s="1"/>
      <c r="GRR1635" s="1"/>
      <c r="GRS1635" s="1"/>
      <c r="GRT1635" s="1"/>
      <c r="GRU1635" s="1"/>
      <c r="GRV1635" s="1"/>
      <c r="GRW1635" s="1"/>
      <c r="GRX1635" s="1"/>
      <c r="GRY1635" s="1"/>
      <c r="GRZ1635" s="1"/>
      <c r="GSA1635" s="1"/>
      <c r="GSB1635" s="1"/>
      <c r="GSC1635" s="1"/>
      <c r="GSD1635" s="1"/>
      <c r="GSE1635" s="1"/>
      <c r="GSF1635" s="1"/>
      <c r="GSG1635" s="1"/>
      <c r="GSH1635" s="1"/>
      <c r="GSI1635" s="1"/>
      <c r="GSJ1635" s="1"/>
      <c r="GSK1635" s="1"/>
      <c r="GSL1635" s="1"/>
      <c r="GSM1635" s="1"/>
      <c r="GSN1635" s="1"/>
      <c r="GSO1635" s="1"/>
      <c r="GSP1635" s="1"/>
      <c r="GSQ1635" s="1"/>
      <c r="GSR1635" s="1"/>
      <c r="GSS1635" s="1"/>
      <c r="GST1635" s="1"/>
      <c r="GSU1635" s="1"/>
      <c r="GSV1635" s="1"/>
      <c r="GSW1635" s="1"/>
      <c r="GSX1635" s="1"/>
      <c r="GSY1635" s="1"/>
      <c r="GSZ1635" s="1"/>
      <c r="GTA1635" s="1"/>
      <c r="GTB1635" s="1"/>
      <c r="GTC1635" s="1"/>
      <c r="GTD1635" s="1"/>
      <c r="GTE1635" s="1"/>
      <c r="GTF1635" s="1"/>
      <c r="GTG1635" s="1"/>
      <c r="GTH1635" s="1"/>
      <c r="GTI1635" s="1"/>
      <c r="GTJ1635" s="1"/>
      <c r="GTK1635" s="1"/>
      <c r="GTL1635" s="1"/>
      <c r="GTM1635" s="1"/>
      <c r="GTN1635" s="1"/>
      <c r="GTO1635" s="1"/>
      <c r="GTP1635" s="1"/>
      <c r="GTQ1635" s="1"/>
      <c r="GTR1635" s="1"/>
      <c r="GTS1635" s="1"/>
      <c r="GTT1635" s="1"/>
      <c r="GTU1635" s="1"/>
      <c r="GTV1635" s="1"/>
      <c r="GTW1635" s="1"/>
      <c r="GTX1635" s="1"/>
      <c r="GTY1635" s="1"/>
      <c r="GTZ1635" s="1"/>
      <c r="GUA1635" s="1"/>
      <c r="GUB1635" s="1"/>
      <c r="GUC1635" s="1"/>
      <c r="GUD1635" s="1"/>
      <c r="GUE1635" s="1"/>
      <c r="GUF1635" s="1"/>
      <c r="GUG1635" s="1"/>
      <c r="GUH1635" s="1"/>
      <c r="GUI1635" s="1"/>
      <c r="GUJ1635" s="1"/>
      <c r="GUK1635" s="1"/>
      <c r="GUL1635" s="1"/>
      <c r="GUM1635" s="1"/>
      <c r="GUN1635" s="1"/>
      <c r="GUO1635" s="1"/>
      <c r="GUP1635" s="1"/>
      <c r="GUQ1635" s="1"/>
      <c r="GUR1635" s="1"/>
      <c r="GUS1635" s="1"/>
      <c r="GUT1635" s="1"/>
      <c r="GUU1635" s="1"/>
      <c r="GUV1635" s="1"/>
      <c r="GUW1635" s="1"/>
      <c r="GUX1635" s="1"/>
      <c r="GUY1635" s="1"/>
      <c r="GUZ1635" s="1"/>
      <c r="GVA1635" s="1"/>
      <c r="GVB1635" s="1"/>
      <c r="GVC1635" s="1"/>
      <c r="GVD1635" s="1"/>
      <c r="GVE1635" s="1"/>
      <c r="GVF1635" s="1"/>
      <c r="GVG1635" s="1"/>
      <c r="GVH1635" s="1"/>
      <c r="GVI1635" s="1"/>
      <c r="GVJ1635" s="1"/>
      <c r="GVK1635" s="1"/>
      <c r="GVL1635" s="1"/>
      <c r="GVM1635" s="1"/>
      <c r="GVN1635" s="1"/>
      <c r="GVO1635" s="1"/>
      <c r="GVP1635" s="1"/>
      <c r="GVQ1635" s="1"/>
      <c r="GVR1635" s="1"/>
      <c r="GVS1635" s="1"/>
      <c r="GVT1635" s="1"/>
      <c r="GVU1635" s="1"/>
      <c r="GVV1635" s="1"/>
      <c r="GVW1635" s="1"/>
      <c r="GVX1635" s="1"/>
      <c r="GVY1635" s="1"/>
      <c r="GVZ1635" s="1"/>
      <c r="GWA1635" s="1"/>
      <c r="GWB1635" s="1"/>
      <c r="GWC1635" s="1"/>
      <c r="GWD1635" s="1"/>
      <c r="GWE1635" s="1"/>
      <c r="GWF1635" s="1"/>
      <c r="GWG1635" s="1"/>
      <c r="GWH1635" s="1"/>
      <c r="GWI1635" s="1"/>
      <c r="GWJ1635" s="1"/>
      <c r="GWK1635" s="1"/>
      <c r="GWL1635" s="1"/>
      <c r="GWM1635" s="1"/>
      <c r="GWN1635" s="1"/>
      <c r="GWO1635" s="1"/>
      <c r="GWP1635" s="1"/>
      <c r="GWQ1635" s="1"/>
      <c r="GWR1635" s="1"/>
      <c r="GWS1635" s="1"/>
      <c r="GWT1635" s="1"/>
      <c r="GWU1635" s="1"/>
      <c r="GWV1635" s="1"/>
      <c r="GWW1635" s="1"/>
      <c r="GWX1635" s="1"/>
      <c r="GWY1635" s="1"/>
      <c r="GWZ1635" s="1"/>
      <c r="GXA1635" s="1"/>
      <c r="GXB1635" s="1"/>
      <c r="GXC1635" s="1"/>
      <c r="GXD1635" s="1"/>
      <c r="GXE1635" s="1"/>
      <c r="GXF1635" s="1"/>
      <c r="GXG1635" s="1"/>
      <c r="GXH1635" s="1"/>
      <c r="GXI1635" s="1"/>
      <c r="GXJ1635" s="1"/>
      <c r="GXK1635" s="1"/>
      <c r="GXL1635" s="1"/>
      <c r="GXM1635" s="1"/>
      <c r="GXN1635" s="1"/>
      <c r="GXO1635" s="1"/>
      <c r="GXP1635" s="1"/>
      <c r="GXQ1635" s="1"/>
      <c r="GXR1635" s="1"/>
      <c r="GXS1635" s="1"/>
      <c r="GXT1635" s="1"/>
      <c r="GXU1635" s="1"/>
      <c r="GXV1635" s="1"/>
      <c r="GXW1635" s="1"/>
      <c r="GXX1635" s="1"/>
      <c r="GXY1635" s="1"/>
      <c r="GXZ1635" s="1"/>
      <c r="GYA1635" s="1"/>
      <c r="GYB1635" s="1"/>
      <c r="GYC1635" s="1"/>
      <c r="GYD1635" s="1"/>
      <c r="GYE1635" s="1"/>
      <c r="GYF1635" s="1"/>
      <c r="GYG1635" s="1"/>
      <c r="GYH1635" s="1"/>
      <c r="GYI1635" s="1"/>
      <c r="GYJ1635" s="1"/>
      <c r="GYK1635" s="1"/>
      <c r="GYL1635" s="1"/>
      <c r="GYM1635" s="1"/>
      <c r="GYN1635" s="1"/>
      <c r="GYO1635" s="1"/>
      <c r="GYP1635" s="1"/>
      <c r="GYQ1635" s="1"/>
      <c r="GYR1635" s="1"/>
      <c r="GYS1635" s="1"/>
      <c r="GYT1635" s="1"/>
      <c r="GYU1635" s="1"/>
      <c r="GYV1635" s="1"/>
      <c r="GYW1635" s="1"/>
      <c r="GYX1635" s="1"/>
      <c r="GYY1635" s="1"/>
      <c r="GYZ1635" s="1"/>
      <c r="GZA1635" s="1"/>
      <c r="GZB1635" s="1"/>
      <c r="GZC1635" s="1"/>
      <c r="GZD1635" s="1"/>
      <c r="GZE1635" s="1"/>
      <c r="GZF1635" s="1"/>
      <c r="GZG1635" s="1"/>
      <c r="GZH1635" s="1"/>
      <c r="GZI1635" s="1"/>
      <c r="GZJ1635" s="1"/>
      <c r="GZK1635" s="1"/>
      <c r="GZL1635" s="1"/>
      <c r="GZM1635" s="1"/>
      <c r="GZN1635" s="1"/>
      <c r="GZO1635" s="1"/>
      <c r="GZP1635" s="1"/>
      <c r="GZQ1635" s="1"/>
      <c r="GZR1635" s="1"/>
      <c r="GZS1635" s="1"/>
      <c r="GZT1635" s="1"/>
      <c r="GZU1635" s="1"/>
      <c r="GZV1635" s="1"/>
      <c r="GZW1635" s="1"/>
      <c r="GZX1635" s="1"/>
      <c r="GZY1635" s="1"/>
      <c r="GZZ1635" s="1"/>
      <c r="HAA1635" s="1"/>
      <c r="HAB1635" s="1"/>
      <c r="HAC1635" s="1"/>
      <c r="HAD1635" s="1"/>
      <c r="HAE1635" s="1"/>
      <c r="HAF1635" s="1"/>
      <c r="HAG1635" s="1"/>
      <c r="HAH1635" s="1"/>
      <c r="HAI1635" s="1"/>
      <c r="HAJ1635" s="1"/>
      <c r="HAK1635" s="1"/>
      <c r="HAL1635" s="1"/>
      <c r="HAM1635" s="1"/>
      <c r="HAN1635" s="1"/>
      <c r="HAO1635" s="1"/>
      <c r="HAP1635" s="1"/>
      <c r="HAQ1635" s="1"/>
      <c r="HAR1635" s="1"/>
      <c r="HAS1635" s="1"/>
      <c r="HAT1635" s="1"/>
      <c r="HAU1635" s="1"/>
      <c r="HAV1635" s="1"/>
      <c r="HAW1635" s="1"/>
      <c r="HAX1635" s="1"/>
      <c r="HAY1635" s="1"/>
      <c r="HAZ1635" s="1"/>
      <c r="HBA1635" s="1"/>
      <c r="HBB1635" s="1"/>
      <c r="HBC1635" s="1"/>
      <c r="HBD1635" s="1"/>
      <c r="HBE1635" s="1"/>
      <c r="HBF1635" s="1"/>
      <c r="HBG1635" s="1"/>
      <c r="HBH1635" s="1"/>
      <c r="HBI1635" s="1"/>
      <c r="HBJ1635" s="1"/>
      <c r="HBK1635" s="1"/>
      <c r="HBL1635" s="1"/>
      <c r="HBM1635" s="1"/>
      <c r="HBN1635" s="1"/>
      <c r="HBO1635" s="1"/>
      <c r="HBP1635" s="1"/>
      <c r="HBQ1635" s="1"/>
      <c r="HBR1635" s="1"/>
      <c r="HBS1635" s="1"/>
      <c r="HBT1635" s="1"/>
      <c r="HBU1635" s="1"/>
      <c r="HBV1635" s="1"/>
      <c r="HBW1635" s="1"/>
      <c r="HBX1635" s="1"/>
      <c r="HBY1635" s="1"/>
      <c r="HBZ1635" s="1"/>
      <c r="HCA1635" s="1"/>
      <c r="HCB1635" s="1"/>
      <c r="HCC1635" s="1"/>
      <c r="HCD1635" s="1"/>
      <c r="HCE1635" s="1"/>
      <c r="HCF1635" s="1"/>
      <c r="HCG1635" s="1"/>
      <c r="HCH1635" s="1"/>
      <c r="HCI1635" s="1"/>
      <c r="HCJ1635" s="1"/>
      <c r="HCK1635" s="1"/>
      <c r="HCL1635" s="1"/>
      <c r="HCM1635" s="1"/>
      <c r="HCN1635" s="1"/>
      <c r="HCO1635" s="1"/>
      <c r="HCP1635" s="1"/>
      <c r="HCQ1635" s="1"/>
      <c r="HCR1635" s="1"/>
      <c r="HCS1635" s="1"/>
      <c r="HCT1635" s="1"/>
      <c r="HCU1635" s="1"/>
      <c r="HCV1635" s="1"/>
      <c r="HCW1635" s="1"/>
      <c r="HCX1635" s="1"/>
      <c r="HCY1635" s="1"/>
      <c r="HCZ1635" s="1"/>
      <c r="HDA1635" s="1"/>
      <c r="HDB1635" s="1"/>
      <c r="HDC1635" s="1"/>
      <c r="HDD1635" s="1"/>
      <c r="HDE1635" s="1"/>
      <c r="HDF1635" s="1"/>
      <c r="HDG1635" s="1"/>
      <c r="HDH1635" s="1"/>
      <c r="HDI1635" s="1"/>
      <c r="HDJ1635" s="1"/>
      <c r="HDK1635" s="1"/>
      <c r="HDL1635" s="1"/>
      <c r="HDM1635" s="1"/>
      <c r="HDN1635" s="1"/>
      <c r="HDO1635" s="1"/>
      <c r="HDP1635" s="1"/>
      <c r="HDQ1635" s="1"/>
      <c r="HDR1635" s="1"/>
      <c r="HDS1635" s="1"/>
      <c r="HDT1635" s="1"/>
      <c r="HDU1635" s="1"/>
      <c r="HDV1635" s="1"/>
      <c r="HDW1635" s="1"/>
      <c r="HDX1635" s="1"/>
      <c r="HDY1635" s="1"/>
      <c r="HDZ1635" s="1"/>
      <c r="HEA1635" s="1"/>
      <c r="HEB1635" s="1"/>
      <c r="HEC1635" s="1"/>
      <c r="HED1635" s="1"/>
      <c r="HEE1635" s="1"/>
      <c r="HEF1635" s="1"/>
      <c r="HEG1635" s="1"/>
      <c r="HEH1635" s="1"/>
      <c r="HEI1635" s="1"/>
      <c r="HEJ1635" s="1"/>
      <c r="HEK1635" s="1"/>
      <c r="HEL1635" s="1"/>
      <c r="HEM1635" s="1"/>
      <c r="HEN1635" s="1"/>
      <c r="HEO1635" s="1"/>
      <c r="HEP1635" s="1"/>
      <c r="HEQ1635" s="1"/>
      <c r="HER1635" s="1"/>
      <c r="HES1635" s="1"/>
      <c r="HET1635" s="1"/>
      <c r="HEU1635" s="1"/>
      <c r="HEV1635" s="1"/>
      <c r="HEW1635" s="1"/>
      <c r="HEX1635" s="1"/>
      <c r="HEY1635" s="1"/>
      <c r="HEZ1635" s="1"/>
      <c r="HFA1635" s="1"/>
      <c r="HFB1635" s="1"/>
      <c r="HFC1635" s="1"/>
      <c r="HFD1635" s="1"/>
      <c r="HFE1635" s="1"/>
      <c r="HFF1635" s="1"/>
      <c r="HFG1635" s="1"/>
      <c r="HFH1635" s="1"/>
      <c r="HFI1635" s="1"/>
      <c r="HFJ1635" s="1"/>
      <c r="HFK1635" s="1"/>
      <c r="HFL1635" s="1"/>
      <c r="HFM1635" s="1"/>
      <c r="HFN1635" s="1"/>
      <c r="HFO1635" s="1"/>
      <c r="HFP1635" s="1"/>
      <c r="HFQ1635" s="1"/>
      <c r="HFR1635" s="1"/>
      <c r="HFS1635" s="1"/>
      <c r="HFT1635" s="1"/>
      <c r="HFU1635" s="1"/>
      <c r="HFV1635" s="1"/>
      <c r="HFW1635" s="1"/>
      <c r="HFX1635" s="1"/>
      <c r="HFY1635" s="1"/>
      <c r="HFZ1635" s="1"/>
      <c r="HGA1635" s="1"/>
      <c r="HGB1635" s="1"/>
      <c r="HGC1635" s="1"/>
      <c r="HGD1635" s="1"/>
      <c r="HGE1635" s="1"/>
      <c r="HGF1635" s="1"/>
      <c r="HGG1635" s="1"/>
      <c r="HGH1635" s="1"/>
      <c r="HGI1635" s="1"/>
      <c r="HGJ1635" s="1"/>
      <c r="HGK1635" s="1"/>
      <c r="HGL1635" s="1"/>
      <c r="HGM1635" s="1"/>
      <c r="HGN1635" s="1"/>
      <c r="HGO1635" s="1"/>
      <c r="HGP1635" s="1"/>
      <c r="HGQ1635" s="1"/>
      <c r="HGR1635" s="1"/>
      <c r="HGS1635" s="1"/>
      <c r="HGT1635" s="1"/>
      <c r="HGU1635" s="1"/>
      <c r="HGV1635" s="1"/>
      <c r="HGW1635" s="1"/>
      <c r="HGX1635" s="1"/>
      <c r="HGY1635" s="1"/>
      <c r="HGZ1635" s="1"/>
      <c r="HHA1635" s="1"/>
      <c r="HHB1635" s="1"/>
      <c r="HHC1635" s="1"/>
      <c r="HHD1635" s="1"/>
      <c r="HHE1635" s="1"/>
      <c r="HHF1635" s="1"/>
      <c r="HHG1635" s="1"/>
      <c r="HHH1635" s="1"/>
      <c r="HHI1635" s="1"/>
      <c r="HHJ1635" s="1"/>
      <c r="HHK1635" s="1"/>
      <c r="HHL1635" s="1"/>
      <c r="HHM1635" s="1"/>
      <c r="HHN1635" s="1"/>
      <c r="HHO1635" s="1"/>
      <c r="HHP1635" s="1"/>
      <c r="HHQ1635" s="1"/>
      <c r="HHR1635" s="1"/>
      <c r="HHS1635" s="1"/>
      <c r="HHT1635" s="1"/>
      <c r="HHU1635" s="1"/>
      <c r="HHV1635" s="1"/>
      <c r="HHW1635" s="1"/>
      <c r="HHX1635" s="1"/>
      <c r="HHY1635" s="1"/>
      <c r="HHZ1635" s="1"/>
      <c r="HIA1635" s="1"/>
      <c r="HIB1635" s="1"/>
      <c r="HIC1635" s="1"/>
      <c r="HID1635" s="1"/>
      <c r="HIE1635" s="1"/>
      <c r="HIF1635" s="1"/>
      <c r="HIG1635" s="1"/>
      <c r="HIH1635" s="1"/>
      <c r="HII1635" s="1"/>
      <c r="HIJ1635" s="1"/>
      <c r="HIK1635" s="1"/>
      <c r="HIL1635" s="1"/>
      <c r="HIM1635" s="1"/>
      <c r="HIN1635" s="1"/>
      <c r="HIO1635" s="1"/>
      <c r="HIP1635" s="1"/>
      <c r="HIQ1635" s="1"/>
      <c r="HIR1635" s="1"/>
      <c r="HIS1635" s="1"/>
      <c r="HIT1635" s="1"/>
      <c r="HIU1635" s="1"/>
      <c r="HIV1635" s="1"/>
      <c r="HIW1635" s="1"/>
      <c r="HIX1635" s="1"/>
      <c r="HIY1635" s="1"/>
      <c r="HIZ1635" s="1"/>
      <c r="HJA1635" s="1"/>
      <c r="HJB1635" s="1"/>
      <c r="HJC1635" s="1"/>
      <c r="HJD1635" s="1"/>
      <c r="HJE1635" s="1"/>
      <c r="HJF1635" s="1"/>
      <c r="HJG1635" s="1"/>
      <c r="HJH1635" s="1"/>
      <c r="HJI1635" s="1"/>
      <c r="HJJ1635" s="1"/>
      <c r="HJK1635" s="1"/>
      <c r="HJL1635" s="1"/>
      <c r="HJM1635" s="1"/>
      <c r="HJN1635" s="1"/>
      <c r="HJO1635" s="1"/>
      <c r="HJP1635" s="1"/>
      <c r="HJQ1635" s="1"/>
      <c r="HJR1635" s="1"/>
      <c r="HJS1635" s="1"/>
      <c r="HJT1635" s="1"/>
      <c r="HJU1635" s="1"/>
      <c r="HJV1635" s="1"/>
      <c r="HJW1635" s="1"/>
      <c r="HJX1635" s="1"/>
      <c r="HJY1635" s="1"/>
      <c r="HJZ1635" s="1"/>
      <c r="HKA1635" s="1"/>
      <c r="HKB1635" s="1"/>
      <c r="HKC1635" s="1"/>
      <c r="HKD1635" s="1"/>
      <c r="HKE1635" s="1"/>
      <c r="HKF1635" s="1"/>
      <c r="HKG1635" s="1"/>
      <c r="HKH1635" s="1"/>
      <c r="HKI1635" s="1"/>
      <c r="HKJ1635" s="1"/>
      <c r="HKK1635" s="1"/>
      <c r="HKL1635" s="1"/>
      <c r="HKM1635" s="1"/>
      <c r="HKN1635" s="1"/>
      <c r="HKO1635" s="1"/>
      <c r="HKP1635" s="1"/>
      <c r="HKQ1635" s="1"/>
      <c r="HKR1635" s="1"/>
      <c r="HKS1635" s="1"/>
      <c r="HKT1635" s="1"/>
      <c r="HKU1635" s="1"/>
      <c r="HKV1635" s="1"/>
      <c r="HKW1635" s="1"/>
      <c r="HKX1635" s="1"/>
      <c r="HKY1635" s="1"/>
      <c r="HKZ1635" s="1"/>
      <c r="HLA1635" s="1"/>
      <c r="HLB1635" s="1"/>
      <c r="HLC1635" s="1"/>
      <c r="HLD1635" s="1"/>
      <c r="HLE1635" s="1"/>
      <c r="HLF1635" s="1"/>
      <c r="HLG1635" s="1"/>
      <c r="HLH1635" s="1"/>
      <c r="HLI1635" s="1"/>
      <c r="HLJ1635" s="1"/>
      <c r="HLK1635" s="1"/>
      <c r="HLL1635" s="1"/>
      <c r="HLM1635" s="1"/>
      <c r="HLN1635" s="1"/>
      <c r="HLO1635" s="1"/>
      <c r="HLP1635" s="1"/>
      <c r="HLQ1635" s="1"/>
      <c r="HLR1635" s="1"/>
      <c r="HLS1635" s="1"/>
      <c r="HLT1635" s="1"/>
      <c r="HLU1635" s="1"/>
      <c r="HLV1635" s="1"/>
      <c r="HLW1635" s="1"/>
      <c r="HLX1635" s="1"/>
      <c r="HLY1635" s="1"/>
      <c r="HLZ1635" s="1"/>
      <c r="HMA1635" s="1"/>
      <c r="HMB1635" s="1"/>
      <c r="HMC1635" s="1"/>
      <c r="HMD1635" s="1"/>
      <c r="HME1635" s="1"/>
      <c r="HMF1635" s="1"/>
      <c r="HMG1635" s="1"/>
      <c r="HMH1635" s="1"/>
      <c r="HMI1635" s="1"/>
      <c r="HMJ1635" s="1"/>
      <c r="HMK1635" s="1"/>
      <c r="HML1635" s="1"/>
      <c r="HMM1635" s="1"/>
      <c r="HMN1635" s="1"/>
      <c r="HMO1635" s="1"/>
      <c r="HMP1635" s="1"/>
      <c r="HMQ1635" s="1"/>
      <c r="HMR1635" s="1"/>
      <c r="HMS1635" s="1"/>
      <c r="HMT1635" s="1"/>
      <c r="HMU1635" s="1"/>
      <c r="HMV1635" s="1"/>
      <c r="HMW1635" s="1"/>
      <c r="HMX1635" s="1"/>
      <c r="HMY1635" s="1"/>
      <c r="HMZ1635" s="1"/>
      <c r="HNA1635" s="1"/>
      <c r="HNB1635" s="1"/>
      <c r="HNC1635" s="1"/>
      <c r="HND1635" s="1"/>
      <c r="HNE1635" s="1"/>
      <c r="HNF1635" s="1"/>
      <c r="HNG1635" s="1"/>
      <c r="HNH1635" s="1"/>
      <c r="HNI1635" s="1"/>
      <c r="HNJ1635" s="1"/>
      <c r="HNK1635" s="1"/>
      <c r="HNL1635" s="1"/>
      <c r="HNM1635" s="1"/>
      <c r="HNN1635" s="1"/>
      <c r="HNO1635" s="1"/>
      <c r="HNP1635" s="1"/>
      <c r="HNQ1635" s="1"/>
      <c r="HNR1635" s="1"/>
      <c r="HNS1635" s="1"/>
      <c r="HNT1635" s="1"/>
      <c r="HNU1635" s="1"/>
      <c r="HNV1635" s="1"/>
      <c r="HNW1635" s="1"/>
      <c r="HNX1635" s="1"/>
      <c r="HNY1635" s="1"/>
      <c r="HNZ1635" s="1"/>
      <c r="HOA1635" s="1"/>
      <c r="HOB1635" s="1"/>
      <c r="HOC1635" s="1"/>
      <c r="HOD1635" s="1"/>
      <c r="HOE1635" s="1"/>
      <c r="HOF1635" s="1"/>
      <c r="HOG1635" s="1"/>
      <c r="HOH1635" s="1"/>
      <c r="HOI1635" s="1"/>
      <c r="HOJ1635" s="1"/>
      <c r="HOK1635" s="1"/>
      <c r="HOL1635" s="1"/>
      <c r="HOM1635" s="1"/>
      <c r="HON1635" s="1"/>
      <c r="HOO1635" s="1"/>
      <c r="HOP1635" s="1"/>
      <c r="HOQ1635" s="1"/>
      <c r="HOR1635" s="1"/>
      <c r="HOS1635" s="1"/>
      <c r="HOT1635" s="1"/>
      <c r="HOU1635" s="1"/>
      <c r="HOV1635" s="1"/>
      <c r="HOW1635" s="1"/>
      <c r="HOX1635" s="1"/>
      <c r="HOY1635" s="1"/>
      <c r="HOZ1635" s="1"/>
      <c r="HPA1635" s="1"/>
      <c r="HPB1635" s="1"/>
      <c r="HPC1635" s="1"/>
      <c r="HPD1635" s="1"/>
      <c r="HPE1635" s="1"/>
      <c r="HPF1635" s="1"/>
      <c r="HPG1635" s="1"/>
      <c r="HPH1635" s="1"/>
      <c r="HPI1635" s="1"/>
      <c r="HPJ1635" s="1"/>
      <c r="HPK1635" s="1"/>
      <c r="HPL1635" s="1"/>
      <c r="HPM1635" s="1"/>
      <c r="HPN1635" s="1"/>
      <c r="HPO1635" s="1"/>
      <c r="HPP1635" s="1"/>
      <c r="HPQ1635" s="1"/>
      <c r="HPR1635" s="1"/>
      <c r="HPS1635" s="1"/>
      <c r="HPT1635" s="1"/>
      <c r="HPU1635" s="1"/>
      <c r="HPV1635" s="1"/>
      <c r="HPW1635" s="1"/>
      <c r="HPX1635" s="1"/>
      <c r="HPY1635" s="1"/>
      <c r="HPZ1635" s="1"/>
      <c r="HQA1635" s="1"/>
      <c r="HQB1635" s="1"/>
      <c r="HQC1635" s="1"/>
      <c r="HQD1635" s="1"/>
      <c r="HQE1635" s="1"/>
      <c r="HQF1635" s="1"/>
      <c r="HQG1635" s="1"/>
      <c r="HQH1635" s="1"/>
      <c r="HQI1635" s="1"/>
      <c r="HQJ1635" s="1"/>
      <c r="HQK1635" s="1"/>
      <c r="HQL1635" s="1"/>
      <c r="HQM1635" s="1"/>
      <c r="HQN1635" s="1"/>
      <c r="HQO1635" s="1"/>
      <c r="HQP1635" s="1"/>
      <c r="HQQ1635" s="1"/>
      <c r="HQR1635" s="1"/>
      <c r="HQS1635" s="1"/>
      <c r="HQT1635" s="1"/>
      <c r="HQU1635" s="1"/>
      <c r="HQV1635" s="1"/>
      <c r="HQW1635" s="1"/>
      <c r="HQX1635" s="1"/>
      <c r="HQY1635" s="1"/>
      <c r="HQZ1635" s="1"/>
      <c r="HRA1635" s="1"/>
      <c r="HRB1635" s="1"/>
      <c r="HRC1635" s="1"/>
      <c r="HRD1635" s="1"/>
      <c r="HRE1635" s="1"/>
      <c r="HRF1635" s="1"/>
      <c r="HRG1635" s="1"/>
      <c r="HRH1635" s="1"/>
      <c r="HRI1635" s="1"/>
      <c r="HRJ1635" s="1"/>
      <c r="HRK1635" s="1"/>
      <c r="HRL1635" s="1"/>
      <c r="HRM1635" s="1"/>
      <c r="HRN1635" s="1"/>
      <c r="HRO1635" s="1"/>
      <c r="HRP1635" s="1"/>
      <c r="HRQ1635" s="1"/>
      <c r="HRR1635" s="1"/>
      <c r="HRS1635" s="1"/>
      <c r="HRT1635" s="1"/>
      <c r="HRU1635" s="1"/>
      <c r="HRV1635" s="1"/>
      <c r="HRW1635" s="1"/>
      <c r="HRX1635" s="1"/>
      <c r="HRY1635" s="1"/>
      <c r="HRZ1635" s="1"/>
      <c r="HSA1635" s="1"/>
      <c r="HSB1635" s="1"/>
      <c r="HSC1635" s="1"/>
      <c r="HSD1635" s="1"/>
      <c r="HSE1635" s="1"/>
      <c r="HSF1635" s="1"/>
      <c r="HSG1635" s="1"/>
      <c r="HSH1635" s="1"/>
      <c r="HSI1635" s="1"/>
      <c r="HSJ1635" s="1"/>
      <c r="HSK1635" s="1"/>
      <c r="HSL1635" s="1"/>
      <c r="HSM1635" s="1"/>
      <c r="HSN1635" s="1"/>
      <c r="HSO1635" s="1"/>
      <c r="HSP1635" s="1"/>
      <c r="HSQ1635" s="1"/>
      <c r="HSR1635" s="1"/>
      <c r="HSS1635" s="1"/>
      <c r="HST1635" s="1"/>
      <c r="HSU1635" s="1"/>
      <c r="HSV1635" s="1"/>
      <c r="HSW1635" s="1"/>
      <c r="HSX1635" s="1"/>
      <c r="HSY1635" s="1"/>
      <c r="HSZ1635" s="1"/>
      <c r="HTA1635" s="1"/>
      <c r="HTB1635" s="1"/>
      <c r="HTC1635" s="1"/>
      <c r="HTD1635" s="1"/>
      <c r="HTE1635" s="1"/>
      <c r="HTF1635" s="1"/>
      <c r="HTG1635" s="1"/>
      <c r="HTH1635" s="1"/>
      <c r="HTI1635" s="1"/>
      <c r="HTJ1635" s="1"/>
      <c r="HTK1635" s="1"/>
      <c r="HTL1635" s="1"/>
      <c r="HTM1635" s="1"/>
      <c r="HTN1635" s="1"/>
      <c r="HTO1635" s="1"/>
      <c r="HTP1635" s="1"/>
      <c r="HTQ1635" s="1"/>
      <c r="HTR1635" s="1"/>
      <c r="HTS1635" s="1"/>
      <c r="HTT1635" s="1"/>
      <c r="HTU1635" s="1"/>
      <c r="HTV1635" s="1"/>
      <c r="HTW1635" s="1"/>
      <c r="HTX1635" s="1"/>
      <c r="HTY1635" s="1"/>
      <c r="HTZ1635" s="1"/>
      <c r="HUA1635" s="1"/>
      <c r="HUB1635" s="1"/>
      <c r="HUC1635" s="1"/>
      <c r="HUD1635" s="1"/>
      <c r="HUE1635" s="1"/>
      <c r="HUF1635" s="1"/>
      <c r="HUG1635" s="1"/>
      <c r="HUH1635" s="1"/>
      <c r="HUI1635" s="1"/>
      <c r="HUJ1635" s="1"/>
      <c r="HUK1635" s="1"/>
      <c r="HUL1635" s="1"/>
      <c r="HUM1635" s="1"/>
      <c r="HUN1635" s="1"/>
      <c r="HUO1635" s="1"/>
      <c r="HUP1635" s="1"/>
      <c r="HUQ1635" s="1"/>
      <c r="HUR1635" s="1"/>
      <c r="HUS1635" s="1"/>
      <c r="HUT1635" s="1"/>
      <c r="HUU1635" s="1"/>
      <c r="HUV1635" s="1"/>
      <c r="HUW1635" s="1"/>
      <c r="HUX1635" s="1"/>
      <c r="HUY1635" s="1"/>
      <c r="HUZ1635" s="1"/>
      <c r="HVA1635" s="1"/>
      <c r="HVB1635" s="1"/>
      <c r="HVC1635" s="1"/>
      <c r="HVD1635" s="1"/>
      <c r="HVE1635" s="1"/>
      <c r="HVF1635" s="1"/>
      <c r="HVG1635" s="1"/>
      <c r="HVH1635" s="1"/>
      <c r="HVI1635" s="1"/>
      <c r="HVJ1635" s="1"/>
      <c r="HVK1635" s="1"/>
      <c r="HVL1635" s="1"/>
      <c r="HVM1635" s="1"/>
      <c r="HVN1635" s="1"/>
      <c r="HVO1635" s="1"/>
      <c r="HVP1635" s="1"/>
      <c r="HVQ1635" s="1"/>
      <c r="HVR1635" s="1"/>
      <c r="HVS1635" s="1"/>
      <c r="HVT1635" s="1"/>
      <c r="HVU1635" s="1"/>
      <c r="HVV1635" s="1"/>
      <c r="HVW1635" s="1"/>
      <c r="HVX1635" s="1"/>
      <c r="HVY1635" s="1"/>
      <c r="HVZ1635" s="1"/>
      <c r="HWA1635" s="1"/>
      <c r="HWB1635" s="1"/>
      <c r="HWC1635" s="1"/>
      <c r="HWD1635" s="1"/>
      <c r="HWE1635" s="1"/>
      <c r="HWF1635" s="1"/>
      <c r="HWG1635" s="1"/>
      <c r="HWH1635" s="1"/>
      <c r="HWI1635" s="1"/>
      <c r="HWJ1635" s="1"/>
      <c r="HWK1635" s="1"/>
      <c r="HWL1635" s="1"/>
      <c r="HWM1635" s="1"/>
      <c r="HWN1635" s="1"/>
      <c r="HWO1635" s="1"/>
      <c r="HWP1635" s="1"/>
      <c r="HWQ1635" s="1"/>
      <c r="HWR1635" s="1"/>
      <c r="HWS1635" s="1"/>
      <c r="HWT1635" s="1"/>
      <c r="HWU1635" s="1"/>
      <c r="HWV1635" s="1"/>
      <c r="HWW1635" s="1"/>
      <c r="HWX1635" s="1"/>
      <c r="HWY1635" s="1"/>
      <c r="HWZ1635" s="1"/>
      <c r="HXA1635" s="1"/>
      <c r="HXB1635" s="1"/>
      <c r="HXC1635" s="1"/>
      <c r="HXD1635" s="1"/>
      <c r="HXE1635" s="1"/>
      <c r="HXF1635" s="1"/>
      <c r="HXG1635" s="1"/>
      <c r="HXH1635" s="1"/>
      <c r="HXI1635" s="1"/>
      <c r="HXJ1635" s="1"/>
      <c r="HXK1635" s="1"/>
      <c r="HXL1635" s="1"/>
      <c r="HXM1635" s="1"/>
      <c r="HXN1635" s="1"/>
      <c r="HXO1635" s="1"/>
      <c r="HXP1635" s="1"/>
      <c r="HXQ1635" s="1"/>
      <c r="HXR1635" s="1"/>
      <c r="HXS1635" s="1"/>
      <c r="HXT1635" s="1"/>
      <c r="HXU1635" s="1"/>
      <c r="HXV1635" s="1"/>
      <c r="HXW1635" s="1"/>
      <c r="HXX1635" s="1"/>
      <c r="HXY1635" s="1"/>
      <c r="HXZ1635" s="1"/>
      <c r="HYA1635" s="1"/>
      <c r="HYB1635" s="1"/>
      <c r="HYC1635" s="1"/>
      <c r="HYD1635" s="1"/>
      <c r="HYE1635" s="1"/>
      <c r="HYF1635" s="1"/>
      <c r="HYG1635" s="1"/>
      <c r="HYH1635" s="1"/>
      <c r="HYI1635" s="1"/>
      <c r="HYJ1635" s="1"/>
      <c r="HYK1635" s="1"/>
      <c r="HYL1635" s="1"/>
      <c r="HYM1635" s="1"/>
      <c r="HYN1635" s="1"/>
      <c r="HYO1635" s="1"/>
      <c r="HYP1635" s="1"/>
      <c r="HYQ1635" s="1"/>
      <c r="HYR1635" s="1"/>
      <c r="HYS1635" s="1"/>
      <c r="HYT1635" s="1"/>
      <c r="HYU1635" s="1"/>
      <c r="HYV1635" s="1"/>
      <c r="HYW1635" s="1"/>
      <c r="HYX1635" s="1"/>
      <c r="HYY1635" s="1"/>
      <c r="HYZ1635" s="1"/>
      <c r="HZA1635" s="1"/>
      <c r="HZB1635" s="1"/>
      <c r="HZC1635" s="1"/>
      <c r="HZD1635" s="1"/>
      <c r="HZE1635" s="1"/>
      <c r="HZF1635" s="1"/>
      <c r="HZG1635" s="1"/>
      <c r="HZH1635" s="1"/>
      <c r="HZI1635" s="1"/>
      <c r="HZJ1635" s="1"/>
      <c r="HZK1635" s="1"/>
      <c r="HZL1635" s="1"/>
      <c r="HZM1635" s="1"/>
      <c r="HZN1635" s="1"/>
      <c r="HZO1635" s="1"/>
      <c r="HZP1635" s="1"/>
      <c r="HZQ1635" s="1"/>
      <c r="HZR1635" s="1"/>
      <c r="HZS1635" s="1"/>
      <c r="HZT1635" s="1"/>
      <c r="HZU1635" s="1"/>
      <c r="HZV1635" s="1"/>
      <c r="HZW1635" s="1"/>
      <c r="HZX1635" s="1"/>
      <c r="HZY1635" s="1"/>
      <c r="HZZ1635" s="1"/>
      <c r="IAA1635" s="1"/>
      <c r="IAB1635" s="1"/>
      <c r="IAC1635" s="1"/>
      <c r="IAD1635" s="1"/>
      <c r="IAE1635" s="1"/>
      <c r="IAF1635" s="1"/>
      <c r="IAG1635" s="1"/>
      <c r="IAH1635" s="1"/>
      <c r="IAI1635" s="1"/>
      <c r="IAJ1635" s="1"/>
      <c r="IAK1635" s="1"/>
      <c r="IAL1635" s="1"/>
      <c r="IAM1635" s="1"/>
      <c r="IAN1635" s="1"/>
      <c r="IAO1635" s="1"/>
      <c r="IAP1635" s="1"/>
      <c r="IAQ1635" s="1"/>
      <c r="IAR1635" s="1"/>
      <c r="IAS1635" s="1"/>
      <c r="IAT1635" s="1"/>
      <c r="IAU1635" s="1"/>
      <c r="IAV1635" s="1"/>
      <c r="IAW1635" s="1"/>
      <c r="IAX1635" s="1"/>
      <c r="IAY1635" s="1"/>
      <c r="IAZ1635" s="1"/>
      <c r="IBA1635" s="1"/>
      <c r="IBB1635" s="1"/>
      <c r="IBC1635" s="1"/>
      <c r="IBD1635" s="1"/>
      <c r="IBE1635" s="1"/>
      <c r="IBF1635" s="1"/>
      <c r="IBG1635" s="1"/>
      <c r="IBH1635" s="1"/>
      <c r="IBI1635" s="1"/>
      <c r="IBJ1635" s="1"/>
      <c r="IBK1635" s="1"/>
      <c r="IBL1635" s="1"/>
      <c r="IBM1635" s="1"/>
      <c r="IBN1635" s="1"/>
      <c r="IBO1635" s="1"/>
      <c r="IBP1635" s="1"/>
      <c r="IBQ1635" s="1"/>
      <c r="IBR1635" s="1"/>
      <c r="IBS1635" s="1"/>
      <c r="IBT1635" s="1"/>
      <c r="IBU1635" s="1"/>
      <c r="IBV1635" s="1"/>
      <c r="IBW1635" s="1"/>
      <c r="IBX1635" s="1"/>
      <c r="IBY1635" s="1"/>
      <c r="IBZ1635" s="1"/>
      <c r="ICA1635" s="1"/>
      <c r="ICB1635" s="1"/>
      <c r="ICC1635" s="1"/>
      <c r="ICD1635" s="1"/>
      <c r="ICE1635" s="1"/>
      <c r="ICF1635" s="1"/>
      <c r="ICG1635" s="1"/>
      <c r="ICH1635" s="1"/>
      <c r="ICI1635" s="1"/>
      <c r="ICJ1635" s="1"/>
      <c r="ICK1635" s="1"/>
      <c r="ICL1635" s="1"/>
      <c r="ICM1635" s="1"/>
      <c r="ICN1635" s="1"/>
      <c r="ICO1635" s="1"/>
      <c r="ICP1635" s="1"/>
      <c r="ICQ1635" s="1"/>
      <c r="ICR1635" s="1"/>
      <c r="ICS1635" s="1"/>
      <c r="ICT1635" s="1"/>
      <c r="ICU1635" s="1"/>
      <c r="ICV1635" s="1"/>
      <c r="ICW1635" s="1"/>
      <c r="ICX1635" s="1"/>
      <c r="ICY1635" s="1"/>
      <c r="ICZ1635" s="1"/>
      <c r="IDA1635" s="1"/>
      <c r="IDB1635" s="1"/>
      <c r="IDC1635" s="1"/>
      <c r="IDD1635" s="1"/>
      <c r="IDE1635" s="1"/>
      <c r="IDF1635" s="1"/>
      <c r="IDG1635" s="1"/>
      <c r="IDH1635" s="1"/>
      <c r="IDI1635" s="1"/>
      <c r="IDJ1635" s="1"/>
      <c r="IDK1635" s="1"/>
      <c r="IDL1635" s="1"/>
      <c r="IDM1635" s="1"/>
      <c r="IDN1635" s="1"/>
      <c r="IDO1635" s="1"/>
      <c r="IDP1635" s="1"/>
      <c r="IDQ1635" s="1"/>
      <c r="IDR1635" s="1"/>
      <c r="IDS1635" s="1"/>
      <c r="IDT1635" s="1"/>
      <c r="IDU1635" s="1"/>
      <c r="IDV1635" s="1"/>
      <c r="IDW1635" s="1"/>
      <c r="IDX1635" s="1"/>
      <c r="IDY1635" s="1"/>
      <c r="IDZ1635" s="1"/>
      <c r="IEA1635" s="1"/>
      <c r="IEB1635" s="1"/>
      <c r="IEC1635" s="1"/>
      <c r="IED1635" s="1"/>
      <c r="IEE1635" s="1"/>
      <c r="IEF1635" s="1"/>
      <c r="IEG1635" s="1"/>
      <c r="IEH1635" s="1"/>
      <c r="IEI1635" s="1"/>
      <c r="IEJ1635" s="1"/>
      <c r="IEK1635" s="1"/>
      <c r="IEL1635" s="1"/>
      <c r="IEM1635" s="1"/>
      <c r="IEN1635" s="1"/>
      <c r="IEO1635" s="1"/>
      <c r="IEP1635" s="1"/>
      <c r="IEQ1635" s="1"/>
      <c r="IER1635" s="1"/>
      <c r="IES1635" s="1"/>
      <c r="IET1635" s="1"/>
      <c r="IEU1635" s="1"/>
      <c r="IEV1635" s="1"/>
      <c r="IEW1635" s="1"/>
      <c r="IEX1635" s="1"/>
      <c r="IEY1635" s="1"/>
      <c r="IEZ1635" s="1"/>
      <c r="IFA1635" s="1"/>
      <c r="IFB1635" s="1"/>
      <c r="IFC1635" s="1"/>
      <c r="IFD1635" s="1"/>
      <c r="IFE1635" s="1"/>
      <c r="IFF1635" s="1"/>
      <c r="IFG1635" s="1"/>
      <c r="IFH1635" s="1"/>
      <c r="IFI1635" s="1"/>
      <c r="IFJ1635" s="1"/>
      <c r="IFK1635" s="1"/>
      <c r="IFL1635" s="1"/>
      <c r="IFM1635" s="1"/>
      <c r="IFN1635" s="1"/>
      <c r="IFO1635" s="1"/>
      <c r="IFP1635" s="1"/>
      <c r="IFQ1635" s="1"/>
      <c r="IFR1635" s="1"/>
      <c r="IFS1635" s="1"/>
      <c r="IFT1635" s="1"/>
      <c r="IFU1635" s="1"/>
      <c r="IFV1635" s="1"/>
      <c r="IFW1635" s="1"/>
      <c r="IFX1635" s="1"/>
      <c r="IFY1635" s="1"/>
      <c r="IFZ1635" s="1"/>
      <c r="IGA1635" s="1"/>
      <c r="IGB1635" s="1"/>
      <c r="IGC1635" s="1"/>
      <c r="IGD1635" s="1"/>
      <c r="IGE1635" s="1"/>
      <c r="IGF1635" s="1"/>
      <c r="IGG1635" s="1"/>
      <c r="IGH1635" s="1"/>
      <c r="IGI1635" s="1"/>
      <c r="IGJ1635" s="1"/>
      <c r="IGK1635" s="1"/>
      <c r="IGL1635" s="1"/>
      <c r="IGM1635" s="1"/>
      <c r="IGN1635" s="1"/>
      <c r="IGO1635" s="1"/>
      <c r="IGP1635" s="1"/>
      <c r="IGQ1635" s="1"/>
      <c r="IGR1635" s="1"/>
      <c r="IGS1635" s="1"/>
      <c r="IGT1635" s="1"/>
      <c r="IGU1635" s="1"/>
      <c r="IGV1635" s="1"/>
      <c r="IGW1635" s="1"/>
      <c r="IGX1635" s="1"/>
      <c r="IGY1635" s="1"/>
      <c r="IGZ1635" s="1"/>
      <c r="IHA1635" s="1"/>
      <c r="IHB1635" s="1"/>
      <c r="IHC1635" s="1"/>
      <c r="IHD1635" s="1"/>
      <c r="IHE1635" s="1"/>
      <c r="IHF1635" s="1"/>
      <c r="IHG1635" s="1"/>
      <c r="IHH1635" s="1"/>
      <c r="IHI1635" s="1"/>
      <c r="IHJ1635" s="1"/>
      <c r="IHK1635" s="1"/>
      <c r="IHL1635" s="1"/>
      <c r="IHM1635" s="1"/>
      <c r="IHN1635" s="1"/>
      <c r="IHO1635" s="1"/>
      <c r="IHP1635" s="1"/>
      <c r="IHQ1635" s="1"/>
      <c r="IHR1635" s="1"/>
      <c r="IHS1635" s="1"/>
      <c r="IHT1635" s="1"/>
      <c r="IHU1635" s="1"/>
      <c r="IHV1635" s="1"/>
      <c r="IHW1635" s="1"/>
      <c r="IHX1635" s="1"/>
      <c r="IHY1635" s="1"/>
      <c r="IHZ1635" s="1"/>
      <c r="IIA1635" s="1"/>
      <c r="IIB1635" s="1"/>
      <c r="IIC1635" s="1"/>
      <c r="IID1635" s="1"/>
      <c r="IIE1635" s="1"/>
      <c r="IIF1635" s="1"/>
      <c r="IIG1635" s="1"/>
      <c r="IIH1635" s="1"/>
      <c r="III1635" s="1"/>
      <c r="IIJ1635" s="1"/>
      <c r="IIK1635" s="1"/>
      <c r="IIL1635" s="1"/>
      <c r="IIM1635" s="1"/>
      <c r="IIN1635" s="1"/>
      <c r="IIO1635" s="1"/>
      <c r="IIP1635" s="1"/>
      <c r="IIQ1635" s="1"/>
      <c r="IIR1635" s="1"/>
      <c r="IIS1635" s="1"/>
      <c r="IIT1635" s="1"/>
      <c r="IIU1635" s="1"/>
      <c r="IIV1635" s="1"/>
      <c r="IIW1635" s="1"/>
      <c r="IIX1635" s="1"/>
      <c r="IIY1635" s="1"/>
      <c r="IIZ1635" s="1"/>
      <c r="IJA1635" s="1"/>
      <c r="IJB1635" s="1"/>
      <c r="IJC1635" s="1"/>
      <c r="IJD1635" s="1"/>
      <c r="IJE1635" s="1"/>
      <c r="IJF1635" s="1"/>
      <c r="IJG1635" s="1"/>
      <c r="IJH1635" s="1"/>
      <c r="IJI1635" s="1"/>
      <c r="IJJ1635" s="1"/>
      <c r="IJK1635" s="1"/>
      <c r="IJL1635" s="1"/>
      <c r="IJM1635" s="1"/>
      <c r="IJN1635" s="1"/>
      <c r="IJO1635" s="1"/>
      <c r="IJP1635" s="1"/>
      <c r="IJQ1635" s="1"/>
      <c r="IJR1635" s="1"/>
      <c r="IJS1635" s="1"/>
      <c r="IJT1635" s="1"/>
      <c r="IJU1635" s="1"/>
      <c r="IJV1635" s="1"/>
      <c r="IJW1635" s="1"/>
      <c r="IJX1635" s="1"/>
      <c r="IJY1635" s="1"/>
      <c r="IJZ1635" s="1"/>
      <c r="IKA1635" s="1"/>
      <c r="IKB1635" s="1"/>
      <c r="IKC1635" s="1"/>
      <c r="IKD1635" s="1"/>
      <c r="IKE1635" s="1"/>
      <c r="IKF1635" s="1"/>
      <c r="IKG1635" s="1"/>
      <c r="IKH1635" s="1"/>
      <c r="IKI1635" s="1"/>
      <c r="IKJ1635" s="1"/>
      <c r="IKK1635" s="1"/>
      <c r="IKL1635" s="1"/>
      <c r="IKM1635" s="1"/>
      <c r="IKN1635" s="1"/>
      <c r="IKO1635" s="1"/>
      <c r="IKP1635" s="1"/>
      <c r="IKQ1635" s="1"/>
      <c r="IKR1635" s="1"/>
      <c r="IKS1635" s="1"/>
      <c r="IKT1635" s="1"/>
      <c r="IKU1635" s="1"/>
      <c r="IKV1635" s="1"/>
      <c r="IKW1635" s="1"/>
      <c r="IKX1635" s="1"/>
      <c r="IKY1635" s="1"/>
      <c r="IKZ1635" s="1"/>
      <c r="ILA1635" s="1"/>
      <c r="ILB1635" s="1"/>
      <c r="ILC1635" s="1"/>
      <c r="ILD1635" s="1"/>
      <c r="ILE1635" s="1"/>
      <c r="ILF1635" s="1"/>
      <c r="ILG1635" s="1"/>
      <c r="ILH1635" s="1"/>
      <c r="ILI1635" s="1"/>
      <c r="ILJ1635" s="1"/>
      <c r="ILK1635" s="1"/>
      <c r="ILL1635" s="1"/>
      <c r="ILM1635" s="1"/>
      <c r="ILN1635" s="1"/>
      <c r="ILO1635" s="1"/>
      <c r="ILP1635" s="1"/>
      <c r="ILQ1635" s="1"/>
      <c r="ILR1635" s="1"/>
      <c r="ILS1635" s="1"/>
      <c r="ILT1635" s="1"/>
      <c r="ILU1635" s="1"/>
      <c r="ILV1635" s="1"/>
      <c r="ILW1635" s="1"/>
      <c r="ILX1635" s="1"/>
      <c r="ILY1635" s="1"/>
      <c r="ILZ1635" s="1"/>
      <c r="IMA1635" s="1"/>
      <c r="IMB1635" s="1"/>
      <c r="IMC1635" s="1"/>
      <c r="IMD1635" s="1"/>
      <c r="IME1635" s="1"/>
      <c r="IMF1635" s="1"/>
      <c r="IMG1635" s="1"/>
      <c r="IMH1635" s="1"/>
      <c r="IMI1635" s="1"/>
      <c r="IMJ1635" s="1"/>
      <c r="IMK1635" s="1"/>
      <c r="IML1635" s="1"/>
      <c r="IMM1635" s="1"/>
      <c r="IMN1635" s="1"/>
      <c r="IMO1635" s="1"/>
      <c r="IMP1635" s="1"/>
      <c r="IMQ1635" s="1"/>
      <c r="IMR1635" s="1"/>
      <c r="IMS1635" s="1"/>
      <c r="IMT1635" s="1"/>
      <c r="IMU1635" s="1"/>
      <c r="IMV1635" s="1"/>
      <c r="IMW1635" s="1"/>
      <c r="IMX1635" s="1"/>
      <c r="IMY1635" s="1"/>
      <c r="IMZ1635" s="1"/>
      <c r="INA1635" s="1"/>
      <c r="INB1635" s="1"/>
      <c r="INC1635" s="1"/>
      <c r="IND1635" s="1"/>
      <c r="INE1635" s="1"/>
      <c r="INF1635" s="1"/>
      <c r="ING1635" s="1"/>
      <c r="INH1635" s="1"/>
      <c r="INI1635" s="1"/>
      <c r="INJ1635" s="1"/>
      <c r="INK1635" s="1"/>
      <c r="INL1635" s="1"/>
      <c r="INM1635" s="1"/>
      <c r="INN1635" s="1"/>
      <c r="INO1635" s="1"/>
      <c r="INP1635" s="1"/>
      <c r="INQ1635" s="1"/>
      <c r="INR1635" s="1"/>
      <c r="INS1635" s="1"/>
      <c r="INT1635" s="1"/>
      <c r="INU1635" s="1"/>
      <c r="INV1635" s="1"/>
      <c r="INW1635" s="1"/>
      <c r="INX1635" s="1"/>
      <c r="INY1635" s="1"/>
      <c r="INZ1635" s="1"/>
      <c r="IOA1635" s="1"/>
      <c r="IOB1635" s="1"/>
      <c r="IOC1635" s="1"/>
      <c r="IOD1635" s="1"/>
      <c r="IOE1635" s="1"/>
      <c r="IOF1635" s="1"/>
      <c r="IOG1635" s="1"/>
      <c r="IOH1635" s="1"/>
      <c r="IOI1635" s="1"/>
      <c r="IOJ1635" s="1"/>
      <c r="IOK1635" s="1"/>
      <c r="IOL1635" s="1"/>
      <c r="IOM1635" s="1"/>
      <c r="ION1635" s="1"/>
      <c r="IOO1635" s="1"/>
      <c r="IOP1635" s="1"/>
      <c r="IOQ1635" s="1"/>
      <c r="IOR1635" s="1"/>
      <c r="IOS1635" s="1"/>
      <c r="IOT1635" s="1"/>
      <c r="IOU1635" s="1"/>
      <c r="IOV1635" s="1"/>
      <c r="IOW1635" s="1"/>
      <c r="IOX1635" s="1"/>
      <c r="IOY1635" s="1"/>
      <c r="IOZ1635" s="1"/>
      <c r="IPA1635" s="1"/>
      <c r="IPB1635" s="1"/>
      <c r="IPC1635" s="1"/>
      <c r="IPD1635" s="1"/>
      <c r="IPE1635" s="1"/>
      <c r="IPF1635" s="1"/>
      <c r="IPG1635" s="1"/>
      <c r="IPH1635" s="1"/>
      <c r="IPI1635" s="1"/>
      <c r="IPJ1635" s="1"/>
      <c r="IPK1635" s="1"/>
      <c r="IPL1635" s="1"/>
      <c r="IPM1635" s="1"/>
      <c r="IPN1635" s="1"/>
      <c r="IPO1635" s="1"/>
      <c r="IPP1635" s="1"/>
      <c r="IPQ1635" s="1"/>
      <c r="IPR1635" s="1"/>
      <c r="IPS1635" s="1"/>
      <c r="IPT1635" s="1"/>
      <c r="IPU1635" s="1"/>
      <c r="IPV1635" s="1"/>
      <c r="IPW1635" s="1"/>
      <c r="IPX1635" s="1"/>
      <c r="IPY1635" s="1"/>
      <c r="IPZ1635" s="1"/>
      <c r="IQA1635" s="1"/>
      <c r="IQB1635" s="1"/>
      <c r="IQC1635" s="1"/>
      <c r="IQD1635" s="1"/>
      <c r="IQE1635" s="1"/>
      <c r="IQF1635" s="1"/>
      <c r="IQG1635" s="1"/>
      <c r="IQH1635" s="1"/>
      <c r="IQI1635" s="1"/>
      <c r="IQJ1635" s="1"/>
      <c r="IQK1635" s="1"/>
      <c r="IQL1635" s="1"/>
      <c r="IQM1635" s="1"/>
      <c r="IQN1635" s="1"/>
      <c r="IQO1635" s="1"/>
      <c r="IQP1635" s="1"/>
      <c r="IQQ1635" s="1"/>
      <c r="IQR1635" s="1"/>
      <c r="IQS1635" s="1"/>
      <c r="IQT1635" s="1"/>
      <c r="IQU1635" s="1"/>
      <c r="IQV1635" s="1"/>
      <c r="IQW1635" s="1"/>
      <c r="IQX1635" s="1"/>
      <c r="IQY1635" s="1"/>
      <c r="IQZ1635" s="1"/>
      <c r="IRA1635" s="1"/>
      <c r="IRB1635" s="1"/>
      <c r="IRC1635" s="1"/>
      <c r="IRD1635" s="1"/>
      <c r="IRE1635" s="1"/>
      <c r="IRF1635" s="1"/>
      <c r="IRG1635" s="1"/>
      <c r="IRH1635" s="1"/>
      <c r="IRI1635" s="1"/>
      <c r="IRJ1635" s="1"/>
      <c r="IRK1635" s="1"/>
      <c r="IRL1635" s="1"/>
      <c r="IRM1635" s="1"/>
      <c r="IRN1635" s="1"/>
      <c r="IRO1635" s="1"/>
      <c r="IRP1635" s="1"/>
      <c r="IRQ1635" s="1"/>
      <c r="IRR1635" s="1"/>
      <c r="IRS1635" s="1"/>
      <c r="IRT1635" s="1"/>
      <c r="IRU1635" s="1"/>
      <c r="IRV1635" s="1"/>
      <c r="IRW1635" s="1"/>
      <c r="IRX1635" s="1"/>
      <c r="IRY1635" s="1"/>
      <c r="IRZ1635" s="1"/>
      <c r="ISA1635" s="1"/>
      <c r="ISB1635" s="1"/>
      <c r="ISC1635" s="1"/>
      <c r="ISD1635" s="1"/>
      <c r="ISE1635" s="1"/>
      <c r="ISF1635" s="1"/>
      <c r="ISG1635" s="1"/>
      <c r="ISH1635" s="1"/>
      <c r="ISI1635" s="1"/>
      <c r="ISJ1635" s="1"/>
      <c r="ISK1635" s="1"/>
      <c r="ISL1635" s="1"/>
      <c r="ISM1635" s="1"/>
      <c r="ISN1635" s="1"/>
      <c r="ISO1635" s="1"/>
      <c r="ISP1635" s="1"/>
      <c r="ISQ1635" s="1"/>
      <c r="ISR1635" s="1"/>
      <c r="ISS1635" s="1"/>
      <c r="IST1635" s="1"/>
      <c r="ISU1635" s="1"/>
      <c r="ISV1635" s="1"/>
      <c r="ISW1635" s="1"/>
      <c r="ISX1635" s="1"/>
      <c r="ISY1635" s="1"/>
      <c r="ISZ1635" s="1"/>
      <c r="ITA1635" s="1"/>
      <c r="ITB1635" s="1"/>
      <c r="ITC1635" s="1"/>
      <c r="ITD1635" s="1"/>
      <c r="ITE1635" s="1"/>
      <c r="ITF1635" s="1"/>
      <c r="ITG1635" s="1"/>
      <c r="ITH1635" s="1"/>
      <c r="ITI1635" s="1"/>
      <c r="ITJ1635" s="1"/>
      <c r="ITK1635" s="1"/>
      <c r="ITL1635" s="1"/>
      <c r="ITM1635" s="1"/>
      <c r="ITN1635" s="1"/>
      <c r="ITO1635" s="1"/>
      <c r="ITP1635" s="1"/>
      <c r="ITQ1635" s="1"/>
      <c r="ITR1635" s="1"/>
      <c r="ITS1635" s="1"/>
      <c r="ITT1635" s="1"/>
      <c r="ITU1635" s="1"/>
      <c r="ITV1635" s="1"/>
      <c r="ITW1635" s="1"/>
      <c r="ITX1635" s="1"/>
      <c r="ITY1635" s="1"/>
      <c r="ITZ1635" s="1"/>
      <c r="IUA1635" s="1"/>
      <c r="IUB1635" s="1"/>
      <c r="IUC1635" s="1"/>
      <c r="IUD1635" s="1"/>
      <c r="IUE1635" s="1"/>
      <c r="IUF1635" s="1"/>
      <c r="IUG1635" s="1"/>
      <c r="IUH1635" s="1"/>
      <c r="IUI1635" s="1"/>
      <c r="IUJ1635" s="1"/>
      <c r="IUK1635" s="1"/>
      <c r="IUL1635" s="1"/>
      <c r="IUM1635" s="1"/>
      <c r="IUN1635" s="1"/>
      <c r="IUO1635" s="1"/>
      <c r="IUP1635" s="1"/>
      <c r="IUQ1635" s="1"/>
      <c r="IUR1635" s="1"/>
      <c r="IUS1635" s="1"/>
      <c r="IUT1635" s="1"/>
      <c r="IUU1635" s="1"/>
      <c r="IUV1635" s="1"/>
      <c r="IUW1635" s="1"/>
      <c r="IUX1635" s="1"/>
      <c r="IUY1635" s="1"/>
      <c r="IUZ1635" s="1"/>
      <c r="IVA1635" s="1"/>
      <c r="IVB1635" s="1"/>
      <c r="IVC1635" s="1"/>
      <c r="IVD1635" s="1"/>
      <c r="IVE1635" s="1"/>
      <c r="IVF1635" s="1"/>
      <c r="IVG1635" s="1"/>
      <c r="IVH1635" s="1"/>
      <c r="IVI1635" s="1"/>
      <c r="IVJ1635" s="1"/>
      <c r="IVK1635" s="1"/>
      <c r="IVL1635" s="1"/>
      <c r="IVM1635" s="1"/>
      <c r="IVN1635" s="1"/>
      <c r="IVO1635" s="1"/>
      <c r="IVP1635" s="1"/>
      <c r="IVQ1635" s="1"/>
      <c r="IVR1635" s="1"/>
      <c r="IVS1635" s="1"/>
      <c r="IVT1635" s="1"/>
      <c r="IVU1635" s="1"/>
      <c r="IVV1635" s="1"/>
      <c r="IVW1635" s="1"/>
      <c r="IVX1635" s="1"/>
      <c r="IVY1635" s="1"/>
      <c r="IVZ1635" s="1"/>
      <c r="IWA1635" s="1"/>
      <c r="IWB1635" s="1"/>
      <c r="IWC1635" s="1"/>
      <c r="IWD1635" s="1"/>
      <c r="IWE1635" s="1"/>
      <c r="IWF1635" s="1"/>
      <c r="IWG1635" s="1"/>
      <c r="IWH1635" s="1"/>
      <c r="IWI1635" s="1"/>
      <c r="IWJ1635" s="1"/>
      <c r="IWK1635" s="1"/>
      <c r="IWL1635" s="1"/>
      <c r="IWM1635" s="1"/>
      <c r="IWN1635" s="1"/>
      <c r="IWO1635" s="1"/>
      <c r="IWP1635" s="1"/>
      <c r="IWQ1635" s="1"/>
      <c r="IWR1635" s="1"/>
      <c r="IWS1635" s="1"/>
      <c r="IWT1635" s="1"/>
      <c r="IWU1635" s="1"/>
      <c r="IWV1635" s="1"/>
      <c r="IWW1635" s="1"/>
      <c r="IWX1635" s="1"/>
      <c r="IWY1635" s="1"/>
      <c r="IWZ1635" s="1"/>
      <c r="IXA1635" s="1"/>
      <c r="IXB1635" s="1"/>
      <c r="IXC1635" s="1"/>
      <c r="IXD1635" s="1"/>
      <c r="IXE1635" s="1"/>
      <c r="IXF1635" s="1"/>
      <c r="IXG1635" s="1"/>
      <c r="IXH1635" s="1"/>
      <c r="IXI1635" s="1"/>
      <c r="IXJ1635" s="1"/>
      <c r="IXK1635" s="1"/>
      <c r="IXL1635" s="1"/>
      <c r="IXM1635" s="1"/>
      <c r="IXN1635" s="1"/>
      <c r="IXO1635" s="1"/>
      <c r="IXP1635" s="1"/>
      <c r="IXQ1635" s="1"/>
      <c r="IXR1635" s="1"/>
      <c r="IXS1635" s="1"/>
      <c r="IXT1635" s="1"/>
      <c r="IXU1635" s="1"/>
      <c r="IXV1635" s="1"/>
      <c r="IXW1635" s="1"/>
      <c r="IXX1635" s="1"/>
      <c r="IXY1635" s="1"/>
      <c r="IXZ1635" s="1"/>
      <c r="IYA1635" s="1"/>
      <c r="IYB1635" s="1"/>
      <c r="IYC1635" s="1"/>
      <c r="IYD1635" s="1"/>
      <c r="IYE1635" s="1"/>
      <c r="IYF1635" s="1"/>
      <c r="IYG1635" s="1"/>
      <c r="IYH1635" s="1"/>
      <c r="IYI1635" s="1"/>
      <c r="IYJ1635" s="1"/>
      <c r="IYK1635" s="1"/>
      <c r="IYL1635" s="1"/>
      <c r="IYM1635" s="1"/>
      <c r="IYN1635" s="1"/>
      <c r="IYO1635" s="1"/>
      <c r="IYP1635" s="1"/>
      <c r="IYQ1635" s="1"/>
      <c r="IYR1635" s="1"/>
      <c r="IYS1635" s="1"/>
      <c r="IYT1635" s="1"/>
      <c r="IYU1635" s="1"/>
      <c r="IYV1635" s="1"/>
      <c r="IYW1635" s="1"/>
      <c r="IYX1635" s="1"/>
      <c r="IYY1635" s="1"/>
      <c r="IYZ1635" s="1"/>
      <c r="IZA1635" s="1"/>
      <c r="IZB1635" s="1"/>
      <c r="IZC1635" s="1"/>
      <c r="IZD1635" s="1"/>
      <c r="IZE1635" s="1"/>
      <c r="IZF1635" s="1"/>
      <c r="IZG1635" s="1"/>
      <c r="IZH1635" s="1"/>
      <c r="IZI1635" s="1"/>
      <c r="IZJ1635" s="1"/>
      <c r="IZK1635" s="1"/>
      <c r="IZL1635" s="1"/>
      <c r="IZM1635" s="1"/>
      <c r="IZN1635" s="1"/>
      <c r="IZO1635" s="1"/>
      <c r="IZP1635" s="1"/>
      <c r="IZQ1635" s="1"/>
      <c r="IZR1635" s="1"/>
      <c r="IZS1635" s="1"/>
      <c r="IZT1635" s="1"/>
      <c r="IZU1635" s="1"/>
      <c r="IZV1635" s="1"/>
      <c r="IZW1635" s="1"/>
      <c r="IZX1635" s="1"/>
      <c r="IZY1635" s="1"/>
      <c r="IZZ1635" s="1"/>
      <c r="JAA1635" s="1"/>
      <c r="JAB1635" s="1"/>
      <c r="JAC1635" s="1"/>
      <c r="JAD1635" s="1"/>
      <c r="JAE1635" s="1"/>
      <c r="JAF1635" s="1"/>
      <c r="JAG1635" s="1"/>
      <c r="JAH1635" s="1"/>
      <c r="JAI1635" s="1"/>
      <c r="JAJ1635" s="1"/>
      <c r="JAK1635" s="1"/>
      <c r="JAL1635" s="1"/>
      <c r="JAM1635" s="1"/>
      <c r="JAN1635" s="1"/>
      <c r="JAO1635" s="1"/>
      <c r="JAP1635" s="1"/>
      <c r="JAQ1635" s="1"/>
      <c r="JAR1635" s="1"/>
      <c r="JAS1635" s="1"/>
      <c r="JAT1635" s="1"/>
      <c r="JAU1635" s="1"/>
      <c r="JAV1635" s="1"/>
      <c r="JAW1635" s="1"/>
      <c r="JAX1635" s="1"/>
      <c r="JAY1635" s="1"/>
      <c r="JAZ1635" s="1"/>
      <c r="JBA1635" s="1"/>
      <c r="JBB1635" s="1"/>
      <c r="JBC1635" s="1"/>
      <c r="JBD1635" s="1"/>
      <c r="JBE1635" s="1"/>
      <c r="JBF1635" s="1"/>
      <c r="JBG1635" s="1"/>
      <c r="JBH1635" s="1"/>
      <c r="JBI1635" s="1"/>
      <c r="JBJ1635" s="1"/>
      <c r="JBK1635" s="1"/>
      <c r="JBL1635" s="1"/>
      <c r="JBM1635" s="1"/>
      <c r="JBN1635" s="1"/>
      <c r="JBO1635" s="1"/>
      <c r="JBP1635" s="1"/>
      <c r="JBQ1635" s="1"/>
      <c r="JBR1635" s="1"/>
      <c r="JBS1635" s="1"/>
      <c r="JBT1635" s="1"/>
      <c r="JBU1635" s="1"/>
      <c r="JBV1635" s="1"/>
      <c r="JBW1635" s="1"/>
      <c r="JBX1635" s="1"/>
      <c r="JBY1635" s="1"/>
      <c r="JBZ1635" s="1"/>
      <c r="JCA1635" s="1"/>
      <c r="JCB1635" s="1"/>
      <c r="JCC1635" s="1"/>
      <c r="JCD1635" s="1"/>
      <c r="JCE1635" s="1"/>
      <c r="JCF1635" s="1"/>
      <c r="JCG1635" s="1"/>
      <c r="JCH1635" s="1"/>
      <c r="JCI1635" s="1"/>
      <c r="JCJ1635" s="1"/>
      <c r="JCK1635" s="1"/>
      <c r="JCL1635" s="1"/>
      <c r="JCM1635" s="1"/>
      <c r="JCN1635" s="1"/>
      <c r="JCO1635" s="1"/>
      <c r="JCP1635" s="1"/>
      <c r="JCQ1635" s="1"/>
      <c r="JCR1635" s="1"/>
      <c r="JCS1635" s="1"/>
      <c r="JCT1635" s="1"/>
      <c r="JCU1635" s="1"/>
      <c r="JCV1635" s="1"/>
      <c r="JCW1635" s="1"/>
      <c r="JCX1635" s="1"/>
      <c r="JCY1635" s="1"/>
      <c r="JCZ1635" s="1"/>
      <c r="JDA1635" s="1"/>
      <c r="JDB1635" s="1"/>
      <c r="JDC1635" s="1"/>
      <c r="JDD1635" s="1"/>
      <c r="JDE1635" s="1"/>
      <c r="JDF1635" s="1"/>
      <c r="JDG1635" s="1"/>
      <c r="JDH1635" s="1"/>
      <c r="JDI1635" s="1"/>
      <c r="JDJ1635" s="1"/>
      <c r="JDK1635" s="1"/>
      <c r="JDL1635" s="1"/>
      <c r="JDM1635" s="1"/>
      <c r="JDN1635" s="1"/>
      <c r="JDO1635" s="1"/>
      <c r="JDP1635" s="1"/>
      <c r="JDQ1635" s="1"/>
      <c r="JDR1635" s="1"/>
      <c r="JDS1635" s="1"/>
      <c r="JDT1635" s="1"/>
      <c r="JDU1635" s="1"/>
      <c r="JDV1635" s="1"/>
      <c r="JDW1635" s="1"/>
      <c r="JDX1635" s="1"/>
      <c r="JDY1635" s="1"/>
      <c r="JDZ1635" s="1"/>
      <c r="JEA1635" s="1"/>
      <c r="JEB1635" s="1"/>
      <c r="JEC1635" s="1"/>
      <c r="JED1635" s="1"/>
      <c r="JEE1635" s="1"/>
      <c r="JEF1635" s="1"/>
      <c r="JEG1635" s="1"/>
      <c r="JEH1635" s="1"/>
      <c r="JEI1635" s="1"/>
      <c r="JEJ1635" s="1"/>
      <c r="JEK1635" s="1"/>
      <c r="JEL1635" s="1"/>
      <c r="JEM1635" s="1"/>
      <c r="JEN1635" s="1"/>
      <c r="JEO1635" s="1"/>
      <c r="JEP1635" s="1"/>
      <c r="JEQ1635" s="1"/>
      <c r="JER1635" s="1"/>
      <c r="JES1635" s="1"/>
      <c r="JET1635" s="1"/>
      <c r="JEU1635" s="1"/>
      <c r="JEV1635" s="1"/>
      <c r="JEW1635" s="1"/>
      <c r="JEX1635" s="1"/>
      <c r="JEY1635" s="1"/>
      <c r="JEZ1635" s="1"/>
      <c r="JFA1635" s="1"/>
      <c r="JFB1635" s="1"/>
      <c r="JFC1635" s="1"/>
      <c r="JFD1635" s="1"/>
      <c r="JFE1635" s="1"/>
      <c r="JFF1635" s="1"/>
      <c r="JFG1635" s="1"/>
      <c r="JFH1635" s="1"/>
      <c r="JFI1635" s="1"/>
      <c r="JFJ1635" s="1"/>
      <c r="JFK1635" s="1"/>
      <c r="JFL1635" s="1"/>
      <c r="JFM1635" s="1"/>
      <c r="JFN1635" s="1"/>
      <c r="JFO1635" s="1"/>
      <c r="JFP1635" s="1"/>
      <c r="JFQ1635" s="1"/>
      <c r="JFR1635" s="1"/>
      <c r="JFS1635" s="1"/>
      <c r="JFT1635" s="1"/>
      <c r="JFU1635" s="1"/>
      <c r="JFV1635" s="1"/>
      <c r="JFW1635" s="1"/>
      <c r="JFX1635" s="1"/>
      <c r="JFY1635" s="1"/>
      <c r="JFZ1635" s="1"/>
      <c r="JGA1635" s="1"/>
      <c r="JGB1635" s="1"/>
      <c r="JGC1635" s="1"/>
      <c r="JGD1635" s="1"/>
      <c r="JGE1635" s="1"/>
      <c r="JGF1635" s="1"/>
      <c r="JGG1635" s="1"/>
      <c r="JGH1635" s="1"/>
      <c r="JGI1635" s="1"/>
      <c r="JGJ1635" s="1"/>
      <c r="JGK1635" s="1"/>
      <c r="JGL1635" s="1"/>
      <c r="JGM1635" s="1"/>
      <c r="JGN1635" s="1"/>
      <c r="JGO1635" s="1"/>
      <c r="JGP1635" s="1"/>
      <c r="JGQ1635" s="1"/>
      <c r="JGR1635" s="1"/>
      <c r="JGS1635" s="1"/>
      <c r="JGT1635" s="1"/>
      <c r="JGU1635" s="1"/>
      <c r="JGV1635" s="1"/>
      <c r="JGW1635" s="1"/>
      <c r="JGX1635" s="1"/>
      <c r="JGY1635" s="1"/>
      <c r="JGZ1635" s="1"/>
      <c r="JHA1635" s="1"/>
      <c r="JHB1635" s="1"/>
      <c r="JHC1635" s="1"/>
      <c r="JHD1635" s="1"/>
      <c r="JHE1635" s="1"/>
      <c r="JHF1635" s="1"/>
      <c r="JHG1635" s="1"/>
      <c r="JHH1635" s="1"/>
      <c r="JHI1635" s="1"/>
      <c r="JHJ1635" s="1"/>
      <c r="JHK1635" s="1"/>
      <c r="JHL1635" s="1"/>
      <c r="JHM1635" s="1"/>
      <c r="JHN1635" s="1"/>
      <c r="JHO1635" s="1"/>
      <c r="JHP1635" s="1"/>
      <c r="JHQ1635" s="1"/>
      <c r="JHR1635" s="1"/>
      <c r="JHS1635" s="1"/>
      <c r="JHT1635" s="1"/>
      <c r="JHU1635" s="1"/>
      <c r="JHV1635" s="1"/>
      <c r="JHW1635" s="1"/>
      <c r="JHX1635" s="1"/>
      <c r="JHY1635" s="1"/>
      <c r="JHZ1635" s="1"/>
      <c r="JIA1635" s="1"/>
      <c r="JIB1635" s="1"/>
      <c r="JIC1635" s="1"/>
      <c r="JID1635" s="1"/>
      <c r="JIE1635" s="1"/>
      <c r="JIF1635" s="1"/>
      <c r="JIG1635" s="1"/>
      <c r="JIH1635" s="1"/>
      <c r="JII1635" s="1"/>
      <c r="JIJ1635" s="1"/>
      <c r="JIK1635" s="1"/>
      <c r="JIL1635" s="1"/>
      <c r="JIM1635" s="1"/>
      <c r="JIN1635" s="1"/>
      <c r="JIO1635" s="1"/>
      <c r="JIP1635" s="1"/>
      <c r="JIQ1635" s="1"/>
      <c r="JIR1635" s="1"/>
      <c r="JIS1635" s="1"/>
      <c r="JIT1635" s="1"/>
      <c r="JIU1635" s="1"/>
      <c r="JIV1635" s="1"/>
      <c r="JIW1635" s="1"/>
      <c r="JIX1635" s="1"/>
      <c r="JIY1635" s="1"/>
      <c r="JIZ1635" s="1"/>
      <c r="JJA1635" s="1"/>
      <c r="JJB1635" s="1"/>
      <c r="JJC1635" s="1"/>
      <c r="JJD1635" s="1"/>
      <c r="JJE1635" s="1"/>
      <c r="JJF1635" s="1"/>
      <c r="JJG1635" s="1"/>
      <c r="JJH1635" s="1"/>
      <c r="JJI1635" s="1"/>
      <c r="JJJ1635" s="1"/>
      <c r="JJK1635" s="1"/>
      <c r="JJL1635" s="1"/>
      <c r="JJM1635" s="1"/>
      <c r="JJN1635" s="1"/>
      <c r="JJO1635" s="1"/>
      <c r="JJP1635" s="1"/>
      <c r="JJQ1635" s="1"/>
      <c r="JJR1635" s="1"/>
      <c r="JJS1635" s="1"/>
      <c r="JJT1635" s="1"/>
      <c r="JJU1635" s="1"/>
      <c r="JJV1635" s="1"/>
      <c r="JJW1635" s="1"/>
      <c r="JJX1635" s="1"/>
      <c r="JJY1635" s="1"/>
      <c r="JJZ1635" s="1"/>
      <c r="JKA1635" s="1"/>
      <c r="JKB1635" s="1"/>
      <c r="JKC1635" s="1"/>
      <c r="JKD1635" s="1"/>
      <c r="JKE1635" s="1"/>
      <c r="JKF1635" s="1"/>
      <c r="JKG1635" s="1"/>
      <c r="JKH1635" s="1"/>
      <c r="JKI1635" s="1"/>
      <c r="JKJ1635" s="1"/>
      <c r="JKK1635" s="1"/>
      <c r="JKL1635" s="1"/>
      <c r="JKM1635" s="1"/>
      <c r="JKN1635" s="1"/>
      <c r="JKO1635" s="1"/>
      <c r="JKP1635" s="1"/>
      <c r="JKQ1635" s="1"/>
      <c r="JKR1635" s="1"/>
      <c r="JKS1635" s="1"/>
      <c r="JKT1635" s="1"/>
      <c r="JKU1635" s="1"/>
      <c r="JKV1635" s="1"/>
      <c r="JKW1635" s="1"/>
      <c r="JKX1635" s="1"/>
      <c r="JKY1635" s="1"/>
      <c r="JKZ1635" s="1"/>
      <c r="JLA1635" s="1"/>
      <c r="JLB1635" s="1"/>
      <c r="JLC1635" s="1"/>
      <c r="JLD1635" s="1"/>
      <c r="JLE1635" s="1"/>
      <c r="JLF1635" s="1"/>
      <c r="JLG1635" s="1"/>
      <c r="JLH1635" s="1"/>
      <c r="JLI1635" s="1"/>
      <c r="JLJ1635" s="1"/>
      <c r="JLK1635" s="1"/>
      <c r="JLL1635" s="1"/>
      <c r="JLM1635" s="1"/>
      <c r="JLN1635" s="1"/>
      <c r="JLO1635" s="1"/>
      <c r="JLP1635" s="1"/>
      <c r="JLQ1635" s="1"/>
      <c r="JLR1635" s="1"/>
      <c r="JLS1635" s="1"/>
      <c r="JLT1635" s="1"/>
      <c r="JLU1635" s="1"/>
      <c r="JLV1635" s="1"/>
      <c r="JLW1635" s="1"/>
      <c r="JLX1635" s="1"/>
      <c r="JLY1635" s="1"/>
      <c r="JLZ1635" s="1"/>
      <c r="JMA1635" s="1"/>
      <c r="JMB1635" s="1"/>
      <c r="JMC1635" s="1"/>
      <c r="JMD1635" s="1"/>
      <c r="JME1635" s="1"/>
      <c r="JMF1635" s="1"/>
      <c r="JMG1635" s="1"/>
      <c r="JMH1635" s="1"/>
      <c r="JMI1635" s="1"/>
      <c r="JMJ1635" s="1"/>
      <c r="JMK1635" s="1"/>
      <c r="JML1635" s="1"/>
      <c r="JMM1635" s="1"/>
      <c r="JMN1635" s="1"/>
      <c r="JMO1635" s="1"/>
      <c r="JMP1635" s="1"/>
      <c r="JMQ1635" s="1"/>
      <c r="JMR1635" s="1"/>
      <c r="JMS1635" s="1"/>
      <c r="JMT1635" s="1"/>
      <c r="JMU1635" s="1"/>
      <c r="JMV1635" s="1"/>
      <c r="JMW1635" s="1"/>
      <c r="JMX1635" s="1"/>
      <c r="JMY1635" s="1"/>
      <c r="JMZ1635" s="1"/>
      <c r="JNA1635" s="1"/>
      <c r="JNB1635" s="1"/>
      <c r="JNC1635" s="1"/>
      <c r="JND1635" s="1"/>
      <c r="JNE1635" s="1"/>
      <c r="JNF1635" s="1"/>
      <c r="JNG1635" s="1"/>
      <c r="JNH1635" s="1"/>
      <c r="JNI1635" s="1"/>
      <c r="JNJ1635" s="1"/>
      <c r="JNK1635" s="1"/>
      <c r="JNL1635" s="1"/>
      <c r="JNM1635" s="1"/>
      <c r="JNN1635" s="1"/>
      <c r="JNO1635" s="1"/>
      <c r="JNP1635" s="1"/>
      <c r="JNQ1635" s="1"/>
      <c r="JNR1635" s="1"/>
      <c r="JNS1635" s="1"/>
      <c r="JNT1635" s="1"/>
      <c r="JNU1635" s="1"/>
      <c r="JNV1635" s="1"/>
      <c r="JNW1635" s="1"/>
      <c r="JNX1635" s="1"/>
      <c r="JNY1635" s="1"/>
      <c r="JNZ1635" s="1"/>
      <c r="JOA1635" s="1"/>
      <c r="JOB1635" s="1"/>
      <c r="JOC1635" s="1"/>
      <c r="JOD1635" s="1"/>
      <c r="JOE1635" s="1"/>
      <c r="JOF1635" s="1"/>
      <c r="JOG1635" s="1"/>
      <c r="JOH1635" s="1"/>
      <c r="JOI1635" s="1"/>
      <c r="JOJ1635" s="1"/>
      <c r="JOK1635" s="1"/>
      <c r="JOL1635" s="1"/>
      <c r="JOM1635" s="1"/>
      <c r="JON1635" s="1"/>
      <c r="JOO1635" s="1"/>
      <c r="JOP1635" s="1"/>
      <c r="JOQ1635" s="1"/>
      <c r="JOR1635" s="1"/>
      <c r="JOS1635" s="1"/>
      <c r="JOT1635" s="1"/>
      <c r="JOU1635" s="1"/>
      <c r="JOV1635" s="1"/>
      <c r="JOW1635" s="1"/>
      <c r="JOX1635" s="1"/>
      <c r="JOY1635" s="1"/>
      <c r="JOZ1635" s="1"/>
      <c r="JPA1635" s="1"/>
      <c r="JPB1635" s="1"/>
      <c r="JPC1635" s="1"/>
      <c r="JPD1635" s="1"/>
      <c r="JPE1635" s="1"/>
      <c r="JPF1635" s="1"/>
      <c r="JPG1635" s="1"/>
      <c r="JPH1635" s="1"/>
      <c r="JPI1635" s="1"/>
      <c r="JPJ1635" s="1"/>
      <c r="JPK1635" s="1"/>
      <c r="JPL1635" s="1"/>
      <c r="JPM1635" s="1"/>
      <c r="JPN1635" s="1"/>
      <c r="JPO1635" s="1"/>
      <c r="JPP1635" s="1"/>
      <c r="JPQ1635" s="1"/>
      <c r="JPR1635" s="1"/>
      <c r="JPS1635" s="1"/>
      <c r="JPT1635" s="1"/>
      <c r="JPU1635" s="1"/>
      <c r="JPV1635" s="1"/>
      <c r="JPW1635" s="1"/>
      <c r="JPX1635" s="1"/>
      <c r="JPY1635" s="1"/>
      <c r="JPZ1635" s="1"/>
      <c r="JQA1635" s="1"/>
      <c r="JQB1635" s="1"/>
      <c r="JQC1635" s="1"/>
      <c r="JQD1635" s="1"/>
      <c r="JQE1635" s="1"/>
      <c r="JQF1635" s="1"/>
      <c r="JQG1635" s="1"/>
      <c r="JQH1635" s="1"/>
      <c r="JQI1635" s="1"/>
      <c r="JQJ1635" s="1"/>
      <c r="JQK1635" s="1"/>
      <c r="JQL1635" s="1"/>
      <c r="JQM1635" s="1"/>
      <c r="JQN1635" s="1"/>
      <c r="JQO1635" s="1"/>
      <c r="JQP1635" s="1"/>
      <c r="JQQ1635" s="1"/>
      <c r="JQR1635" s="1"/>
      <c r="JQS1635" s="1"/>
      <c r="JQT1635" s="1"/>
      <c r="JQU1635" s="1"/>
      <c r="JQV1635" s="1"/>
      <c r="JQW1635" s="1"/>
      <c r="JQX1635" s="1"/>
      <c r="JQY1635" s="1"/>
      <c r="JQZ1635" s="1"/>
      <c r="JRA1635" s="1"/>
      <c r="JRB1635" s="1"/>
      <c r="JRC1635" s="1"/>
      <c r="JRD1635" s="1"/>
      <c r="JRE1635" s="1"/>
      <c r="JRF1635" s="1"/>
      <c r="JRG1635" s="1"/>
      <c r="JRH1635" s="1"/>
      <c r="JRI1635" s="1"/>
      <c r="JRJ1635" s="1"/>
      <c r="JRK1635" s="1"/>
      <c r="JRL1635" s="1"/>
      <c r="JRM1635" s="1"/>
      <c r="JRN1635" s="1"/>
      <c r="JRO1635" s="1"/>
      <c r="JRP1635" s="1"/>
      <c r="JRQ1635" s="1"/>
      <c r="JRR1635" s="1"/>
      <c r="JRS1635" s="1"/>
      <c r="JRT1635" s="1"/>
      <c r="JRU1635" s="1"/>
      <c r="JRV1635" s="1"/>
      <c r="JRW1635" s="1"/>
      <c r="JRX1635" s="1"/>
      <c r="JRY1635" s="1"/>
      <c r="JRZ1635" s="1"/>
      <c r="JSA1635" s="1"/>
      <c r="JSB1635" s="1"/>
      <c r="JSC1635" s="1"/>
      <c r="JSD1635" s="1"/>
      <c r="JSE1635" s="1"/>
      <c r="JSF1635" s="1"/>
      <c r="JSG1635" s="1"/>
      <c r="JSH1635" s="1"/>
      <c r="JSI1635" s="1"/>
      <c r="JSJ1635" s="1"/>
      <c r="JSK1635" s="1"/>
      <c r="JSL1635" s="1"/>
      <c r="JSM1635" s="1"/>
      <c r="JSN1635" s="1"/>
      <c r="JSO1635" s="1"/>
      <c r="JSP1635" s="1"/>
      <c r="JSQ1635" s="1"/>
      <c r="JSR1635" s="1"/>
      <c r="JSS1635" s="1"/>
      <c r="JST1635" s="1"/>
      <c r="JSU1635" s="1"/>
      <c r="JSV1635" s="1"/>
      <c r="JSW1635" s="1"/>
      <c r="JSX1635" s="1"/>
      <c r="JSY1635" s="1"/>
      <c r="JSZ1635" s="1"/>
      <c r="JTA1635" s="1"/>
      <c r="JTB1635" s="1"/>
      <c r="JTC1635" s="1"/>
      <c r="JTD1635" s="1"/>
      <c r="JTE1635" s="1"/>
      <c r="JTF1635" s="1"/>
      <c r="JTG1635" s="1"/>
      <c r="JTH1635" s="1"/>
      <c r="JTI1635" s="1"/>
      <c r="JTJ1635" s="1"/>
      <c r="JTK1635" s="1"/>
      <c r="JTL1635" s="1"/>
      <c r="JTM1635" s="1"/>
      <c r="JTN1635" s="1"/>
      <c r="JTO1635" s="1"/>
      <c r="JTP1635" s="1"/>
      <c r="JTQ1635" s="1"/>
      <c r="JTR1635" s="1"/>
      <c r="JTS1635" s="1"/>
      <c r="JTT1635" s="1"/>
      <c r="JTU1635" s="1"/>
      <c r="JTV1635" s="1"/>
      <c r="JTW1635" s="1"/>
      <c r="JTX1635" s="1"/>
      <c r="JTY1635" s="1"/>
      <c r="JTZ1635" s="1"/>
      <c r="JUA1635" s="1"/>
      <c r="JUB1635" s="1"/>
      <c r="JUC1635" s="1"/>
      <c r="JUD1635" s="1"/>
      <c r="JUE1635" s="1"/>
      <c r="JUF1635" s="1"/>
      <c r="JUG1635" s="1"/>
      <c r="JUH1635" s="1"/>
      <c r="JUI1635" s="1"/>
      <c r="JUJ1635" s="1"/>
      <c r="JUK1635" s="1"/>
      <c r="JUL1635" s="1"/>
      <c r="JUM1635" s="1"/>
      <c r="JUN1635" s="1"/>
      <c r="JUO1635" s="1"/>
      <c r="JUP1635" s="1"/>
      <c r="JUQ1635" s="1"/>
      <c r="JUR1635" s="1"/>
      <c r="JUS1635" s="1"/>
      <c r="JUT1635" s="1"/>
      <c r="JUU1635" s="1"/>
      <c r="JUV1635" s="1"/>
      <c r="JUW1635" s="1"/>
      <c r="JUX1635" s="1"/>
      <c r="JUY1635" s="1"/>
      <c r="JUZ1635" s="1"/>
      <c r="JVA1635" s="1"/>
      <c r="JVB1635" s="1"/>
      <c r="JVC1635" s="1"/>
      <c r="JVD1635" s="1"/>
      <c r="JVE1635" s="1"/>
      <c r="JVF1635" s="1"/>
      <c r="JVG1635" s="1"/>
      <c r="JVH1635" s="1"/>
      <c r="JVI1635" s="1"/>
      <c r="JVJ1635" s="1"/>
      <c r="JVK1635" s="1"/>
      <c r="JVL1635" s="1"/>
      <c r="JVM1635" s="1"/>
      <c r="JVN1635" s="1"/>
      <c r="JVO1635" s="1"/>
      <c r="JVP1635" s="1"/>
      <c r="JVQ1635" s="1"/>
      <c r="JVR1635" s="1"/>
      <c r="JVS1635" s="1"/>
      <c r="JVT1635" s="1"/>
      <c r="JVU1635" s="1"/>
      <c r="JVV1635" s="1"/>
      <c r="JVW1635" s="1"/>
      <c r="JVX1635" s="1"/>
      <c r="JVY1635" s="1"/>
      <c r="JVZ1635" s="1"/>
      <c r="JWA1635" s="1"/>
      <c r="JWB1635" s="1"/>
      <c r="JWC1635" s="1"/>
      <c r="JWD1635" s="1"/>
      <c r="JWE1635" s="1"/>
      <c r="JWF1635" s="1"/>
      <c r="JWG1635" s="1"/>
      <c r="JWH1635" s="1"/>
      <c r="JWI1635" s="1"/>
      <c r="JWJ1635" s="1"/>
      <c r="JWK1635" s="1"/>
      <c r="JWL1635" s="1"/>
      <c r="JWM1635" s="1"/>
      <c r="JWN1635" s="1"/>
      <c r="JWO1635" s="1"/>
      <c r="JWP1635" s="1"/>
      <c r="JWQ1635" s="1"/>
      <c r="JWR1635" s="1"/>
      <c r="JWS1635" s="1"/>
      <c r="JWT1635" s="1"/>
      <c r="JWU1635" s="1"/>
      <c r="JWV1635" s="1"/>
      <c r="JWW1635" s="1"/>
      <c r="JWX1635" s="1"/>
      <c r="JWY1635" s="1"/>
      <c r="JWZ1635" s="1"/>
      <c r="JXA1635" s="1"/>
      <c r="JXB1635" s="1"/>
      <c r="JXC1635" s="1"/>
      <c r="JXD1635" s="1"/>
      <c r="JXE1635" s="1"/>
      <c r="JXF1635" s="1"/>
      <c r="JXG1635" s="1"/>
      <c r="JXH1635" s="1"/>
      <c r="JXI1635" s="1"/>
      <c r="JXJ1635" s="1"/>
      <c r="JXK1635" s="1"/>
      <c r="JXL1635" s="1"/>
      <c r="JXM1635" s="1"/>
      <c r="JXN1635" s="1"/>
      <c r="JXO1635" s="1"/>
      <c r="JXP1635" s="1"/>
      <c r="JXQ1635" s="1"/>
      <c r="JXR1635" s="1"/>
      <c r="JXS1635" s="1"/>
      <c r="JXT1635" s="1"/>
      <c r="JXU1635" s="1"/>
      <c r="JXV1635" s="1"/>
      <c r="JXW1635" s="1"/>
      <c r="JXX1635" s="1"/>
      <c r="JXY1635" s="1"/>
      <c r="JXZ1635" s="1"/>
      <c r="JYA1635" s="1"/>
      <c r="JYB1635" s="1"/>
      <c r="JYC1635" s="1"/>
      <c r="JYD1635" s="1"/>
      <c r="JYE1635" s="1"/>
      <c r="JYF1635" s="1"/>
      <c r="JYG1635" s="1"/>
      <c r="JYH1635" s="1"/>
      <c r="JYI1635" s="1"/>
      <c r="JYJ1635" s="1"/>
      <c r="JYK1635" s="1"/>
      <c r="JYL1635" s="1"/>
      <c r="JYM1635" s="1"/>
      <c r="JYN1635" s="1"/>
      <c r="JYO1635" s="1"/>
      <c r="JYP1635" s="1"/>
      <c r="JYQ1635" s="1"/>
      <c r="JYR1635" s="1"/>
      <c r="JYS1635" s="1"/>
      <c r="JYT1635" s="1"/>
      <c r="JYU1635" s="1"/>
      <c r="JYV1635" s="1"/>
      <c r="JYW1635" s="1"/>
      <c r="JYX1635" s="1"/>
      <c r="JYY1635" s="1"/>
      <c r="JYZ1635" s="1"/>
      <c r="JZA1635" s="1"/>
      <c r="JZB1635" s="1"/>
      <c r="JZC1635" s="1"/>
      <c r="JZD1635" s="1"/>
      <c r="JZE1635" s="1"/>
      <c r="JZF1635" s="1"/>
      <c r="JZG1635" s="1"/>
      <c r="JZH1635" s="1"/>
      <c r="JZI1635" s="1"/>
      <c r="JZJ1635" s="1"/>
      <c r="JZK1635" s="1"/>
      <c r="JZL1635" s="1"/>
      <c r="JZM1635" s="1"/>
      <c r="JZN1635" s="1"/>
      <c r="JZO1635" s="1"/>
      <c r="JZP1635" s="1"/>
      <c r="JZQ1635" s="1"/>
      <c r="JZR1635" s="1"/>
      <c r="JZS1635" s="1"/>
      <c r="JZT1635" s="1"/>
      <c r="JZU1635" s="1"/>
      <c r="JZV1635" s="1"/>
      <c r="JZW1635" s="1"/>
      <c r="JZX1635" s="1"/>
      <c r="JZY1635" s="1"/>
      <c r="JZZ1635" s="1"/>
      <c r="KAA1635" s="1"/>
      <c r="KAB1635" s="1"/>
      <c r="KAC1635" s="1"/>
      <c r="KAD1635" s="1"/>
      <c r="KAE1635" s="1"/>
      <c r="KAF1635" s="1"/>
      <c r="KAG1635" s="1"/>
      <c r="KAH1635" s="1"/>
      <c r="KAI1635" s="1"/>
      <c r="KAJ1635" s="1"/>
      <c r="KAK1635" s="1"/>
      <c r="KAL1635" s="1"/>
      <c r="KAM1635" s="1"/>
      <c r="KAN1635" s="1"/>
      <c r="KAO1635" s="1"/>
      <c r="KAP1635" s="1"/>
      <c r="KAQ1635" s="1"/>
      <c r="KAR1635" s="1"/>
      <c r="KAS1635" s="1"/>
      <c r="KAT1635" s="1"/>
      <c r="KAU1635" s="1"/>
      <c r="KAV1635" s="1"/>
      <c r="KAW1635" s="1"/>
      <c r="KAX1635" s="1"/>
      <c r="KAY1635" s="1"/>
      <c r="KAZ1635" s="1"/>
      <c r="KBA1635" s="1"/>
      <c r="KBB1635" s="1"/>
      <c r="KBC1635" s="1"/>
      <c r="KBD1635" s="1"/>
      <c r="KBE1635" s="1"/>
      <c r="KBF1635" s="1"/>
      <c r="KBG1635" s="1"/>
      <c r="KBH1635" s="1"/>
      <c r="KBI1635" s="1"/>
      <c r="KBJ1635" s="1"/>
      <c r="KBK1635" s="1"/>
      <c r="KBL1635" s="1"/>
      <c r="KBM1635" s="1"/>
      <c r="KBN1635" s="1"/>
      <c r="KBO1635" s="1"/>
      <c r="KBP1635" s="1"/>
      <c r="KBQ1635" s="1"/>
      <c r="KBR1635" s="1"/>
      <c r="KBS1635" s="1"/>
      <c r="KBT1635" s="1"/>
      <c r="KBU1635" s="1"/>
      <c r="KBV1635" s="1"/>
      <c r="KBW1635" s="1"/>
      <c r="KBX1635" s="1"/>
      <c r="KBY1635" s="1"/>
      <c r="KBZ1635" s="1"/>
      <c r="KCA1635" s="1"/>
      <c r="KCB1635" s="1"/>
      <c r="KCC1635" s="1"/>
      <c r="KCD1635" s="1"/>
      <c r="KCE1635" s="1"/>
      <c r="KCF1635" s="1"/>
      <c r="KCG1635" s="1"/>
      <c r="KCH1635" s="1"/>
      <c r="KCI1635" s="1"/>
      <c r="KCJ1635" s="1"/>
      <c r="KCK1635" s="1"/>
      <c r="KCL1635" s="1"/>
      <c r="KCM1635" s="1"/>
      <c r="KCN1635" s="1"/>
      <c r="KCO1635" s="1"/>
      <c r="KCP1635" s="1"/>
      <c r="KCQ1635" s="1"/>
      <c r="KCR1635" s="1"/>
      <c r="KCS1635" s="1"/>
      <c r="KCT1635" s="1"/>
      <c r="KCU1635" s="1"/>
      <c r="KCV1635" s="1"/>
      <c r="KCW1635" s="1"/>
      <c r="KCX1635" s="1"/>
      <c r="KCY1635" s="1"/>
      <c r="KCZ1635" s="1"/>
      <c r="KDA1635" s="1"/>
      <c r="KDB1635" s="1"/>
      <c r="KDC1635" s="1"/>
      <c r="KDD1635" s="1"/>
      <c r="KDE1635" s="1"/>
      <c r="KDF1635" s="1"/>
      <c r="KDG1635" s="1"/>
      <c r="KDH1635" s="1"/>
      <c r="KDI1635" s="1"/>
      <c r="KDJ1635" s="1"/>
      <c r="KDK1635" s="1"/>
      <c r="KDL1635" s="1"/>
      <c r="KDM1635" s="1"/>
      <c r="KDN1635" s="1"/>
      <c r="KDO1635" s="1"/>
      <c r="KDP1635" s="1"/>
      <c r="KDQ1635" s="1"/>
      <c r="KDR1635" s="1"/>
      <c r="KDS1635" s="1"/>
      <c r="KDT1635" s="1"/>
      <c r="KDU1635" s="1"/>
      <c r="KDV1635" s="1"/>
      <c r="KDW1635" s="1"/>
      <c r="KDX1635" s="1"/>
      <c r="KDY1635" s="1"/>
      <c r="KDZ1635" s="1"/>
      <c r="KEA1635" s="1"/>
      <c r="KEB1635" s="1"/>
      <c r="KEC1635" s="1"/>
      <c r="KED1635" s="1"/>
      <c r="KEE1635" s="1"/>
      <c r="KEF1635" s="1"/>
      <c r="KEG1635" s="1"/>
      <c r="KEH1635" s="1"/>
      <c r="KEI1635" s="1"/>
      <c r="KEJ1635" s="1"/>
      <c r="KEK1635" s="1"/>
      <c r="KEL1635" s="1"/>
      <c r="KEM1635" s="1"/>
      <c r="KEN1635" s="1"/>
      <c r="KEO1635" s="1"/>
      <c r="KEP1635" s="1"/>
      <c r="KEQ1635" s="1"/>
      <c r="KER1635" s="1"/>
      <c r="KES1635" s="1"/>
      <c r="KET1635" s="1"/>
      <c r="KEU1635" s="1"/>
      <c r="KEV1635" s="1"/>
      <c r="KEW1635" s="1"/>
      <c r="KEX1635" s="1"/>
      <c r="KEY1635" s="1"/>
      <c r="KEZ1635" s="1"/>
      <c r="KFA1635" s="1"/>
      <c r="KFB1635" s="1"/>
      <c r="KFC1635" s="1"/>
      <c r="KFD1635" s="1"/>
      <c r="KFE1635" s="1"/>
      <c r="KFF1635" s="1"/>
      <c r="KFG1635" s="1"/>
      <c r="KFH1635" s="1"/>
      <c r="KFI1635" s="1"/>
      <c r="KFJ1635" s="1"/>
      <c r="KFK1635" s="1"/>
      <c r="KFL1635" s="1"/>
      <c r="KFM1635" s="1"/>
      <c r="KFN1635" s="1"/>
      <c r="KFO1635" s="1"/>
      <c r="KFP1635" s="1"/>
      <c r="KFQ1635" s="1"/>
      <c r="KFR1635" s="1"/>
      <c r="KFS1635" s="1"/>
      <c r="KFT1635" s="1"/>
      <c r="KFU1635" s="1"/>
      <c r="KFV1635" s="1"/>
      <c r="KFW1635" s="1"/>
      <c r="KFX1635" s="1"/>
      <c r="KFY1635" s="1"/>
      <c r="KFZ1635" s="1"/>
      <c r="KGA1635" s="1"/>
      <c r="KGB1635" s="1"/>
      <c r="KGC1635" s="1"/>
      <c r="KGD1635" s="1"/>
      <c r="KGE1635" s="1"/>
      <c r="KGF1635" s="1"/>
      <c r="KGG1635" s="1"/>
      <c r="KGH1635" s="1"/>
      <c r="KGI1635" s="1"/>
      <c r="KGJ1635" s="1"/>
      <c r="KGK1635" s="1"/>
      <c r="KGL1635" s="1"/>
      <c r="KGM1635" s="1"/>
      <c r="KGN1635" s="1"/>
      <c r="KGO1635" s="1"/>
      <c r="KGP1635" s="1"/>
      <c r="KGQ1635" s="1"/>
      <c r="KGR1635" s="1"/>
      <c r="KGS1635" s="1"/>
      <c r="KGT1635" s="1"/>
      <c r="KGU1635" s="1"/>
      <c r="KGV1635" s="1"/>
      <c r="KGW1635" s="1"/>
      <c r="KGX1635" s="1"/>
      <c r="KGY1635" s="1"/>
      <c r="KGZ1635" s="1"/>
      <c r="KHA1635" s="1"/>
      <c r="KHB1635" s="1"/>
      <c r="KHC1635" s="1"/>
      <c r="KHD1635" s="1"/>
      <c r="KHE1635" s="1"/>
      <c r="KHF1635" s="1"/>
      <c r="KHG1635" s="1"/>
      <c r="KHH1635" s="1"/>
      <c r="KHI1635" s="1"/>
      <c r="KHJ1635" s="1"/>
      <c r="KHK1635" s="1"/>
      <c r="KHL1635" s="1"/>
      <c r="KHM1635" s="1"/>
      <c r="KHN1635" s="1"/>
      <c r="KHO1635" s="1"/>
      <c r="KHP1635" s="1"/>
      <c r="KHQ1635" s="1"/>
      <c r="KHR1635" s="1"/>
      <c r="KHS1635" s="1"/>
      <c r="KHT1635" s="1"/>
      <c r="KHU1635" s="1"/>
      <c r="KHV1635" s="1"/>
      <c r="KHW1635" s="1"/>
      <c r="KHX1635" s="1"/>
      <c r="KHY1635" s="1"/>
      <c r="KHZ1635" s="1"/>
      <c r="KIA1635" s="1"/>
      <c r="KIB1635" s="1"/>
      <c r="KIC1635" s="1"/>
      <c r="KID1635" s="1"/>
      <c r="KIE1635" s="1"/>
      <c r="KIF1635" s="1"/>
      <c r="KIG1635" s="1"/>
      <c r="KIH1635" s="1"/>
      <c r="KII1635" s="1"/>
      <c r="KIJ1635" s="1"/>
      <c r="KIK1635" s="1"/>
      <c r="KIL1635" s="1"/>
      <c r="KIM1635" s="1"/>
      <c r="KIN1635" s="1"/>
      <c r="KIO1635" s="1"/>
      <c r="KIP1635" s="1"/>
      <c r="KIQ1635" s="1"/>
      <c r="KIR1635" s="1"/>
      <c r="KIS1635" s="1"/>
      <c r="KIT1635" s="1"/>
      <c r="KIU1635" s="1"/>
      <c r="KIV1635" s="1"/>
      <c r="KIW1635" s="1"/>
      <c r="KIX1635" s="1"/>
      <c r="KIY1635" s="1"/>
      <c r="KIZ1635" s="1"/>
      <c r="KJA1635" s="1"/>
      <c r="KJB1635" s="1"/>
      <c r="KJC1635" s="1"/>
      <c r="KJD1635" s="1"/>
      <c r="KJE1635" s="1"/>
      <c r="KJF1635" s="1"/>
      <c r="KJG1635" s="1"/>
      <c r="KJH1635" s="1"/>
      <c r="KJI1635" s="1"/>
      <c r="KJJ1635" s="1"/>
      <c r="KJK1635" s="1"/>
      <c r="KJL1635" s="1"/>
      <c r="KJM1635" s="1"/>
      <c r="KJN1635" s="1"/>
      <c r="KJO1635" s="1"/>
      <c r="KJP1635" s="1"/>
      <c r="KJQ1635" s="1"/>
      <c r="KJR1635" s="1"/>
      <c r="KJS1635" s="1"/>
      <c r="KJT1635" s="1"/>
      <c r="KJU1635" s="1"/>
      <c r="KJV1635" s="1"/>
      <c r="KJW1635" s="1"/>
      <c r="KJX1635" s="1"/>
      <c r="KJY1635" s="1"/>
      <c r="KJZ1635" s="1"/>
      <c r="KKA1635" s="1"/>
      <c r="KKB1635" s="1"/>
      <c r="KKC1635" s="1"/>
      <c r="KKD1635" s="1"/>
      <c r="KKE1635" s="1"/>
      <c r="KKF1635" s="1"/>
      <c r="KKG1635" s="1"/>
      <c r="KKH1635" s="1"/>
      <c r="KKI1635" s="1"/>
      <c r="KKJ1635" s="1"/>
      <c r="KKK1635" s="1"/>
      <c r="KKL1635" s="1"/>
      <c r="KKM1635" s="1"/>
      <c r="KKN1635" s="1"/>
      <c r="KKO1635" s="1"/>
      <c r="KKP1635" s="1"/>
      <c r="KKQ1635" s="1"/>
      <c r="KKR1635" s="1"/>
      <c r="KKS1635" s="1"/>
      <c r="KKT1635" s="1"/>
      <c r="KKU1635" s="1"/>
      <c r="KKV1635" s="1"/>
      <c r="KKW1635" s="1"/>
      <c r="KKX1635" s="1"/>
      <c r="KKY1635" s="1"/>
      <c r="KKZ1635" s="1"/>
      <c r="KLA1635" s="1"/>
      <c r="KLB1635" s="1"/>
      <c r="KLC1635" s="1"/>
      <c r="KLD1635" s="1"/>
      <c r="KLE1635" s="1"/>
      <c r="KLF1635" s="1"/>
      <c r="KLG1635" s="1"/>
      <c r="KLH1635" s="1"/>
      <c r="KLI1635" s="1"/>
      <c r="KLJ1635" s="1"/>
      <c r="KLK1635" s="1"/>
      <c r="KLL1635" s="1"/>
      <c r="KLM1635" s="1"/>
      <c r="KLN1635" s="1"/>
      <c r="KLO1635" s="1"/>
      <c r="KLP1635" s="1"/>
      <c r="KLQ1635" s="1"/>
      <c r="KLR1635" s="1"/>
      <c r="KLS1635" s="1"/>
      <c r="KLT1635" s="1"/>
      <c r="KLU1635" s="1"/>
      <c r="KLV1635" s="1"/>
      <c r="KLW1635" s="1"/>
      <c r="KLX1635" s="1"/>
      <c r="KLY1635" s="1"/>
      <c r="KLZ1635" s="1"/>
      <c r="KMA1635" s="1"/>
      <c r="KMB1635" s="1"/>
      <c r="KMC1635" s="1"/>
      <c r="KMD1635" s="1"/>
      <c r="KME1635" s="1"/>
      <c r="KMF1635" s="1"/>
      <c r="KMG1635" s="1"/>
      <c r="KMH1635" s="1"/>
      <c r="KMI1635" s="1"/>
      <c r="KMJ1635" s="1"/>
      <c r="KMK1635" s="1"/>
      <c r="KML1635" s="1"/>
      <c r="KMM1635" s="1"/>
      <c r="KMN1635" s="1"/>
      <c r="KMO1635" s="1"/>
      <c r="KMP1635" s="1"/>
      <c r="KMQ1635" s="1"/>
      <c r="KMR1635" s="1"/>
      <c r="KMS1635" s="1"/>
      <c r="KMT1635" s="1"/>
      <c r="KMU1635" s="1"/>
      <c r="KMV1635" s="1"/>
      <c r="KMW1635" s="1"/>
      <c r="KMX1635" s="1"/>
      <c r="KMY1635" s="1"/>
      <c r="KMZ1635" s="1"/>
      <c r="KNA1635" s="1"/>
      <c r="KNB1635" s="1"/>
      <c r="KNC1635" s="1"/>
      <c r="KND1635" s="1"/>
      <c r="KNE1635" s="1"/>
      <c r="KNF1635" s="1"/>
      <c r="KNG1635" s="1"/>
      <c r="KNH1635" s="1"/>
      <c r="KNI1635" s="1"/>
      <c r="KNJ1635" s="1"/>
      <c r="KNK1635" s="1"/>
      <c r="KNL1635" s="1"/>
      <c r="KNM1635" s="1"/>
      <c r="KNN1635" s="1"/>
      <c r="KNO1635" s="1"/>
      <c r="KNP1635" s="1"/>
      <c r="KNQ1635" s="1"/>
      <c r="KNR1635" s="1"/>
      <c r="KNS1635" s="1"/>
      <c r="KNT1635" s="1"/>
      <c r="KNU1635" s="1"/>
      <c r="KNV1635" s="1"/>
      <c r="KNW1635" s="1"/>
      <c r="KNX1635" s="1"/>
      <c r="KNY1635" s="1"/>
      <c r="KNZ1635" s="1"/>
      <c r="KOA1635" s="1"/>
      <c r="KOB1635" s="1"/>
      <c r="KOC1635" s="1"/>
      <c r="KOD1635" s="1"/>
      <c r="KOE1635" s="1"/>
      <c r="KOF1635" s="1"/>
      <c r="KOG1635" s="1"/>
      <c r="KOH1635" s="1"/>
      <c r="KOI1635" s="1"/>
      <c r="KOJ1635" s="1"/>
      <c r="KOK1635" s="1"/>
      <c r="KOL1635" s="1"/>
      <c r="KOM1635" s="1"/>
      <c r="KON1635" s="1"/>
      <c r="KOO1635" s="1"/>
      <c r="KOP1635" s="1"/>
      <c r="KOQ1635" s="1"/>
      <c r="KOR1635" s="1"/>
      <c r="KOS1635" s="1"/>
      <c r="KOT1635" s="1"/>
      <c r="KOU1635" s="1"/>
      <c r="KOV1635" s="1"/>
      <c r="KOW1635" s="1"/>
      <c r="KOX1635" s="1"/>
      <c r="KOY1635" s="1"/>
      <c r="KOZ1635" s="1"/>
      <c r="KPA1635" s="1"/>
      <c r="KPB1635" s="1"/>
      <c r="KPC1635" s="1"/>
      <c r="KPD1635" s="1"/>
      <c r="KPE1635" s="1"/>
      <c r="KPF1635" s="1"/>
      <c r="KPG1635" s="1"/>
      <c r="KPH1635" s="1"/>
      <c r="KPI1635" s="1"/>
      <c r="KPJ1635" s="1"/>
      <c r="KPK1635" s="1"/>
      <c r="KPL1635" s="1"/>
      <c r="KPM1635" s="1"/>
      <c r="KPN1635" s="1"/>
      <c r="KPO1635" s="1"/>
      <c r="KPP1635" s="1"/>
      <c r="KPQ1635" s="1"/>
      <c r="KPR1635" s="1"/>
      <c r="KPS1635" s="1"/>
      <c r="KPT1635" s="1"/>
      <c r="KPU1635" s="1"/>
      <c r="KPV1635" s="1"/>
      <c r="KPW1635" s="1"/>
      <c r="KPX1635" s="1"/>
      <c r="KPY1635" s="1"/>
      <c r="KPZ1635" s="1"/>
      <c r="KQA1635" s="1"/>
      <c r="KQB1635" s="1"/>
      <c r="KQC1635" s="1"/>
      <c r="KQD1635" s="1"/>
      <c r="KQE1635" s="1"/>
      <c r="KQF1635" s="1"/>
      <c r="KQG1635" s="1"/>
      <c r="KQH1635" s="1"/>
      <c r="KQI1635" s="1"/>
      <c r="KQJ1635" s="1"/>
      <c r="KQK1635" s="1"/>
      <c r="KQL1635" s="1"/>
      <c r="KQM1635" s="1"/>
      <c r="KQN1635" s="1"/>
      <c r="KQO1635" s="1"/>
      <c r="KQP1635" s="1"/>
      <c r="KQQ1635" s="1"/>
      <c r="KQR1635" s="1"/>
      <c r="KQS1635" s="1"/>
      <c r="KQT1635" s="1"/>
      <c r="KQU1635" s="1"/>
      <c r="KQV1635" s="1"/>
      <c r="KQW1635" s="1"/>
      <c r="KQX1635" s="1"/>
      <c r="KQY1635" s="1"/>
      <c r="KQZ1635" s="1"/>
      <c r="KRA1635" s="1"/>
      <c r="KRB1635" s="1"/>
      <c r="KRC1635" s="1"/>
      <c r="KRD1635" s="1"/>
      <c r="KRE1635" s="1"/>
      <c r="KRF1635" s="1"/>
      <c r="KRG1635" s="1"/>
      <c r="KRH1635" s="1"/>
      <c r="KRI1635" s="1"/>
      <c r="KRJ1635" s="1"/>
      <c r="KRK1635" s="1"/>
      <c r="KRL1635" s="1"/>
      <c r="KRM1635" s="1"/>
      <c r="KRN1635" s="1"/>
      <c r="KRO1635" s="1"/>
      <c r="KRP1635" s="1"/>
      <c r="KRQ1635" s="1"/>
      <c r="KRR1635" s="1"/>
      <c r="KRS1635" s="1"/>
      <c r="KRT1635" s="1"/>
      <c r="KRU1635" s="1"/>
      <c r="KRV1635" s="1"/>
      <c r="KRW1635" s="1"/>
      <c r="KRX1635" s="1"/>
      <c r="KRY1635" s="1"/>
      <c r="KRZ1635" s="1"/>
      <c r="KSA1635" s="1"/>
      <c r="KSB1635" s="1"/>
      <c r="KSC1635" s="1"/>
      <c r="KSD1635" s="1"/>
      <c r="KSE1635" s="1"/>
      <c r="KSF1635" s="1"/>
      <c r="KSG1635" s="1"/>
      <c r="KSH1635" s="1"/>
      <c r="KSI1635" s="1"/>
      <c r="KSJ1635" s="1"/>
      <c r="KSK1635" s="1"/>
      <c r="KSL1635" s="1"/>
      <c r="KSM1635" s="1"/>
      <c r="KSN1635" s="1"/>
      <c r="KSO1635" s="1"/>
      <c r="KSP1635" s="1"/>
      <c r="KSQ1635" s="1"/>
      <c r="KSR1635" s="1"/>
      <c r="KSS1635" s="1"/>
      <c r="KST1635" s="1"/>
      <c r="KSU1635" s="1"/>
      <c r="KSV1635" s="1"/>
      <c r="KSW1635" s="1"/>
      <c r="KSX1635" s="1"/>
      <c r="KSY1635" s="1"/>
      <c r="KSZ1635" s="1"/>
      <c r="KTA1635" s="1"/>
      <c r="KTB1635" s="1"/>
      <c r="KTC1635" s="1"/>
      <c r="KTD1635" s="1"/>
      <c r="KTE1635" s="1"/>
      <c r="KTF1635" s="1"/>
      <c r="KTG1635" s="1"/>
      <c r="KTH1635" s="1"/>
      <c r="KTI1635" s="1"/>
      <c r="KTJ1635" s="1"/>
      <c r="KTK1635" s="1"/>
      <c r="KTL1635" s="1"/>
      <c r="KTM1635" s="1"/>
      <c r="KTN1635" s="1"/>
      <c r="KTO1635" s="1"/>
      <c r="KTP1635" s="1"/>
      <c r="KTQ1635" s="1"/>
      <c r="KTR1635" s="1"/>
      <c r="KTS1635" s="1"/>
      <c r="KTT1635" s="1"/>
      <c r="KTU1635" s="1"/>
      <c r="KTV1635" s="1"/>
      <c r="KTW1635" s="1"/>
      <c r="KTX1635" s="1"/>
      <c r="KTY1635" s="1"/>
      <c r="KTZ1635" s="1"/>
      <c r="KUA1635" s="1"/>
      <c r="KUB1635" s="1"/>
      <c r="KUC1635" s="1"/>
      <c r="KUD1635" s="1"/>
      <c r="KUE1635" s="1"/>
      <c r="KUF1635" s="1"/>
      <c r="KUG1635" s="1"/>
      <c r="KUH1635" s="1"/>
      <c r="KUI1635" s="1"/>
      <c r="KUJ1635" s="1"/>
      <c r="KUK1635" s="1"/>
      <c r="KUL1635" s="1"/>
      <c r="KUM1635" s="1"/>
      <c r="KUN1635" s="1"/>
      <c r="KUO1635" s="1"/>
      <c r="KUP1635" s="1"/>
      <c r="KUQ1635" s="1"/>
      <c r="KUR1635" s="1"/>
      <c r="KUS1635" s="1"/>
      <c r="KUT1635" s="1"/>
      <c r="KUU1635" s="1"/>
      <c r="KUV1635" s="1"/>
      <c r="KUW1635" s="1"/>
      <c r="KUX1635" s="1"/>
      <c r="KUY1635" s="1"/>
      <c r="KUZ1635" s="1"/>
      <c r="KVA1635" s="1"/>
      <c r="KVB1635" s="1"/>
      <c r="KVC1635" s="1"/>
      <c r="KVD1635" s="1"/>
      <c r="KVE1635" s="1"/>
      <c r="KVF1635" s="1"/>
      <c r="KVG1635" s="1"/>
      <c r="KVH1635" s="1"/>
      <c r="KVI1635" s="1"/>
      <c r="KVJ1635" s="1"/>
      <c r="KVK1635" s="1"/>
      <c r="KVL1635" s="1"/>
      <c r="KVM1635" s="1"/>
      <c r="KVN1635" s="1"/>
      <c r="KVO1635" s="1"/>
      <c r="KVP1635" s="1"/>
      <c r="KVQ1635" s="1"/>
      <c r="KVR1635" s="1"/>
      <c r="KVS1635" s="1"/>
      <c r="KVT1635" s="1"/>
      <c r="KVU1635" s="1"/>
      <c r="KVV1635" s="1"/>
      <c r="KVW1635" s="1"/>
      <c r="KVX1635" s="1"/>
      <c r="KVY1635" s="1"/>
      <c r="KVZ1635" s="1"/>
      <c r="KWA1635" s="1"/>
      <c r="KWB1635" s="1"/>
      <c r="KWC1635" s="1"/>
      <c r="KWD1635" s="1"/>
      <c r="KWE1635" s="1"/>
      <c r="KWF1635" s="1"/>
      <c r="KWG1635" s="1"/>
      <c r="KWH1635" s="1"/>
      <c r="KWI1635" s="1"/>
      <c r="KWJ1635" s="1"/>
      <c r="KWK1635" s="1"/>
      <c r="KWL1635" s="1"/>
      <c r="KWM1635" s="1"/>
      <c r="KWN1635" s="1"/>
      <c r="KWO1635" s="1"/>
      <c r="KWP1635" s="1"/>
      <c r="KWQ1635" s="1"/>
      <c r="KWR1635" s="1"/>
      <c r="KWS1635" s="1"/>
      <c r="KWT1635" s="1"/>
      <c r="KWU1635" s="1"/>
      <c r="KWV1635" s="1"/>
      <c r="KWW1635" s="1"/>
      <c r="KWX1635" s="1"/>
      <c r="KWY1635" s="1"/>
      <c r="KWZ1635" s="1"/>
      <c r="KXA1635" s="1"/>
      <c r="KXB1635" s="1"/>
      <c r="KXC1635" s="1"/>
      <c r="KXD1635" s="1"/>
      <c r="KXE1635" s="1"/>
      <c r="KXF1635" s="1"/>
      <c r="KXG1635" s="1"/>
      <c r="KXH1635" s="1"/>
      <c r="KXI1635" s="1"/>
      <c r="KXJ1635" s="1"/>
      <c r="KXK1635" s="1"/>
      <c r="KXL1635" s="1"/>
      <c r="KXM1635" s="1"/>
      <c r="KXN1635" s="1"/>
      <c r="KXO1635" s="1"/>
      <c r="KXP1635" s="1"/>
      <c r="KXQ1635" s="1"/>
      <c r="KXR1635" s="1"/>
      <c r="KXS1635" s="1"/>
      <c r="KXT1635" s="1"/>
      <c r="KXU1635" s="1"/>
      <c r="KXV1635" s="1"/>
      <c r="KXW1635" s="1"/>
      <c r="KXX1635" s="1"/>
      <c r="KXY1635" s="1"/>
      <c r="KXZ1635" s="1"/>
      <c r="KYA1635" s="1"/>
      <c r="KYB1635" s="1"/>
      <c r="KYC1635" s="1"/>
      <c r="KYD1635" s="1"/>
      <c r="KYE1635" s="1"/>
      <c r="KYF1635" s="1"/>
      <c r="KYG1635" s="1"/>
      <c r="KYH1635" s="1"/>
      <c r="KYI1635" s="1"/>
      <c r="KYJ1635" s="1"/>
      <c r="KYK1635" s="1"/>
      <c r="KYL1635" s="1"/>
      <c r="KYM1635" s="1"/>
      <c r="KYN1635" s="1"/>
      <c r="KYO1635" s="1"/>
      <c r="KYP1635" s="1"/>
      <c r="KYQ1635" s="1"/>
      <c r="KYR1635" s="1"/>
      <c r="KYS1635" s="1"/>
      <c r="KYT1635" s="1"/>
      <c r="KYU1635" s="1"/>
      <c r="KYV1635" s="1"/>
      <c r="KYW1635" s="1"/>
      <c r="KYX1635" s="1"/>
      <c r="KYY1635" s="1"/>
      <c r="KYZ1635" s="1"/>
      <c r="KZA1635" s="1"/>
      <c r="KZB1635" s="1"/>
      <c r="KZC1635" s="1"/>
      <c r="KZD1635" s="1"/>
      <c r="KZE1635" s="1"/>
      <c r="KZF1635" s="1"/>
      <c r="KZG1635" s="1"/>
      <c r="KZH1635" s="1"/>
      <c r="KZI1635" s="1"/>
      <c r="KZJ1635" s="1"/>
      <c r="KZK1635" s="1"/>
      <c r="KZL1635" s="1"/>
      <c r="KZM1635" s="1"/>
      <c r="KZN1635" s="1"/>
      <c r="KZO1635" s="1"/>
      <c r="KZP1635" s="1"/>
      <c r="KZQ1635" s="1"/>
      <c r="KZR1635" s="1"/>
      <c r="KZS1635" s="1"/>
      <c r="KZT1635" s="1"/>
      <c r="KZU1635" s="1"/>
      <c r="KZV1635" s="1"/>
      <c r="KZW1635" s="1"/>
      <c r="KZX1635" s="1"/>
      <c r="KZY1635" s="1"/>
      <c r="KZZ1635" s="1"/>
      <c r="LAA1635" s="1"/>
      <c r="LAB1635" s="1"/>
      <c r="LAC1635" s="1"/>
      <c r="LAD1635" s="1"/>
      <c r="LAE1635" s="1"/>
      <c r="LAF1635" s="1"/>
      <c r="LAG1635" s="1"/>
      <c r="LAH1635" s="1"/>
      <c r="LAI1635" s="1"/>
      <c r="LAJ1635" s="1"/>
      <c r="LAK1635" s="1"/>
      <c r="LAL1635" s="1"/>
      <c r="LAM1635" s="1"/>
      <c r="LAN1635" s="1"/>
      <c r="LAO1635" s="1"/>
      <c r="LAP1635" s="1"/>
      <c r="LAQ1635" s="1"/>
      <c r="LAR1635" s="1"/>
      <c r="LAS1635" s="1"/>
      <c r="LAT1635" s="1"/>
      <c r="LAU1635" s="1"/>
      <c r="LAV1635" s="1"/>
      <c r="LAW1635" s="1"/>
      <c r="LAX1635" s="1"/>
      <c r="LAY1635" s="1"/>
      <c r="LAZ1635" s="1"/>
      <c r="LBA1635" s="1"/>
      <c r="LBB1635" s="1"/>
      <c r="LBC1635" s="1"/>
      <c r="LBD1635" s="1"/>
      <c r="LBE1635" s="1"/>
      <c r="LBF1635" s="1"/>
      <c r="LBG1635" s="1"/>
      <c r="LBH1635" s="1"/>
      <c r="LBI1635" s="1"/>
      <c r="LBJ1635" s="1"/>
      <c r="LBK1635" s="1"/>
      <c r="LBL1635" s="1"/>
      <c r="LBM1635" s="1"/>
      <c r="LBN1635" s="1"/>
      <c r="LBO1635" s="1"/>
      <c r="LBP1635" s="1"/>
      <c r="LBQ1635" s="1"/>
      <c r="LBR1635" s="1"/>
      <c r="LBS1635" s="1"/>
      <c r="LBT1635" s="1"/>
      <c r="LBU1635" s="1"/>
      <c r="LBV1635" s="1"/>
      <c r="LBW1635" s="1"/>
      <c r="LBX1635" s="1"/>
      <c r="LBY1635" s="1"/>
      <c r="LBZ1635" s="1"/>
      <c r="LCA1635" s="1"/>
      <c r="LCB1635" s="1"/>
      <c r="LCC1635" s="1"/>
      <c r="LCD1635" s="1"/>
      <c r="LCE1635" s="1"/>
      <c r="LCF1635" s="1"/>
      <c r="LCG1635" s="1"/>
      <c r="LCH1635" s="1"/>
      <c r="LCI1635" s="1"/>
      <c r="LCJ1635" s="1"/>
      <c r="LCK1635" s="1"/>
      <c r="LCL1635" s="1"/>
      <c r="LCM1635" s="1"/>
      <c r="LCN1635" s="1"/>
      <c r="LCO1635" s="1"/>
      <c r="LCP1635" s="1"/>
      <c r="LCQ1635" s="1"/>
      <c r="LCR1635" s="1"/>
      <c r="LCS1635" s="1"/>
      <c r="LCT1635" s="1"/>
      <c r="LCU1635" s="1"/>
      <c r="LCV1635" s="1"/>
      <c r="LCW1635" s="1"/>
      <c r="LCX1635" s="1"/>
      <c r="LCY1635" s="1"/>
      <c r="LCZ1635" s="1"/>
      <c r="LDA1635" s="1"/>
      <c r="LDB1635" s="1"/>
      <c r="LDC1635" s="1"/>
      <c r="LDD1635" s="1"/>
      <c r="LDE1635" s="1"/>
      <c r="LDF1635" s="1"/>
      <c r="LDG1635" s="1"/>
      <c r="LDH1635" s="1"/>
      <c r="LDI1635" s="1"/>
      <c r="LDJ1635" s="1"/>
      <c r="LDK1635" s="1"/>
      <c r="LDL1635" s="1"/>
      <c r="LDM1635" s="1"/>
      <c r="LDN1635" s="1"/>
      <c r="LDO1635" s="1"/>
      <c r="LDP1635" s="1"/>
      <c r="LDQ1635" s="1"/>
      <c r="LDR1635" s="1"/>
      <c r="LDS1635" s="1"/>
      <c r="LDT1635" s="1"/>
      <c r="LDU1635" s="1"/>
      <c r="LDV1635" s="1"/>
      <c r="LDW1635" s="1"/>
      <c r="LDX1635" s="1"/>
      <c r="LDY1635" s="1"/>
      <c r="LDZ1635" s="1"/>
      <c r="LEA1635" s="1"/>
      <c r="LEB1635" s="1"/>
      <c r="LEC1635" s="1"/>
      <c r="LED1635" s="1"/>
      <c r="LEE1635" s="1"/>
      <c r="LEF1635" s="1"/>
      <c r="LEG1635" s="1"/>
      <c r="LEH1635" s="1"/>
      <c r="LEI1635" s="1"/>
      <c r="LEJ1635" s="1"/>
      <c r="LEK1635" s="1"/>
      <c r="LEL1635" s="1"/>
      <c r="LEM1635" s="1"/>
      <c r="LEN1635" s="1"/>
      <c r="LEO1635" s="1"/>
      <c r="LEP1635" s="1"/>
      <c r="LEQ1635" s="1"/>
      <c r="LER1635" s="1"/>
      <c r="LES1635" s="1"/>
      <c r="LET1635" s="1"/>
      <c r="LEU1635" s="1"/>
      <c r="LEV1635" s="1"/>
      <c r="LEW1635" s="1"/>
      <c r="LEX1635" s="1"/>
      <c r="LEY1635" s="1"/>
      <c r="LEZ1635" s="1"/>
      <c r="LFA1635" s="1"/>
      <c r="LFB1635" s="1"/>
      <c r="LFC1635" s="1"/>
      <c r="LFD1635" s="1"/>
      <c r="LFE1635" s="1"/>
      <c r="LFF1635" s="1"/>
      <c r="LFG1635" s="1"/>
      <c r="LFH1635" s="1"/>
      <c r="LFI1635" s="1"/>
      <c r="LFJ1635" s="1"/>
      <c r="LFK1635" s="1"/>
      <c r="LFL1635" s="1"/>
      <c r="LFM1635" s="1"/>
      <c r="LFN1635" s="1"/>
      <c r="LFO1635" s="1"/>
      <c r="LFP1635" s="1"/>
      <c r="LFQ1635" s="1"/>
      <c r="LFR1635" s="1"/>
      <c r="LFS1635" s="1"/>
      <c r="LFT1635" s="1"/>
      <c r="LFU1635" s="1"/>
      <c r="LFV1635" s="1"/>
      <c r="LFW1635" s="1"/>
      <c r="LFX1635" s="1"/>
      <c r="LFY1635" s="1"/>
      <c r="LFZ1635" s="1"/>
      <c r="LGA1635" s="1"/>
      <c r="LGB1635" s="1"/>
      <c r="LGC1635" s="1"/>
      <c r="LGD1635" s="1"/>
      <c r="LGE1635" s="1"/>
      <c r="LGF1635" s="1"/>
      <c r="LGG1635" s="1"/>
      <c r="LGH1635" s="1"/>
      <c r="LGI1635" s="1"/>
      <c r="LGJ1635" s="1"/>
      <c r="LGK1635" s="1"/>
      <c r="LGL1635" s="1"/>
      <c r="LGM1635" s="1"/>
      <c r="LGN1635" s="1"/>
      <c r="LGO1635" s="1"/>
      <c r="LGP1635" s="1"/>
      <c r="LGQ1635" s="1"/>
      <c r="LGR1635" s="1"/>
      <c r="LGS1635" s="1"/>
      <c r="LGT1635" s="1"/>
      <c r="LGU1635" s="1"/>
      <c r="LGV1635" s="1"/>
      <c r="LGW1635" s="1"/>
      <c r="LGX1635" s="1"/>
      <c r="LGY1635" s="1"/>
      <c r="LGZ1635" s="1"/>
      <c r="LHA1635" s="1"/>
      <c r="LHB1635" s="1"/>
      <c r="LHC1635" s="1"/>
      <c r="LHD1635" s="1"/>
      <c r="LHE1635" s="1"/>
      <c r="LHF1635" s="1"/>
      <c r="LHG1635" s="1"/>
      <c r="LHH1635" s="1"/>
      <c r="LHI1635" s="1"/>
      <c r="LHJ1635" s="1"/>
      <c r="LHK1635" s="1"/>
      <c r="LHL1635" s="1"/>
      <c r="LHM1635" s="1"/>
      <c r="LHN1635" s="1"/>
      <c r="LHO1635" s="1"/>
      <c r="LHP1635" s="1"/>
      <c r="LHQ1635" s="1"/>
      <c r="LHR1635" s="1"/>
      <c r="LHS1635" s="1"/>
      <c r="LHT1635" s="1"/>
      <c r="LHU1635" s="1"/>
      <c r="LHV1635" s="1"/>
      <c r="LHW1635" s="1"/>
      <c r="LHX1635" s="1"/>
      <c r="LHY1635" s="1"/>
      <c r="LHZ1635" s="1"/>
      <c r="LIA1635" s="1"/>
      <c r="LIB1635" s="1"/>
      <c r="LIC1635" s="1"/>
      <c r="LID1635" s="1"/>
      <c r="LIE1635" s="1"/>
      <c r="LIF1635" s="1"/>
      <c r="LIG1635" s="1"/>
      <c r="LIH1635" s="1"/>
      <c r="LII1635" s="1"/>
      <c r="LIJ1635" s="1"/>
      <c r="LIK1635" s="1"/>
      <c r="LIL1635" s="1"/>
      <c r="LIM1635" s="1"/>
      <c r="LIN1635" s="1"/>
      <c r="LIO1635" s="1"/>
      <c r="LIP1635" s="1"/>
      <c r="LIQ1635" s="1"/>
      <c r="LIR1635" s="1"/>
      <c r="LIS1635" s="1"/>
      <c r="LIT1635" s="1"/>
      <c r="LIU1635" s="1"/>
      <c r="LIV1635" s="1"/>
      <c r="LIW1635" s="1"/>
      <c r="LIX1635" s="1"/>
      <c r="LIY1635" s="1"/>
      <c r="LIZ1635" s="1"/>
      <c r="LJA1635" s="1"/>
      <c r="LJB1635" s="1"/>
      <c r="LJC1635" s="1"/>
      <c r="LJD1635" s="1"/>
      <c r="LJE1635" s="1"/>
      <c r="LJF1635" s="1"/>
      <c r="LJG1635" s="1"/>
      <c r="LJH1635" s="1"/>
      <c r="LJI1635" s="1"/>
      <c r="LJJ1635" s="1"/>
      <c r="LJK1635" s="1"/>
      <c r="LJL1635" s="1"/>
      <c r="LJM1635" s="1"/>
      <c r="LJN1635" s="1"/>
      <c r="LJO1635" s="1"/>
      <c r="LJP1635" s="1"/>
      <c r="LJQ1635" s="1"/>
      <c r="LJR1635" s="1"/>
      <c r="LJS1635" s="1"/>
      <c r="LJT1635" s="1"/>
      <c r="LJU1635" s="1"/>
      <c r="LJV1635" s="1"/>
      <c r="LJW1635" s="1"/>
      <c r="LJX1635" s="1"/>
      <c r="LJY1635" s="1"/>
      <c r="LJZ1635" s="1"/>
      <c r="LKA1635" s="1"/>
      <c r="LKB1635" s="1"/>
      <c r="LKC1635" s="1"/>
      <c r="LKD1635" s="1"/>
      <c r="LKE1635" s="1"/>
      <c r="LKF1635" s="1"/>
      <c r="LKG1635" s="1"/>
      <c r="LKH1635" s="1"/>
      <c r="LKI1635" s="1"/>
      <c r="LKJ1635" s="1"/>
      <c r="LKK1635" s="1"/>
      <c r="LKL1635" s="1"/>
      <c r="LKM1635" s="1"/>
      <c r="LKN1635" s="1"/>
      <c r="LKO1635" s="1"/>
      <c r="LKP1635" s="1"/>
      <c r="LKQ1635" s="1"/>
      <c r="LKR1635" s="1"/>
      <c r="LKS1635" s="1"/>
      <c r="LKT1635" s="1"/>
      <c r="LKU1635" s="1"/>
      <c r="LKV1635" s="1"/>
      <c r="LKW1635" s="1"/>
      <c r="LKX1635" s="1"/>
      <c r="LKY1635" s="1"/>
      <c r="LKZ1635" s="1"/>
      <c r="LLA1635" s="1"/>
      <c r="LLB1635" s="1"/>
      <c r="LLC1635" s="1"/>
      <c r="LLD1635" s="1"/>
      <c r="LLE1635" s="1"/>
      <c r="LLF1635" s="1"/>
      <c r="LLG1635" s="1"/>
      <c r="LLH1635" s="1"/>
      <c r="LLI1635" s="1"/>
      <c r="LLJ1635" s="1"/>
      <c r="LLK1635" s="1"/>
      <c r="LLL1635" s="1"/>
      <c r="LLM1635" s="1"/>
      <c r="LLN1635" s="1"/>
      <c r="LLO1635" s="1"/>
      <c r="LLP1635" s="1"/>
      <c r="LLQ1635" s="1"/>
      <c r="LLR1635" s="1"/>
      <c r="LLS1635" s="1"/>
      <c r="LLT1635" s="1"/>
      <c r="LLU1635" s="1"/>
      <c r="LLV1635" s="1"/>
      <c r="LLW1635" s="1"/>
      <c r="LLX1635" s="1"/>
      <c r="LLY1635" s="1"/>
      <c r="LLZ1635" s="1"/>
      <c r="LMA1635" s="1"/>
      <c r="LMB1635" s="1"/>
      <c r="LMC1635" s="1"/>
      <c r="LMD1635" s="1"/>
      <c r="LME1635" s="1"/>
      <c r="LMF1635" s="1"/>
      <c r="LMG1635" s="1"/>
      <c r="LMH1635" s="1"/>
      <c r="LMI1635" s="1"/>
      <c r="LMJ1635" s="1"/>
      <c r="LMK1635" s="1"/>
      <c r="LML1635" s="1"/>
      <c r="LMM1635" s="1"/>
      <c r="LMN1635" s="1"/>
      <c r="LMO1635" s="1"/>
      <c r="LMP1635" s="1"/>
      <c r="LMQ1635" s="1"/>
      <c r="LMR1635" s="1"/>
      <c r="LMS1635" s="1"/>
      <c r="LMT1635" s="1"/>
      <c r="LMU1635" s="1"/>
      <c r="LMV1635" s="1"/>
      <c r="LMW1635" s="1"/>
      <c r="LMX1635" s="1"/>
      <c r="LMY1635" s="1"/>
      <c r="LMZ1635" s="1"/>
      <c r="LNA1635" s="1"/>
      <c r="LNB1635" s="1"/>
      <c r="LNC1635" s="1"/>
      <c r="LND1635" s="1"/>
      <c r="LNE1635" s="1"/>
      <c r="LNF1635" s="1"/>
      <c r="LNG1635" s="1"/>
      <c r="LNH1635" s="1"/>
      <c r="LNI1635" s="1"/>
      <c r="LNJ1635" s="1"/>
      <c r="LNK1635" s="1"/>
      <c r="LNL1635" s="1"/>
      <c r="LNM1635" s="1"/>
      <c r="LNN1635" s="1"/>
      <c r="LNO1635" s="1"/>
      <c r="LNP1635" s="1"/>
      <c r="LNQ1635" s="1"/>
      <c r="LNR1635" s="1"/>
      <c r="LNS1635" s="1"/>
      <c r="LNT1635" s="1"/>
      <c r="LNU1635" s="1"/>
      <c r="LNV1635" s="1"/>
      <c r="LNW1635" s="1"/>
      <c r="LNX1635" s="1"/>
      <c r="LNY1635" s="1"/>
      <c r="LNZ1635" s="1"/>
      <c r="LOA1635" s="1"/>
      <c r="LOB1635" s="1"/>
      <c r="LOC1635" s="1"/>
      <c r="LOD1635" s="1"/>
      <c r="LOE1635" s="1"/>
      <c r="LOF1635" s="1"/>
      <c r="LOG1635" s="1"/>
      <c r="LOH1635" s="1"/>
      <c r="LOI1635" s="1"/>
      <c r="LOJ1635" s="1"/>
      <c r="LOK1635" s="1"/>
      <c r="LOL1635" s="1"/>
      <c r="LOM1635" s="1"/>
      <c r="LON1635" s="1"/>
      <c r="LOO1635" s="1"/>
      <c r="LOP1635" s="1"/>
      <c r="LOQ1635" s="1"/>
      <c r="LOR1635" s="1"/>
      <c r="LOS1635" s="1"/>
      <c r="LOT1635" s="1"/>
      <c r="LOU1635" s="1"/>
      <c r="LOV1635" s="1"/>
      <c r="LOW1635" s="1"/>
      <c r="LOX1635" s="1"/>
      <c r="LOY1635" s="1"/>
      <c r="LOZ1635" s="1"/>
      <c r="LPA1635" s="1"/>
      <c r="LPB1635" s="1"/>
      <c r="LPC1635" s="1"/>
      <c r="LPD1635" s="1"/>
      <c r="LPE1635" s="1"/>
      <c r="LPF1635" s="1"/>
      <c r="LPG1635" s="1"/>
      <c r="LPH1635" s="1"/>
      <c r="LPI1635" s="1"/>
      <c r="LPJ1635" s="1"/>
      <c r="LPK1635" s="1"/>
      <c r="LPL1635" s="1"/>
      <c r="LPM1635" s="1"/>
      <c r="LPN1635" s="1"/>
      <c r="LPO1635" s="1"/>
      <c r="LPP1635" s="1"/>
      <c r="LPQ1635" s="1"/>
      <c r="LPR1635" s="1"/>
      <c r="LPS1635" s="1"/>
      <c r="LPT1635" s="1"/>
      <c r="LPU1635" s="1"/>
      <c r="LPV1635" s="1"/>
      <c r="LPW1635" s="1"/>
      <c r="LPX1635" s="1"/>
      <c r="LPY1635" s="1"/>
      <c r="LPZ1635" s="1"/>
      <c r="LQA1635" s="1"/>
      <c r="LQB1635" s="1"/>
      <c r="LQC1635" s="1"/>
      <c r="LQD1635" s="1"/>
      <c r="LQE1635" s="1"/>
      <c r="LQF1635" s="1"/>
      <c r="LQG1635" s="1"/>
      <c r="LQH1635" s="1"/>
      <c r="LQI1635" s="1"/>
      <c r="LQJ1635" s="1"/>
      <c r="LQK1635" s="1"/>
      <c r="LQL1635" s="1"/>
      <c r="LQM1635" s="1"/>
      <c r="LQN1635" s="1"/>
      <c r="LQO1635" s="1"/>
      <c r="LQP1635" s="1"/>
      <c r="LQQ1635" s="1"/>
      <c r="LQR1635" s="1"/>
      <c r="LQS1635" s="1"/>
      <c r="LQT1635" s="1"/>
      <c r="LQU1635" s="1"/>
      <c r="LQV1635" s="1"/>
      <c r="LQW1635" s="1"/>
      <c r="LQX1635" s="1"/>
      <c r="LQY1635" s="1"/>
      <c r="LQZ1635" s="1"/>
      <c r="LRA1635" s="1"/>
      <c r="LRB1635" s="1"/>
      <c r="LRC1635" s="1"/>
      <c r="LRD1635" s="1"/>
      <c r="LRE1635" s="1"/>
      <c r="LRF1635" s="1"/>
      <c r="LRG1635" s="1"/>
      <c r="LRH1635" s="1"/>
      <c r="LRI1635" s="1"/>
      <c r="LRJ1635" s="1"/>
      <c r="LRK1635" s="1"/>
      <c r="LRL1635" s="1"/>
      <c r="LRM1635" s="1"/>
      <c r="LRN1635" s="1"/>
      <c r="LRO1635" s="1"/>
      <c r="LRP1635" s="1"/>
      <c r="LRQ1635" s="1"/>
      <c r="LRR1635" s="1"/>
      <c r="LRS1635" s="1"/>
      <c r="LRT1635" s="1"/>
      <c r="LRU1635" s="1"/>
      <c r="LRV1635" s="1"/>
      <c r="LRW1635" s="1"/>
      <c r="LRX1635" s="1"/>
      <c r="LRY1635" s="1"/>
      <c r="LRZ1635" s="1"/>
      <c r="LSA1635" s="1"/>
      <c r="LSB1635" s="1"/>
      <c r="LSC1635" s="1"/>
      <c r="LSD1635" s="1"/>
      <c r="LSE1635" s="1"/>
      <c r="LSF1635" s="1"/>
      <c r="LSG1635" s="1"/>
      <c r="LSH1635" s="1"/>
      <c r="LSI1635" s="1"/>
      <c r="LSJ1635" s="1"/>
      <c r="LSK1635" s="1"/>
      <c r="LSL1635" s="1"/>
      <c r="LSM1635" s="1"/>
      <c r="LSN1635" s="1"/>
      <c r="LSO1635" s="1"/>
      <c r="LSP1635" s="1"/>
      <c r="LSQ1635" s="1"/>
      <c r="LSR1635" s="1"/>
      <c r="LSS1635" s="1"/>
      <c r="LST1635" s="1"/>
      <c r="LSU1635" s="1"/>
      <c r="LSV1635" s="1"/>
      <c r="LSW1635" s="1"/>
      <c r="LSX1635" s="1"/>
      <c r="LSY1635" s="1"/>
      <c r="LSZ1635" s="1"/>
      <c r="LTA1635" s="1"/>
      <c r="LTB1635" s="1"/>
      <c r="LTC1635" s="1"/>
      <c r="LTD1635" s="1"/>
      <c r="LTE1635" s="1"/>
      <c r="LTF1635" s="1"/>
      <c r="LTG1635" s="1"/>
      <c r="LTH1635" s="1"/>
      <c r="LTI1635" s="1"/>
      <c r="LTJ1635" s="1"/>
      <c r="LTK1635" s="1"/>
      <c r="LTL1635" s="1"/>
      <c r="LTM1635" s="1"/>
      <c r="LTN1635" s="1"/>
      <c r="LTO1635" s="1"/>
      <c r="LTP1635" s="1"/>
      <c r="LTQ1635" s="1"/>
      <c r="LTR1635" s="1"/>
      <c r="LTS1635" s="1"/>
      <c r="LTT1635" s="1"/>
      <c r="LTU1635" s="1"/>
      <c r="LTV1635" s="1"/>
      <c r="LTW1635" s="1"/>
      <c r="LTX1635" s="1"/>
      <c r="LTY1635" s="1"/>
      <c r="LTZ1635" s="1"/>
      <c r="LUA1635" s="1"/>
      <c r="LUB1635" s="1"/>
      <c r="LUC1635" s="1"/>
      <c r="LUD1635" s="1"/>
      <c r="LUE1635" s="1"/>
      <c r="LUF1635" s="1"/>
      <c r="LUG1635" s="1"/>
      <c r="LUH1635" s="1"/>
      <c r="LUI1635" s="1"/>
      <c r="LUJ1635" s="1"/>
      <c r="LUK1635" s="1"/>
      <c r="LUL1635" s="1"/>
      <c r="LUM1635" s="1"/>
      <c r="LUN1635" s="1"/>
      <c r="LUO1635" s="1"/>
      <c r="LUP1635" s="1"/>
      <c r="LUQ1635" s="1"/>
      <c r="LUR1635" s="1"/>
      <c r="LUS1635" s="1"/>
      <c r="LUT1635" s="1"/>
      <c r="LUU1635" s="1"/>
      <c r="LUV1635" s="1"/>
      <c r="LUW1635" s="1"/>
      <c r="LUX1635" s="1"/>
      <c r="LUY1635" s="1"/>
      <c r="LUZ1635" s="1"/>
      <c r="LVA1635" s="1"/>
      <c r="LVB1635" s="1"/>
      <c r="LVC1635" s="1"/>
      <c r="LVD1635" s="1"/>
      <c r="LVE1635" s="1"/>
      <c r="LVF1635" s="1"/>
      <c r="LVG1635" s="1"/>
      <c r="LVH1635" s="1"/>
      <c r="LVI1635" s="1"/>
      <c r="LVJ1635" s="1"/>
      <c r="LVK1635" s="1"/>
      <c r="LVL1635" s="1"/>
      <c r="LVM1635" s="1"/>
      <c r="LVN1635" s="1"/>
      <c r="LVO1635" s="1"/>
      <c r="LVP1635" s="1"/>
      <c r="LVQ1635" s="1"/>
      <c r="LVR1635" s="1"/>
      <c r="LVS1635" s="1"/>
      <c r="LVT1635" s="1"/>
      <c r="LVU1635" s="1"/>
      <c r="LVV1635" s="1"/>
      <c r="LVW1635" s="1"/>
      <c r="LVX1635" s="1"/>
      <c r="LVY1635" s="1"/>
      <c r="LVZ1635" s="1"/>
      <c r="LWA1635" s="1"/>
      <c r="LWB1635" s="1"/>
      <c r="LWC1635" s="1"/>
      <c r="LWD1635" s="1"/>
      <c r="LWE1635" s="1"/>
      <c r="LWF1635" s="1"/>
      <c r="LWG1635" s="1"/>
      <c r="LWH1635" s="1"/>
      <c r="LWI1635" s="1"/>
      <c r="LWJ1635" s="1"/>
      <c r="LWK1635" s="1"/>
      <c r="LWL1635" s="1"/>
      <c r="LWM1635" s="1"/>
      <c r="LWN1635" s="1"/>
      <c r="LWO1635" s="1"/>
      <c r="LWP1635" s="1"/>
      <c r="LWQ1635" s="1"/>
      <c r="LWR1635" s="1"/>
      <c r="LWS1635" s="1"/>
      <c r="LWT1635" s="1"/>
      <c r="LWU1635" s="1"/>
      <c r="LWV1635" s="1"/>
      <c r="LWW1635" s="1"/>
      <c r="LWX1635" s="1"/>
      <c r="LWY1635" s="1"/>
      <c r="LWZ1635" s="1"/>
      <c r="LXA1635" s="1"/>
      <c r="LXB1635" s="1"/>
      <c r="LXC1635" s="1"/>
      <c r="LXD1635" s="1"/>
      <c r="LXE1635" s="1"/>
      <c r="LXF1635" s="1"/>
      <c r="LXG1635" s="1"/>
      <c r="LXH1635" s="1"/>
      <c r="LXI1635" s="1"/>
      <c r="LXJ1635" s="1"/>
      <c r="LXK1635" s="1"/>
      <c r="LXL1635" s="1"/>
      <c r="LXM1635" s="1"/>
      <c r="LXN1635" s="1"/>
      <c r="LXO1635" s="1"/>
      <c r="LXP1635" s="1"/>
      <c r="LXQ1635" s="1"/>
      <c r="LXR1635" s="1"/>
      <c r="LXS1635" s="1"/>
      <c r="LXT1635" s="1"/>
      <c r="LXU1635" s="1"/>
      <c r="LXV1635" s="1"/>
      <c r="LXW1635" s="1"/>
      <c r="LXX1635" s="1"/>
      <c r="LXY1635" s="1"/>
      <c r="LXZ1635" s="1"/>
      <c r="LYA1635" s="1"/>
      <c r="LYB1635" s="1"/>
      <c r="LYC1635" s="1"/>
      <c r="LYD1635" s="1"/>
      <c r="LYE1635" s="1"/>
      <c r="LYF1635" s="1"/>
      <c r="LYG1635" s="1"/>
      <c r="LYH1635" s="1"/>
      <c r="LYI1635" s="1"/>
      <c r="LYJ1635" s="1"/>
      <c r="LYK1635" s="1"/>
      <c r="LYL1635" s="1"/>
      <c r="LYM1635" s="1"/>
      <c r="LYN1635" s="1"/>
      <c r="LYO1635" s="1"/>
      <c r="LYP1635" s="1"/>
      <c r="LYQ1635" s="1"/>
      <c r="LYR1635" s="1"/>
      <c r="LYS1635" s="1"/>
      <c r="LYT1635" s="1"/>
      <c r="LYU1635" s="1"/>
      <c r="LYV1635" s="1"/>
      <c r="LYW1635" s="1"/>
      <c r="LYX1635" s="1"/>
      <c r="LYY1635" s="1"/>
      <c r="LYZ1635" s="1"/>
      <c r="LZA1635" s="1"/>
      <c r="LZB1635" s="1"/>
      <c r="LZC1635" s="1"/>
      <c r="LZD1635" s="1"/>
      <c r="LZE1635" s="1"/>
      <c r="LZF1635" s="1"/>
      <c r="LZG1635" s="1"/>
      <c r="LZH1635" s="1"/>
      <c r="LZI1635" s="1"/>
      <c r="LZJ1635" s="1"/>
      <c r="LZK1635" s="1"/>
      <c r="LZL1635" s="1"/>
      <c r="LZM1635" s="1"/>
      <c r="LZN1635" s="1"/>
      <c r="LZO1635" s="1"/>
      <c r="LZP1635" s="1"/>
      <c r="LZQ1635" s="1"/>
      <c r="LZR1635" s="1"/>
      <c r="LZS1635" s="1"/>
      <c r="LZT1635" s="1"/>
      <c r="LZU1635" s="1"/>
      <c r="LZV1635" s="1"/>
      <c r="LZW1635" s="1"/>
      <c r="LZX1635" s="1"/>
      <c r="LZY1635" s="1"/>
      <c r="LZZ1635" s="1"/>
      <c r="MAA1635" s="1"/>
      <c r="MAB1635" s="1"/>
      <c r="MAC1635" s="1"/>
      <c r="MAD1635" s="1"/>
      <c r="MAE1635" s="1"/>
      <c r="MAF1635" s="1"/>
      <c r="MAG1635" s="1"/>
      <c r="MAH1635" s="1"/>
      <c r="MAI1635" s="1"/>
      <c r="MAJ1635" s="1"/>
      <c r="MAK1635" s="1"/>
      <c r="MAL1635" s="1"/>
      <c r="MAM1635" s="1"/>
      <c r="MAN1635" s="1"/>
      <c r="MAO1635" s="1"/>
      <c r="MAP1635" s="1"/>
      <c r="MAQ1635" s="1"/>
      <c r="MAR1635" s="1"/>
      <c r="MAS1635" s="1"/>
      <c r="MAT1635" s="1"/>
      <c r="MAU1635" s="1"/>
      <c r="MAV1635" s="1"/>
      <c r="MAW1635" s="1"/>
      <c r="MAX1635" s="1"/>
      <c r="MAY1635" s="1"/>
      <c r="MAZ1635" s="1"/>
      <c r="MBA1635" s="1"/>
      <c r="MBB1635" s="1"/>
      <c r="MBC1635" s="1"/>
      <c r="MBD1635" s="1"/>
      <c r="MBE1635" s="1"/>
      <c r="MBF1635" s="1"/>
      <c r="MBG1635" s="1"/>
      <c r="MBH1635" s="1"/>
      <c r="MBI1635" s="1"/>
      <c r="MBJ1635" s="1"/>
      <c r="MBK1635" s="1"/>
      <c r="MBL1635" s="1"/>
      <c r="MBM1635" s="1"/>
      <c r="MBN1635" s="1"/>
      <c r="MBO1635" s="1"/>
      <c r="MBP1635" s="1"/>
      <c r="MBQ1635" s="1"/>
      <c r="MBR1635" s="1"/>
      <c r="MBS1635" s="1"/>
      <c r="MBT1635" s="1"/>
      <c r="MBU1635" s="1"/>
      <c r="MBV1635" s="1"/>
      <c r="MBW1635" s="1"/>
      <c r="MBX1635" s="1"/>
      <c r="MBY1635" s="1"/>
      <c r="MBZ1635" s="1"/>
      <c r="MCA1635" s="1"/>
      <c r="MCB1635" s="1"/>
      <c r="MCC1635" s="1"/>
      <c r="MCD1635" s="1"/>
      <c r="MCE1635" s="1"/>
      <c r="MCF1635" s="1"/>
      <c r="MCG1635" s="1"/>
      <c r="MCH1635" s="1"/>
      <c r="MCI1635" s="1"/>
      <c r="MCJ1635" s="1"/>
      <c r="MCK1635" s="1"/>
      <c r="MCL1635" s="1"/>
      <c r="MCM1635" s="1"/>
      <c r="MCN1635" s="1"/>
      <c r="MCO1635" s="1"/>
      <c r="MCP1635" s="1"/>
      <c r="MCQ1635" s="1"/>
      <c r="MCR1635" s="1"/>
      <c r="MCS1635" s="1"/>
      <c r="MCT1635" s="1"/>
      <c r="MCU1635" s="1"/>
      <c r="MCV1635" s="1"/>
      <c r="MCW1635" s="1"/>
      <c r="MCX1635" s="1"/>
      <c r="MCY1635" s="1"/>
      <c r="MCZ1635" s="1"/>
      <c r="MDA1635" s="1"/>
      <c r="MDB1635" s="1"/>
      <c r="MDC1635" s="1"/>
      <c r="MDD1635" s="1"/>
      <c r="MDE1635" s="1"/>
      <c r="MDF1635" s="1"/>
      <c r="MDG1635" s="1"/>
      <c r="MDH1635" s="1"/>
      <c r="MDI1635" s="1"/>
      <c r="MDJ1635" s="1"/>
      <c r="MDK1635" s="1"/>
      <c r="MDL1635" s="1"/>
      <c r="MDM1635" s="1"/>
      <c r="MDN1635" s="1"/>
      <c r="MDO1635" s="1"/>
      <c r="MDP1635" s="1"/>
      <c r="MDQ1635" s="1"/>
      <c r="MDR1635" s="1"/>
      <c r="MDS1635" s="1"/>
      <c r="MDT1635" s="1"/>
      <c r="MDU1635" s="1"/>
      <c r="MDV1635" s="1"/>
      <c r="MDW1635" s="1"/>
      <c r="MDX1635" s="1"/>
      <c r="MDY1635" s="1"/>
      <c r="MDZ1635" s="1"/>
      <c r="MEA1635" s="1"/>
      <c r="MEB1635" s="1"/>
      <c r="MEC1635" s="1"/>
      <c r="MED1635" s="1"/>
      <c r="MEE1635" s="1"/>
      <c r="MEF1635" s="1"/>
      <c r="MEG1635" s="1"/>
      <c r="MEH1635" s="1"/>
      <c r="MEI1635" s="1"/>
      <c r="MEJ1635" s="1"/>
      <c r="MEK1635" s="1"/>
      <c r="MEL1635" s="1"/>
      <c r="MEM1635" s="1"/>
      <c r="MEN1635" s="1"/>
      <c r="MEO1635" s="1"/>
      <c r="MEP1635" s="1"/>
      <c r="MEQ1635" s="1"/>
      <c r="MER1635" s="1"/>
      <c r="MES1635" s="1"/>
      <c r="MET1635" s="1"/>
      <c r="MEU1635" s="1"/>
      <c r="MEV1635" s="1"/>
      <c r="MEW1635" s="1"/>
      <c r="MEX1635" s="1"/>
      <c r="MEY1635" s="1"/>
      <c r="MEZ1635" s="1"/>
      <c r="MFA1635" s="1"/>
      <c r="MFB1635" s="1"/>
      <c r="MFC1635" s="1"/>
      <c r="MFD1635" s="1"/>
      <c r="MFE1635" s="1"/>
      <c r="MFF1635" s="1"/>
      <c r="MFG1635" s="1"/>
      <c r="MFH1635" s="1"/>
      <c r="MFI1635" s="1"/>
      <c r="MFJ1635" s="1"/>
      <c r="MFK1635" s="1"/>
      <c r="MFL1635" s="1"/>
      <c r="MFM1635" s="1"/>
      <c r="MFN1635" s="1"/>
      <c r="MFO1635" s="1"/>
      <c r="MFP1635" s="1"/>
      <c r="MFQ1635" s="1"/>
      <c r="MFR1635" s="1"/>
      <c r="MFS1635" s="1"/>
      <c r="MFT1635" s="1"/>
      <c r="MFU1635" s="1"/>
      <c r="MFV1635" s="1"/>
      <c r="MFW1635" s="1"/>
      <c r="MFX1635" s="1"/>
      <c r="MFY1635" s="1"/>
      <c r="MFZ1635" s="1"/>
      <c r="MGA1635" s="1"/>
      <c r="MGB1635" s="1"/>
      <c r="MGC1635" s="1"/>
      <c r="MGD1635" s="1"/>
      <c r="MGE1635" s="1"/>
      <c r="MGF1635" s="1"/>
      <c r="MGG1635" s="1"/>
      <c r="MGH1635" s="1"/>
      <c r="MGI1635" s="1"/>
      <c r="MGJ1635" s="1"/>
      <c r="MGK1635" s="1"/>
      <c r="MGL1635" s="1"/>
      <c r="MGM1635" s="1"/>
      <c r="MGN1635" s="1"/>
      <c r="MGO1635" s="1"/>
      <c r="MGP1635" s="1"/>
      <c r="MGQ1635" s="1"/>
      <c r="MGR1635" s="1"/>
      <c r="MGS1635" s="1"/>
      <c r="MGT1635" s="1"/>
      <c r="MGU1635" s="1"/>
      <c r="MGV1635" s="1"/>
      <c r="MGW1635" s="1"/>
      <c r="MGX1635" s="1"/>
      <c r="MGY1635" s="1"/>
      <c r="MGZ1635" s="1"/>
      <c r="MHA1635" s="1"/>
      <c r="MHB1635" s="1"/>
      <c r="MHC1635" s="1"/>
      <c r="MHD1635" s="1"/>
      <c r="MHE1635" s="1"/>
      <c r="MHF1635" s="1"/>
      <c r="MHG1635" s="1"/>
      <c r="MHH1635" s="1"/>
      <c r="MHI1635" s="1"/>
      <c r="MHJ1635" s="1"/>
      <c r="MHK1635" s="1"/>
      <c r="MHL1635" s="1"/>
      <c r="MHM1635" s="1"/>
      <c r="MHN1635" s="1"/>
      <c r="MHO1635" s="1"/>
      <c r="MHP1635" s="1"/>
      <c r="MHQ1635" s="1"/>
      <c r="MHR1635" s="1"/>
      <c r="MHS1635" s="1"/>
      <c r="MHT1635" s="1"/>
      <c r="MHU1635" s="1"/>
      <c r="MHV1635" s="1"/>
      <c r="MHW1635" s="1"/>
      <c r="MHX1635" s="1"/>
      <c r="MHY1635" s="1"/>
      <c r="MHZ1635" s="1"/>
      <c r="MIA1635" s="1"/>
      <c r="MIB1635" s="1"/>
      <c r="MIC1635" s="1"/>
      <c r="MID1635" s="1"/>
      <c r="MIE1635" s="1"/>
      <c r="MIF1635" s="1"/>
      <c r="MIG1635" s="1"/>
      <c r="MIH1635" s="1"/>
      <c r="MII1635" s="1"/>
      <c r="MIJ1635" s="1"/>
      <c r="MIK1635" s="1"/>
      <c r="MIL1635" s="1"/>
      <c r="MIM1635" s="1"/>
      <c r="MIN1635" s="1"/>
      <c r="MIO1635" s="1"/>
      <c r="MIP1635" s="1"/>
      <c r="MIQ1635" s="1"/>
      <c r="MIR1635" s="1"/>
      <c r="MIS1635" s="1"/>
      <c r="MIT1635" s="1"/>
      <c r="MIU1635" s="1"/>
      <c r="MIV1635" s="1"/>
      <c r="MIW1635" s="1"/>
      <c r="MIX1635" s="1"/>
      <c r="MIY1635" s="1"/>
      <c r="MIZ1635" s="1"/>
      <c r="MJA1635" s="1"/>
      <c r="MJB1635" s="1"/>
      <c r="MJC1635" s="1"/>
      <c r="MJD1635" s="1"/>
      <c r="MJE1635" s="1"/>
      <c r="MJF1635" s="1"/>
      <c r="MJG1635" s="1"/>
      <c r="MJH1635" s="1"/>
      <c r="MJI1635" s="1"/>
      <c r="MJJ1635" s="1"/>
      <c r="MJK1635" s="1"/>
      <c r="MJL1635" s="1"/>
      <c r="MJM1635" s="1"/>
      <c r="MJN1635" s="1"/>
      <c r="MJO1635" s="1"/>
      <c r="MJP1635" s="1"/>
      <c r="MJQ1635" s="1"/>
      <c r="MJR1635" s="1"/>
      <c r="MJS1635" s="1"/>
      <c r="MJT1635" s="1"/>
      <c r="MJU1635" s="1"/>
      <c r="MJV1635" s="1"/>
      <c r="MJW1635" s="1"/>
      <c r="MJX1635" s="1"/>
      <c r="MJY1635" s="1"/>
      <c r="MJZ1635" s="1"/>
      <c r="MKA1635" s="1"/>
      <c r="MKB1635" s="1"/>
      <c r="MKC1635" s="1"/>
      <c r="MKD1635" s="1"/>
      <c r="MKE1635" s="1"/>
      <c r="MKF1635" s="1"/>
      <c r="MKG1635" s="1"/>
      <c r="MKH1635" s="1"/>
      <c r="MKI1635" s="1"/>
      <c r="MKJ1635" s="1"/>
      <c r="MKK1635" s="1"/>
      <c r="MKL1635" s="1"/>
      <c r="MKM1635" s="1"/>
      <c r="MKN1635" s="1"/>
      <c r="MKO1635" s="1"/>
      <c r="MKP1635" s="1"/>
      <c r="MKQ1635" s="1"/>
      <c r="MKR1635" s="1"/>
      <c r="MKS1635" s="1"/>
      <c r="MKT1635" s="1"/>
      <c r="MKU1635" s="1"/>
      <c r="MKV1635" s="1"/>
      <c r="MKW1635" s="1"/>
      <c r="MKX1635" s="1"/>
      <c r="MKY1635" s="1"/>
      <c r="MKZ1635" s="1"/>
      <c r="MLA1635" s="1"/>
      <c r="MLB1635" s="1"/>
      <c r="MLC1635" s="1"/>
      <c r="MLD1635" s="1"/>
      <c r="MLE1635" s="1"/>
      <c r="MLF1635" s="1"/>
      <c r="MLG1635" s="1"/>
      <c r="MLH1635" s="1"/>
      <c r="MLI1635" s="1"/>
      <c r="MLJ1635" s="1"/>
      <c r="MLK1635" s="1"/>
      <c r="MLL1635" s="1"/>
      <c r="MLM1635" s="1"/>
      <c r="MLN1635" s="1"/>
      <c r="MLO1635" s="1"/>
      <c r="MLP1635" s="1"/>
      <c r="MLQ1635" s="1"/>
      <c r="MLR1635" s="1"/>
      <c r="MLS1635" s="1"/>
      <c r="MLT1635" s="1"/>
      <c r="MLU1635" s="1"/>
      <c r="MLV1635" s="1"/>
      <c r="MLW1635" s="1"/>
      <c r="MLX1635" s="1"/>
      <c r="MLY1635" s="1"/>
      <c r="MLZ1635" s="1"/>
      <c r="MMA1635" s="1"/>
      <c r="MMB1635" s="1"/>
      <c r="MMC1635" s="1"/>
      <c r="MMD1635" s="1"/>
      <c r="MME1635" s="1"/>
      <c r="MMF1635" s="1"/>
      <c r="MMG1635" s="1"/>
      <c r="MMH1635" s="1"/>
      <c r="MMI1635" s="1"/>
      <c r="MMJ1635" s="1"/>
      <c r="MMK1635" s="1"/>
      <c r="MML1635" s="1"/>
      <c r="MMM1635" s="1"/>
      <c r="MMN1635" s="1"/>
      <c r="MMO1635" s="1"/>
      <c r="MMP1635" s="1"/>
      <c r="MMQ1635" s="1"/>
      <c r="MMR1635" s="1"/>
      <c r="MMS1635" s="1"/>
      <c r="MMT1635" s="1"/>
      <c r="MMU1635" s="1"/>
      <c r="MMV1635" s="1"/>
      <c r="MMW1635" s="1"/>
      <c r="MMX1635" s="1"/>
      <c r="MMY1635" s="1"/>
      <c r="MMZ1635" s="1"/>
      <c r="MNA1635" s="1"/>
      <c r="MNB1635" s="1"/>
      <c r="MNC1635" s="1"/>
      <c r="MND1635" s="1"/>
      <c r="MNE1635" s="1"/>
      <c r="MNF1635" s="1"/>
      <c r="MNG1635" s="1"/>
      <c r="MNH1635" s="1"/>
      <c r="MNI1635" s="1"/>
      <c r="MNJ1635" s="1"/>
      <c r="MNK1635" s="1"/>
      <c r="MNL1635" s="1"/>
      <c r="MNM1635" s="1"/>
      <c r="MNN1635" s="1"/>
      <c r="MNO1635" s="1"/>
      <c r="MNP1635" s="1"/>
      <c r="MNQ1635" s="1"/>
      <c r="MNR1635" s="1"/>
      <c r="MNS1635" s="1"/>
      <c r="MNT1635" s="1"/>
      <c r="MNU1635" s="1"/>
      <c r="MNV1635" s="1"/>
      <c r="MNW1635" s="1"/>
      <c r="MNX1635" s="1"/>
      <c r="MNY1635" s="1"/>
      <c r="MNZ1635" s="1"/>
      <c r="MOA1635" s="1"/>
      <c r="MOB1635" s="1"/>
      <c r="MOC1635" s="1"/>
      <c r="MOD1635" s="1"/>
      <c r="MOE1635" s="1"/>
      <c r="MOF1635" s="1"/>
      <c r="MOG1635" s="1"/>
      <c r="MOH1635" s="1"/>
      <c r="MOI1635" s="1"/>
      <c r="MOJ1635" s="1"/>
      <c r="MOK1635" s="1"/>
      <c r="MOL1635" s="1"/>
      <c r="MOM1635" s="1"/>
      <c r="MON1635" s="1"/>
      <c r="MOO1635" s="1"/>
      <c r="MOP1635" s="1"/>
      <c r="MOQ1635" s="1"/>
      <c r="MOR1635" s="1"/>
      <c r="MOS1635" s="1"/>
      <c r="MOT1635" s="1"/>
      <c r="MOU1635" s="1"/>
      <c r="MOV1635" s="1"/>
      <c r="MOW1635" s="1"/>
      <c r="MOX1635" s="1"/>
      <c r="MOY1635" s="1"/>
      <c r="MOZ1635" s="1"/>
      <c r="MPA1635" s="1"/>
      <c r="MPB1635" s="1"/>
      <c r="MPC1635" s="1"/>
      <c r="MPD1635" s="1"/>
      <c r="MPE1635" s="1"/>
      <c r="MPF1635" s="1"/>
      <c r="MPG1635" s="1"/>
      <c r="MPH1635" s="1"/>
      <c r="MPI1635" s="1"/>
      <c r="MPJ1635" s="1"/>
      <c r="MPK1635" s="1"/>
      <c r="MPL1635" s="1"/>
      <c r="MPM1635" s="1"/>
      <c r="MPN1635" s="1"/>
      <c r="MPO1635" s="1"/>
      <c r="MPP1635" s="1"/>
      <c r="MPQ1635" s="1"/>
      <c r="MPR1635" s="1"/>
      <c r="MPS1635" s="1"/>
      <c r="MPT1635" s="1"/>
      <c r="MPU1635" s="1"/>
      <c r="MPV1635" s="1"/>
      <c r="MPW1635" s="1"/>
      <c r="MPX1635" s="1"/>
      <c r="MPY1635" s="1"/>
      <c r="MPZ1635" s="1"/>
      <c r="MQA1635" s="1"/>
      <c r="MQB1635" s="1"/>
      <c r="MQC1635" s="1"/>
      <c r="MQD1635" s="1"/>
      <c r="MQE1635" s="1"/>
      <c r="MQF1635" s="1"/>
      <c r="MQG1635" s="1"/>
      <c r="MQH1635" s="1"/>
      <c r="MQI1635" s="1"/>
      <c r="MQJ1635" s="1"/>
      <c r="MQK1635" s="1"/>
      <c r="MQL1635" s="1"/>
      <c r="MQM1635" s="1"/>
      <c r="MQN1635" s="1"/>
      <c r="MQO1635" s="1"/>
      <c r="MQP1635" s="1"/>
      <c r="MQQ1635" s="1"/>
      <c r="MQR1635" s="1"/>
      <c r="MQS1635" s="1"/>
      <c r="MQT1635" s="1"/>
      <c r="MQU1635" s="1"/>
      <c r="MQV1635" s="1"/>
      <c r="MQW1635" s="1"/>
      <c r="MQX1635" s="1"/>
      <c r="MQY1635" s="1"/>
      <c r="MQZ1635" s="1"/>
      <c r="MRA1635" s="1"/>
      <c r="MRB1635" s="1"/>
      <c r="MRC1635" s="1"/>
      <c r="MRD1635" s="1"/>
      <c r="MRE1635" s="1"/>
      <c r="MRF1635" s="1"/>
      <c r="MRG1635" s="1"/>
      <c r="MRH1635" s="1"/>
      <c r="MRI1635" s="1"/>
      <c r="MRJ1635" s="1"/>
      <c r="MRK1635" s="1"/>
      <c r="MRL1635" s="1"/>
      <c r="MRM1635" s="1"/>
      <c r="MRN1635" s="1"/>
      <c r="MRO1635" s="1"/>
      <c r="MRP1635" s="1"/>
      <c r="MRQ1635" s="1"/>
      <c r="MRR1635" s="1"/>
      <c r="MRS1635" s="1"/>
      <c r="MRT1635" s="1"/>
      <c r="MRU1635" s="1"/>
      <c r="MRV1635" s="1"/>
      <c r="MRW1635" s="1"/>
      <c r="MRX1635" s="1"/>
      <c r="MRY1635" s="1"/>
      <c r="MRZ1635" s="1"/>
      <c r="MSA1635" s="1"/>
      <c r="MSB1635" s="1"/>
      <c r="MSC1635" s="1"/>
      <c r="MSD1635" s="1"/>
      <c r="MSE1635" s="1"/>
      <c r="MSF1635" s="1"/>
      <c r="MSG1635" s="1"/>
      <c r="MSH1635" s="1"/>
      <c r="MSI1635" s="1"/>
      <c r="MSJ1635" s="1"/>
      <c r="MSK1635" s="1"/>
      <c r="MSL1635" s="1"/>
      <c r="MSM1635" s="1"/>
      <c r="MSN1635" s="1"/>
      <c r="MSO1635" s="1"/>
      <c r="MSP1635" s="1"/>
      <c r="MSQ1635" s="1"/>
      <c r="MSR1635" s="1"/>
      <c r="MSS1635" s="1"/>
      <c r="MST1635" s="1"/>
      <c r="MSU1635" s="1"/>
      <c r="MSV1635" s="1"/>
      <c r="MSW1635" s="1"/>
      <c r="MSX1635" s="1"/>
      <c r="MSY1635" s="1"/>
      <c r="MSZ1635" s="1"/>
      <c r="MTA1635" s="1"/>
      <c r="MTB1635" s="1"/>
      <c r="MTC1635" s="1"/>
      <c r="MTD1635" s="1"/>
      <c r="MTE1635" s="1"/>
      <c r="MTF1635" s="1"/>
      <c r="MTG1635" s="1"/>
      <c r="MTH1635" s="1"/>
      <c r="MTI1635" s="1"/>
      <c r="MTJ1635" s="1"/>
      <c r="MTK1635" s="1"/>
      <c r="MTL1635" s="1"/>
      <c r="MTM1635" s="1"/>
      <c r="MTN1635" s="1"/>
      <c r="MTO1635" s="1"/>
      <c r="MTP1635" s="1"/>
      <c r="MTQ1635" s="1"/>
      <c r="MTR1635" s="1"/>
      <c r="MTS1635" s="1"/>
      <c r="MTT1635" s="1"/>
      <c r="MTU1635" s="1"/>
      <c r="MTV1635" s="1"/>
      <c r="MTW1635" s="1"/>
      <c r="MTX1635" s="1"/>
      <c r="MTY1635" s="1"/>
      <c r="MTZ1635" s="1"/>
      <c r="MUA1635" s="1"/>
      <c r="MUB1635" s="1"/>
      <c r="MUC1635" s="1"/>
      <c r="MUD1635" s="1"/>
      <c r="MUE1635" s="1"/>
      <c r="MUF1635" s="1"/>
      <c r="MUG1635" s="1"/>
      <c r="MUH1635" s="1"/>
      <c r="MUI1635" s="1"/>
      <c r="MUJ1635" s="1"/>
      <c r="MUK1635" s="1"/>
      <c r="MUL1635" s="1"/>
      <c r="MUM1635" s="1"/>
      <c r="MUN1635" s="1"/>
      <c r="MUO1635" s="1"/>
      <c r="MUP1635" s="1"/>
      <c r="MUQ1635" s="1"/>
      <c r="MUR1635" s="1"/>
      <c r="MUS1635" s="1"/>
      <c r="MUT1635" s="1"/>
      <c r="MUU1635" s="1"/>
      <c r="MUV1635" s="1"/>
      <c r="MUW1635" s="1"/>
      <c r="MUX1635" s="1"/>
      <c r="MUY1635" s="1"/>
      <c r="MUZ1635" s="1"/>
      <c r="MVA1635" s="1"/>
      <c r="MVB1635" s="1"/>
      <c r="MVC1635" s="1"/>
      <c r="MVD1635" s="1"/>
      <c r="MVE1635" s="1"/>
      <c r="MVF1635" s="1"/>
      <c r="MVG1635" s="1"/>
      <c r="MVH1635" s="1"/>
      <c r="MVI1635" s="1"/>
      <c r="MVJ1635" s="1"/>
      <c r="MVK1635" s="1"/>
      <c r="MVL1635" s="1"/>
      <c r="MVM1635" s="1"/>
      <c r="MVN1635" s="1"/>
      <c r="MVO1635" s="1"/>
      <c r="MVP1635" s="1"/>
      <c r="MVQ1635" s="1"/>
      <c r="MVR1635" s="1"/>
      <c r="MVS1635" s="1"/>
      <c r="MVT1635" s="1"/>
      <c r="MVU1635" s="1"/>
      <c r="MVV1635" s="1"/>
      <c r="MVW1635" s="1"/>
      <c r="MVX1635" s="1"/>
      <c r="MVY1635" s="1"/>
      <c r="MVZ1635" s="1"/>
      <c r="MWA1635" s="1"/>
      <c r="MWB1635" s="1"/>
      <c r="MWC1635" s="1"/>
      <c r="MWD1635" s="1"/>
      <c r="MWE1635" s="1"/>
      <c r="MWF1635" s="1"/>
      <c r="MWG1635" s="1"/>
      <c r="MWH1635" s="1"/>
      <c r="MWI1635" s="1"/>
      <c r="MWJ1635" s="1"/>
      <c r="MWK1635" s="1"/>
      <c r="MWL1635" s="1"/>
      <c r="MWM1635" s="1"/>
      <c r="MWN1635" s="1"/>
      <c r="MWO1635" s="1"/>
      <c r="MWP1635" s="1"/>
      <c r="MWQ1635" s="1"/>
      <c r="MWR1635" s="1"/>
      <c r="MWS1635" s="1"/>
      <c r="MWT1635" s="1"/>
      <c r="MWU1635" s="1"/>
      <c r="MWV1635" s="1"/>
      <c r="MWW1635" s="1"/>
      <c r="MWX1635" s="1"/>
      <c r="MWY1635" s="1"/>
      <c r="MWZ1635" s="1"/>
      <c r="MXA1635" s="1"/>
      <c r="MXB1635" s="1"/>
      <c r="MXC1635" s="1"/>
      <c r="MXD1635" s="1"/>
      <c r="MXE1635" s="1"/>
      <c r="MXF1635" s="1"/>
      <c r="MXG1635" s="1"/>
      <c r="MXH1635" s="1"/>
      <c r="MXI1635" s="1"/>
      <c r="MXJ1635" s="1"/>
      <c r="MXK1635" s="1"/>
      <c r="MXL1635" s="1"/>
      <c r="MXM1635" s="1"/>
      <c r="MXN1635" s="1"/>
      <c r="MXO1635" s="1"/>
      <c r="MXP1635" s="1"/>
      <c r="MXQ1635" s="1"/>
      <c r="MXR1635" s="1"/>
      <c r="MXS1635" s="1"/>
      <c r="MXT1635" s="1"/>
      <c r="MXU1635" s="1"/>
      <c r="MXV1635" s="1"/>
      <c r="MXW1635" s="1"/>
      <c r="MXX1635" s="1"/>
      <c r="MXY1635" s="1"/>
      <c r="MXZ1635" s="1"/>
      <c r="MYA1635" s="1"/>
      <c r="MYB1635" s="1"/>
      <c r="MYC1635" s="1"/>
      <c r="MYD1635" s="1"/>
      <c r="MYE1635" s="1"/>
      <c r="MYF1635" s="1"/>
      <c r="MYG1635" s="1"/>
      <c r="MYH1635" s="1"/>
      <c r="MYI1635" s="1"/>
      <c r="MYJ1635" s="1"/>
      <c r="MYK1635" s="1"/>
      <c r="MYL1635" s="1"/>
      <c r="MYM1635" s="1"/>
      <c r="MYN1635" s="1"/>
      <c r="MYO1635" s="1"/>
      <c r="MYP1635" s="1"/>
      <c r="MYQ1635" s="1"/>
      <c r="MYR1635" s="1"/>
      <c r="MYS1635" s="1"/>
      <c r="MYT1635" s="1"/>
      <c r="MYU1635" s="1"/>
      <c r="MYV1635" s="1"/>
      <c r="MYW1635" s="1"/>
      <c r="MYX1635" s="1"/>
      <c r="MYY1635" s="1"/>
      <c r="MYZ1635" s="1"/>
      <c r="MZA1635" s="1"/>
      <c r="MZB1635" s="1"/>
      <c r="MZC1635" s="1"/>
      <c r="MZD1635" s="1"/>
      <c r="MZE1635" s="1"/>
      <c r="MZF1635" s="1"/>
      <c r="MZG1635" s="1"/>
      <c r="MZH1635" s="1"/>
      <c r="MZI1635" s="1"/>
      <c r="MZJ1635" s="1"/>
      <c r="MZK1635" s="1"/>
      <c r="MZL1635" s="1"/>
      <c r="MZM1635" s="1"/>
      <c r="MZN1635" s="1"/>
      <c r="MZO1635" s="1"/>
      <c r="MZP1635" s="1"/>
      <c r="MZQ1635" s="1"/>
      <c r="MZR1635" s="1"/>
      <c r="MZS1635" s="1"/>
      <c r="MZT1635" s="1"/>
      <c r="MZU1635" s="1"/>
      <c r="MZV1635" s="1"/>
      <c r="MZW1635" s="1"/>
      <c r="MZX1635" s="1"/>
      <c r="MZY1635" s="1"/>
      <c r="MZZ1635" s="1"/>
      <c r="NAA1635" s="1"/>
      <c r="NAB1635" s="1"/>
      <c r="NAC1635" s="1"/>
      <c r="NAD1635" s="1"/>
      <c r="NAE1635" s="1"/>
      <c r="NAF1635" s="1"/>
      <c r="NAG1635" s="1"/>
      <c r="NAH1635" s="1"/>
      <c r="NAI1635" s="1"/>
      <c r="NAJ1635" s="1"/>
      <c r="NAK1635" s="1"/>
      <c r="NAL1635" s="1"/>
      <c r="NAM1635" s="1"/>
      <c r="NAN1635" s="1"/>
      <c r="NAO1635" s="1"/>
      <c r="NAP1635" s="1"/>
      <c r="NAQ1635" s="1"/>
      <c r="NAR1635" s="1"/>
      <c r="NAS1635" s="1"/>
      <c r="NAT1635" s="1"/>
      <c r="NAU1635" s="1"/>
      <c r="NAV1635" s="1"/>
      <c r="NAW1635" s="1"/>
      <c r="NAX1635" s="1"/>
      <c r="NAY1635" s="1"/>
      <c r="NAZ1635" s="1"/>
      <c r="NBA1635" s="1"/>
      <c r="NBB1635" s="1"/>
      <c r="NBC1635" s="1"/>
      <c r="NBD1635" s="1"/>
      <c r="NBE1635" s="1"/>
      <c r="NBF1635" s="1"/>
      <c r="NBG1635" s="1"/>
      <c r="NBH1635" s="1"/>
      <c r="NBI1635" s="1"/>
      <c r="NBJ1635" s="1"/>
      <c r="NBK1635" s="1"/>
      <c r="NBL1635" s="1"/>
      <c r="NBM1635" s="1"/>
      <c r="NBN1635" s="1"/>
      <c r="NBO1635" s="1"/>
      <c r="NBP1635" s="1"/>
      <c r="NBQ1635" s="1"/>
      <c r="NBR1635" s="1"/>
      <c r="NBS1635" s="1"/>
      <c r="NBT1635" s="1"/>
      <c r="NBU1635" s="1"/>
      <c r="NBV1635" s="1"/>
      <c r="NBW1635" s="1"/>
      <c r="NBX1635" s="1"/>
      <c r="NBY1635" s="1"/>
      <c r="NBZ1635" s="1"/>
      <c r="NCA1635" s="1"/>
      <c r="NCB1635" s="1"/>
      <c r="NCC1635" s="1"/>
      <c r="NCD1635" s="1"/>
      <c r="NCE1635" s="1"/>
      <c r="NCF1635" s="1"/>
      <c r="NCG1635" s="1"/>
      <c r="NCH1635" s="1"/>
      <c r="NCI1635" s="1"/>
      <c r="NCJ1635" s="1"/>
      <c r="NCK1635" s="1"/>
      <c r="NCL1635" s="1"/>
      <c r="NCM1635" s="1"/>
      <c r="NCN1635" s="1"/>
      <c r="NCO1635" s="1"/>
      <c r="NCP1635" s="1"/>
      <c r="NCQ1635" s="1"/>
      <c r="NCR1635" s="1"/>
      <c r="NCS1635" s="1"/>
      <c r="NCT1635" s="1"/>
      <c r="NCU1635" s="1"/>
      <c r="NCV1635" s="1"/>
      <c r="NCW1635" s="1"/>
      <c r="NCX1635" s="1"/>
      <c r="NCY1635" s="1"/>
      <c r="NCZ1635" s="1"/>
      <c r="NDA1635" s="1"/>
      <c r="NDB1635" s="1"/>
      <c r="NDC1635" s="1"/>
      <c r="NDD1635" s="1"/>
      <c r="NDE1635" s="1"/>
      <c r="NDF1635" s="1"/>
      <c r="NDG1635" s="1"/>
      <c r="NDH1635" s="1"/>
      <c r="NDI1635" s="1"/>
      <c r="NDJ1635" s="1"/>
      <c r="NDK1635" s="1"/>
      <c r="NDL1635" s="1"/>
      <c r="NDM1635" s="1"/>
      <c r="NDN1635" s="1"/>
      <c r="NDO1635" s="1"/>
      <c r="NDP1635" s="1"/>
      <c r="NDQ1635" s="1"/>
      <c r="NDR1635" s="1"/>
      <c r="NDS1635" s="1"/>
      <c r="NDT1635" s="1"/>
      <c r="NDU1635" s="1"/>
      <c r="NDV1635" s="1"/>
      <c r="NDW1635" s="1"/>
      <c r="NDX1635" s="1"/>
      <c r="NDY1635" s="1"/>
      <c r="NDZ1635" s="1"/>
      <c r="NEA1635" s="1"/>
      <c r="NEB1635" s="1"/>
      <c r="NEC1635" s="1"/>
      <c r="NED1635" s="1"/>
      <c r="NEE1635" s="1"/>
      <c r="NEF1635" s="1"/>
      <c r="NEG1635" s="1"/>
      <c r="NEH1635" s="1"/>
      <c r="NEI1635" s="1"/>
      <c r="NEJ1635" s="1"/>
      <c r="NEK1635" s="1"/>
      <c r="NEL1635" s="1"/>
      <c r="NEM1635" s="1"/>
      <c r="NEN1635" s="1"/>
      <c r="NEO1635" s="1"/>
      <c r="NEP1635" s="1"/>
      <c r="NEQ1635" s="1"/>
      <c r="NER1635" s="1"/>
      <c r="NES1635" s="1"/>
      <c r="NET1635" s="1"/>
      <c r="NEU1635" s="1"/>
      <c r="NEV1635" s="1"/>
      <c r="NEW1635" s="1"/>
      <c r="NEX1635" s="1"/>
      <c r="NEY1635" s="1"/>
      <c r="NEZ1635" s="1"/>
      <c r="NFA1635" s="1"/>
      <c r="NFB1635" s="1"/>
      <c r="NFC1635" s="1"/>
      <c r="NFD1635" s="1"/>
      <c r="NFE1635" s="1"/>
      <c r="NFF1635" s="1"/>
      <c r="NFG1635" s="1"/>
      <c r="NFH1635" s="1"/>
      <c r="NFI1635" s="1"/>
      <c r="NFJ1635" s="1"/>
      <c r="NFK1635" s="1"/>
      <c r="NFL1635" s="1"/>
      <c r="NFM1635" s="1"/>
      <c r="NFN1635" s="1"/>
      <c r="NFO1635" s="1"/>
      <c r="NFP1635" s="1"/>
      <c r="NFQ1635" s="1"/>
      <c r="NFR1635" s="1"/>
      <c r="NFS1635" s="1"/>
      <c r="NFT1635" s="1"/>
      <c r="NFU1635" s="1"/>
      <c r="NFV1635" s="1"/>
      <c r="NFW1635" s="1"/>
      <c r="NFX1635" s="1"/>
      <c r="NFY1635" s="1"/>
      <c r="NFZ1635" s="1"/>
      <c r="NGA1635" s="1"/>
      <c r="NGB1635" s="1"/>
      <c r="NGC1635" s="1"/>
      <c r="NGD1635" s="1"/>
      <c r="NGE1635" s="1"/>
      <c r="NGF1635" s="1"/>
      <c r="NGG1635" s="1"/>
      <c r="NGH1635" s="1"/>
      <c r="NGI1635" s="1"/>
      <c r="NGJ1635" s="1"/>
      <c r="NGK1635" s="1"/>
      <c r="NGL1635" s="1"/>
      <c r="NGM1635" s="1"/>
      <c r="NGN1635" s="1"/>
      <c r="NGO1635" s="1"/>
      <c r="NGP1635" s="1"/>
      <c r="NGQ1635" s="1"/>
      <c r="NGR1635" s="1"/>
      <c r="NGS1635" s="1"/>
      <c r="NGT1635" s="1"/>
      <c r="NGU1635" s="1"/>
      <c r="NGV1635" s="1"/>
      <c r="NGW1635" s="1"/>
      <c r="NGX1635" s="1"/>
      <c r="NGY1635" s="1"/>
      <c r="NGZ1635" s="1"/>
      <c r="NHA1635" s="1"/>
      <c r="NHB1635" s="1"/>
      <c r="NHC1635" s="1"/>
      <c r="NHD1635" s="1"/>
      <c r="NHE1635" s="1"/>
      <c r="NHF1635" s="1"/>
      <c r="NHG1635" s="1"/>
      <c r="NHH1635" s="1"/>
      <c r="NHI1635" s="1"/>
      <c r="NHJ1635" s="1"/>
      <c r="NHK1635" s="1"/>
      <c r="NHL1635" s="1"/>
      <c r="NHM1635" s="1"/>
      <c r="NHN1635" s="1"/>
      <c r="NHO1635" s="1"/>
      <c r="NHP1635" s="1"/>
      <c r="NHQ1635" s="1"/>
      <c r="NHR1635" s="1"/>
      <c r="NHS1635" s="1"/>
      <c r="NHT1635" s="1"/>
      <c r="NHU1635" s="1"/>
      <c r="NHV1635" s="1"/>
      <c r="NHW1635" s="1"/>
      <c r="NHX1635" s="1"/>
      <c r="NHY1635" s="1"/>
      <c r="NHZ1635" s="1"/>
      <c r="NIA1635" s="1"/>
      <c r="NIB1635" s="1"/>
      <c r="NIC1635" s="1"/>
      <c r="NID1635" s="1"/>
      <c r="NIE1635" s="1"/>
      <c r="NIF1635" s="1"/>
      <c r="NIG1635" s="1"/>
      <c r="NIH1635" s="1"/>
      <c r="NII1635" s="1"/>
      <c r="NIJ1635" s="1"/>
      <c r="NIK1635" s="1"/>
      <c r="NIL1635" s="1"/>
      <c r="NIM1635" s="1"/>
      <c r="NIN1635" s="1"/>
      <c r="NIO1635" s="1"/>
      <c r="NIP1635" s="1"/>
      <c r="NIQ1635" s="1"/>
      <c r="NIR1635" s="1"/>
      <c r="NIS1635" s="1"/>
      <c r="NIT1635" s="1"/>
      <c r="NIU1635" s="1"/>
      <c r="NIV1635" s="1"/>
      <c r="NIW1635" s="1"/>
      <c r="NIX1635" s="1"/>
      <c r="NIY1635" s="1"/>
      <c r="NIZ1635" s="1"/>
      <c r="NJA1635" s="1"/>
      <c r="NJB1635" s="1"/>
      <c r="NJC1635" s="1"/>
      <c r="NJD1635" s="1"/>
      <c r="NJE1635" s="1"/>
      <c r="NJF1635" s="1"/>
      <c r="NJG1635" s="1"/>
      <c r="NJH1635" s="1"/>
      <c r="NJI1635" s="1"/>
      <c r="NJJ1635" s="1"/>
      <c r="NJK1635" s="1"/>
      <c r="NJL1635" s="1"/>
      <c r="NJM1635" s="1"/>
      <c r="NJN1635" s="1"/>
      <c r="NJO1635" s="1"/>
      <c r="NJP1635" s="1"/>
      <c r="NJQ1635" s="1"/>
      <c r="NJR1635" s="1"/>
      <c r="NJS1635" s="1"/>
      <c r="NJT1635" s="1"/>
      <c r="NJU1635" s="1"/>
      <c r="NJV1635" s="1"/>
      <c r="NJW1635" s="1"/>
      <c r="NJX1635" s="1"/>
      <c r="NJY1635" s="1"/>
      <c r="NJZ1635" s="1"/>
      <c r="NKA1635" s="1"/>
      <c r="NKB1635" s="1"/>
      <c r="NKC1635" s="1"/>
      <c r="NKD1635" s="1"/>
      <c r="NKE1635" s="1"/>
      <c r="NKF1635" s="1"/>
      <c r="NKG1635" s="1"/>
      <c r="NKH1635" s="1"/>
      <c r="NKI1635" s="1"/>
      <c r="NKJ1635" s="1"/>
      <c r="NKK1635" s="1"/>
      <c r="NKL1635" s="1"/>
      <c r="NKM1635" s="1"/>
      <c r="NKN1635" s="1"/>
      <c r="NKO1635" s="1"/>
      <c r="NKP1635" s="1"/>
      <c r="NKQ1635" s="1"/>
      <c r="NKR1635" s="1"/>
      <c r="NKS1635" s="1"/>
      <c r="NKT1635" s="1"/>
      <c r="NKU1635" s="1"/>
      <c r="NKV1635" s="1"/>
      <c r="NKW1635" s="1"/>
      <c r="NKX1635" s="1"/>
      <c r="NKY1635" s="1"/>
      <c r="NKZ1635" s="1"/>
      <c r="NLA1635" s="1"/>
      <c r="NLB1635" s="1"/>
      <c r="NLC1635" s="1"/>
      <c r="NLD1635" s="1"/>
      <c r="NLE1635" s="1"/>
      <c r="NLF1635" s="1"/>
      <c r="NLG1635" s="1"/>
      <c r="NLH1635" s="1"/>
      <c r="NLI1635" s="1"/>
      <c r="NLJ1635" s="1"/>
      <c r="NLK1635" s="1"/>
      <c r="NLL1635" s="1"/>
      <c r="NLM1635" s="1"/>
      <c r="NLN1635" s="1"/>
      <c r="NLO1635" s="1"/>
      <c r="NLP1635" s="1"/>
      <c r="NLQ1635" s="1"/>
      <c r="NLR1635" s="1"/>
      <c r="NLS1635" s="1"/>
      <c r="NLT1635" s="1"/>
      <c r="NLU1635" s="1"/>
      <c r="NLV1635" s="1"/>
      <c r="NLW1635" s="1"/>
      <c r="NLX1635" s="1"/>
      <c r="NLY1635" s="1"/>
      <c r="NLZ1635" s="1"/>
      <c r="NMA1635" s="1"/>
      <c r="NMB1635" s="1"/>
      <c r="NMC1635" s="1"/>
      <c r="NMD1635" s="1"/>
      <c r="NME1635" s="1"/>
      <c r="NMF1635" s="1"/>
      <c r="NMG1635" s="1"/>
      <c r="NMH1635" s="1"/>
      <c r="NMI1635" s="1"/>
      <c r="NMJ1635" s="1"/>
      <c r="NMK1635" s="1"/>
      <c r="NML1635" s="1"/>
      <c r="NMM1635" s="1"/>
      <c r="NMN1635" s="1"/>
      <c r="NMO1635" s="1"/>
      <c r="NMP1635" s="1"/>
      <c r="NMQ1635" s="1"/>
      <c r="NMR1635" s="1"/>
      <c r="NMS1635" s="1"/>
      <c r="NMT1635" s="1"/>
      <c r="NMU1635" s="1"/>
      <c r="NMV1635" s="1"/>
      <c r="NMW1635" s="1"/>
      <c r="NMX1635" s="1"/>
      <c r="NMY1635" s="1"/>
      <c r="NMZ1635" s="1"/>
      <c r="NNA1635" s="1"/>
      <c r="NNB1635" s="1"/>
      <c r="NNC1635" s="1"/>
      <c r="NND1635" s="1"/>
      <c r="NNE1635" s="1"/>
      <c r="NNF1635" s="1"/>
      <c r="NNG1635" s="1"/>
      <c r="NNH1635" s="1"/>
      <c r="NNI1635" s="1"/>
      <c r="NNJ1635" s="1"/>
      <c r="NNK1635" s="1"/>
      <c r="NNL1635" s="1"/>
      <c r="NNM1635" s="1"/>
      <c r="NNN1635" s="1"/>
      <c r="NNO1635" s="1"/>
      <c r="NNP1635" s="1"/>
      <c r="NNQ1635" s="1"/>
      <c r="NNR1635" s="1"/>
      <c r="NNS1635" s="1"/>
      <c r="NNT1635" s="1"/>
      <c r="NNU1635" s="1"/>
      <c r="NNV1635" s="1"/>
      <c r="NNW1635" s="1"/>
      <c r="NNX1635" s="1"/>
      <c r="NNY1635" s="1"/>
      <c r="NNZ1635" s="1"/>
      <c r="NOA1635" s="1"/>
      <c r="NOB1635" s="1"/>
      <c r="NOC1635" s="1"/>
      <c r="NOD1635" s="1"/>
      <c r="NOE1635" s="1"/>
      <c r="NOF1635" s="1"/>
      <c r="NOG1635" s="1"/>
      <c r="NOH1635" s="1"/>
      <c r="NOI1635" s="1"/>
      <c r="NOJ1635" s="1"/>
      <c r="NOK1635" s="1"/>
      <c r="NOL1635" s="1"/>
      <c r="NOM1635" s="1"/>
      <c r="NON1635" s="1"/>
      <c r="NOO1635" s="1"/>
      <c r="NOP1635" s="1"/>
      <c r="NOQ1635" s="1"/>
      <c r="NOR1635" s="1"/>
      <c r="NOS1635" s="1"/>
      <c r="NOT1635" s="1"/>
      <c r="NOU1635" s="1"/>
      <c r="NOV1635" s="1"/>
      <c r="NOW1635" s="1"/>
      <c r="NOX1635" s="1"/>
      <c r="NOY1635" s="1"/>
      <c r="NOZ1635" s="1"/>
      <c r="NPA1635" s="1"/>
      <c r="NPB1635" s="1"/>
      <c r="NPC1635" s="1"/>
      <c r="NPD1635" s="1"/>
      <c r="NPE1635" s="1"/>
      <c r="NPF1635" s="1"/>
      <c r="NPG1635" s="1"/>
      <c r="NPH1635" s="1"/>
      <c r="NPI1635" s="1"/>
      <c r="NPJ1635" s="1"/>
      <c r="NPK1635" s="1"/>
      <c r="NPL1635" s="1"/>
      <c r="NPM1635" s="1"/>
      <c r="NPN1635" s="1"/>
      <c r="NPO1635" s="1"/>
      <c r="NPP1635" s="1"/>
      <c r="NPQ1635" s="1"/>
      <c r="NPR1635" s="1"/>
      <c r="NPS1635" s="1"/>
      <c r="NPT1635" s="1"/>
      <c r="NPU1635" s="1"/>
      <c r="NPV1635" s="1"/>
      <c r="NPW1635" s="1"/>
      <c r="NPX1635" s="1"/>
      <c r="NPY1635" s="1"/>
      <c r="NPZ1635" s="1"/>
      <c r="NQA1635" s="1"/>
      <c r="NQB1635" s="1"/>
      <c r="NQC1635" s="1"/>
      <c r="NQD1635" s="1"/>
      <c r="NQE1635" s="1"/>
      <c r="NQF1635" s="1"/>
      <c r="NQG1635" s="1"/>
      <c r="NQH1635" s="1"/>
      <c r="NQI1635" s="1"/>
      <c r="NQJ1635" s="1"/>
      <c r="NQK1635" s="1"/>
      <c r="NQL1635" s="1"/>
      <c r="NQM1635" s="1"/>
      <c r="NQN1635" s="1"/>
      <c r="NQO1635" s="1"/>
      <c r="NQP1635" s="1"/>
      <c r="NQQ1635" s="1"/>
      <c r="NQR1635" s="1"/>
      <c r="NQS1635" s="1"/>
      <c r="NQT1635" s="1"/>
      <c r="NQU1635" s="1"/>
      <c r="NQV1635" s="1"/>
      <c r="NQW1635" s="1"/>
      <c r="NQX1635" s="1"/>
      <c r="NQY1635" s="1"/>
      <c r="NQZ1635" s="1"/>
      <c r="NRA1635" s="1"/>
      <c r="NRB1635" s="1"/>
      <c r="NRC1635" s="1"/>
      <c r="NRD1635" s="1"/>
      <c r="NRE1635" s="1"/>
      <c r="NRF1635" s="1"/>
      <c r="NRG1635" s="1"/>
      <c r="NRH1635" s="1"/>
      <c r="NRI1635" s="1"/>
      <c r="NRJ1635" s="1"/>
      <c r="NRK1635" s="1"/>
      <c r="NRL1635" s="1"/>
      <c r="NRM1635" s="1"/>
      <c r="NRN1635" s="1"/>
      <c r="NRO1635" s="1"/>
      <c r="NRP1635" s="1"/>
      <c r="NRQ1635" s="1"/>
      <c r="NRR1635" s="1"/>
      <c r="NRS1635" s="1"/>
      <c r="NRT1635" s="1"/>
      <c r="NRU1635" s="1"/>
      <c r="NRV1635" s="1"/>
      <c r="NRW1635" s="1"/>
      <c r="NRX1635" s="1"/>
      <c r="NRY1635" s="1"/>
      <c r="NRZ1635" s="1"/>
      <c r="NSA1635" s="1"/>
      <c r="NSB1635" s="1"/>
      <c r="NSC1635" s="1"/>
      <c r="NSD1635" s="1"/>
      <c r="NSE1635" s="1"/>
      <c r="NSF1635" s="1"/>
      <c r="NSG1635" s="1"/>
      <c r="NSH1635" s="1"/>
      <c r="NSI1635" s="1"/>
      <c r="NSJ1635" s="1"/>
      <c r="NSK1635" s="1"/>
      <c r="NSL1635" s="1"/>
      <c r="NSM1635" s="1"/>
      <c r="NSN1635" s="1"/>
      <c r="NSO1635" s="1"/>
      <c r="NSP1635" s="1"/>
      <c r="NSQ1635" s="1"/>
      <c r="NSR1635" s="1"/>
      <c r="NSS1635" s="1"/>
      <c r="NST1635" s="1"/>
      <c r="NSU1635" s="1"/>
      <c r="NSV1635" s="1"/>
      <c r="NSW1635" s="1"/>
      <c r="NSX1635" s="1"/>
      <c r="NSY1635" s="1"/>
      <c r="NSZ1635" s="1"/>
      <c r="NTA1635" s="1"/>
      <c r="NTB1635" s="1"/>
      <c r="NTC1635" s="1"/>
      <c r="NTD1635" s="1"/>
      <c r="NTE1635" s="1"/>
      <c r="NTF1635" s="1"/>
      <c r="NTG1635" s="1"/>
      <c r="NTH1635" s="1"/>
      <c r="NTI1635" s="1"/>
      <c r="NTJ1635" s="1"/>
      <c r="NTK1635" s="1"/>
      <c r="NTL1635" s="1"/>
      <c r="NTM1635" s="1"/>
      <c r="NTN1635" s="1"/>
      <c r="NTO1635" s="1"/>
      <c r="NTP1635" s="1"/>
      <c r="NTQ1635" s="1"/>
      <c r="NTR1635" s="1"/>
      <c r="NTS1635" s="1"/>
      <c r="NTT1635" s="1"/>
      <c r="NTU1635" s="1"/>
      <c r="NTV1635" s="1"/>
      <c r="NTW1635" s="1"/>
      <c r="NTX1635" s="1"/>
      <c r="NTY1635" s="1"/>
      <c r="NTZ1635" s="1"/>
      <c r="NUA1635" s="1"/>
      <c r="NUB1635" s="1"/>
      <c r="NUC1635" s="1"/>
      <c r="NUD1635" s="1"/>
      <c r="NUE1635" s="1"/>
      <c r="NUF1635" s="1"/>
      <c r="NUG1635" s="1"/>
      <c r="NUH1635" s="1"/>
      <c r="NUI1635" s="1"/>
      <c r="NUJ1635" s="1"/>
      <c r="NUK1635" s="1"/>
      <c r="NUL1635" s="1"/>
      <c r="NUM1635" s="1"/>
      <c r="NUN1635" s="1"/>
      <c r="NUO1635" s="1"/>
      <c r="NUP1635" s="1"/>
      <c r="NUQ1635" s="1"/>
      <c r="NUR1635" s="1"/>
      <c r="NUS1635" s="1"/>
      <c r="NUT1635" s="1"/>
      <c r="NUU1635" s="1"/>
      <c r="NUV1635" s="1"/>
      <c r="NUW1635" s="1"/>
      <c r="NUX1635" s="1"/>
      <c r="NUY1635" s="1"/>
      <c r="NUZ1635" s="1"/>
      <c r="NVA1635" s="1"/>
      <c r="NVB1635" s="1"/>
      <c r="NVC1635" s="1"/>
      <c r="NVD1635" s="1"/>
      <c r="NVE1635" s="1"/>
      <c r="NVF1635" s="1"/>
      <c r="NVG1635" s="1"/>
      <c r="NVH1635" s="1"/>
      <c r="NVI1635" s="1"/>
      <c r="NVJ1635" s="1"/>
      <c r="NVK1635" s="1"/>
      <c r="NVL1635" s="1"/>
      <c r="NVM1635" s="1"/>
      <c r="NVN1635" s="1"/>
      <c r="NVO1635" s="1"/>
      <c r="NVP1635" s="1"/>
      <c r="NVQ1635" s="1"/>
      <c r="NVR1635" s="1"/>
      <c r="NVS1635" s="1"/>
      <c r="NVT1635" s="1"/>
      <c r="NVU1635" s="1"/>
      <c r="NVV1635" s="1"/>
      <c r="NVW1635" s="1"/>
      <c r="NVX1635" s="1"/>
      <c r="NVY1635" s="1"/>
      <c r="NVZ1635" s="1"/>
      <c r="NWA1635" s="1"/>
      <c r="NWB1635" s="1"/>
      <c r="NWC1635" s="1"/>
      <c r="NWD1635" s="1"/>
      <c r="NWE1635" s="1"/>
      <c r="NWF1635" s="1"/>
      <c r="NWG1635" s="1"/>
      <c r="NWH1635" s="1"/>
      <c r="NWI1635" s="1"/>
      <c r="NWJ1635" s="1"/>
      <c r="NWK1635" s="1"/>
      <c r="NWL1635" s="1"/>
      <c r="NWM1635" s="1"/>
      <c r="NWN1635" s="1"/>
      <c r="NWO1635" s="1"/>
      <c r="NWP1635" s="1"/>
      <c r="NWQ1635" s="1"/>
      <c r="NWR1635" s="1"/>
      <c r="NWS1635" s="1"/>
      <c r="NWT1635" s="1"/>
      <c r="NWU1635" s="1"/>
      <c r="NWV1635" s="1"/>
      <c r="NWW1635" s="1"/>
      <c r="NWX1635" s="1"/>
      <c r="NWY1635" s="1"/>
      <c r="NWZ1635" s="1"/>
      <c r="NXA1635" s="1"/>
      <c r="NXB1635" s="1"/>
      <c r="NXC1635" s="1"/>
      <c r="NXD1635" s="1"/>
      <c r="NXE1635" s="1"/>
      <c r="NXF1635" s="1"/>
      <c r="NXG1635" s="1"/>
      <c r="NXH1635" s="1"/>
      <c r="NXI1635" s="1"/>
      <c r="NXJ1635" s="1"/>
      <c r="NXK1635" s="1"/>
      <c r="NXL1635" s="1"/>
      <c r="NXM1635" s="1"/>
      <c r="NXN1635" s="1"/>
      <c r="NXO1635" s="1"/>
      <c r="NXP1635" s="1"/>
      <c r="NXQ1635" s="1"/>
      <c r="NXR1635" s="1"/>
      <c r="NXS1635" s="1"/>
      <c r="NXT1635" s="1"/>
      <c r="NXU1635" s="1"/>
      <c r="NXV1635" s="1"/>
      <c r="NXW1635" s="1"/>
      <c r="NXX1635" s="1"/>
      <c r="NXY1635" s="1"/>
      <c r="NXZ1635" s="1"/>
      <c r="NYA1635" s="1"/>
      <c r="NYB1635" s="1"/>
      <c r="NYC1635" s="1"/>
      <c r="NYD1635" s="1"/>
      <c r="NYE1635" s="1"/>
      <c r="NYF1635" s="1"/>
      <c r="NYG1635" s="1"/>
      <c r="NYH1635" s="1"/>
      <c r="NYI1635" s="1"/>
      <c r="NYJ1635" s="1"/>
      <c r="NYK1635" s="1"/>
      <c r="NYL1635" s="1"/>
      <c r="NYM1635" s="1"/>
      <c r="NYN1635" s="1"/>
      <c r="NYO1635" s="1"/>
      <c r="NYP1635" s="1"/>
      <c r="NYQ1635" s="1"/>
      <c r="NYR1635" s="1"/>
      <c r="NYS1635" s="1"/>
      <c r="NYT1635" s="1"/>
      <c r="NYU1635" s="1"/>
      <c r="NYV1635" s="1"/>
      <c r="NYW1635" s="1"/>
      <c r="NYX1635" s="1"/>
      <c r="NYY1635" s="1"/>
      <c r="NYZ1635" s="1"/>
      <c r="NZA1635" s="1"/>
      <c r="NZB1635" s="1"/>
      <c r="NZC1635" s="1"/>
      <c r="NZD1635" s="1"/>
      <c r="NZE1635" s="1"/>
      <c r="NZF1635" s="1"/>
      <c r="NZG1635" s="1"/>
      <c r="NZH1635" s="1"/>
      <c r="NZI1635" s="1"/>
      <c r="NZJ1635" s="1"/>
      <c r="NZK1635" s="1"/>
      <c r="NZL1635" s="1"/>
      <c r="NZM1635" s="1"/>
      <c r="NZN1635" s="1"/>
      <c r="NZO1635" s="1"/>
      <c r="NZP1635" s="1"/>
      <c r="NZQ1635" s="1"/>
      <c r="NZR1635" s="1"/>
      <c r="NZS1635" s="1"/>
      <c r="NZT1635" s="1"/>
      <c r="NZU1635" s="1"/>
      <c r="NZV1635" s="1"/>
      <c r="NZW1635" s="1"/>
      <c r="NZX1635" s="1"/>
      <c r="NZY1635" s="1"/>
      <c r="NZZ1635" s="1"/>
      <c r="OAA1635" s="1"/>
      <c r="OAB1635" s="1"/>
      <c r="OAC1635" s="1"/>
      <c r="OAD1635" s="1"/>
      <c r="OAE1635" s="1"/>
      <c r="OAF1635" s="1"/>
      <c r="OAG1635" s="1"/>
      <c r="OAH1635" s="1"/>
      <c r="OAI1635" s="1"/>
      <c r="OAJ1635" s="1"/>
      <c r="OAK1635" s="1"/>
      <c r="OAL1635" s="1"/>
      <c r="OAM1635" s="1"/>
      <c r="OAN1635" s="1"/>
      <c r="OAO1635" s="1"/>
      <c r="OAP1635" s="1"/>
      <c r="OAQ1635" s="1"/>
      <c r="OAR1635" s="1"/>
      <c r="OAS1635" s="1"/>
      <c r="OAT1635" s="1"/>
      <c r="OAU1635" s="1"/>
      <c r="OAV1635" s="1"/>
      <c r="OAW1635" s="1"/>
      <c r="OAX1635" s="1"/>
      <c r="OAY1635" s="1"/>
      <c r="OAZ1635" s="1"/>
      <c r="OBA1635" s="1"/>
      <c r="OBB1635" s="1"/>
      <c r="OBC1635" s="1"/>
      <c r="OBD1635" s="1"/>
      <c r="OBE1635" s="1"/>
      <c r="OBF1635" s="1"/>
      <c r="OBG1635" s="1"/>
      <c r="OBH1635" s="1"/>
      <c r="OBI1635" s="1"/>
      <c r="OBJ1635" s="1"/>
      <c r="OBK1635" s="1"/>
      <c r="OBL1635" s="1"/>
      <c r="OBM1635" s="1"/>
      <c r="OBN1635" s="1"/>
      <c r="OBO1635" s="1"/>
      <c r="OBP1635" s="1"/>
      <c r="OBQ1635" s="1"/>
      <c r="OBR1635" s="1"/>
      <c r="OBS1635" s="1"/>
      <c r="OBT1635" s="1"/>
      <c r="OBU1635" s="1"/>
      <c r="OBV1635" s="1"/>
      <c r="OBW1635" s="1"/>
      <c r="OBX1635" s="1"/>
      <c r="OBY1635" s="1"/>
      <c r="OBZ1635" s="1"/>
      <c r="OCA1635" s="1"/>
      <c r="OCB1635" s="1"/>
      <c r="OCC1635" s="1"/>
      <c r="OCD1635" s="1"/>
      <c r="OCE1635" s="1"/>
      <c r="OCF1635" s="1"/>
      <c r="OCG1635" s="1"/>
      <c r="OCH1635" s="1"/>
      <c r="OCI1635" s="1"/>
      <c r="OCJ1635" s="1"/>
      <c r="OCK1635" s="1"/>
      <c r="OCL1635" s="1"/>
      <c r="OCM1635" s="1"/>
      <c r="OCN1635" s="1"/>
      <c r="OCO1635" s="1"/>
      <c r="OCP1635" s="1"/>
      <c r="OCQ1635" s="1"/>
      <c r="OCR1635" s="1"/>
      <c r="OCS1635" s="1"/>
      <c r="OCT1635" s="1"/>
      <c r="OCU1635" s="1"/>
      <c r="OCV1635" s="1"/>
      <c r="OCW1635" s="1"/>
      <c r="OCX1635" s="1"/>
      <c r="OCY1635" s="1"/>
      <c r="OCZ1635" s="1"/>
      <c r="ODA1635" s="1"/>
      <c r="ODB1635" s="1"/>
      <c r="ODC1635" s="1"/>
      <c r="ODD1635" s="1"/>
      <c r="ODE1635" s="1"/>
      <c r="ODF1635" s="1"/>
      <c r="ODG1635" s="1"/>
      <c r="ODH1635" s="1"/>
      <c r="ODI1635" s="1"/>
      <c r="ODJ1635" s="1"/>
      <c r="ODK1635" s="1"/>
      <c r="ODL1635" s="1"/>
      <c r="ODM1635" s="1"/>
      <c r="ODN1635" s="1"/>
      <c r="ODO1635" s="1"/>
      <c r="ODP1635" s="1"/>
      <c r="ODQ1635" s="1"/>
      <c r="ODR1635" s="1"/>
      <c r="ODS1635" s="1"/>
      <c r="ODT1635" s="1"/>
      <c r="ODU1635" s="1"/>
      <c r="ODV1635" s="1"/>
      <c r="ODW1635" s="1"/>
      <c r="ODX1635" s="1"/>
      <c r="ODY1635" s="1"/>
      <c r="ODZ1635" s="1"/>
      <c r="OEA1635" s="1"/>
      <c r="OEB1635" s="1"/>
      <c r="OEC1635" s="1"/>
      <c r="OED1635" s="1"/>
      <c r="OEE1635" s="1"/>
      <c r="OEF1635" s="1"/>
      <c r="OEG1635" s="1"/>
      <c r="OEH1635" s="1"/>
      <c r="OEI1635" s="1"/>
      <c r="OEJ1635" s="1"/>
      <c r="OEK1635" s="1"/>
      <c r="OEL1635" s="1"/>
      <c r="OEM1635" s="1"/>
      <c r="OEN1635" s="1"/>
      <c r="OEO1635" s="1"/>
      <c r="OEP1635" s="1"/>
      <c r="OEQ1635" s="1"/>
      <c r="OER1635" s="1"/>
      <c r="OES1635" s="1"/>
      <c r="OET1635" s="1"/>
      <c r="OEU1635" s="1"/>
      <c r="OEV1635" s="1"/>
      <c r="OEW1635" s="1"/>
      <c r="OEX1635" s="1"/>
      <c r="OEY1635" s="1"/>
      <c r="OEZ1635" s="1"/>
      <c r="OFA1635" s="1"/>
      <c r="OFB1635" s="1"/>
      <c r="OFC1635" s="1"/>
      <c r="OFD1635" s="1"/>
      <c r="OFE1635" s="1"/>
      <c r="OFF1635" s="1"/>
      <c r="OFG1635" s="1"/>
      <c r="OFH1635" s="1"/>
      <c r="OFI1635" s="1"/>
      <c r="OFJ1635" s="1"/>
      <c r="OFK1635" s="1"/>
      <c r="OFL1635" s="1"/>
      <c r="OFM1635" s="1"/>
      <c r="OFN1635" s="1"/>
      <c r="OFO1635" s="1"/>
      <c r="OFP1635" s="1"/>
      <c r="OFQ1635" s="1"/>
      <c r="OFR1635" s="1"/>
      <c r="OFS1635" s="1"/>
      <c r="OFT1635" s="1"/>
      <c r="OFU1635" s="1"/>
      <c r="OFV1635" s="1"/>
      <c r="OFW1635" s="1"/>
      <c r="OFX1635" s="1"/>
      <c r="OFY1635" s="1"/>
      <c r="OFZ1635" s="1"/>
      <c r="OGA1635" s="1"/>
      <c r="OGB1635" s="1"/>
      <c r="OGC1635" s="1"/>
      <c r="OGD1635" s="1"/>
      <c r="OGE1635" s="1"/>
      <c r="OGF1635" s="1"/>
      <c r="OGG1635" s="1"/>
      <c r="OGH1635" s="1"/>
      <c r="OGI1635" s="1"/>
      <c r="OGJ1635" s="1"/>
      <c r="OGK1635" s="1"/>
      <c r="OGL1635" s="1"/>
      <c r="OGM1635" s="1"/>
      <c r="OGN1635" s="1"/>
      <c r="OGO1635" s="1"/>
      <c r="OGP1635" s="1"/>
      <c r="OGQ1635" s="1"/>
      <c r="OGR1635" s="1"/>
      <c r="OGS1635" s="1"/>
      <c r="OGT1635" s="1"/>
      <c r="OGU1635" s="1"/>
      <c r="OGV1635" s="1"/>
      <c r="OGW1635" s="1"/>
      <c r="OGX1635" s="1"/>
      <c r="OGY1635" s="1"/>
      <c r="OGZ1635" s="1"/>
      <c r="OHA1635" s="1"/>
      <c r="OHB1635" s="1"/>
      <c r="OHC1635" s="1"/>
      <c r="OHD1635" s="1"/>
      <c r="OHE1635" s="1"/>
      <c r="OHF1635" s="1"/>
      <c r="OHG1635" s="1"/>
      <c r="OHH1635" s="1"/>
      <c r="OHI1635" s="1"/>
      <c r="OHJ1635" s="1"/>
      <c r="OHK1635" s="1"/>
      <c r="OHL1635" s="1"/>
      <c r="OHM1635" s="1"/>
      <c r="OHN1635" s="1"/>
      <c r="OHO1635" s="1"/>
      <c r="OHP1635" s="1"/>
      <c r="OHQ1635" s="1"/>
      <c r="OHR1635" s="1"/>
      <c r="OHS1635" s="1"/>
      <c r="OHT1635" s="1"/>
      <c r="OHU1635" s="1"/>
      <c r="OHV1635" s="1"/>
      <c r="OHW1635" s="1"/>
      <c r="OHX1635" s="1"/>
      <c r="OHY1635" s="1"/>
      <c r="OHZ1635" s="1"/>
      <c r="OIA1635" s="1"/>
      <c r="OIB1635" s="1"/>
      <c r="OIC1635" s="1"/>
      <c r="OID1635" s="1"/>
      <c r="OIE1635" s="1"/>
      <c r="OIF1635" s="1"/>
      <c r="OIG1635" s="1"/>
      <c r="OIH1635" s="1"/>
      <c r="OII1635" s="1"/>
      <c r="OIJ1635" s="1"/>
      <c r="OIK1635" s="1"/>
      <c r="OIL1635" s="1"/>
      <c r="OIM1635" s="1"/>
      <c r="OIN1635" s="1"/>
      <c r="OIO1635" s="1"/>
      <c r="OIP1635" s="1"/>
      <c r="OIQ1635" s="1"/>
      <c r="OIR1635" s="1"/>
      <c r="OIS1635" s="1"/>
      <c r="OIT1635" s="1"/>
      <c r="OIU1635" s="1"/>
      <c r="OIV1635" s="1"/>
      <c r="OIW1635" s="1"/>
      <c r="OIX1635" s="1"/>
      <c r="OIY1635" s="1"/>
      <c r="OIZ1635" s="1"/>
      <c r="OJA1635" s="1"/>
      <c r="OJB1635" s="1"/>
      <c r="OJC1635" s="1"/>
      <c r="OJD1635" s="1"/>
      <c r="OJE1635" s="1"/>
      <c r="OJF1635" s="1"/>
      <c r="OJG1635" s="1"/>
      <c r="OJH1635" s="1"/>
      <c r="OJI1635" s="1"/>
      <c r="OJJ1635" s="1"/>
      <c r="OJK1635" s="1"/>
      <c r="OJL1635" s="1"/>
      <c r="OJM1635" s="1"/>
      <c r="OJN1635" s="1"/>
      <c r="OJO1635" s="1"/>
      <c r="OJP1635" s="1"/>
      <c r="OJQ1635" s="1"/>
      <c r="OJR1635" s="1"/>
      <c r="OJS1635" s="1"/>
      <c r="OJT1635" s="1"/>
      <c r="OJU1635" s="1"/>
      <c r="OJV1635" s="1"/>
      <c r="OJW1635" s="1"/>
      <c r="OJX1635" s="1"/>
      <c r="OJY1635" s="1"/>
      <c r="OJZ1635" s="1"/>
      <c r="OKA1635" s="1"/>
      <c r="OKB1635" s="1"/>
      <c r="OKC1635" s="1"/>
      <c r="OKD1635" s="1"/>
      <c r="OKE1635" s="1"/>
      <c r="OKF1635" s="1"/>
      <c r="OKG1635" s="1"/>
      <c r="OKH1635" s="1"/>
      <c r="OKI1635" s="1"/>
      <c r="OKJ1635" s="1"/>
      <c r="OKK1635" s="1"/>
      <c r="OKL1635" s="1"/>
      <c r="OKM1635" s="1"/>
      <c r="OKN1635" s="1"/>
      <c r="OKO1635" s="1"/>
      <c r="OKP1635" s="1"/>
      <c r="OKQ1635" s="1"/>
      <c r="OKR1635" s="1"/>
      <c r="OKS1635" s="1"/>
      <c r="OKT1635" s="1"/>
      <c r="OKU1635" s="1"/>
      <c r="OKV1635" s="1"/>
      <c r="OKW1635" s="1"/>
      <c r="OKX1635" s="1"/>
      <c r="OKY1635" s="1"/>
      <c r="OKZ1635" s="1"/>
      <c r="OLA1635" s="1"/>
      <c r="OLB1635" s="1"/>
      <c r="OLC1635" s="1"/>
      <c r="OLD1635" s="1"/>
      <c r="OLE1635" s="1"/>
      <c r="OLF1635" s="1"/>
      <c r="OLG1635" s="1"/>
      <c r="OLH1635" s="1"/>
      <c r="OLI1635" s="1"/>
      <c r="OLJ1635" s="1"/>
      <c r="OLK1635" s="1"/>
      <c r="OLL1635" s="1"/>
      <c r="OLM1635" s="1"/>
      <c r="OLN1635" s="1"/>
      <c r="OLO1635" s="1"/>
      <c r="OLP1635" s="1"/>
      <c r="OLQ1635" s="1"/>
      <c r="OLR1635" s="1"/>
      <c r="OLS1635" s="1"/>
      <c r="OLT1635" s="1"/>
      <c r="OLU1635" s="1"/>
      <c r="OLV1635" s="1"/>
      <c r="OLW1635" s="1"/>
      <c r="OLX1635" s="1"/>
      <c r="OLY1635" s="1"/>
      <c r="OLZ1635" s="1"/>
      <c r="OMA1635" s="1"/>
      <c r="OMB1635" s="1"/>
      <c r="OMC1635" s="1"/>
      <c r="OMD1635" s="1"/>
      <c r="OME1635" s="1"/>
      <c r="OMF1635" s="1"/>
      <c r="OMG1635" s="1"/>
      <c r="OMH1635" s="1"/>
      <c r="OMI1635" s="1"/>
      <c r="OMJ1635" s="1"/>
      <c r="OMK1635" s="1"/>
      <c r="OML1635" s="1"/>
      <c r="OMM1635" s="1"/>
      <c r="OMN1635" s="1"/>
      <c r="OMO1635" s="1"/>
      <c r="OMP1635" s="1"/>
      <c r="OMQ1635" s="1"/>
      <c r="OMR1635" s="1"/>
      <c r="OMS1635" s="1"/>
      <c r="OMT1635" s="1"/>
      <c r="OMU1635" s="1"/>
      <c r="OMV1635" s="1"/>
      <c r="OMW1635" s="1"/>
      <c r="OMX1635" s="1"/>
      <c r="OMY1635" s="1"/>
      <c r="OMZ1635" s="1"/>
      <c r="ONA1635" s="1"/>
      <c r="ONB1635" s="1"/>
      <c r="ONC1635" s="1"/>
      <c r="OND1635" s="1"/>
      <c r="ONE1635" s="1"/>
      <c r="ONF1635" s="1"/>
      <c r="ONG1635" s="1"/>
      <c r="ONH1635" s="1"/>
      <c r="ONI1635" s="1"/>
      <c r="ONJ1635" s="1"/>
      <c r="ONK1635" s="1"/>
      <c r="ONL1635" s="1"/>
      <c r="ONM1635" s="1"/>
      <c r="ONN1635" s="1"/>
      <c r="ONO1635" s="1"/>
      <c r="ONP1635" s="1"/>
      <c r="ONQ1635" s="1"/>
      <c r="ONR1635" s="1"/>
      <c r="ONS1635" s="1"/>
      <c r="ONT1635" s="1"/>
      <c r="ONU1635" s="1"/>
      <c r="ONV1635" s="1"/>
      <c r="ONW1635" s="1"/>
      <c r="ONX1635" s="1"/>
      <c r="ONY1635" s="1"/>
      <c r="ONZ1635" s="1"/>
      <c r="OOA1635" s="1"/>
      <c r="OOB1635" s="1"/>
      <c r="OOC1635" s="1"/>
      <c r="OOD1635" s="1"/>
      <c r="OOE1635" s="1"/>
      <c r="OOF1635" s="1"/>
      <c r="OOG1635" s="1"/>
      <c r="OOH1635" s="1"/>
      <c r="OOI1635" s="1"/>
      <c r="OOJ1635" s="1"/>
      <c r="OOK1635" s="1"/>
      <c r="OOL1635" s="1"/>
      <c r="OOM1635" s="1"/>
      <c r="OON1635" s="1"/>
      <c r="OOO1635" s="1"/>
      <c r="OOP1635" s="1"/>
      <c r="OOQ1635" s="1"/>
      <c r="OOR1635" s="1"/>
      <c r="OOS1635" s="1"/>
      <c r="OOT1635" s="1"/>
      <c r="OOU1635" s="1"/>
      <c r="OOV1635" s="1"/>
      <c r="OOW1635" s="1"/>
      <c r="OOX1635" s="1"/>
      <c r="OOY1635" s="1"/>
      <c r="OOZ1635" s="1"/>
      <c r="OPA1635" s="1"/>
      <c r="OPB1635" s="1"/>
      <c r="OPC1635" s="1"/>
      <c r="OPD1635" s="1"/>
      <c r="OPE1635" s="1"/>
      <c r="OPF1635" s="1"/>
      <c r="OPG1635" s="1"/>
      <c r="OPH1635" s="1"/>
      <c r="OPI1635" s="1"/>
      <c r="OPJ1635" s="1"/>
      <c r="OPK1635" s="1"/>
      <c r="OPL1635" s="1"/>
      <c r="OPM1635" s="1"/>
      <c r="OPN1635" s="1"/>
      <c r="OPO1635" s="1"/>
      <c r="OPP1635" s="1"/>
      <c r="OPQ1635" s="1"/>
      <c r="OPR1635" s="1"/>
      <c r="OPS1635" s="1"/>
      <c r="OPT1635" s="1"/>
      <c r="OPU1635" s="1"/>
      <c r="OPV1635" s="1"/>
      <c r="OPW1635" s="1"/>
      <c r="OPX1635" s="1"/>
      <c r="OPY1635" s="1"/>
      <c r="OPZ1635" s="1"/>
      <c r="OQA1635" s="1"/>
      <c r="OQB1635" s="1"/>
      <c r="OQC1635" s="1"/>
      <c r="OQD1635" s="1"/>
      <c r="OQE1635" s="1"/>
      <c r="OQF1635" s="1"/>
      <c r="OQG1635" s="1"/>
      <c r="OQH1635" s="1"/>
      <c r="OQI1635" s="1"/>
      <c r="OQJ1635" s="1"/>
      <c r="OQK1635" s="1"/>
      <c r="OQL1635" s="1"/>
      <c r="OQM1635" s="1"/>
      <c r="OQN1635" s="1"/>
      <c r="OQO1635" s="1"/>
      <c r="OQP1635" s="1"/>
      <c r="OQQ1635" s="1"/>
      <c r="OQR1635" s="1"/>
      <c r="OQS1635" s="1"/>
      <c r="OQT1635" s="1"/>
      <c r="OQU1635" s="1"/>
      <c r="OQV1635" s="1"/>
      <c r="OQW1635" s="1"/>
      <c r="OQX1635" s="1"/>
      <c r="OQY1635" s="1"/>
      <c r="OQZ1635" s="1"/>
      <c r="ORA1635" s="1"/>
      <c r="ORB1635" s="1"/>
      <c r="ORC1635" s="1"/>
      <c r="ORD1635" s="1"/>
      <c r="ORE1635" s="1"/>
      <c r="ORF1635" s="1"/>
      <c r="ORG1635" s="1"/>
      <c r="ORH1635" s="1"/>
      <c r="ORI1635" s="1"/>
      <c r="ORJ1635" s="1"/>
      <c r="ORK1635" s="1"/>
      <c r="ORL1635" s="1"/>
      <c r="ORM1635" s="1"/>
      <c r="ORN1635" s="1"/>
      <c r="ORO1635" s="1"/>
      <c r="ORP1635" s="1"/>
      <c r="ORQ1635" s="1"/>
      <c r="ORR1635" s="1"/>
      <c r="ORS1635" s="1"/>
      <c r="ORT1635" s="1"/>
      <c r="ORU1635" s="1"/>
      <c r="ORV1635" s="1"/>
      <c r="ORW1635" s="1"/>
      <c r="ORX1635" s="1"/>
      <c r="ORY1635" s="1"/>
      <c r="ORZ1635" s="1"/>
      <c r="OSA1635" s="1"/>
      <c r="OSB1635" s="1"/>
      <c r="OSC1635" s="1"/>
      <c r="OSD1635" s="1"/>
      <c r="OSE1635" s="1"/>
      <c r="OSF1635" s="1"/>
      <c r="OSG1635" s="1"/>
      <c r="OSH1635" s="1"/>
      <c r="OSI1635" s="1"/>
      <c r="OSJ1635" s="1"/>
      <c r="OSK1635" s="1"/>
      <c r="OSL1635" s="1"/>
      <c r="OSM1635" s="1"/>
      <c r="OSN1635" s="1"/>
      <c r="OSO1635" s="1"/>
      <c r="OSP1635" s="1"/>
      <c r="OSQ1635" s="1"/>
      <c r="OSR1635" s="1"/>
      <c r="OSS1635" s="1"/>
      <c r="OST1635" s="1"/>
      <c r="OSU1635" s="1"/>
      <c r="OSV1635" s="1"/>
      <c r="OSW1635" s="1"/>
      <c r="OSX1635" s="1"/>
      <c r="OSY1635" s="1"/>
      <c r="OSZ1635" s="1"/>
      <c r="OTA1635" s="1"/>
      <c r="OTB1635" s="1"/>
      <c r="OTC1635" s="1"/>
      <c r="OTD1635" s="1"/>
      <c r="OTE1635" s="1"/>
      <c r="OTF1635" s="1"/>
      <c r="OTG1635" s="1"/>
      <c r="OTH1635" s="1"/>
      <c r="OTI1635" s="1"/>
      <c r="OTJ1635" s="1"/>
      <c r="OTK1635" s="1"/>
      <c r="OTL1635" s="1"/>
      <c r="OTM1635" s="1"/>
      <c r="OTN1635" s="1"/>
      <c r="OTO1635" s="1"/>
      <c r="OTP1635" s="1"/>
      <c r="OTQ1635" s="1"/>
      <c r="OTR1635" s="1"/>
      <c r="OTS1635" s="1"/>
      <c r="OTT1635" s="1"/>
      <c r="OTU1635" s="1"/>
      <c r="OTV1635" s="1"/>
      <c r="OTW1635" s="1"/>
      <c r="OTX1635" s="1"/>
      <c r="OTY1635" s="1"/>
      <c r="OTZ1635" s="1"/>
      <c r="OUA1635" s="1"/>
      <c r="OUB1635" s="1"/>
      <c r="OUC1635" s="1"/>
      <c r="OUD1635" s="1"/>
      <c r="OUE1635" s="1"/>
      <c r="OUF1635" s="1"/>
      <c r="OUG1635" s="1"/>
      <c r="OUH1635" s="1"/>
      <c r="OUI1635" s="1"/>
      <c r="OUJ1635" s="1"/>
      <c r="OUK1635" s="1"/>
      <c r="OUL1635" s="1"/>
      <c r="OUM1635" s="1"/>
      <c r="OUN1635" s="1"/>
      <c r="OUO1635" s="1"/>
      <c r="OUP1635" s="1"/>
      <c r="OUQ1635" s="1"/>
      <c r="OUR1635" s="1"/>
      <c r="OUS1635" s="1"/>
      <c r="OUT1635" s="1"/>
      <c r="OUU1635" s="1"/>
      <c r="OUV1635" s="1"/>
      <c r="OUW1635" s="1"/>
      <c r="OUX1635" s="1"/>
      <c r="OUY1635" s="1"/>
      <c r="OUZ1635" s="1"/>
      <c r="OVA1635" s="1"/>
      <c r="OVB1635" s="1"/>
      <c r="OVC1635" s="1"/>
      <c r="OVD1635" s="1"/>
      <c r="OVE1635" s="1"/>
      <c r="OVF1635" s="1"/>
      <c r="OVG1635" s="1"/>
      <c r="OVH1635" s="1"/>
      <c r="OVI1635" s="1"/>
      <c r="OVJ1635" s="1"/>
      <c r="OVK1635" s="1"/>
      <c r="OVL1635" s="1"/>
      <c r="OVM1635" s="1"/>
      <c r="OVN1635" s="1"/>
      <c r="OVO1635" s="1"/>
      <c r="OVP1635" s="1"/>
      <c r="OVQ1635" s="1"/>
      <c r="OVR1635" s="1"/>
      <c r="OVS1635" s="1"/>
      <c r="OVT1635" s="1"/>
      <c r="OVU1635" s="1"/>
      <c r="OVV1635" s="1"/>
      <c r="OVW1635" s="1"/>
      <c r="OVX1635" s="1"/>
      <c r="OVY1635" s="1"/>
      <c r="OVZ1635" s="1"/>
      <c r="OWA1635" s="1"/>
      <c r="OWB1635" s="1"/>
      <c r="OWC1635" s="1"/>
      <c r="OWD1635" s="1"/>
      <c r="OWE1635" s="1"/>
      <c r="OWF1635" s="1"/>
      <c r="OWG1635" s="1"/>
      <c r="OWH1635" s="1"/>
      <c r="OWI1635" s="1"/>
      <c r="OWJ1635" s="1"/>
      <c r="OWK1635" s="1"/>
      <c r="OWL1635" s="1"/>
      <c r="OWM1635" s="1"/>
      <c r="OWN1635" s="1"/>
      <c r="OWO1635" s="1"/>
      <c r="OWP1635" s="1"/>
      <c r="OWQ1635" s="1"/>
      <c r="OWR1635" s="1"/>
      <c r="OWS1635" s="1"/>
      <c r="OWT1635" s="1"/>
      <c r="OWU1635" s="1"/>
      <c r="OWV1635" s="1"/>
      <c r="OWW1635" s="1"/>
      <c r="OWX1635" s="1"/>
      <c r="OWY1635" s="1"/>
      <c r="OWZ1635" s="1"/>
      <c r="OXA1635" s="1"/>
      <c r="OXB1635" s="1"/>
      <c r="OXC1635" s="1"/>
      <c r="OXD1635" s="1"/>
      <c r="OXE1635" s="1"/>
      <c r="OXF1635" s="1"/>
      <c r="OXG1635" s="1"/>
      <c r="OXH1635" s="1"/>
      <c r="OXI1635" s="1"/>
      <c r="OXJ1635" s="1"/>
      <c r="OXK1635" s="1"/>
      <c r="OXL1635" s="1"/>
      <c r="OXM1635" s="1"/>
      <c r="OXN1635" s="1"/>
      <c r="OXO1635" s="1"/>
      <c r="OXP1635" s="1"/>
      <c r="OXQ1635" s="1"/>
      <c r="OXR1635" s="1"/>
      <c r="OXS1635" s="1"/>
      <c r="OXT1635" s="1"/>
      <c r="OXU1635" s="1"/>
      <c r="OXV1635" s="1"/>
      <c r="OXW1635" s="1"/>
      <c r="OXX1635" s="1"/>
      <c r="OXY1635" s="1"/>
      <c r="OXZ1635" s="1"/>
      <c r="OYA1635" s="1"/>
      <c r="OYB1635" s="1"/>
      <c r="OYC1635" s="1"/>
      <c r="OYD1635" s="1"/>
      <c r="OYE1635" s="1"/>
      <c r="OYF1635" s="1"/>
      <c r="OYG1635" s="1"/>
      <c r="OYH1635" s="1"/>
      <c r="OYI1635" s="1"/>
      <c r="OYJ1635" s="1"/>
      <c r="OYK1635" s="1"/>
      <c r="OYL1635" s="1"/>
      <c r="OYM1635" s="1"/>
      <c r="OYN1635" s="1"/>
      <c r="OYO1635" s="1"/>
      <c r="OYP1635" s="1"/>
      <c r="OYQ1635" s="1"/>
      <c r="OYR1635" s="1"/>
      <c r="OYS1635" s="1"/>
      <c r="OYT1635" s="1"/>
      <c r="OYU1635" s="1"/>
      <c r="OYV1635" s="1"/>
      <c r="OYW1635" s="1"/>
      <c r="OYX1635" s="1"/>
      <c r="OYY1635" s="1"/>
      <c r="OYZ1635" s="1"/>
      <c r="OZA1635" s="1"/>
      <c r="OZB1635" s="1"/>
      <c r="OZC1635" s="1"/>
      <c r="OZD1635" s="1"/>
      <c r="OZE1635" s="1"/>
      <c r="OZF1635" s="1"/>
      <c r="OZG1635" s="1"/>
      <c r="OZH1635" s="1"/>
      <c r="OZI1635" s="1"/>
      <c r="OZJ1635" s="1"/>
      <c r="OZK1635" s="1"/>
      <c r="OZL1635" s="1"/>
      <c r="OZM1635" s="1"/>
      <c r="OZN1635" s="1"/>
      <c r="OZO1635" s="1"/>
      <c r="OZP1635" s="1"/>
      <c r="OZQ1635" s="1"/>
      <c r="OZR1635" s="1"/>
      <c r="OZS1635" s="1"/>
      <c r="OZT1635" s="1"/>
      <c r="OZU1635" s="1"/>
      <c r="OZV1635" s="1"/>
      <c r="OZW1635" s="1"/>
      <c r="OZX1635" s="1"/>
      <c r="OZY1635" s="1"/>
      <c r="OZZ1635" s="1"/>
      <c r="PAA1635" s="1"/>
      <c r="PAB1635" s="1"/>
      <c r="PAC1635" s="1"/>
      <c r="PAD1635" s="1"/>
      <c r="PAE1635" s="1"/>
      <c r="PAF1635" s="1"/>
      <c r="PAG1635" s="1"/>
      <c r="PAH1635" s="1"/>
      <c r="PAI1635" s="1"/>
      <c r="PAJ1635" s="1"/>
      <c r="PAK1635" s="1"/>
      <c r="PAL1635" s="1"/>
      <c r="PAM1635" s="1"/>
      <c r="PAN1635" s="1"/>
      <c r="PAO1635" s="1"/>
      <c r="PAP1635" s="1"/>
      <c r="PAQ1635" s="1"/>
      <c r="PAR1635" s="1"/>
      <c r="PAS1635" s="1"/>
      <c r="PAT1635" s="1"/>
      <c r="PAU1635" s="1"/>
      <c r="PAV1635" s="1"/>
      <c r="PAW1635" s="1"/>
      <c r="PAX1635" s="1"/>
      <c r="PAY1635" s="1"/>
      <c r="PAZ1635" s="1"/>
      <c r="PBA1635" s="1"/>
      <c r="PBB1635" s="1"/>
      <c r="PBC1635" s="1"/>
      <c r="PBD1635" s="1"/>
      <c r="PBE1635" s="1"/>
      <c r="PBF1635" s="1"/>
      <c r="PBG1635" s="1"/>
      <c r="PBH1635" s="1"/>
      <c r="PBI1635" s="1"/>
      <c r="PBJ1635" s="1"/>
      <c r="PBK1635" s="1"/>
      <c r="PBL1635" s="1"/>
      <c r="PBM1635" s="1"/>
      <c r="PBN1635" s="1"/>
      <c r="PBO1635" s="1"/>
      <c r="PBP1635" s="1"/>
      <c r="PBQ1635" s="1"/>
      <c r="PBR1635" s="1"/>
      <c r="PBS1635" s="1"/>
      <c r="PBT1635" s="1"/>
      <c r="PBU1635" s="1"/>
      <c r="PBV1635" s="1"/>
      <c r="PBW1635" s="1"/>
      <c r="PBX1635" s="1"/>
      <c r="PBY1635" s="1"/>
      <c r="PBZ1635" s="1"/>
      <c r="PCA1635" s="1"/>
      <c r="PCB1635" s="1"/>
      <c r="PCC1635" s="1"/>
      <c r="PCD1635" s="1"/>
      <c r="PCE1635" s="1"/>
      <c r="PCF1635" s="1"/>
      <c r="PCG1635" s="1"/>
      <c r="PCH1635" s="1"/>
      <c r="PCI1635" s="1"/>
      <c r="PCJ1635" s="1"/>
      <c r="PCK1635" s="1"/>
      <c r="PCL1635" s="1"/>
      <c r="PCM1635" s="1"/>
      <c r="PCN1635" s="1"/>
      <c r="PCO1635" s="1"/>
      <c r="PCP1635" s="1"/>
      <c r="PCQ1635" s="1"/>
      <c r="PCR1635" s="1"/>
      <c r="PCS1635" s="1"/>
      <c r="PCT1635" s="1"/>
      <c r="PCU1635" s="1"/>
      <c r="PCV1635" s="1"/>
      <c r="PCW1635" s="1"/>
      <c r="PCX1635" s="1"/>
      <c r="PCY1635" s="1"/>
      <c r="PCZ1635" s="1"/>
      <c r="PDA1635" s="1"/>
      <c r="PDB1635" s="1"/>
      <c r="PDC1635" s="1"/>
      <c r="PDD1635" s="1"/>
      <c r="PDE1635" s="1"/>
      <c r="PDF1635" s="1"/>
      <c r="PDG1635" s="1"/>
      <c r="PDH1635" s="1"/>
      <c r="PDI1635" s="1"/>
      <c r="PDJ1635" s="1"/>
      <c r="PDK1635" s="1"/>
      <c r="PDL1635" s="1"/>
      <c r="PDM1635" s="1"/>
      <c r="PDN1635" s="1"/>
      <c r="PDO1635" s="1"/>
      <c r="PDP1635" s="1"/>
      <c r="PDQ1635" s="1"/>
      <c r="PDR1635" s="1"/>
      <c r="PDS1635" s="1"/>
      <c r="PDT1635" s="1"/>
      <c r="PDU1635" s="1"/>
      <c r="PDV1635" s="1"/>
      <c r="PDW1635" s="1"/>
      <c r="PDX1635" s="1"/>
      <c r="PDY1635" s="1"/>
      <c r="PDZ1635" s="1"/>
      <c r="PEA1635" s="1"/>
      <c r="PEB1635" s="1"/>
      <c r="PEC1635" s="1"/>
      <c r="PED1635" s="1"/>
      <c r="PEE1635" s="1"/>
      <c r="PEF1635" s="1"/>
      <c r="PEG1635" s="1"/>
      <c r="PEH1635" s="1"/>
      <c r="PEI1635" s="1"/>
      <c r="PEJ1635" s="1"/>
      <c r="PEK1635" s="1"/>
      <c r="PEL1635" s="1"/>
      <c r="PEM1635" s="1"/>
      <c r="PEN1635" s="1"/>
      <c r="PEO1635" s="1"/>
      <c r="PEP1635" s="1"/>
      <c r="PEQ1635" s="1"/>
      <c r="PER1635" s="1"/>
      <c r="PES1635" s="1"/>
      <c r="PET1635" s="1"/>
      <c r="PEU1635" s="1"/>
      <c r="PEV1635" s="1"/>
      <c r="PEW1635" s="1"/>
      <c r="PEX1635" s="1"/>
      <c r="PEY1635" s="1"/>
      <c r="PEZ1635" s="1"/>
      <c r="PFA1635" s="1"/>
      <c r="PFB1635" s="1"/>
      <c r="PFC1635" s="1"/>
      <c r="PFD1635" s="1"/>
      <c r="PFE1635" s="1"/>
      <c r="PFF1635" s="1"/>
      <c r="PFG1635" s="1"/>
      <c r="PFH1635" s="1"/>
      <c r="PFI1635" s="1"/>
      <c r="PFJ1635" s="1"/>
      <c r="PFK1635" s="1"/>
      <c r="PFL1635" s="1"/>
      <c r="PFM1635" s="1"/>
      <c r="PFN1635" s="1"/>
      <c r="PFO1635" s="1"/>
      <c r="PFP1635" s="1"/>
      <c r="PFQ1635" s="1"/>
      <c r="PFR1635" s="1"/>
      <c r="PFS1635" s="1"/>
      <c r="PFT1635" s="1"/>
      <c r="PFU1635" s="1"/>
      <c r="PFV1635" s="1"/>
      <c r="PFW1635" s="1"/>
      <c r="PFX1635" s="1"/>
      <c r="PFY1635" s="1"/>
      <c r="PFZ1635" s="1"/>
      <c r="PGA1635" s="1"/>
      <c r="PGB1635" s="1"/>
      <c r="PGC1635" s="1"/>
      <c r="PGD1635" s="1"/>
      <c r="PGE1635" s="1"/>
      <c r="PGF1635" s="1"/>
      <c r="PGG1635" s="1"/>
      <c r="PGH1635" s="1"/>
      <c r="PGI1635" s="1"/>
      <c r="PGJ1635" s="1"/>
      <c r="PGK1635" s="1"/>
      <c r="PGL1635" s="1"/>
      <c r="PGM1635" s="1"/>
      <c r="PGN1635" s="1"/>
      <c r="PGO1635" s="1"/>
      <c r="PGP1635" s="1"/>
      <c r="PGQ1635" s="1"/>
      <c r="PGR1635" s="1"/>
      <c r="PGS1635" s="1"/>
      <c r="PGT1635" s="1"/>
      <c r="PGU1635" s="1"/>
      <c r="PGV1635" s="1"/>
      <c r="PGW1635" s="1"/>
      <c r="PGX1635" s="1"/>
      <c r="PGY1635" s="1"/>
      <c r="PGZ1635" s="1"/>
      <c r="PHA1635" s="1"/>
      <c r="PHB1635" s="1"/>
      <c r="PHC1635" s="1"/>
      <c r="PHD1635" s="1"/>
      <c r="PHE1635" s="1"/>
      <c r="PHF1635" s="1"/>
      <c r="PHG1635" s="1"/>
      <c r="PHH1635" s="1"/>
      <c r="PHI1635" s="1"/>
      <c r="PHJ1635" s="1"/>
      <c r="PHK1635" s="1"/>
      <c r="PHL1635" s="1"/>
      <c r="PHM1635" s="1"/>
      <c r="PHN1635" s="1"/>
      <c r="PHO1635" s="1"/>
      <c r="PHP1635" s="1"/>
      <c r="PHQ1635" s="1"/>
      <c r="PHR1635" s="1"/>
      <c r="PHS1635" s="1"/>
      <c r="PHT1635" s="1"/>
      <c r="PHU1635" s="1"/>
      <c r="PHV1635" s="1"/>
      <c r="PHW1635" s="1"/>
      <c r="PHX1635" s="1"/>
      <c r="PHY1635" s="1"/>
      <c r="PHZ1635" s="1"/>
      <c r="PIA1635" s="1"/>
      <c r="PIB1635" s="1"/>
      <c r="PIC1635" s="1"/>
      <c r="PID1635" s="1"/>
      <c r="PIE1635" s="1"/>
      <c r="PIF1635" s="1"/>
      <c r="PIG1635" s="1"/>
      <c r="PIH1635" s="1"/>
      <c r="PII1635" s="1"/>
      <c r="PIJ1635" s="1"/>
      <c r="PIK1635" s="1"/>
      <c r="PIL1635" s="1"/>
      <c r="PIM1635" s="1"/>
      <c r="PIN1635" s="1"/>
      <c r="PIO1635" s="1"/>
      <c r="PIP1635" s="1"/>
      <c r="PIQ1635" s="1"/>
      <c r="PIR1635" s="1"/>
      <c r="PIS1635" s="1"/>
      <c r="PIT1635" s="1"/>
      <c r="PIU1635" s="1"/>
      <c r="PIV1635" s="1"/>
      <c r="PIW1635" s="1"/>
      <c r="PIX1635" s="1"/>
      <c r="PIY1635" s="1"/>
      <c r="PIZ1635" s="1"/>
      <c r="PJA1635" s="1"/>
      <c r="PJB1635" s="1"/>
      <c r="PJC1635" s="1"/>
      <c r="PJD1635" s="1"/>
      <c r="PJE1635" s="1"/>
      <c r="PJF1635" s="1"/>
      <c r="PJG1635" s="1"/>
      <c r="PJH1635" s="1"/>
      <c r="PJI1635" s="1"/>
      <c r="PJJ1635" s="1"/>
      <c r="PJK1635" s="1"/>
      <c r="PJL1635" s="1"/>
      <c r="PJM1635" s="1"/>
      <c r="PJN1635" s="1"/>
      <c r="PJO1635" s="1"/>
      <c r="PJP1635" s="1"/>
      <c r="PJQ1635" s="1"/>
      <c r="PJR1635" s="1"/>
      <c r="PJS1635" s="1"/>
      <c r="PJT1635" s="1"/>
      <c r="PJU1635" s="1"/>
      <c r="PJV1635" s="1"/>
      <c r="PJW1635" s="1"/>
      <c r="PJX1635" s="1"/>
      <c r="PJY1635" s="1"/>
      <c r="PJZ1635" s="1"/>
      <c r="PKA1635" s="1"/>
      <c r="PKB1635" s="1"/>
      <c r="PKC1635" s="1"/>
      <c r="PKD1635" s="1"/>
      <c r="PKE1635" s="1"/>
      <c r="PKF1635" s="1"/>
      <c r="PKG1635" s="1"/>
      <c r="PKH1635" s="1"/>
      <c r="PKI1635" s="1"/>
      <c r="PKJ1635" s="1"/>
      <c r="PKK1635" s="1"/>
      <c r="PKL1635" s="1"/>
      <c r="PKM1635" s="1"/>
      <c r="PKN1635" s="1"/>
      <c r="PKO1635" s="1"/>
      <c r="PKP1635" s="1"/>
      <c r="PKQ1635" s="1"/>
      <c r="PKR1635" s="1"/>
      <c r="PKS1635" s="1"/>
      <c r="PKT1635" s="1"/>
      <c r="PKU1635" s="1"/>
      <c r="PKV1635" s="1"/>
      <c r="PKW1635" s="1"/>
      <c r="PKX1635" s="1"/>
      <c r="PKY1635" s="1"/>
      <c r="PKZ1635" s="1"/>
      <c r="PLA1635" s="1"/>
      <c r="PLB1635" s="1"/>
      <c r="PLC1635" s="1"/>
      <c r="PLD1635" s="1"/>
      <c r="PLE1635" s="1"/>
      <c r="PLF1635" s="1"/>
      <c r="PLG1635" s="1"/>
      <c r="PLH1635" s="1"/>
      <c r="PLI1635" s="1"/>
      <c r="PLJ1635" s="1"/>
      <c r="PLK1635" s="1"/>
      <c r="PLL1635" s="1"/>
      <c r="PLM1635" s="1"/>
      <c r="PLN1635" s="1"/>
      <c r="PLO1635" s="1"/>
      <c r="PLP1635" s="1"/>
      <c r="PLQ1635" s="1"/>
      <c r="PLR1635" s="1"/>
      <c r="PLS1635" s="1"/>
      <c r="PLT1635" s="1"/>
      <c r="PLU1635" s="1"/>
      <c r="PLV1635" s="1"/>
      <c r="PLW1635" s="1"/>
      <c r="PLX1635" s="1"/>
      <c r="PLY1635" s="1"/>
      <c r="PLZ1635" s="1"/>
      <c r="PMA1635" s="1"/>
      <c r="PMB1635" s="1"/>
      <c r="PMC1635" s="1"/>
      <c r="PMD1635" s="1"/>
      <c r="PME1635" s="1"/>
      <c r="PMF1635" s="1"/>
      <c r="PMG1635" s="1"/>
      <c r="PMH1635" s="1"/>
      <c r="PMI1635" s="1"/>
      <c r="PMJ1635" s="1"/>
      <c r="PMK1635" s="1"/>
      <c r="PML1635" s="1"/>
      <c r="PMM1635" s="1"/>
      <c r="PMN1635" s="1"/>
      <c r="PMO1635" s="1"/>
      <c r="PMP1635" s="1"/>
      <c r="PMQ1635" s="1"/>
      <c r="PMR1635" s="1"/>
      <c r="PMS1635" s="1"/>
      <c r="PMT1635" s="1"/>
      <c r="PMU1635" s="1"/>
      <c r="PMV1635" s="1"/>
      <c r="PMW1635" s="1"/>
      <c r="PMX1635" s="1"/>
      <c r="PMY1635" s="1"/>
      <c r="PMZ1635" s="1"/>
      <c r="PNA1635" s="1"/>
      <c r="PNB1635" s="1"/>
      <c r="PNC1635" s="1"/>
      <c r="PND1635" s="1"/>
      <c r="PNE1635" s="1"/>
      <c r="PNF1635" s="1"/>
      <c r="PNG1635" s="1"/>
      <c r="PNH1635" s="1"/>
      <c r="PNI1635" s="1"/>
      <c r="PNJ1635" s="1"/>
      <c r="PNK1635" s="1"/>
      <c r="PNL1635" s="1"/>
      <c r="PNM1635" s="1"/>
      <c r="PNN1635" s="1"/>
      <c r="PNO1635" s="1"/>
      <c r="PNP1635" s="1"/>
      <c r="PNQ1635" s="1"/>
      <c r="PNR1635" s="1"/>
      <c r="PNS1635" s="1"/>
      <c r="PNT1635" s="1"/>
      <c r="PNU1635" s="1"/>
      <c r="PNV1635" s="1"/>
      <c r="PNW1635" s="1"/>
      <c r="PNX1635" s="1"/>
      <c r="PNY1635" s="1"/>
      <c r="PNZ1635" s="1"/>
      <c r="POA1635" s="1"/>
      <c r="POB1635" s="1"/>
      <c r="POC1635" s="1"/>
      <c r="POD1635" s="1"/>
      <c r="POE1635" s="1"/>
      <c r="POF1635" s="1"/>
      <c r="POG1635" s="1"/>
      <c r="POH1635" s="1"/>
      <c r="POI1635" s="1"/>
      <c r="POJ1635" s="1"/>
      <c r="POK1635" s="1"/>
      <c r="POL1635" s="1"/>
      <c r="POM1635" s="1"/>
      <c r="PON1635" s="1"/>
      <c r="POO1635" s="1"/>
      <c r="POP1635" s="1"/>
      <c r="POQ1635" s="1"/>
      <c r="POR1635" s="1"/>
      <c r="POS1635" s="1"/>
      <c r="POT1635" s="1"/>
      <c r="POU1635" s="1"/>
      <c r="POV1635" s="1"/>
      <c r="POW1635" s="1"/>
      <c r="POX1635" s="1"/>
      <c r="POY1635" s="1"/>
      <c r="POZ1635" s="1"/>
      <c r="PPA1635" s="1"/>
      <c r="PPB1635" s="1"/>
      <c r="PPC1635" s="1"/>
      <c r="PPD1635" s="1"/>
      <c r="PPE1635" s="1"/>
      <c r="PPF1635" s="1"/>
      <c r="PPG1635" s="1"/>
      <c r="PPH1635" s="1"/>
      <c r="PPI1635" s="1"/>
      <c r="PPJ1635" s="1"/>
      <c r="PPK1635" s="1"/>
      <c r="PPL1635" s="1"/>
      <c r="PPM1635" s="1"/>
      <c r="PPN1635" s="1"/>
      <c r="PPO1635" s="1"/>
      <c r="PPP1635" s="1"/>
      <c r="PPQ1635" s="1"/>
      <c r="PPR1635" s="1"/>
      <c r="PPS1635" s="1"/>
      <c r="PPT1635" s="1"/>
      <c r="PPU1635" s="1"/>
      <c r="PPV1635" s="1"/>
      <c r="PPW1635" s="1"/>
      <c r="PPX1635" s="1"/>
      <c r="PPY1635" s="1"/>
      <c r="PPZ1635" s="1"/>
      <c r="PQA1635" s="1"/>
      <c r="PQB1635" s="1"/>
      <c r="PQC1635" s="1"/>
      <c r="PQD1635" s="1"/>
      <c r="PQE1635" s="1"/>
      <c r="PQF1635" s="1"/>
      <c r="PQG1635" s="1"/>
      <c r="PQH1635" s="1"/>
      <c r="PQI1635" s="1"/>
      <c r="PQJ1635" s="1"/>
      <c r="PQK1635" s="1"/>
      <c r="PQL1635" s="1"/>
      <c r="PQM1635" s="1"/>
      <c r="PQN1635" s="1"/>
      <c r="PQO1635" s="1"/>
      <c r="PQP1635" s="1"/>
      <c r="PQQ1635" s="1"/>
      <c r="PQR1635" s="1"/>
      <c r="PQS1635" s="1"/>
      <c r="PQT1635" s="1"/>
      <c r="PQU1635" s="1"/>
      <c r="PQV1635" s="1"/>
      <c r="PQW1635" s="1"/>
      <c r="PQX1635" s="1"/>
      <c r="PQY1635" s="1"/>
      <c r="PQZ1635" s="1"/>
      <c r="PRA1635" s="1"/>
      <c r="PRB1635" s="1"/>
      <c r="PRC1635" s="1"/>
      <c r="PRD1635" s="1"/>
      <c r="PRE1635" s="1"/>
      <c r="PRF1635" s="1"/>
      <c r="PRG1635" s="1"/>
      <c r="PRH1635" s="1"/>
      <c r="PRI1635" s="1"/>
      <c r="PRJ1635" s="1"/>
      <c r="PRK1635" s="1"/>
      <c r="PRL1635" s="1"/>
      <c r="PRM1635" s="1"/>
      <c r="PRN1635" s="1"/>
      <c r="PRO1635" s="1"/>
      <c r="PRP1635" s="1"/>
      <c r="PRQ1635" s="1"/>
      <c r="PRR1635" s="1"/>
      <c r="PRS1635" s="1"/>
      <c r="PRT1635" s="1"/>
      <c r="PRU1635" s="1"/>
      <c r="PRV1635" s="1"/>
      <c r="PRW1635" s="1"/>
      <c r="PRX1635" s="1"/>
      <c r="PRY1635" s="1"/>
      <c r="PRZ1635" s="1"/>
      <c r="PSA1635" s="1"/>
      <c r="PSB1635" s="1"/>
      <c r="PSC1635" s="1"/>
      <c r="PSD1635" s="1"/>
      <c r="PSE1635" s="1"/>
      <c r="PSF1635" s="1"/>
      <c r="PSG1635" s="1"/>
      <c r="PSH1635" s="1"/>
      <c r="PSI1635" s="1"/>
      <c r="PSJ1635" s="1"/>
      <c r="PSK1635" s="1"/>
      <c r="PSL1635" s="1"/>
      <c r="PSM1635" s="1"/>
      <c r="PSN1635" s="1"/>
      <c r="PSO1635" s="1"/>
      <c r="PSP1635" s="1"/>
      <c r="PSQ1635" s="1"/>
      <c r="PSR1635" s="1"/>
      <c r="PSS1635" s="1"/>
      <c r="PST1635" s="1"/>
      <c r="PSU1635" s="1"/>
      <c r="PSV1635" s="1"/>
      <c r="PSW1635" s="1"/>
      <c r="PSX1635" s="1"/>
      <c r="PSY1635" s="1"/>
      <c r="PSZ1635" s="1"/>
      <c r="PTA1635" s="1"/>
      <c r="PTB1635" s="1"/>
      <c r="PTC1635" s="1"/>
      <c r="PTD1635" s="1"/>
      <c r="PTE1635" s="1"/>
      <c r="PTF1635" s="1"/>
      <c r="PTG1635" s="1"/>
      <c r="PTH1635" s="1"/>
      <c r="PTI1635" s="1"/>
      <c r="PTJ1635" s="1"/>
      <c r="PTK1635" s="1"/>
      <c r="PTL1635" s="1"/>
      <c r="PTM1635" s="1"/>
      <c r="PTN1635" s="1"/>
      <c r="PTO1635" s="1"/>
      <c r="PTP1635" s="1"/>
      <c r="PTQ1635" s="1"/>
      <c r="PTR1635" s="1"/>
      <c r="PTS1635" s="1"/>
      <c r="PTT1635" s="1"/>
      <c r="PTU1635" s="1"/>
      <c r="PTV1635" s="1"/>
      <c r="PTW1635" s="1"/>
      <c r="PTX1635" s="1"/>
      <c r="PTY1635" s="1"/>
      <c r="PTZ1635" s="1"/>
      <c r="PUA1635" s="1"/>
      <c r="PUB1635" s="1"/>
      <c r="PUC1635" s="1"/>
      <c r="PUD1635" s="1"/>
      <c r="PUE1635" s="1"/>
      <c r="PUF1635" s="1"/>
      <c r="PUG1635" s="1"/>
      <c r="PUH1635" s="1"/>
      <c r="PUI1635" s="1"/>
      <c r="PUJ1635" s="1"/>
      <c r="PUK1635" s="1"/>
      <c r="PUL1635" s="1"/>
      <c r="PUM1635" s="1"/>
      <c r="PUN1635" s="1"/>
      <c r="PUO1635" s="1"/>
      <c r="PUP1635" s="1"/>
      <c r="PUQ1635" s="1"/>
      <c r="PUR1635" s="1"/>
      <c r="PUS1635" s="1"/>
      <c r="PUT1635" s="1"/>
      <c r="PUU1635" s="1"/>
      <c r="PUV1635" s="1"/>
      <c r="PUW1635" s="1"/>
      <c r="PUX1635" s="1"/>
      <c r="PUY1635" s="1"/>
      <c r="PUZ1635" s="1"/>
      <c r="PVA1635" s="1"/>
      <c r="PVB1635" s="1"/>
      <c r="PVC1635" s="1"/>
      <c r="PVD1635" s="1"/>
      <c r="PVE1635" s="1"/>
      <c r="PVF1635" s="1"/>
      <c r="PVG1635" s="1"/>
      <c r="PVH1635" s="1"/>
      <c r="PVI1635" s="1"/>
      <c r="PVJ1635" s="1"/>
      <c r="PVK1635" s="1"/>
      <c r="PVL1635" s="1"/>
      <c r="PVM1635" s="1"/>
      <c r="PVN1635" s="1"/>
      <c r="PVO1635" s="1"/>
      <c r="PVP1635" s="1"/>
      <c r="PVQ1635" s="1"/>
      <c r="PVR1635" s="1"/>
      <c r="PVS1635" s="1"/>
      <c r="PVT1635" s="1"/>
      <c r="PVU1635" s="1"/>
      <c r="PVV1635" s="1"/>
      <c r="PVW1635" s="1"/>
      <c r="PVX1635" s="1"/>
      <c r="PVY1635" s="1"/>
      <c r="PVZ1635" s="1"/>
      <c r="PWA1635" s="1"/>
      <c r="PWB1635" s="1"/>
      <c r="PWC1635" s="1"/>
      <c r="PWD1635" s="1"/>
      <c r="PWE1635" s="1"/>
      <c r="PWF1635" s="1"/>
      <c r="PWG1635" s="1"/>
      <c r="PWH1635" s="1"/>
      <c r="PWI1635" s="1"/>
      <c r="PWJ1635" s="1"/>
      <c r="PWK1635" s="1"/>
      <c r="PWL1635" s="1"/>
      <c r="PWM1635" s="1"/>
      <c r="PWN1635" s="1"/>
      <c r="PWO1635" s="1"/>
      <c r="PWP1635" s="1"/>
      <c r="PWQ1635" s="1"/>
      <c r="PWR1635" s="1"/>
      <c r="PWS1635" s="1"/>
      <c r="PWT1635" s="1"/>
      <c r="PWU1635" s="1"/>
      <c r="PWV1635" s="1"/>
      <c r="PWW1635" s="1"/>
      <c r="PWX1635" s="1"/>
      <c r="PWY1635" s="1"/>
      <c r="PWZ1635" s="1"/>
      <c r="PXA1635" s="1"/>
      <c r="PXB1635" s="1"/>
      <c r="PXC1635" s="1"/>
      <c r="PXD1635" s="1"/>
      <c r="PXE1635" s="1"/>
      <c r="PXF1635" s="1"/>
      <c r="PXG1635" s="1"/>
      <c r="PXH1635" s="1"/>
      <c r="PXI1635" s="1"/>
      <c r="PXJ1635" s="1"/>
      <c r="PXK1635" s="1"/>
      <c r="PXL1635" s="1"/>
      <c r="PXM1635" s="1"/>
      <c r="PXN1635" s="1"/>
      <c r="PXO1635" s="1"/>
      <c r="PXP1635" s="1"/>
      <c r="PXQ1635" s="1"/>
      <c r="PXR1635" s="1"/>
      <c r="PXS1635" s="1"/>
      <c r="PXT1635" s="1"/>
      <c r="PXU1635" s="1"/>
      <c r="PXV1635" s="1"/>
      <c r="PXW1635" s="1"/>
      <c r="PXX1635" s="1"/>
      <c r="PXY1635" s="1"/>
      <c r="PXZ1635" s="1"/>
      <c r="PYA1635" s="1"/>
      <c r="PYB1635" s="1"/>
      <c r="PYC1635" s="1"/>
      <c r="PYD1635" s="1"/>
      <c r="PYE1635" s="1"/>
      <c r="PYF1635" s="1"/>
      <c r="PYG1635" s="1"/>
      <c r="PYH1635" s="1"/>
      <c r="PYI1635" s="1"/>
      <c r="PYJ1635" s="1"/>
      <c r="PYK1635" s="1"/>
      <c r="PYL1635" s="1"/>
      <c r="PYM1635" s="1"/>
      <c r="PYN1635" s="1"/>
      <c r="PYO1635" s="1"/>
      <c r="PYP1635" s="1"/>
      <c r="PYQ1635" s="1"/>
      <c r="PYR1635" s="1"/>
      <c r="PYS1635" s="1"/>
      <c r="PYT1635" s="1"/>
      <c r="PYU1635" s="1"/>
      <c r="PYV1635" s="1"/>
      <c r="PYW1635" s="1"/>
      <c r="PYX1635" s="1"/>
      <c r="PYY1635" s="1"/>
      <c r="PYZ1635" s="1"/>
      <c r="PZA1635" s="1"/>
      <c r="PZB1635" s="1"/>
      <c r="PZC1635" s="1"/>
      <c r="PZD1635" s="1"/>
      <c r="PZE1635" s="1"/>
      <c r="PZF1635" s="1"/>
      <c r="PZG1635" s="1"/>
      <c r="PZH1635" s="1"/>
      <c r="PZI1635" s="1"/>
      <c r="PZJ1635" s="1"/>
      <c r="PZK1635" s="1"/>
      <c r="PZL1635" s="1"/>
      <c r="PZM1635" s="1"/>
      <c r="PZN1635" s="1"/>
      <c r="PZO1635" s="1"/>
      <c r="PZP1635" s="1"/>
      <c r="PZQ1635" s="1"/>
      <c r="PZR1635" s="1"/>
      <c r="PZS1635" s="1"/>
      <c r="PZT1635" s="1"/>
      <c r="PZU1635" s="1"/>
      <c r="PZV1635" s="1"/>
      <c r="PZW1635" s="1"/>
      <c r="PZX1635" s="1"/>
      <c r="PZY1635" s="1"/>
      <c r="PZZ1635" s="1"/>
      <c r="QAA1635" s="1"/>
      <c r="QAB1635" s="1"/>
      <c r="QAC1635" s="1"/>
      <c r="QAD1635" s="1"/>
      <c r="QAE1635" s="1"/>
      <c r="QAF1635" s="1"/>
      <c r="QAG1635" s="1"/>
      <c r="QAH1635" s="1"/>
      <c r="QAI1635" s="1"/>
      <c r="QAJ1635" s="1"/>
      <c r="QAK1635" s="1"/>
      <c r="QAL1635" s="1"/>
      <c r="QAM1635" s="1"/>
      <c r="QAN1635" s="1"/>
      <c r="QAO1635" s="1"/>
      <c r="QAP1635" s="1"/>
      <c r="QAQ1635" s="1"/>
      <c r="QAR1635" s="1"/>
      <c r="QAS1635" s="1"/>
      <c r="QAT1635" s="1"/>
      <c r="QAU1635" s="1"/>
      <c r="QAV1635" s="1"/>
      <c r="QAW1635" s="1"/>
      <c r="QAX1635" s="1"/>
      <c r="QAY1635" s="1"/>
      <c r="QAZ1635" s="1"/>
      <c r="QBA1635" s="1"/>
      <c r="QBB1635" s="1"/>
      <c r="QBC1635" s="1"/>
      <c r="QBD1635" s="1"/>
      <c r="QBE1635" s="1"/>
      <c r="QBF1635" s="1"/>
      <c r="QBG1635" s="1"/>
      <c r="QBH1635" s="1"/>
      <c r="QBI1635" s="1"/>
      <c r="QBJ1635" s="1"/>
      <c r="QBK1635" s="1"/>
      <c r="QBL1635" s="1"/>
      <c r="QBM1635" s="1"/>
      <c r="QBN1635" s="1"/>
      <c r="QBO1635" s="1"/>
      <c r="QBP1635" s="1"/>
      <c r="QBQ1635" s="1"/>
      <c r="QBR1635" s="1"/>
      <c r="QBS1635" s="1"/>
      <c r="QBT1635" s="1"/>
      <c r="QBU1635" s="1"/>
      <c r="QBV1635" s="1"/>
      <c r="QBW1635" s="1"/>
      <c r="QBX1635" s="1"/>
      <c r="QBY1635" s="1"/>
      <c r="QBZ1635" s="1"/>
      <c r="QCA1635" s="1"/>
      <c r="QCB1635" s="1"/>
      <c r="QCC1635" s="1"/>
      <c r="QCD1635" s="1"/>
      <c r="QCE1635" s="1"/>
      <c r="QCF1635" s="1"/>
      <c r="QCG1635" s="1"/>
      <c r="QCH1635" s="1"/>
      <c r="QCI1635" s="1"/>
      <c r="QCJ1635" s="1"/>
      <c r="QCK1635" s="1"/>
      <c r="QCL1635" s="1"/>
      <c r="QCM1635" s="1"/>
      <c r="QCN1635" s="1"/>
      <c r="QCO1635" s="1"/>
      <c r="QCP1635" s="1"/>
      <c r="QCQ1635" s="1"/>
      <c r="QCR1635" s="1"/>
      <c r="QCS1635" s="1"/>
      <c r="QCT1635" s="1"/>
      <c r="QCU1635" s="1"/>
      <c r="QCV1635" s="1"/>
      <c r="QCW1635" s="1"/>
      <c r="QCX1635" s="1"/>
      <c r="QCY1635" s="1"/>
      <c r="QCZ1635" s="1"/>
      <c r="QDA1635" s="1"/>
      <c r="QDB1635" s="1"/>
      <c r="QDC1635" s="1"/>
      <c r="QDD1635" s="1"/>
      <c r="QDE1635" s="1"/>
      <c r="QDF1635" s="1"/>
      <c r="QDG1635" s="1"/>
      <c r="QDH1635" s="1"/>
      <c r="QDI1635" s="1"/>
      <c r="QDJ1635" s="1"/>
      <c r="QDK1635" s="1"/>
      <c r="QDL1635" s="1"/>
      <c r="QDM1635" s="1"/>
      <c r="QDN1635" s="1"/>
      <c r="QDO1635" s="1"/>
      <c r="QDP1635" s="1"/>
      <c r="QDQ1635" s="1"/>
      <c r="QDR1635" s="1"/>
      <c r="QDS1635" s="1"/>
      <c r="QDT1635" s="1"/>
      <c r="QDU1635" s="1"/>
      <c r="QDV1635" s="1"/>
      <c r="QDW1635" s="1"/>
      <c r="QDX1635" s="1"/>
      <c r="QDY1635" s="1"/>
      <c r="QDZ1635" s="1"/>
      <c r="QEA1635" s="1"/>
      <c r="QEB1635" s="1"/>
      <c r="QEC1635" s="1"/>
      <c r="QED1635" s="1"/>
      <c r="QEE1635" s="1"/>
      <c r="QEF1635" s="1"/>
      <c r="QEG1635" s="1"/>
      <c r="QEH1635" s="1"/>
      <c r="QEI1635" s="1"/>
      <c r="QEJ1635" s="1"/>
      <c r="QEK1635" s="1"/>
      <c r="QEL1635" s="1"/>
      <c r="QEM1635" s="1"/>
      <c r="QEN1635" s="1"/>
      <c r="QEO1635" s="1"/>
      <c r="QEP1635" s="1"/>
      <c r="QEQ1635" s="1"/>
      <c r="QER1635" s="1"/>
      <c r="QES1635" s="1"/>
      <c r="QET1635" s="1"/>
      <c r="QEU1635" s="1"/>
      <c r="QEV1635" s="1"/>
      <c r="QEW1635" s="1"/>
      <c r="QEX1635" s="1"/>
      <c r="QEY1635" s="1"/>
      <c r="QEZ1635" s="1"/>
      <c r="QFA1635" s="1"/>
      <c r="QFB1635" s="1"/>
      <c r="QFC1635" s="1"/>
      <c r="QFD1635" s="1"/>
      <c r="QFE1635" s="1"/>
      <c r="QFF1635" s="1"/>
      <c r="QFG1635" s="1"/>
      <c r="QFH1635" s="1"/>
      <c r="QFI1635" s="1"/>
      <c r="QFJ1635" s="1"/>
      <c r="QFK1635" s="1"/>
      <c r="QFL1635" s="1"/>
      <c r="QFM1635" s="1"/>
      <c r="QFN1635" s="1"/>
      <c r="QFO1635" s="1"/>
      <c r="QFP1635" s="1"/>
      <c r="QFQ1635" s="1"/>
      <c r="QFR1635" s="1"/>
      <c r="QFS1635" s="1"/>
      <c r="QFT1635" s="1"/>
      <c r="QFU1635" s="1"/>
      <c r="QFV1635" s="1"/>
      <c r="QFW1635" s="1"/>
      <c r="QFX1635" s="1"/>
      <c r="QFY1635" s="1"/>
      <c r="QFZ1635" s="1"/>
      <c r="QGA1635" s="1"/>
      <c r="QGB1635" s="1"/>
      <c r="QGC1635" s="1"/>
      <c r="QGD1635" s="1"/>
      <c r="QGE1635" s="1"/>
      <c r="QGF1635" s="1"/>
      <c r="QGG1635" s="1"/>
      <c r="QGH1635" s="1"/>
      <c r="QGI1635" s="1"/>
      <c r="QGJ1635" s="1"/>
      <c r="QGK1635" s="1"/>
      <c r="QGL1635" s="1"/>
      <c r="QGM1635" s="1"/>
      <c r="QGN1635" s="1"/>
      <c r="QGO1635" s="1"/>
      <c r="QGP1635" s="1"/>
      <c r="QGQ1635" s="1"/>
      <c r="QGR1635" s="1"/>
      <c r="QGS1635" s="1"/>
      <c r="QGT1635" s="1"/>
      <c r="QGU1635" s="1"/>
      <c r="QGV1635" s="1"/>
      <c r="QGW1635" s="1"/>
      <c r="QGX1635" s="1"/>
      <c r="QGY1635" s="1"/>
      <c r="QGZ1635" s="1"/>
      <c r="QHA1635" s="1"/>
      <c r="QHB1635" s="1"/>
      <c r="QHC1635" s="1"/>
      <c r="QHD1635" s="1"/>
      <c r="QHE1635" s="1"/>
      <c r="QHF1635" s="1"/>
      <c r="QHG1635" s="1"/>
      <c r="QHH1635" s="1"/>
      <c r="QHI1635" s="1"/>
      <c r="QHJ1635" s="1"/>
      <c r="QHK1635" s="1"/>
      <c r="QHL1635" s="1"/>
      <c r="QHM1635" s="1"/>
      <c r="QHN1635" s="1"/>
      <c r="QHO1635" s="1"/>
      <c r="QHP1635" s="1"/>
      <c r="QHQ1635" s="1"/>
      <c r="QHR1635" s="1"/>
      <c r="QHS1635" s="1"/>
      <c r="QHT1635" s="1"/>
      <c r="QHU1635" s="1"/>
      <c r="QHV1635" s="1"/>
      <c r="QHW1635" s="1"/>
      <c r="QHX1635" s="1"/>
      <c r="QHY1635" s="1"/>
      <c r="QHZ1635" s="1"/>
      <c r="QIA1635" s="1"/>
      <c r="QIB1635" s="1"/>
      <c r="QIC1635" s="1"/>
      <c r="QID1635" s="1"/>
      <c r="QIE1635" s="1"/>
      <c r="QIF1635" s="1"/>
      <c r="QIG1635" s="1"/>
      <c r="QIH1635" s="1"/>
      <c r="QII1635" s="1"/>
      <c r="QIJ1635" s="1"/>
      <c r="QIK1635" s="1"/>
      <c r="QIL1635" s="1"/>
      <c r="QIM1635" s="1"/>
      <c r="QIN1635" s="1"/>
      <c r="QIO1635" s="1"/>
      <c r="QIP1635" s="1"/>
      <c r="QIQ1635" s="1"/>
      <c r="QIR1635" s="1"/>
      <c r="QIS1635" s="1"/>
      <c r="QIT1635" s="1"/>
      <c r="QIU1635" s="1"/>
      <c r="QIV1635" s="1"/>
      <c r="QIW1635" s="1"/>
      <c r="QIX1635" s="1"/>
      <c r="QIY1635" s="1"/>
      <c r="QIZ1635" s="1"/>
      <c r="QJA1635" s="1"/>
      <c r="QJB1635" s="1"/>
      <c r="QJC1635" s="1"/>
      <c r="QJD1635" s="1"/>
      <c r="QJE1635" s="1"/>
      <c r="QJF1635" s="1"/>
      <c r="QJG1635" s="1"/>
      <c r="QJH1635" s="1"/>
      <c r="QJI1635" s="1"/>
      <c r="QJJ1635" s="1"/>
      <c r="QJK1635" s="1"/>
      <c r="QJL1635" s="1"/>
      <c r="QJM1635" s="1"/>
      <c r="QJN1635" s="1"/>
      <c r="QJO1635" s="1"/>
      <c r="QJP1635" s="1"/>
      <c r="QJQ1635" s="1"/>
      <c r="QJR1635" s="1"/>
      <c r="QJS1635" s="1"/>
      <c r="QJT1635" s="1"/>
      <c r="QJU1635" s="1"/>
      <c r="QJV1635" s="1"/>
      <c r="QJW1635" s="1"/>
      <c r="QJX1635" s="1"/>
      <c r="QJY1635" s="1"/>
      <c r="QJZ1635" s="1"/>
      <c r="QKA1635" s="1"/>
      <c r="QKB1635" s="1"/>
      <c r="QKC1635" s="1"/>
      <c r="QKD1635" s="1"/>
      <c r="QKE1635" s="1"/>
      <c r="QKF1635" s="1"/>
      <c r="QKG1635" s="1"/>
      <c r="QKH1635" s="1"/>
      <c r="QKI1635" s="1"/>
      <c r="QKJ1635" s="1"/>
      <c r="QKK1635" s="1"/>
      <c r="QKL1635" s="1"/>
      <c r="QKM1635" s="1"/>
      <c r="QKN1635" s="1"/>
      <c r="QKO1635" s="1"/>
      <c r="QKP1635" s="1"/>
      <c r="QKQ1635" s="1"/>
      <c r="QKR1635" s="1"/>
      <c r="QKS1635" s="1"/>
      <c r="QKT1635" s="1"/>
      <c r="QKU1635" s="1"/>
      <c r="QKV1635" s="1"/>
      <c r="QKW1635" s="1"/>
      <c r="QKX1635" s="1"/>
      <c r="QKY1635" s="1"/>
      <c r="QKZ1635" s="1"/>
      <c r="QLA1635" s="1"/>
      <c r="QLB1635" s="1"/>
      <c r="QLC1635" s="1"/>
      <c r="QLD1635" s="1"/>
      <c r="QLE1635" s="1"/>
      <c r="QLF1635" s="1"/>
      <c r="QLG1635" s="1"/>
      <c r="QLH1635" s="1"/>
      <c r="QLI1635" s="1"/>
      <c r="QLJ1635" s="1"/>
      <c r="QLK1635" s="1"/>
      <c r="QLL1635" s="1"/>
      <c r="QLM1635" s="1"/>
      <c r="QLN1635" s="1"/>
      <c r="QLO1635" s="1"/>
      <c r="QLP1635" s="1"/>
      <c r="QLQ1635" s="1"/>
      <c r="QLR1635" s="1"/>
      <c r="QLS1635" s="1"/>
      <c r="QLT1635" s="1"/>
      <c r="QLU1635" s="1"/>
      <c r="QLV1635" s="1"/>
      <c r="QLW1635" s="1"/>
      <c r="QLX1635" s="1"/>
      <c r="QLY1635" s="1"/>
      <c r="QLZ1635" s="1"/>
      <c r="QMA1635" s="1"/>
      <c r="QMB1635" s="1"/>
      <c r="QMC1635" s="1"/>
      <c r="QMD1635" s="1"/>
      <c r="QME1635" s="1"/>
      <c r="QMF1635" s="1"/>
      <c r="QMG1635" s="1"/>
      <c r="QMH1635" s="1"/>
      <c r="QMI1635" s="1"/>
      <c r="QMJ1635" s="1"/>
      <c r="QMK1635" s="1"/>
      <c r="QML1635" s="1"/>
      <c r="QMM1635" s="1"/>
      <c r="QMN1635" s="1"/>
      <c r="QMO1635" s="1"/>
      <c r="QMP1635" s="1"/>
      <c r="QMQ1635" s="1"/>
      <c r="QMR1635" s="1"/>
      <c r="QMS1635" s="1"/>
      <c r="QMT1635" s="1"/>
      <c r="QMU1635" s="1"/>
      <c r="QMV1635" s="1"/>
      <c r="QMW1635" s="1"/>
      <c r="QMX1635" s="1"/>
      <c r="QMY1635" s="1"/>
      <c r="QMZ1635" s="1"/>
      <c r="QNA1635" s="1"/>
      <c r="QNB1635" s="1"/>
      <c r="QNC1635" s="1"/>
      <c r="QND1635" s="1"/>
      <c r="QNE1635" s="1"/>
      <c r="QNF1635" s="1"/>
      <c r="QNG1635" s="1"/>
      <c r="QNH1635" s="1"/>
      <c r="QNI1635" s="1"/>
      <c r="QNJ1635" s="1"/>
      <c r="QNK1635" s="1"/>
      <c r="QNL1635" s="1"/>
      <c r="QNM1635" s="1"/>
      <c r="QNN1635" s="1"/>
      <c r="QNO1635" s="1"/>
      <c r="QNP1635" s="1"/>
      <c r="QNQ1635" s="1"/>
      <c r="QNR1635" s="1"/>
      <c r="QNS1635" s="1"/>
      <c r="QNT1635" s="1"/>
      <c r="QNU1635" s="1"/>
      <c r="QNV1635" s="1"/>
      <c r="QNW1635" s="1"/>
      <c r="QNX1635" s="1"/>
      <c r="QNY1635" s="1"/>
      <c r="QNZ1635" s="1"/>
      <c r="QOA1635" s="1"/>
      <c r="QOB1635" s="1"/>
      <c r="QOC1635" s="1"/>
      <c r="QOD1635" s="1"/>
      <c r="QOE1635" s="1"/>
      <c r="QOF1635" s="1"/>
      <c r="QOG1635" s="1"/>
      <c r="QOH1635" s="1"/>
      <c r="QOI1635" s="1"/>
      <c r="QOJ1635" s="1"/>
      <c r="QOK1635" s="1"/>
      <c r="QOL1635" s="1"/>
      <c r="QOM1635" s="1"/>
      <c r="QON1635" s="1"/>
      <c r="QOO1635" s="1"/>
      <c r="QOP1635" s="1"/>
      <c r="QOQ1635" s="1"/>
      <c r="QOR1635" s="1"/>
      <c r="QOS1635" s="1"/>
      <c r="QOT1635" s="1"/>
      <c r="QOU1635" s="1"/>
      <c r="QOV1635" s="1"/>
      <c r="QOW1635" s="1"/>
      <c r="QOX1635" s="1"/>
      <c r="QOY1635" s="1"/>
      <c r="QOZ1635" s="1"/>
      <c r="QPA1635" s="1"/>
      <c r="QPB1635" s="1"/>
      <c r="QPC1635" s="1"/>
      <c r="QPD1635" s="1"/>
      <c r="QPE1635" s="1"/>
      <c r="QPF1635" s="1"/>
      <c r="QPG1635" s="1"/>
      <c r="QPH1635" s="1"/>
      <c r="QPI1635" s="1"/>
      <c r="QPJ1635" s="1"/>
      <c r="QPK1635" s="1"/>
      <c r="QPL1635" s="1"/>
      <c r="QPM1635" s="1"/>
      <c r="QPN1635" s="1"/>
      <c r="QPO1635" s="1"/>
      <c r="QPP1635" s="1"/>
      <c r="QPQ1635" s="1"/>
      <c r="QPR1635" s="1"/>
      <c r="QPS1635" s="1"/>
      <c r="QPT1635" s="1"/>
      <c r="QPU1635" s="1"/>
      <c r="QPV1635" s="1"/>
      <c r="QPW1635" s="1"/>
      <c r="QPX1635" s="1"/>
      <c r="QPY1635" s="1"/>
      <c r="QPZ1635" s="1"/>
      <c r="QQA1635" s="1"/>
      <c r="QQB1635" s="1"/>
      <c r="QQC1635" s="1"/>
      <c r="QQD1635" s="1"/>
      <c r="QQE1635" s="1"/>
      <c r="QQF1635" s="1"/>
      <c r="QQG1635" s="1"/>
      <c r="QQH1635" s="1"/>
      <c r="QQI1635" s="1"/>
      <c r="QQJ1635" s="1"/>
      <c r="QQK1635" s="1"/>
      <c r="QQL1635" s="1"/>
      <c r="QQM1635" s="1"/>
      <c r="QQN1635" s="1"/>
      <c r="QQO1635" s="1"/>
      <c r="QQP1635" s="1"/>
      <c r="QQQ1635" s="1"/>
      <c r="QQR1635" s="1"/>
      <c r="QQS1635" s="1"/>
      <c r="QQT1635" s="1"/>
      <c r="QQU1635" s="1"/>
      <c r="QQV1635" s="1"/>
      <c r="QQW1635" s="1"/>
      <c r="QQX1635" s="1"/>
      <c r="QQY1635" s="1"/>
      <c r="QQZ1635" s="1"/>
      <c r="QRA1635" s="1"/>
      <c r="QRB1635" s="1"/>
      <c r="QRC1635" s="1"/>
      <c r="QRD1635" s="1"/>
      <c r="QRE1635" s="1"/>
      <c r="QRF1635" s="1"/>
      <c r="QRG1635" s="1"/>
      <c r="QRH1635" s="1"/>
      <c r="QRI1635" s="1"/>
      <c r="QRJ1635" s="1"/>
      <c r="QRK1635" s="1"/>
      <c r="QRL1635" s="1"/>
      <c r="QRM1635" s="1"/>
      <c r="QRN1635" s="1"/>
      <c r="QRO1635" s="1"/>
      <c r="QRP1635" s="1"/>
      <c r="QRQ1635" s="1"/>
      <c r="QRR1635" s="1"/>
      <c r="QRS1635" s="1"/>
      <c r="QRT1635" s="1"/>
      <c r="QRU1635" s="1"/>
      <c r="QRV1635" s="1"/>
      <c r="QRW1635" s="1"/>
      <c r="QRX1635" s="1"/>
      <c r="QRY1635" s="1"/>
      <c r="QRZ1635" s="1"/>
      <c r="QSA1635" s="1"/>
      <c r="QSB1635" s="1"/>
      <c r="QSC1635" s="1"/>
      <c r="QSD1635" s="1"/>
      <c r="QSE1635" s="1"/>
      <c r="QSF1635" s="1"/>
      <c r="QSG1635" s="1"/>
      <c r="QSH1635" s="1"/>
      <c r="QSI1635" s="1"/>
      <c r="QSJ1635" s="1"/>
      <c r="QSK1635" s="1"/>
      <c r="QSL1635" s="1"/>
      <c r="QSM1635" s="1"/>
      <c r="QSN1635" s="1"/>
      <c r="QSO1635" s="1"/>
      <c r="QSP1635" s="1"/>
      <c r="QSQ1635" s="1"/>
      <c r="QSR1635" s="1"/>
      <c r="QSS1635" s="1"/>
      <c r="QST1635" s="1"/>
      <c r="QSU1635" s="1"/>
      <c r="QSV1635" s="1"/>
      <c r="QSW1635" s="1"/>
      <c r="QSX1635" s="1"/>
      <c r="QSY1635" s="1"/>
      <c r="QSZ1635" s="1"/>
      <c r="QTA1635" s="1"/>
      <c r="QTB1635" s="1"/>
      <c r="QTC1635" s="1"/>
      <c r="QTD1635" s="1"/>
      <c r="QTE1635" s="1"/>
      <c r="QTF1635" s="1"/>
      <c r="QTG1635" s="1"/>
      <c r="QTH1635" s="1"/>
      <c r="QTI1635" s="1"/>
      <c r="QTJ1635" s="1"/>
      <c r="QTK1635" s="1"/>
      <c r="QTL1635" s="1"/>
      <c r="QTM1635" s="1"/>
      <c r="QTN1635" s="1"/>
      <c r="QTO1635" s="1"/>
      <c r="QTP1635" s="1"/>
      <c r="QTQ1635" s="1"/>
      <c r="QTR1635" s="1"/>
      <c r="QTS1635" s="1"/>
      <c r="QTT1635" s="1"/>
      <c r="QTU1635" s="1"/>
      <c r="QTV1635" s="1"/>
      <c r="QTW1635" s="1"/>
      <c r="QTX1635" s="1"/>
      <c r="QTY1635" s="1"/>
      <c r="QTZ1635" s="1"/>
      <c r="QUA1635" s="1"/>
      <c r="QUB1635" s="1"/>
      <c r="QUC1635" s="1"/>
      <c r="QUD1635" s="1"/>
      <c r="QUE1635" s="1"/>
      <c r="QUF1635" s="1"/>
      <c r="QUG1635" s="1"/>
      <c r="QUH1635" s="1"/>
      <c r="QUI1635" s="1"/>
      <c r="QUJ1635" s="1"/>
      <c r="QUK1635" s="1"/>
      <c r="QUL1635" s="1"/>
      <c r="QUM1635" s="1"/>
      <c r="QUN1635" s="1"/>
      <c r="QUO1635" s="1"/>
      <c r="QUP1635" s="1"/>
      <c r="QUQ1635" s="1"/>
      <c r="QUR1635" s="1"/>
      <c r="QUS1635" s="1"/>
      <c r="QUT1635" s="1"/>
      <c r="QUU1635" s="1"/>
      <c r="QUV1635" s="1"/>
      <c r="QUW1635" s="1"/>
      <c r="QUX1635" s="1"/>
      <c r="QUY1635" s="1"/>
      <c r="QUZ1635" s="1"/>
      <c r="QVA1635" s="1"/>
      <c r="QVB1635" s="1"/>
      <c r="QVC1635" s="1"/>
      <c r="QVD1635" s="1"/>
      <c r="QVE1635" s="1"/>
      <c r="QVF1635" s="1"/>
      <c r="QVG1635" s="1"/>
      <c r="QVH1635" s="1"/>
      <c r="QVI1635" s="1"/>
      <c r="QVJ1635" s="1"/>
      <c r="QVK1635" s="1"/>
      <c r="QVL1635" s="1"/>
      <c r="QVM1635" s="1"/>
      <c r="QVN1635" s="1"/>
      <c r="QVO1635" s="1"/>
      <c r="QVP1635" s="1"/>
      <c r="QVQ1635" s="1"/>
      <c r="QVR1635" s="1"/>
      <c r="QVS1635" s="1"/>
      <c r="QVT1635" s="1"/>
      <c r="QVU1635" s="1"/>
      <c r="QVV1635" s="1"/>
      <c r="QVW1635" s="1"/>
      <c r="QVX1635" s="1"/>
      <c r="QVY1635" s="1"/>
      <c r="QVZ1635" s="1"/>
      <c r="QWA1635" s="1"/>
      <c r="QWB1635" s="1"/>
      <c r="QWC1635" s="1"/>
      <c r="QWD1635" s="1"/>
      <c r="QWE1635" s="1"/>
      <c r="QWF1635" s="1"/>
      <c r="QWG1635" s="1"/>
      <c r="QWH1635" s="1"/>
      <c r="QWI1635" s="1"/>
      <c r="QWJ1635" s="1"/>
      <c r="QWK1635" s="1"/>
      <c r="QWL1635" s="1"/>
      <c r="QWM1635" s="1"/>
      <c r="QWN1635" s="1"/>
      <c r="QWO1635" s="1"/>
      <c r="QWP1635" s="1"/>
      <c r="QWQ1635" s="1"/>
      <c r="QWR1635" s="1"/>
      <c r="QWS1635" s="1"/>
      <c r="QWT1635" s="1"/>
      <c r="QWU1635" s="1"/>
      <c r="QWV1635" s="1"/>
      <c r="QWW1635" s="1"/>
      <c r="QWX1635" s="1"/>
      <c r="QWY1635" s="1"/>
      <c r="QWZ1635" s="1"/>
      <c r="QXA1635" s="1"/>
      <c r="QXB1635" s="1"/>
      <c r="QXC1635" s="1"/>
      <c r="QXD1635" s="1"/>
      <c r="QXE1635" s="1"/>
      <c r="QXF1635" s="1"/>
      <c r="QXG1635" s="1"/>
      <c r="QXH1635" s="1"/>
      <c r="QXI1635" s="1"/>
      <c r="QXJ1635" s="1"/>
      <c r="QXK1635" s="1"/>
      <c r="QXL1635" s="1"/>
      <c r="QXM1635" s="1"/>
      <c r="QXN1635" s="1"/>
      <c r="QXO1635" s="1"/>
      <c r="QXP1635" s="1"/>
      <c r="QXQ1635" s="1"/>
      <c r="QXR1635" s="1"/>
      <c r="QXS1635" s="1"/>
      <c r="QXT1635" s="1"/>
      <c r="QXU1635" s="1"/>
      <c r="QXV1635" s="1"/>
      <c r="QXW1635" s="1"/>
      <c r="QXX1635" s="1"/>
      <c r="QXY1635" s="1"/>
      <c r="QXZ1635" s="1"/>
      <c r="QYA1635" s="1"/>
      <c r="QYB1635" s="1"/>
      <c r="QYC1635" s="1"/>
      <c r="QYD1635" s="1"/>
      <c r="QYE1635" s="1"/>
      <c r="QYF1635" s="1"/>
      <c r="QYG1635" s="1"/>
      <c r="QYH1635" s="1"/>
      <c r="QYI1635" s="1"/>
      <c r="QYJ1635" s="1"/>
      <c r="QYK1635" s="1"/>
      <c r="QYL1635" s="1"/>
      <c r="QYM1635" s="1"/>
      <c r="QYN1635" s="1"/>
      <c r="QYO1635" s="1"/>
      <c r="QYP1635" s="1"/>
      <c r="QYQ1635" s="1"/>
      <c r="QYR1635" s="1"/>
      <c r="QYS1635" s="1"/>
      <c r="QYT1635" s="1"/>
      <c r="QYU1635" s="1"/>
      <c r="QYV1635" s="1"/>
      <c r="QYW1635" s="1"/>
      <c r="QYX1635" s="1"/>
      <c r="QYY1635" s="1"/>
      <c r="QYZ1635" s="1"/>
      <c r="QZA1635" s="1"/>
      <c r="QZB1635" s="1"/>
      <c r="QZC1635" s="1"/>
      <c r="QZD1635" s="1"/>
      <c r="QZE1635" s="1"/>
      <c r="QZF1635" s="1"/>
      <c r="QZG1635" s="1"/>
      <c r="QZH1635" s="1"/>
      <c r="QZI1635" s="1"/>
      <c r="QZJ1635" s="1"/>
      <c r="QZK1635" s="1"/>
      <c r="QZL1635" s="1"/>
      <c r="QZM1635" s="1"/>
      <c r="QZN1635" s="1"/>
      <c r="QZO1635" s="1"/>
      <c r="QZP1635" s="1"/>
      <c r="QZQ1635" s="1"/>
      <c r="QZR1635" s="1"/>
      <c r="QZS1635" s="1"/>
      <c r="QZT1635" s="1"/>
      <c r="QZU1635" s="1"/>
      <c r="QZV1635" s="1"/>
      <c r="QZW1635" s="1"/>
      <c r="QZX1635" s="1"/>
      <c r="QZY1635" s="1"/>
      <c r="QZZ1635" s="1"/>
      <c r="RAA1635" s="1"/>
      <c r="RAB1635" s="1"/>
      <c r="RAC1635" s="1"/>
      <c r="RAD1635" s="1"/>
      <c r="RAE1635" s="1"/>
      <c r="RAF1635" s="1"/>
      <c r="RAG1635" s="1"/>
      <c r="RAH1635" s="1"/>
      <c r="RAI1635" s="1"/>
      <c r="RAJ1635" s="1"/>
      <c r="RAK1635" s="1"/>
      <c r="RAL1635" s="1"/>
      <c r="RAM1635" s="1"/>
      <c r="RAN1635" s="1"/>
      <c r="RAO1635" s="1"/>
      <c r="RAP1635" s="1"/>
      <c r="RAQ1635" s="1"/>
      <c r="RAR1635" s="1"/>
      <c r="RAS1635" s="1"/>
      <c r="RAT1635" s="1"/>
      <c r="RAU1635" s="1"/>
      <c r="RAV1635" s="1"/>
      <c r="RAW1635" s="1"/>
      <c r="RAX1635" s="1"/>
      <c r="RAY1635" s="1"/>
      <c r="RAZ1635" s="1"/>
      <c r="RBA1635" s="1"/>
      <c r="RBB1635" s="1"/>
      <c r="RBC1635" s="1"/>
      <c r="RBD1635" s="1"/>
      <c r="RBE1635" s="1"/>
      <c r="RBF1635" s="1"/>
      <c r="RBG1635" s="1"/>
      <c r="RBH1635" s="1"/>
      <c r="RBI1635" s="1"/>
      <c r="RBJ1635" s="1"/>
      <c r="RBK1635" s="1"/>
      <c r="RBL1635" s="1"/>
      <c r="RBM1635" s="1"/>
      <c r="RBN1635" s="1"/>
      <c r="RBO1635" s="1"/>
      <c r="RBP1635" s="1"/>
      <c r="RBQ1635" s="1"/>
      <c r="RBR1635" s="1"/>
      <c r="RBS1635" s="1"/>
      <c r="RBT1635" s="1"/>
      <c r="RBU1635" s="1"/>
      <c r="RBV1635" s="1"/>
      <c r="RBW1635" s="1"/>
      <c r="RBX1635" s="1"/>
      <c r="RBY1635" s="1"/>
      <c r="RBZ1635" s="1"/>
      <c r="RCA1635" s="1"/>
      <c r="RCB1635" s="1"/>
      <c r="RCC1635" s="1"/>
      <c r="RCD1635" s="1"/>
      <c r="RCE1635" s="1"/>
      <c r="RCF1635" s="1"/>
      <c r="RCG1635" s="1"/>
      <c r="RCH1635" s="1"/>
      <c r="RCI1635" s="1"/>
      <c r="RCJ1635" s="1"/>
      <c r="RCK1635" s="1"/>
      <c r="RCL1635" s="1"/>
      <c r="RCM1635" s="1"/>
      <c r="RCN1635" s="1"/>
      <c r="RCO1635" s="1"/>
      <c r="RCP1635" s="1"/>
      <c r="RCQ1635" s="1"/>
      <c r="RCR1635" s="1"/>
      <c r="RCS1635" s="1"/>
      <c r="RCT1635" s="1"/>
      <c r="RCU1635" s="1"/>
      <c r="RCV1635" s="1"/>
      <c r="RCW1635" s="1"/>
      <c r="RCX1635" s="1"/>
      <c r="RCY1635" s="1"/>
      <c r="RCZ1635" s="1"/>
      <c r="RDA1635" s="1"/>
      <c r="RDB1635" s="1"/>
      <c r="RDC1635" s="1"/>
      <c r="RDD1635" s="1"/>
      <c r="RDE1635" s="1"/>
      <c r="RDF1635" s="1"/>
      <c r="RDG1635" s="1"/>
      <c r="RDH1635" s="1"/>
      <c r="RDI1635" s="1"/>
      <c r="RDJ1635" s="1"/>
      <c r="RDK1635" s="1"/>
      <c r="RDL1635" s="1"/>
      <c r="RDM1635" s="1"/>
      <c r="RDN1635" s="1"/>
      <c r="RDO1635" s="1"/>
      <c r="RDP1635" s="1"/>
      <c r="RDQ1635" s="1"/>
      <c r="RDR1635" s="1"/>
      <c r="RDS1635" s="1"/>
      <c r="RDT1635" s="1"/>
      <c r="RDU1635" s="1"/>
      <c r="RDV1635" s="1"/>
      <c r="RDW1635" s="1"/>
      <c r="RDX1635" s="1"/>
      <c r="RDY1635" s="1"/>
      <c r="RDZ1635" s="1"/>
      <c r="REA1635" s="1"/>
      <c r="REB1635" s="1"/>
      <c r="REC1635" s="1"/>
      <c r="RED1635" s="1"/>
      <c r="REE1635" s="1"/>
      <c r="REF1635" s="1"/>
      <c r="REG1635" s="1"/>
      <c r="REH1635" s="1"/>
      <c r="REI1635" s="1"/>
      <c r="REJ1635" s="1"/>
      <c r="REK1635" s="1"/>
      <c r="REL1635" s="1"/>
      <c r="REM1635" s="1"/>
      <c r="REN1635" s="1"/>
      <c r="REO1635" s="1"/>
      <c r="REP1635" s="1"/>
      <c r="REQ1635" s="1"/>
      <c r="RER1635" s="1"/>
      <c r="RES1635" s="1"/>
      <c r="RET1635" s="1"/>
      <c r="REU1635" s="1"/>
      <c r="REV1635" s="1"/>
      <c r="REW1635" s="1"/>
      <c r="REX1635" s="1"/>
      <c r="REY1635" s="1"/>
      <c r="REZ1635" s="1"/>
      <c r="RFA1635" s="1"/>
      <c r="RFB1635" s="1"/>
      <c r="RFC1635" s="1"/>
      <c r="RFD1635" s="1"/>
      <c r="RFE1635" s="1"/>
      <c r="RFF1635" s="1"/>
      <c r="RFG1635" s="1"/>
      <c r="RFH1635" s="1"/>
      <c r="RFI1635" s="1"/>
      <c r="RFJ1635" s="1"/>
      <c r="RFK1635" s="1"/>
      <c r="RFL1635" s="1"/>
      <c r="RFM1635" s="1"/>
      <c r="RFN1635" s="1"/>
      <c r="RFO1635" s="1"/>
      <c r="RFP1635" s="1"/>
      <c r="RFQ1635" s="1"/>
      <c r="RFR1635" s="1"/>
      <c r="RFS1635" s="1"/>
      <c r="RFT1635" s="1"/>
      <c r="RFU1635" s="1"/>
      <c r="RFV1635" s="1"/>
      <c r="RFW1635" s="1"/>
      <c r="RFX1635" s="1"/>
      <c r="RFY1635" s="1"/>
      <c r="RFZ1635" s="1"/>
      <c r="RGA1635" s="1"/>
      <c r="RGB1635" s="1"/>
      <c r="RGC1635" s="1"/>
      <c r="RGD1635" s="1"/>
      <c r="RGE1635" s="1"/>
      <c r="RGF1635" s="1"/>
      <c r="RGG1635" s="1"/>
      <c r="RGH1635" s="1"/>
      <c r="RGI1635" s="1"/>
      <c r="RGJ1635" s="1"/>
      <c r="RGK1635" s="1"/>
      <c r="RGL1635" s="1"/>
      <c r="RGM1635" s="1"/>
      <c r="RGN1635" s="1"/>
      <c r="RGO1635" s="1"/>
      <c r="RGP1635" s="1"/>
      <c r="RGQ1635" s="1"/>
      <c r="RGR1635" s="1"/>
      <c r="RGS1635" s="1"/>
      <c r="RGT1635" s="1"/>
      <c r="RGU1635" s="1"/>
      <c r="RGV1635" s="1"/>
      <c r="RGW1635" s="1"/>
      <c r="RGX1635" s="1"/>
      <c r="RGY1635" s="1"/>
      <c r="RGZ1635" s="1"/>
      <c r="RHA1635" s="1"/>
      <c r="RHB1635" s="1"/>
      <c r="RHC1635" s="1"/>
      <c r="RHD1635" s="1"/>
      <c r="RHE1635" s="1"/>
      <c r="RHF1635" s="1"/>
      <c r="RHG1635" s="1"/>
      <c r="RHH1635" s="1"/>
      <c r="RHI1635" s="1"/>
      <c r="RHJ1635" s="1"/>
      <c r="RHK1635" s="1"/>
      <c r="RHL1635" s="1"/>
      <c r="RHM1635" s="1"/>
      <c r="RHN1635" s="1"/>
      <c r="RHO1635" s="1"/>
      <c r="RHP1635" s="1"/>
      <c r="RHQ1635" s="1"/>
      <c r="RHR1635" s="1"/>
      <c r="RHS1635" s="1"/>
      <c r="RHT1635" s="1"/>
      <c r="RHU1635" s="1"/>
      <c r="RHV1635" s="1"/>
      <c r="RHW1635" s="1"/>
      <c r="RHX1635" s="1"/>
      <c r="RHY1635" s="1"/>
      <c r="RHZ1635" s="1"/>
      <c r="RIA1635" s="1"/>
      <c r="RIB1635" s="1"/>
      <c r="RIC1635" s="1"/>
      <c r="RID1635" s="1"/>
      <c r="RIE1635" s="1"/>
      <c r="RIF1635" s="1"/>
      <c r="RIG1635" s="1"/>
      <c r="RIH1635" s="1"/>
      <c r="RII1635" s="1"/>
      <c r="RIJ1635" s="1"/>
      <c r="RIK1635" s="1"/>
      <c r="RIL1635" s="1"/>
      <c r="RIM1635" s="1"/>
      <c r="RIN1635" s="1"/>
      <c r="RIO1635" s="1"/>
      <c r="RIP1635" s="1"/>
      <c r="RIQ1635" s="1"/>
      <c r="RIR1635" s="1"/>
      <c r="RIS1635" s="1"/>
      <c r="RIT1635" s="1"/>
      <c r="RIU1635" s="1"/>
      <c r="RIV1635" s="1"/>
      <c r="RIW1635" s="1"/>
      <c r="RIX1635" s="1"/>
      <c r="RIY1635" s="1"/>
      <c r="RIZ1635" s="1"/>
      <c r="RJA1635" s="1"/>
      <c r="RJB1635" s="1"/>
      <c r="RJC1635" s="1"/>
      <c r="RJD1635" s="1"/>
      <c r="RJE1635" s="1"/>
      <c r="RJF1635" s="1"/>
      <c r="RJG1635" s="1"/>
      <c r="RJH1635" s="1"/>
      <c r="RJI1635" s="1"/>
      <c r="RJJ1635" s="1"/>
      <c r="RJK1635" s="1"/>
      <c r="RJL1635" s="1"/>
      <c r="RJM1635" s="1"/>
      <c r="RJN1635" s="1"/>
      <c r="RJO1635" s="1"/>
      <c r="RJP1635" s="1"/>
      <c r="RJQ1635" s="1"/>
      <c r="RJR1635" s="1"/>
      <c r="RJS1635" s="1"/>
      <c r="RJT1635" s="1"/>
      <c r="RJU1635" s="1"/>
      <c r="RJV1635" s="1"/>
      <c r="RJW1635" s="1"/>
      <c r="RJX1635" s="1"/>
      <c r="RJY1635" s="1"/>
      <c r="RJZ1635" s="1"/>
      <c r="RKA1635" s="1"/>
      <c r="RKB1635" s="1"/>
      <c r="RKC1635" s="1"/>
      <c r="RKD1635" s="1"/>
      <c r="RKE1635" s="1"/>
      <c r="RKF1635" s="1"/>
      <c r="RKG1635" s="1"/>
      <c r="RKH1635" s="1"/>
      <c r="RKI1635" s="1"/>
      <c r="RKJ1635" s="1"/>
      <c r="RKK1635" s="1"/>
      <c r="RKL1635" s="1"/>
      <c r="RKM1635" s="1"/>
      <c r="RKN1635" s="1"/>
      <c r="RKO1635" s="1"/>
      <c r="RKP1635" s="1"/>
      <c r="RKQ1635" s="1"/>
      <c r="RKR1635" s="1"/>
      <c r="RKS1635" s="1"/>
      <c r="RKT1635" s="1"/>
      <c r="RKU1635" s="1"/>
      <c r="RKV1635" s="1"/>
      <c r="RKW1635" s="1"/>
      <c r="RKX1635" s="1"/>
      <c r="RKY1635" s="1"/>
      <c r="RKZ1635" s="1"/>
      <c r="RLA1635" s="1"/>
      <c r="RLB1635" s="1"/>
      <c r="RLC1635" s="1"/>
      <c r="RLD1635" s="1"/>
      <c r="RLE1635" s="1"/>
      <c r="RLF1635" s="1"/>
      <c r="RLG1635" s="1"/>
      <c r="RLH1635" s="1"/>
      <c r="RLI1635" s="1"/>
      <c r="RLJ1635" s="1"/>
      <c r="RLK1635" s="1"/>
      <c r="RLL1635" s="1"/>
      <c r="RLM1635" s="1"/>
      <c r="RLN1635" s="1"/>
      <c r="RLO1635" s="1"/>
      <c r="RLP1635" s="1"/>
      <c r="RLQ1635" s="1"/>
      <c r="RLR1635" s="1"/>
      <c r="RLS1635" s="1"/>
      <c r="RLT1635" s="1"/>
      <c r="RLU1635" s="1"/>
      <c r="RLV1635" s="1"/>
      <c r="RLW1635" s="1"/>
      <c r="RLX1635" s="1"/>
      <c r="RLY1635" s="1"/>
      <c r="RLZ1635" s="1"/>
      <c r="RMA1635" s="1"/>
      <c r="RMB1635" s="1"/>
      <c r="RMC1635" s="1"/>
      <c r="RMD1635" s="1"/>
      <c r="RME1635" s="1"/>
      <c r="RMF1635" s="1"/>
      <c r="RMG1635" s="1"/>
      <c r="RMH1635" s="1"/>
      <c r="RMI1635" s="1"/>
      <c r="RMJ1635" s="1"/>
      <c r="RMK1635" s="1"/>
      <c r="RML1635" s="1"/>
      <c r="RMM1635" s="1"/>
      <c r="RMN1635" s="1"/>
      <c r="RMO1635" s="1"/>
      <c r="RMP1635" s="1"/>
      <c r="RMQ1635" s="1"/>
      <c r="RMR1635" s="1"/>
      <c r="RMS1635" s="1"/>
      <c r="RMT1635" s="1"/>
      <c r="RMU1635" s="1"/>
      <c r="RMV1635" s="1"/>
      <c r="RMW1635" s="1"/>
      <c r="RMX1635" s="1"/>
      <c r="RMY1635" s="1"/>
      <c r="RMZ1635" s="1"/>
      <c r="RNA1635" s="1"/>
      <c r="RNB1635" s="1"/>
      <c r="RNC1635" s="1"/>
      <c r="RND1635" s="1"/>
      <c r="RNE1635" s="1"/>
      <c r="RNF1635" s="1"/>
      <c r="RNG1635" s="1"/>
      <c r="RNH1635" s="1"/>
      <c r="RNI1635" s="1"/>
      <c r="RNJ1635" s="1"/>
      <c r="RNK1635" s="1"/>
      <c r="RNL1635" s="1"/>
      <c r="RNM1635" s="1"/>
      <c r="RNN1635" s="1"/>
      <c r="RNO1635" s="1"/>
      <c r="RNP1635" s="1"/>
      <c r="RNQ1635" s="1"/>
      <c r="RNR1635" s="1"/>
      <c r="RNS1635" s="1"/>
      <c r="RNT1635" s="1"/>
      <c r="RNU1635" s="1"/>
      <c r="RNV1635" s="1"/>
      <c r="RNW1635" s="1"/>
      <c r="RNX1635" s="1"/>
      <c r="RNY1635" s="1"/>
      <c r="RNZ1635" s="1"/>
      <c r="ROA1635" s="1"/>
      <c r="ROB1635" s="1"/>
      <c r="ROC1635" s="1"/>
      <c r="ROD1635" s="1"/>
      <c r="ROE1635" s="1"/>
      <c r="ROF1635" s="1"/>
      <c r="ROG1635" s="1"/>
      <c r="ROH1635" s="1"/>
      <c r="ROI1635" s="1"/>
      <c r="ROJ1635" s="1"/>
      <c r="ROK1635" s="1"/>
      <c r="ROL1635" s="1"/>
      <c r="ROM1635" s="1"/>
      <c r="RON1635" s="1"/>
      <c r="ROO1635" s="1"/>
      <c r="ROP1635" s="1"/>
      <c r="ROQ1635" s="1"/>
      <c r="ROR1635" s="1"/>
      <c r="ROS1635" s="1"/>
      <c r="ROT1635" s="1"/>
      <c r="ROU1635" s="1"/>
      <c r="ROV1635" s="1"/>
      <c r="ROW1635" s="1"/>
      <c r="ROX1635" s="1"/>
      <c r="ROY1635" s="1"/>
      <c r="ROZ1635" s="1"/>
      <c r="RPA1635" s="1"/>
      <c r="RPB1635" s="1"/>
      <c r="RPC1635" s="1"/>
      <c r="RPD1635" s="1"/>
      <c r="RPE1635" s="1"/>
      <c r="RPF1635" s="1"/>
      <c r="RPG1635" s="1"/>
      <c r="RPH1635" s="1"/>
      <c r="RPI1635" s="1"/>
      <c r="RPJ1635" s="1"/>
      <c r="RPK1635" s="1"/>
      <c r="RPL1635" s="1"/>
      <c r="RPM1635" s="1"/>
      <c r="RPN1635" s="1"/>
      <c r="RPO1635" s="1"/>
      <c r="RPP1635" s="1"/>
      <c r="RPQ1635" s="1"/>
      <c r="RPR1635" s="1"/>
      <c r="RPS1635" s="1"/>
      <c r="RPT1635" s="1"/>
      <c r="RPU1635" s="1"/>
      <c r="RPV1635" s="1"/>
      <c r="RPW1635" s="1"/>
      <c r="RPX1635" s="1"/>
      <c r="RPY1635" s="1"/>
      <c r="RPZ1635" s="1"/>
      <c r="RQA1635" s="1"/>
      <c r="RQB1635" s="1"/>
      <c r="RQC1635" s="1"/>
      <c r="RQD1635" s="1"/>
      <c r="RQE1635" s="1"/>
      <c r="RQF1635" s="1"/>
      <c r="RQG1635" s="1"/>
      <c r="RQH1635" s="1"/>
      <c r="RQI1635" s="1"/>
      <c r="RQJ1635" s="1"/>
      <c r="RQK1635" s="1"/>
      <c r="RQL1635" s="1"/>
      <c r="RQM1635" s="1"/>
      <c r="RQN1635" s="1"/>
      <c r="RQO1635" s="1"/>
      <c r="RQP1635" s="1"/>
      <c r="RQQ1635" s="1"/>
      <c r="RQR1635" s="1"/>
      <c r="RQS1635" s="1"/>
      <c r="RQT1635" s="1"/>
      <c r="RQU1635" s="1"/>
      <c r="RQV1635" s="1"/>
      <c r="RQW1635" s="1"/>
      <c r="RQX1635" s="1"/>
      <c r="RQY1635" s="1"/>
      <c r="RQZ1635" s="1"/>
      <c r="RRA1635" s="1"/>
      <c r="RRB1635" s="1"/>
      <c r="RRC1635" s="1"/>
      <c r="RRD1635" s="1"/>
      <c r="RRE1635" s="1"/>
      <c r="RRF1635" s="1"/>
      <c r="RRG1635" s="1"/>
      <c r="RRH1635" s="1"/>
      <c r="RRI1635" s="1"/>
      <c r="RRJ1635" s="1"/>
      <c r="RRK1635" s="1"/>
      <c r="RRL1635" s="1"/>
      <c r="RRM1635" s="1"/>
      <c r="RRN1635" s="1"/>
      <c r="RRO1635" s="1"/>
      <c r="RRP1635" s="1"/>
      <c r="RRQ1635" s="1"/>
      <c r="RRR1635" s="1"/>
      <c r="RRS1635" s="1"/>
      <c r="RRT1635" s="1"/>
      <c r="RRU1635" s="1"/>
      <c r="RRV1635" s="1"/>
      <c r="RRW1635" s="1"/>
      <c r="RRX1635" s="1"/>
      <c r="RRY1635" s="1"/>
      <c r="RRZ1635" s="1"/>
      <c r="RSA1635" s="1"/>
      <c r="RSB1635" s="1"/>
      <c r="RSC1635" s="1"/>
      <c r="RSD1635" s="1"/>
      <c r="RSE1635" s="1"/>
      <c r="RSF1635" s="1"/>
      <c r="RSG1635" s="1"/>
      <c r="RSH1635" s="1"/>
      <c r="RSI1635" s="1"/>
      <c r="RSJ1635" s="1"/>
      <c r="RSK1635" s="1"/>
      <c r="RSL1635" s="1"/>
      <c r="RSM1635" s="1"/>
      <c r="RSN1635" s="1"/>
      <c r="RSO1635" s="1"/>
      <c r="RSP1635" s="1"/>
      <c r="RSQ1635" s="1"/>
      <c r="RSR1635" s="1"/>
      <c r="RSS1635" s="1"/>
      <c r="RST1635" s="1"/>
      <c r="RSU1635" s="1"/>
      <c r="RSV1635" s="1"/>
      <c r="RSW1635" s="1"/>
      <c r="RSX1635" s="1"/>
      <c r="RSY1635" s="1"/>
      <c r="RSZ1635" s="1"/>
      <c r="RTA1635" s="1"/>
      <c r="RTB1635" s="1"/>
      <c r="RTC1635" s="1"/>
      <c r="RTD1635" s="1"/>
      <c r="RTE1635" s="1"/>
      <c r="RTF1635" s="1"/>
      <c r="RTG1635" s="1"/>
      <c r="RTH1635" s="1"/>
      <c r="RTI1635" s="1"/>
      <c r="RTJ1635" s="1"/>
      <c r="RTK1635" s="1"/>
      <c r="RTL1635" s="1"/>
      <c r="RTM1635" s="1"/>
      <c r="RTN1635" s="1"/>
      <c r="RTO1635" s="1"/>
      <c r="RTP1635" s="1"/>
      <c r="RTQ1635" s="1"/>
      <c r="RTR1635" s="1"/>
      <c r="RTS1635" s="1"/>
      <c r="RTT1635" s="1"/>
      <c r="RTU1635" s="1"/>
      <c r="RTV1635" s="1"/>
      <c r="RTW1635" s="1"/>
      <c r="RTX1635" s="1"/>
      <c r="RTY1635" s="1"/>
      <c r="RTZ1635" s="1"/>
      <c r="RUA1635" s="1"/>
      <c r="RUB1635" s="1"/>
      <c r="RUC1635" s="1"/>
      <c r="RUD1635" s="1"/>
      <c r="RUE1635" s="1"/>
      <c r="RUF1635" s="1"/>
      <c r="RUG1635" s="1"/>
      <c r="RUH1635" s="1"/>
      <c r="RUI1635" s="1"/>
      <c r="RUJ1635" s="1"/>
      <c r="RUK1635" s="1"/>
      <c r="RUL1635" s="1"/>
      <c r="RUM1635" s="1"/>
      <c r="RUN1635" s="1"/>
      <c r="RUO1635" s="1"/>
      <c r="RUP1635" s="1"/>
      <c r="RUQ1635" s="1"/>
      <c r="RUR1635" s="1"/>
      <c r="RUS1635" s="1"/>
      <c r="RUT1635" s="1"/>
      <c r="RUU1635" s="1"/>
      <c r="RUV1635" s="1"/>
      <c r="RUW1635" s="1"/>
      <c r="RUX1635" s="1"/>
      <c r="RUY1635" s="1"/>
      <c r="RUZ1635" s="1"/>
      <c r="RVA1635" s="1"/>
      <c r="RVB1635" s="1"/>
      <c r="RVC1635" s="1"/>
      <c r="RVD1635" s="1"/>
      <c r="RVE1635" s="1"/>
      <c r="RVF1635" s="1"/>
      <c r="RVG1635" s="1"/>
      <c r="RVH1635" s="1"/>
      <c r="RVI1635" s="1"/>
      <c r="RVJ1635" s="1"/>
      <c r="RVK1635" s="1"/>
      <c r="RVL1635" s="1"/>
      <c r="RVM1635" s="1"/>
      <c r="RVN1635" s="1"/>
      <c r="RVO1635" s="1"/>
      <c r="RVP1635" s="1"/>
      <c r="RVQ1635" s="1"/>
      <c r="RVR1635" s="1"/>
      <c r="RVS1635" s="1"/>
      <c r="RVT1635" s="1"/>
      <c r="RVU1635" s="1"/>
      <c r="RVV1635" s="1"/>
      <c r="RVW1635" s="1"/>
      <c r="RVX1635" s="1"/>
      <c r="RVY1635" s="1"/>
      <c r="RVZ1635" s="1"/>
      <c r="RWA1635" s="1"/>
      <c r="RWB1635" s="1"/>
      <c r="RWC1635" s="1"/>
      <c r="RWD1635" s="1"/>
      <c r="RWE1635" s="1"/>
      <c r="RWF1635" s="1"/>
      <c r="RWG1635" s="1"/>
      <c r="RWH1635" s="1"/>
      <c r="RWI1635" s="1"/>
      <c r="RWJ1635" s="1"/>
      <c r="RWK1635" s="1"/>
      <c r="RWL1635" s="1"/>
      <c r="RWM1635" s="1"/>
      <c r="RWN1635" s="1"/>
      <c r="RWO1635" s="1"/>
      <c r="RWP1635" s="1"/>
      <c r="RWQ1635" s="1"/>
      <c r="RWR1635" s="1"/>
      <c r="RWS1635" s="1"/>
      <c r="RWT1635" s="1"/>
      <c r="RWU1635" s="1"/>
      <c r="RWV1635" s="1"/>
      <c r="RWW1635" s="1"/>
      <c r="RWX1635" s="1"/>
      <c r="RWY1635" s="1"/>
      <c r="RWZ1635" s="1"/>
      <c r="RXA1635" s="1"/>
      <c r="RXB1635" s="1"/>
      <c r="RXC1635" s="1"/>
      <c r="RXD1635" s="1"/>
      <c r="RXE1635" s="1"/>
      <c r="RXF1635" s="1"/>
      <c r="RXG1635" s="1"/>
      <c r="RXH1635" s="1"/>
      <c r="RXI1635" s="1"/>
      <c r="RXJ1635" s="1"/>
      <c r="RXK1635" s="1"/>
      <c r="RXL1635" s="1"/>
      <c r="RXM1635" s="1"/>
      <c r="RXN1635" s="1"/>
      <c r="RXO1635" s="1"/>
      <c r="RXP1635" s="1"/>
      <c r="RXQ1635" s="1"/>
      <c r="RXR1635" s="1"/>
      <c r="RXS1635" s="1"/>
      <c r="RXT1635" s="1"/>
      <c r="RXU1635" s="1"/>
      <c r="RXV1635" s="1"/>
      <c r="RXW1635" s="1"/>
      <c r="RXX1635" s="1"/>
      <c r="RXY1635" s="1"/>
      <c r="RXZ1635" s="1"/>
      <c r="RYA1635" s="1"/>
      <c r="RYB1635" s="1"/>
      <c r="RYC1635" s="1"/>
      <c r="RYD1635" s="1"/>
      <c r="RYE1635" s="1"/>
      <c r="RYF1635" s="1"/>
      <c r="RYG1635" s="1"/>
      <c r="RYH1635" s="1"/>
      <c r="RYI1635" s="1"/>
      <c r="RYJ1635" s="1"/>
      <c r="RYK1635" s="1"/>
      <c r="RYL1635" s="1"/>
      <c r="RYM1635" s="1"/>
      <c r="RYN1635" s="1"/>
      <c r="RYO1635" s="1"/>
      <c r="RYP1635" s="1"/>
      <c r="RYQ1635" s="1"/>
      <c r="RYR1635" s="1"/>
      <c r="RYS1635" s="1"/>
      <c r="RYT1635" s="1"/>
      <c r="RYU1635" s="1"/>
      <c r="RYV1635" s="1"/>
      <c r="RYW1635" s="1"/>
      <c r="RYX1635" s="1"/>
      <c r="RYY1635" s="1"/>
      <c r="RYZ1635" s="1"/>
      <c r="RZA1635" s="1"/>
      <c r="RZB1635" s="1"/>
      <c r="RZC1635" s="1"/>
      <c r="RZD1635" s="1"/>
      <c r="RZE1635" s="1"/>
      <c r="RZF1635" s="1"/>
      <c r="RZG1635" s="1"/>
      <c r="RZH1635" s="1"/>
      <c r="RZI1635" s="1"/>
      <c r="RZJ1635" s="1"/>
      <c r="RZK1635" s="1"/>
      <c r="RZL1635" s="1"/>
      <c r="RZM1635" s="1"/>
      <c r="RZN1635" s="1"/>
      <c r="RZO1635" s="1"/>
      <c r="RZP1635" s="1"/>
      <c r="RZQ1635" s="1"/>
      <c r="RZR1635" s="1"/>
      <c r="RZS1635" s="1"/>
      <c r="RZT1635" s="1"/>
      <c r="RZU1635" s="1"/>
      <c r="RZV1635" s="1"/>
      <c r="RZW1635" s="1"/>
      <c r="RZX1635" s="1"/>
      <c r="RZY1635" s="1"/>
      <c r="RZZ1635" s="1"/>
      <c r="SAA1635" s="1"/>
      <c r="SAB1635" s="1"/>
      <c r="SAC1635" s="1"/>
      <c r="SAD1635" s="1"/>
      <c r="SAE1635" s="1"/>
      <c r="SAF1635" s="1"/>
      <c r="SAG1635" s="1"/>
      <c r="SAH1635" s="1"/>
      <c r="SAI1635" s="1"/>
      <c r="SAJ1635" s="1"/>
      <c r="SAK1635" s="1"/>
      <c r="SAL1635" s="1"/>
      <c r="SAM1635" s="1"/>
      <c r="SAN1635" s="1"/>
      <c r="SAO1635" s="1"/>
      <c r="SAP1635" s="1"/>
      <c r="SAQ1635" s="1"/>
      <c r="SAR1635" s="1"/>
      <c r="SAS1635" s="1"/>
      <c r="SAT1635" s="1"/>
      <c r="SAU1635" s="1"/>
      <c r="SAV1635" s="1"/>
      <c r="SAW1635" s="1"/>
      <c r="SAX1635" s="1"/>
      <c r="SAY1635" s="1"/>
      <c r="SAZ1635" s="1"/>
      <c r="SBA1635" s="1"/>
      <c r="SBB1635" s="1"/>
      <c r="SBC1635" s="1"/>
      <c r="SBD1635" s="1"/>
      <c r="SBE1635" s="1"/>
      <c r="SBF1635" s="1"/>
      <c r="SBG1635" s="1"/>
      <c r="SBH1635" s="1"/>
      <c r="SBI1635" s="1"/>
      <c r="SBJ1635" s="1"/>
      <c r="SBK1635" s="1"/>
      <c r="SBL1635" s="1"/>
      <c r="SBM1635" s="1"/>
      <c r="SBN1635" s="1"/>
      <c r="SBO1635" s="1"/>
      <c r="SBP1635" s="1"/>
      <c r="SBQ1635" s="1"/>
      <c r="SBR1635" s="1"/>
      <c r="SBS1635" s="1"/>
      <c r="SBT1635" s="1"/>
      <c r="SBU1635" s="1"/>
      <c r="SBV1635" s="1"/>
      <c r="SBW1635" s="1"/>
      <c r="SBX1635" s="1"/>
      <c r="SBY1635" s="1"/>
      <c r="SBZ1635" s="1"/>
      <c r="SCA1635" s="1"/>
      <c r="SCB1635" s="1"/>
      <c r="SCC1635" s="1"/>
      <c r="SCD1635" s="1"/>
      <c r="SCE1635" s="1"/>
      <c r="SCF1635" s="1"/>
      <c r="SCG1635" s="1"/>
      <c r="SCH1635" s="1"/>
      <c r="SCI1635" s="1"/>
      <c r="SCJ1635" s="1"/>
      <c r="SCK1635" s="1"/>
      <c r="SCL1635" s="1"/>
      <c r="SCM1635" s="1"/>
      <c r="SCN1635" s="1"/>
      <c r="SCO1635" s="1"/>
      <c r="SCP1635" s="1"/>
      <c r="SCQ1635" s="1"/>
      <c r="SCR1635" s="1"/>
      <c r="SCS1635" s="1"/>
      <c r="SCT1635" s="1"/>
      <c r="SCU1635" s="1"/>
      <c r="SCV1635" s="1"/>
      <c r="SCW1635" s="1"/>
      <c r="SCX1635" s="1"/>
      <c r="SCY1635" s="1"/>
      <c r="SCZ1635" s="1"/>
      <c r="SDA1635" s="1"/>
      <c r="SDB1635" s="1"/>
      <c r="SDC1635" s="1"/>
      <c r="SDD1635" s="1"/>
      <c r="SDE1635" s="1"/>
      <c r="SDF1635" s="1"/>
      <c r="SDG1635" s="1"/>
      <c r="SDH1635" s="1"/>
      <c r="SDI1635" s="1"/>
      <c r="SDJ1635" s="1"/>
      <c r="SDK1635" s="1"/>
      <c r="SDL1635" s="1"/>
      <c r="SDM1635" s="1"/>
      <c r="SDN1635" s="1"/>
      <c r="SDO1635" s="1"/>
      <c r="SDP1635" s="1"/>
      <c r="SDQ1635" s="1"/>
      <c r="SDR1635" s="1"/>
      <c r="SDS1635" s="1"/>
      <c r="SDT1635" s="1"/>
      <c r="SDU1635" s="1"/>
      <c r="SDV1635" s="1"/>
      <c r="SDW1635" s="1"/>
      <c r="SDX1635" s="1"/>
      <c r="SDY1635" s="1"/>
      <c r="SDZ1635" s="1"/>
      <c r="SEA1635" s="1"/>
      <c r="SEB1635" s="1"/>
      <c r="SEC1635" s="1"/>
      <c r="SED1635" s="1"/>
      <c r="SEE1635" s="1"/>
      <c r="SEF1635" s="1"/>
      <c r="SEG1635" s="1"/>
      <c r="SEH1635" s="1"/>
      <c r="SEI1635" s="1"/>
      <c r="SEJ1635" s="1"/>
      <c r="SEK1635" s="1"/>
      <c r="SEL1635" s="1"/>
      <c r="SEM1635" s="1"/>
      <c r="SEN1635" s="1"/>
      <c r="SEO1635" s="1"/>
      <c r="SEP1635" s="1"/>
      <c r="SEQ1635" s="1"/>
      <c r="SER1635" s="1"/>
      <c r="SES1635" s="1"/>
      <c r="SET1635" s="1"/>
      <c r="SEU1635" s="1"/>
      <c r="SEV1635" s="1"/>
      <c r="SEW1635" s="1"/>
      <c r="SEX1635" s="1"/>
      <c r="SEY1635" s="1"/>
      <c r="SEZ1635" s="1"/>
      <c r="SFA1635" s="1"/>
      <c r="SFB1635" s="1"/>
      <c r="SFC1635" s="1"/>
      <c r="SFD1635" s="1"/>
      <c r="SFE1635" s="1"/>
      <c r="SFF1635" s="1"/>
      <c r="SFG1635" s="1"/>
      <c r="SFH1635" s="1"/>
      <c r="SFI1635" s="1"/>
      <c r="SFJ1635" s="1"/>
      <c r="SFK1635" s="1"/>
      <c r="SFL1635" s="1"/>
      <c r="SFM1635" s="1"/>
      <c r="SFN1635" s="1"/>
      <c r="SFO1635" s="1"/>
      <c r="SFP1635" s="1"/>
      <c r="SFQ1635" s="1"/>
      <c r="SFR1635" s="1"/>
      <c r="SFS1635" s="1"/>
      <c r="SFT1635" s="1"/>
      <c r="SFU1635" s="1"/>
      <c r="SFV1635" s="1"/>
      <c r="SFW1635" s="1"/>
      <c r="SFX1635" s="1"/>
      <c r="SFY1635" s="1"/>
      <c r="SFZ1635" s="1"/>
      <c r="SGA1635" s="1"/>
      <c r="SGB1635" s="1"/>
      <c r="SGC1635" s="1"/>
      <c r="SGD1635" s="1"/>
      <c r="SGE1635" s="1"/>
      <c r="SGF1635" s="1"/>
      <c r="SGG1635" s="1"/>
      <c r="SGH1635" s="1"/>
      <c r="SGI1635" s="1"/>
      <c r="SGJ1635" s="1"/>
      <c r="SGK1635" s="1"/>
      <c r="SGL1635" s="1"/>
      <c r="SGM1635" s="1"/>
      <c r="SGN1635" s="1"/>
      <c r="SGO1635" s="1"/>
      <c r="SGP1635" s="1"/>
      <c r="SGQ1635" s="1"/>
      <c r="SGR1635" s="1"/>
      <c r="SGS1635" s="1"/>
      <c r="SGT1635" s="1"/>
      <c r="SGU1635" s="1"/>
      <c r="SGV1635" s="1"/>
      <c r="SGW1635" s="1"/>
      <c r="SGX1635" s="1"/>
      <c r="SGY1635" s="1"/>
      <c r="SGZ1635" s="1"/>
      <c r="SHA1635" s="1"/>
      <c r="SHB1635" s="1"/>
      <c r="SHC1635" s="1"/>
      <c r="SHD1635" s="1"/>
      <c r="SHE1635" s="1"/>
      <c r="SHF1635" s="1"/>
      <c r="SHG1635" s="1"/>
      <c r="SHH1635" s="1"/>
      <c r="SHI1635" s="1"/>
      <c r="SHJ1635" s="1"/>
      <c r="SHK1635" s="1"/>
      <c r="SHL1635" s="1"/>
      <c r="SHM1635" s="1"/>
      <c r="SHN1635" s="1"/>
      <c r="SHO1635" s="1"/>
      <c r="SHP1635" s="1"/>
      <c r="SHQ1635" s="1"/>
      <c r="SHR1635" s="1"/>
      <c r="SHS1635" s="1"/>
      <c r="SHT1635" s="1"/>
      <c r="SHU1635" s="1"/>
      <c r="SHV1635" s="1"/>
      <c r="SHW1635" s="1"/>
      <c r="SHX1635" s="1"/>
      <c r="SHY1635" s="1"/>
      <c r="SHZ1635" s="1"/>
      <c r="SIA1635" s="1"/>
      <c r="SIB1635" s="1"/>
      <c r="SIC1635" s="1"/>
      <c r="SID1635" s="1"/>
      <c r="SIE1635" s="1"/>
      <c r="SIF1635" s="1"/>
      <c r="SIG1635" s="1"/>
      <c r="SIH1635" s="1"/>
      <c r="SII1635" s="1"/>
      <c r="SIJ1635" s="1"/>
      <c r="SIK1635" s="1"/>
      <c r="SIL1635" s="1"/>
      <c r="SIM1635" s="1"/>
      <c r="SIN1635" s="1"/>
      <c r="SIO1635" s="1"/>
      <c r="SIP1635" s="1"/>
      <c r="SIQ1635" s="1"/>
      <c r="SIR1635" s="1"/>
      <c r="SIS1635" s="1"/>
      <c r="SIT1635" s="1"/>
      <c r="SIU1635" s="1"/>
      <c r="SIV1635" s="1"/>
      <c r="SIW1635" s="1"/>
      <c r="SIX1635" s="1"/>
      <c r="SIY1635" s="1"/>
      <c r="SIZ1635" s="1"/>
      <c r="SJA1635" s="1"/>
      <c r="SJB1635" s="1"/>
      <c r="SJC1635" s="1"/>
      <c r="SJD1635" s="1"/>
      <c r="SJE1635" s="1"/>
      <c r="SJF1635" s="1"/>
      <c r="SJG1635" s="1"/>
      <c r="SJH1635" s="1"/>
      <c r="SJI1635" s="1"/>
      <c r="SJJ1635" s="1"/>
      <c r="SJK1635" s="1"/>
      <c r="SJL1635" s="1"/>
      <c r="SJM1635" s="1"/>
      <c r="SJN1635" s="1"/>
      <c r="SJO1635" s="1"/>
      <c r="SJP1635" s="1"/>
      <c r="SJQ1635" s="1"/>
      <c r="SJR1635" s="1"/>
      <c r="SJS1635" s="1"/>
      <c r="SJT1635" s="1"/>
      <c r="SJU1635" s="1"/>
      <c r="SJV1635" s="1"/>
      <c r="SJW1635" s="1"/>
      <c r="SJX1635" s="1"/>
      <c r="SJY1635" s="1"/>
      <c r="SJZ1635" s="1"/>
      <c r="SKA1635" s="1"/>
      <c r="SKB1635" s="1"/>
      <c r="SKC1635" s="1"/>
      <c r="SKD1635" s="1"/>
      <c r="SKE1635" s="1"/>
      <c r="SKF1635" s="1"/>
      <c r="SKG1635" s="1"/>
      <c r="SKH1635" s="1"/>
      <c r="SKI1635" s="1"/>
      <c r="SKJ1635" s="1"/>
      <c r="SKK1635" s="1"/>
      <c r="SKL1635" s="1"/>
      <c r="SKM1635" s="1"/>
      <c r="SKN1635" s="1"/>
      <c r="SKO1635" s="1"/>
      <c r="SKP1635" s="1"/>
      <c r="SKQ1635" s="1"/>
      <c r="SKR1635" s="1"/>
      <c r="SKS1635" s="1"/>
      <c r="SKT1635" s="1"/>
      <c r="SKU1635" s="1"/>
      <c r="SKV1635" s="1"/>
      <c r="SKW1635" s="1"/>
      <c r="SKX1635" s="1"/>
      <c r="SKY1635" s="1"/>
      <c r="SKZ1635" s="1"/>
      <c r="SLA1635" s="1"/>
      <c r="SLB1635" s="1"/>
      <c r="SLC1635" s="1"/>
      <c r="SLD1635" s="1"/>
      <c r="SLE1635" s="1"/>
      <c r="SLF1635" s="1"/>
      <c r="SLG1635" s="1"/>
      <c r="SLH1635" s="1"/>
      <c r="SLI1635" s="1"/>
      <c r="SLJ1635" s="1"/>
      <c r="SLK1635" s="1"/>
      <c r="SLL1635" s="1"/>
      <c r="SLM1635" s="1"/>
      <c r="SLN1635" s="1"/>
      <c r="SLO1635" s="1"/>
      <c r="SLP1635" s="1"/>
      <c r="SLQ1635" s="1"/>
      <c r="SLR1635" s="1"/>
      <c r="SLS1635" s="1"/>
      <c r="SLT1635" s="1"/>
      <c r="SLU1635" s="1"/>
      <c r="SLV1635" s="1"/>
      <c r="SLW1635" s="1"/>
      <c r="SLX1635" s="1"/>
      <c r="SLY1635" s="1"/>
      <c r="SLZ1635" s="1"/>
      <c r="SMA1635" s="1"/>
      <c r="SMB1635" s="1"/>
      <c r="SMC1635" s="1"/>
      <c r="SMD1635" s="1"/>
      <c r="SME1635" s="1"/>
      <c r="SMF1635" s="1"/>
      <c r="SMG1635" s="1"/>
      <c r="SMH1635" s="1"/>
      <c r="SMI1635" s="1"/>
      <c r="SMJ1635" s="1"/>
      <c r="SMK1635" s="1"/>
      <c r="SML1635" s="1"/>
      <c r="SMM1635" s="1"/>
      <c r="SMN1635" s="1"/>
      <c r="SMO1635" s="1"/>
      <c r="SMP1635" s="1"/>
      <c r="SMQ1635" s="1"/>
      <c r="SMR1635" s="1"/>
      <c r="SMS1635" s="1"/>
      <c r="SMT1635" s="1"/>
      <c r="SMU1635" s="1"/>
      <c r="SMV1635" s="1"/>
      <c r="SMW1635" s="1"/>
      <c r="SMX1635" s="1"/>
      <c r="SMY1635" s="1"/>
      <c r="SMZ1635" s="1"/>
      <c r="SNA1635" s="1"/>
      <c r="SNB1635" s="1"/>
      <c r="SNC1635" s="1"/>
      <c r="SND1635" s="1"/>
      <c r="SNE1635" s="1"/>
      <c r="SNF1635" s="1"/>
      <c r="SNG1635" s="1"/>
      <c r="SNH1635" s="1"/>
      <c r="SNI1635" s="1"/>
      <c r="SNJ1635" s="1"/>
      <c r="SNK1635" s="1"/>
      <c r="SNL1635" s="1"/>
      <c r="SNM1635" s="1"/>
      <c r="SNN1635" s="1"/>
      <c r="SNO1635" s="1"/>
      <c r="SNP1635" s="1"/>
      <c r="SNQ1635" s="1"/>
      <c r="SNR1635" s="1"/>
      <c r="SNS1635" s="1"/>
      <c r="SNT1635" s="1"/>
      <c r="SNU1635" s="1"/>
      <c r="SNV1635" s="1"/>
      <c r="SNW1635" s="1"/>
      <c r="SNX1635" s="1"/>
      <c r="SNY1635" s="1"/>
      <c r="SNZ1635" s="1"/>
      <c r="SOA1635" s="1"/>
      <c r="SOB1635" s="1"/>
      <c r="SOC1635" s="1"/>
      <c r="SOD1635" s="1"/>
      <c r="SOE1635" s="1"/>
      <c r="SOF1635" s="1"/>
      <c r="SOG1635" s="1"/>
      <c r="SOH1635" s="1"/>
      <c r="SOI1635" s="1"/>
      <c r="SOJ1635" s="1"/>
      <c r="SOK1635" s="1"/>
      <c r="SOL1635" s="1"/>
      <c r="SOM1635" s="1"/>
      <c r="SON1635" s="1"/>
      <c r="SOO1635" s="1"/>
      <c r="SOP1635" s="1"/>
      <c r="SOQ1635" s="1"/>
      <c r="SOR1635" s="1"/>
      <c r="SOS1635" s="1"/>
      <c r="SOT1635" s="1"/>
      <c r="SOU1635" s="1"/>
      <c r="SOV1635" s="1"/>
      <c r="SOW1635" s="1"/>
      <c r="SOX1635" s="1"/>
      <c r="SOY1635" s="1"/>
      <c r="SOZ1635" s="1"/>
      <c r="SPA1635" s="1"/>
      <c r="SPB1635" s="1"/>
      <c r="SPC1635" s="1"/>
      <c r="SPD1635" s="1"/>
      <c r="SPE1635" s="1"/>
      <c r="SPF1635" s="1"/>
      <c r="SPG1635" s="1"/>
      <c r="SPH1635" s="1"/>
      <c r="SPI1635" s="1"/>
      <c r="SPJ1635" s="1"/>
      <c r="SPK1635" s="1"/>
      <c r="SPL1635" s="1"/>
      <c r="SPM1635" s="1"/>
      <c r="SPN1635" s="1"/>
      <c r="SPO1635" s="1"/>
      <c r="SPP1635" s="1"/>
      <c r="SPQ1635" s="1"/>
      <c r="SPR1635" s="1"/>
      <c r="SPS1635" s="1"/>
      <c r="SPT1635" s="1"/>
      <c r="SPU1635" s="1"/>
      <c r="SPV1635" s="1"/>
      <c r="SPW1635" s="1"/>
      <c r="SPX1635" s="1"/>
      <c r="SPY1635" s="1"/>
      <c r="SPZ1635" s="1"/>
      <c r="SQA1635" s="1"/>
      <c r="SQB1635" s="1"/>
      <c r="SQC1635" s="1"/>
      <c r="SQD1635" s="1"/>
      <c r="SQE1635" s="1"/>
      <c r="SQF1635" s="1"/>
      <c r="SQG1635" s="1"/>
      <c r="SQH1635" s="1"/>
      <c r="SQI1635" s="1"/>
      <c r="SQJ1635" s="1"/>
      <c r="SQK1635" s="1"/>
      <c r="SQL1635" s="1"/>
      <c r="SQM1635" s="1"/>
      <c r="SQN1635" s="1"/>
      <c r="SQO1635" s="1"/>
      <c r="SQP1635" s="1"/>
      <c r="SQQ1635" s="1"/>
      <c r="SQR1635" s="1"/>
      <c r="SQS1635" s="1"/>
      <c r="SQT1635" s="1"/>
      <c r="SQU1635" s="1"/>
      <c r="SQV1635" s="1"/>
      <c r="SQW1635" s="1"/>
      <c r="SQX1635" s="1"/>
      <c r="SQY1635" s="1"/>
      <c r="SQZ1635" s="1"/>
      <c r="SRA1635" s="1"/>
      <c r="SRB1635" s="1"/>
      <c r="SRC1635" s="1"/>
      <c r="SRD1635" s="1"/>
      <c r="SRE1635" s="1"/>
      <c r="SRF1635" s="1"/>
      <c r="SRG1635" s="1"/>
      <c r="SRH1635" s="1"/>
      <c r="SRI1635" s="1"/>
      <c r="SRJ1635" s="1"/>
      <c r="SRK1635" s="1"/>
      <c r="SRL1635" s="1"/>
      <c r="SRM1635" s="1"/>
      <c r="SRN1635" s="1"/>
      <c r="SRO1635" s="1"/>
      <c r="SRP1635" s="1"/>
      <c r="SRQ1635" s="1"/>
      <c r="SRR1635" s="1"/>
      <c r="SRS1635" s="1"/>
      <c r="SRT1635" s="1"/>
      <c r="SRU1635" s="1"/>
      <c r="SRV1635" s="1"/>
      <c r="SRW1635" s="1"/>
      <c r="SRX1635" s="1"/>
      <c r="SRY1635" s="1"/>
      <c r="SRZ1635" s="1"/>
      <c r="SSA1635" s="1"/>
      <c r="SSB1635" s="1"/>
      <c r="SSC1635" s="1"/>
      <c r="SSD1635" s="1"/>
      <c r="SSE1635" s="1"/>
      <c r="SSF1635" s="1"/>
      <c r="SSG1635" s="1"/>
      <c r="SSH1635" s="1"/>
      <c r="SSI1635" s="1"/>
      <c r="SSJ1635" s="1"/>
      <c r="SSK1635" s="1"/>
      <c r="SSL1635" s="1"/>
      <c r="SSM1635" s="1"/>
      <c r="SSN1635" s="1"/>
      <c r="SSO1635" s="1"/>
      <c r="SSP1635" s="1"/>
      <c r="SSQ1635" s="1"/>
      <c r="SSR1635" s="1"/>
      <c r="SSS1635" s="1"/>
      <c r="SST1635" s="1"/>
      <c r="SSU1635" s="1"/>
      <c r="SSV1635" s="1"/>
      <c r="SSW1635" s="1"/>
      <c r="SSX1635" s="1"/>
      <c r="SSY1635" s="1"/>
      <c r="SSZ1635" s="1"/>
      <c r="STA1635" s="1"/>
      <c r="STB1635" s="1"/>
      <c r="STC1635" s="1"/>
      <c r="STD1635" s="1"/>
      <c r="STE1635" s="1"/>
      <c r="STF1635" s="1"/>
      <c r="STG1635" s="1"/>
      <c r="STH1635" s="1"/>
      <c r="STI1635" s="1"/>
      <c r="STJ1635" s="1"/>
      <c r="STK1635" s="1"/>
      <c r="STL1635" s="1"/>
      <c r="STM1635" s="1"/>
      <c r="STN1635" s="1"/>
      <c r="STO1635" s="1"/>
      <c r="STP1635" s="1"/>
      <c r="STQ1635" s="1"/>
      <c r="STR1635" s="1"/>
      <c r="STS1635" s="1"/>
      <c r="STT1635" s="1"/>
      <c r="STU1635" s="1"/>
      <c r="STV1635" s="1"/>
      <c r="STW1635" s="1"/>
      <c r="STX1635" s="1"/>
      <c r="STY1635" s="1"/>
      <c r="STZ1635" s="1"/>
      <c r="SUA1635" s="1"/>
      <c r="SUB1635" s="1"/>
      <c r="SUC1635" s="1"/>
      <c r="SUD1635" s="1"/>
      <c r="SUE1635" s="1"/>
      <c r="SUF1635" s="1"/>
      <c r="SUG1635" s="1"/>
      <c r="SUH1635" s="1"/>
      <c r="SUI1635" s="1"/>
      <c r="SUJ1635" s="1"/>
      <c r="SUK1635" s="1"/>
      <c r="SUL1635" s="1"/>
      <c r="SUM1635" s="1"/>
      <c r="SUN1635" s="1"/>
      <c r="SUO1635" s="1"/>
      <c r="SUP1635" s="1"/>
      <c r="SUQ1635" s="1"/>
      <c r="SUR1635" s="1"/>
      <c r="SUS1635" s="1"/>
      <c r="SUT1635" s="1"/>
      <c r="SUU1635" s="1"/>
      <c r="SUV1635" s="1"/>
      <c r="SUW1635" s="1"/>
      <c r="SUX1635" s="1"/>
      <c r="SUY1635" s="1"/>
      <c r="SUZ1635" s="1"/>
      <c r="SVA1635" s="1"/>
      <c r="SVB1635" s="1"/>
      <c r="SVC1635" s="1"/>
      <c r="SVD1635" s="1"/>
      <c r="SVE1635" s="1"/>
      <c r="SVF1635" s="1"/>
      <c r="SVG1635" s="1"/>
      <c r="SVH1635" s="1"/>
      <c r="SVI1635" s="1"/>
      <c r="SVJ1635" s="1"/>
      <c r="SVK1635" s="1"/>
      <c r="SVL1635" s="1"/>
      <c r="SVM1635" s="1"/>
      <c r="SVN1635" s="1"/>
      <c r="SVO1635" s="1"/>
      <c r="SVP1635" s="1"/>
      <c r="SVQ1635" s="1"/>
      <c r="SVR1635" s="1"/>
      <c r="SVS1635" s="1"/>
      <c r="SVT1635" s="1"/>
      <c r="SVU1635" s="1"/>
      <c r="SVV1635" s="1"/>
      <c r="SVW1635" s="1"/>
      <c r="SVX1635" s="1"/>
      <c r="SVY1635" s="1"/>
      <c r="SVZ1635" s="1"/>
      <c r="SWA1635" s="1"/>
      <c r="SWB1635" s="1"/>
      <c r="SWC1635" s="1"/>
      <c r="SWD1635" s="1"/>
      <c r="SWE1635" s="1"/>
      <c r="SWF1635" s="1"/>
      <c r="SWG1635" s="1"/>
      <c r="SWH1635" s="1"/>
      <c r="SWI1635" s="1"/>
      <c r="SWJ1635" s="1"/>
      <c r="SWK1635" s="1"/>
      <c r="SWL1635" s="1"/>
      <c r="SWM1635" s="1"/>
      <c r="SWN1635" s="1"/>
      <c r="SWO1635" s="1"/>
      <c r="SWP1635" s="1"/>
      <c r="SWQ1635" s="1"/>
      <c r="SWR1635" s="1"/>
      <c r="SWS1635" s="1"/>
      <c r="SWT1635" s="1"/>
      <c r="SWU1635" s="1"/>
      <c r="SWV1635" s="1"/>
      <c r="SWW1635" s="1"/>
      <c r="SWX1635" s="1"/>
      <c r="SWY1635" s="1"/>
      <c r="SWZ1635" s="1"/>
      <c r="SXA1635" s="1"/>
      <c r="SXB1635" s="1"/>
      <c r="SXC1635" s="1"/>
      <c r="SXD1635" s="1"/>
      <c r="SXE1635" s="1"/>
      <c r="SXF1635" s="1"/>
      <c r="SXG1635" s="1"/>
      <c r="SXH1635" s="1"/>
      <c r="SXI1635" s="1"/>
      <c r="SXJ1635" s="1"/>
      <c r="SXK1635" s="1"/>
      <c r="SXL1635" s="1"/>
      <c r="SXM1635" s="1"/>
      <c r="SXN1635" s="1"/>
      <c r="SXO1635" s="1"/>
      <c r="SXP1635" s="1"/>
      <c r="SXQ1635" s="1"/>
      <c r="SXR1635" s="1"/>
      <c r="SXS1635" s="1"/>
      <c r="SXT1635" s="1"/>
      <c r="SXU1635" s="1"/>
      <c r="SXV1635" s="1"/>
      <c r="SXW1635" s="1"/>
      <c r="SXX1635" s="1"/>
      <c r="SXY1635" s="1"/>
      <c r="SXZ1635" s="1"/>
      <c r="SYA1635" s="1"/>
      <c r="SYB1635" s="1"/>
      <c r="SYC1635" s="1"/>
      <c r="SYD1635" s="1"/>
      <c r="SYE1635" s="1"/>
      <c r="SYF1635" s="1"/>
      <c r="SYG1635" s="1"/>
      <c r="SYH1635" s="1"/>
      <c r="SYI1635" s="1"/>
      <c r="SYJ1635" s="1"/>
      <c r="SYK1635" s="1"/>
      <c r="SYL1635" s="1"/>
      <c r="SYM1635" s="1"/>
      <c r="SYN1635" s="1"/>
      <c r="SYO1635" s="1"/>
      <c r="SYP1635" s="1"/>
      <c r="SYQ1635" s="1"/>
      <c r="SYR1635" s="1"/>
      <c r="SYS1635" s="1"/>
      <c r="SYT1635" s="1"/>
      <c r="SYU1635" s="1"/>
      <c r="SYV1635" s="1"/>
      <c r="SYW1635" s="1"/>
      <c r="SYX1635" s="1"/>
      <c r="SYY1635" s="1"/>
      <c r="SYZ1635" s="1"/>
      <c r="SZA1635" s="1"/>
      <c r="SZB1635" s="1"/>
      <c r="SZC1635" s="1"/>
      <c r="SZD1635" s="1"/>
      <c r="SZE1635" s="1"/>
      <c r="SZF1635" s="1"/>
      <c r="SZG1635" s="1"/>
      <c r="SZH1635" s="1"/>
      <c r="SZI1635" s="1"/>
      <c r="SZJ1635" s="1"/>
      <c r="SZK1635" s="1"/>
      <c r="SZL1635" s="1"/>
      <c r="SZM1635" s="1"/>
      <c r="SZN1635" s="1"/>
      <c r="SZO1635" s="1"/>
      <c r="SZP1635" s="1"/>
      <c r="SZQ1635" s="1"/>
      <c r="SZR1635" s="1"/>
      <c r="SZS1635" s="1"/>
      <c r="SZT1635" s="1"/>
      <c r="SZU1635" s="1"/>
      <c r="SZV1635" s="1"/>
      <c r="SZW1635" s="1"/>
      <c r="SZX1635" s="1"/>
      <c r="SZY1635" s="1"/>
      <c r="SZZ1635" s="1"/>
      <c r="TAA1635" s="1"/>
      <c r="TAB1635" s="1"/>
      <c r="TAC1635" s="1"/>
      <c r="TAD1635" s="1"/>
      <c r="TAE1635" s="1"/>
      <c r="TAF1635" s="1"/>
      <c r="TAG1635" s="1"/>
      <c r="TAH1635" s="1"/>
      <c r="TAI1635" s="1"/>
      <c r="TAJ1635" s="1"/>
      <c r="TAK1635" s="1"/>
      <c r="TAL1635" s="1"/>
      <c r="TAM1635" s="1"/>
      <c r="TAN1635" s="1"/>
      <c r="TAO1635" s="1"/>
      <c r="TAP1635" s="1"/>
      <c r="TAQ1635" s="1"/>
      <c r="TAR1635" s="1"/>
      <c r="TAS1635" s="1"/>
      <c r="TAT1635" s="1"/>
      <c r="TAU1635" s="1"/>
      <c r="TAV1635" s="1"/>
      <c r="TAW1635" s="1"/>
      <c r="TAX1635" s="1"/>
      <c r="TAY1635" s="1"/>
      <c r="TAZ1635" s="1"/>
      <c r="TBA1635" s="1"/>
      <c r="TBB1635" s="1"/>
      <c r="TBC1635" s="1"/>
      <c r="TBD1635" s="1"/>
      <c r="TBE1635" s="1"/>
      <c r="TBF1635" s="1"/>
      <c r="TBG1635" s="1"/>
      <c r="TBH1635" s="1"/>
      <c r="TBI1635" s="1"/>
      <c r="TBJ1635" s="1"/>
      <c r="TBK1635" s="1"/>
      <c r="TBL1635" s="1"/>
      <c r="TBM1635" s="1"/>
      <c r="TBN1635" s="1"/>
      <c r="TBO1635" s="1"/>
      <c r="TBP1635" s="1"/>
      <c r="TBQ1635" s="1"/>
      <c r="TBR1635" s="1"/>
      <c r="TBS1635" s="1"/>
      <c r="TBT1635" s="1"/>
      <c r="TBU1635" s="1"/>
      <c r="TBV1635" s="1"/>
      <c r="TBW1635" s="1"/>
      <c r="TBX1635" s="1"/>
      <c r="TBY1635" s="1"/>
      <c r="TBZ1635" s="1"/>
      <c r="TCA1635" s="1"/>
      <c r="TCB1635" s="1"/>
      <c r="TCC1635" s="1"/>
      <c r="TCD1635" s="1"/>
      <c r="TCE1635" s="1"/>
      <c r="TCF1635" s="1"/>
      <c r="TCG1635" s="1"/>
      <c r="TCH1635" s="1"/>
      <c r="TCI1635" s="1"/>
      <c r="TCJ1635" s="1"/>
      <c r="TCK1635" s="1"/>
      <c r="TCL1635" s="1"/>
      <c r="TCM1635" s="1"/>
      <c r="TCN1635" s="1"/>
      <c r="TCO1635" s="1"/>
      <c r="TCP1635" s="1"/>
      <c r="TCQ1635" s="1"/>
      <c r="TCR1635" s="1"/>
      <c r="TCS1635" s="1"/>
      <c r="TCT1635" s="1"/>
      <c r="TCU1635" s="1"/>
      <c r="TCV1635" s="1"/>
      <c r="TCW1635" s="1"/>
      <c r="TCX1635" s="1"/>
      <c r="TCY1635" s="1"/>
      <c r="TCZ1635" s="1"/>
      <c r="TDA1635" s="1"/>
      <c r="TDB1635" s="1"/>
      <c r="TDC1635" s="1"/>
      <c r="TDD1635" s="1"/>
      <c r="TDE1635" s="1"/>
      <c r="TDF1635" s="1"/>
      <c r="TDG1635" s="1"/>
      <c r="TDH1635" s="1"/>
      <c r="TDI1635" s="1"/>
      <c r="TDJ1635" s="1"/>
      <c r="TDK1635" s="1"/>
      <c r="TDL1635" s="1"/>
      <c r="TDM1635" s="1"/>
      <c r="TDN1635" s="1"/>
      <c r="TDO1635" s="1"/>
      <c r="TDP1635" s="1"/>
      <c r="TDQ1635" s="1"/>
      <c r="TDR1635" s="1"/>
      <c r="TDS1635" s="1"/>
      <c r="TDT1635" s="1"/>
      <c r="TDU1635" s="1"/>
      <c r="TDV1635" s="1"/>
      <c r="TDW1635" s="1"/>
      <c r="TDX1635" s="1"/>
      <c r="TDY1635" s="1"/>
      <c r="TDZ1635" s="1"/>
      <c r="TEA1635" s="1"/>
      <c r="TEB1635" s="1"/>
      <c r="TEC1635" s="1"/>
      <c r="TED1635" s="1"/>
      <c r="TEE1635" s="1"/>
      <c r="TEF1635" s="1"/>
      <c r="TEG1635" s="1"/>
      <c r="TEH1635" s="1"/>
      <c r="TEI1635" s="1"/>
      <c r="TEJ1635" s="1"/>
      <c r="TEK1635" s="1"/>
      <c r="TEL1635" s="1"/>
      <c r="TEM1635" s="1"/>
      <c r="TEN1635" s="1"/>
      <c r="TEO1635" s="1"/>
      <c r="TEP1635" s="1"/>
      <c r="TEQ1635" s="1"/>
      <c r="TER1635" s="1"/>
      <c r="TES1635" s="1"/>
      <c r="TET1635" s="1"/>
      <c r="TEU1635" s="1"/>
      <c r="TEV1635" s="1"/>
      <c r="TEW1635" s="1"/>
      <c r="TEX1635" s="1"/>
      <c r="TEY1635" s="1"/>
      <c r="TEZ1635" s="1"/>
      <c r="TFA1635" s="1"/>
      <c r="TFB1635" s="1"/>
      <c r="TFC1635" s="1"/>
      <c r="TFD1635" s="1"/>
      <c r="TFE1635" s="1"/>
      <c r="TFF1635" s="1"/>
      <c r="TFG1635" s="1"/>
      <c r="TFH1635" s="1"/>
      <c r="TFI1635" s="1"/>
      <c r="TFJ1635" s="1"/>
      <c r="TFK1635" s="1"/>
      <c r="TFL1635" s="1"/>
      <c r="TFM1635" s="1"/>
      <c r="TFN1635" s="1"/>
      <c r="TFO1635" s="1"/>
      <c r="TFP1635" s="1"/>
      <c r="TFQ1635" s="1"/>
      <c r="TFR1635" s="1"/>
      <c r="TFS1635" s="1"/>
      <c r="TFT1635" s="1"/>
      <c r="TFU1635" s="1"/>
      <c r="TFV1635" s="1"/>
      <c r="TFW1635" s="1"/>
      <c r="TFX1635" s="1"/>
      <c r="TFY1635" s="1"/>
      <c r="TFZ1635" s="1"/>
      <c r="TGA1635" s="1"/>
      <c r="TGB1635" s="1"/>
      <c r="TGC1635" s="1"/>
      <c r="TGD1635" s="1"/>
      <c r="TGE1635" s="1"/>
      <c r="TGF1635" s="1"/>
      <c r="TGG1635" s="1"/>
      <c r="TGH1635" s="1"/>
      <c r="TGI1635" s="1"/>
      <c r="TGJ1635" s="1"/>
      <c r="TGK1635" s="1"/>
      <c r="TGL1635" s="1"/>
      <c r="TGM1635" s="1"/>
      <c r="TGN1635" s="1"/>
      <c r="TGO1635" s="1"/>
      <c r="TGP1635" s="1"/>
      <c r="TGQ1635" s="1"/>
      <c r="TGR1635" s="1"/>
      <c r="TGS1635" s="1"/>
      <c r="TGT1635" s="1"/>
      <c r="TGU1635" s="1"/>
      <c r="TGV1635" s="1"/>
      <c r="TGW1635" s="1"/>
      <c r="TGX1635" s="1"/>
      <c r="TGY1635" s="1"/>
      <c r="TGZ1635" s="1"/>
      <c r="THA1635" s="1"/>
      <c r="THB1635" s="1"/>
      <c r="THC1635" s="1"/>
      <c r="THD1635" s="1"/>
      <c r="THE1635" s="1"/>
      <c r="THF1635" s="1"/>
      <c r="THG1635" s="1"/>
      <c r="THH1635" s="1"/>
      <c r="THI1635" s="1"/>
      <c r="THJ1635" s="1"/>
      <c r="THK1635" s="1"/>
      <c r="THL1635" s="1"/>
      <c r="THM1635" s="1"/>
      <c r="THN1635" s="1"/>
      <c r="THO1635" s="1"/>
      <c r="THP1635" s="1"/>
      <c r="THQ1635" s="1"/>
      <c r="THR1635" s="1"/>
      <c r="THS1635" s="1"/>
      <c r="THT1635" s="1"/>
      <c r="THU1635" s="1"/>
      <c r="THV1635" s="1"/>
      <c r="THW1635" s="1"/>
      <c r="THX1635" s="1"/>
      <c r="THY1635" s="1"/>
      <c r="THZ1635" s="1"/>
      <c r="TIA1635" s="1"/>
      <c r="TIB1635" s="1"/>
      <c r="TIC1635" s="1"/>
      <c r="TID1635" s="1"/>
      <c r="TIE1635" s="1"/>
      <c r="TIF1635" s="1"/>
      <c r="TIG1635" s="1"/>
      <c r="TIH1635" s="1"/>
      <c r="TII1635" s="1"/>
      <c r="TIJ1635" s="1"/>
      <c r="TIK1635" s="1"/>
      <c r="TIL1635" s="1"/>
      <c r="TIM1635" s="1"/>
      <c r="TIN1635" s="1"/>
      <c r="TIO1635" s="1"/>
      <c r="TIP1635" s="1"/>
      <c r="TIQ1635" s="1"/>
      <c r="TIR1635" s="1"/>
      <c r="TIS1635" s="1"/>
      <c r="TIT1635" s="1"/>
      <c r="TIU1635" s="1"/>
      <c r="TIV1635" s="1"/>
      <c r="TIW1635" s="1"/>
      <c r="TIX1635" s="1"/>
      <c r="TIY1635" s="1"/>
      <c r="TIZ1635" s="1"/>
      <c r="TJA1635" s="1"/>
      <c r="TJB1635" s="1"/>
      <c r="TJC1635" s="1"/>
      <c r="TJD1635" s="1"/>
      <c r="TJE1635" s="1"/>
      <c r="TJF1635" s="1"/>
      <c r="TJG1635" s="1"/>
      <c r="TJH1635" s="1"/>
      <c r="TJI1635" s="1"/>
      <c r="TJJ1635" s="1"/>
      <c r="TJK1635" s="1"/>
      <c r="TJL1635" s="1"/>
      <c r="TJM1635" s="1"/>
      <c r="TJN1635" s="1"/>
      <c r="TJO1635" s="1"/>
      <c r="TJP1635" s="1"/>
      <c r="TJQ1635" s="1"/>
      <c r="TJR1635" s="1"/>
      <c r="TJS1635" s="1"/>
      <c r="TJT1635" s="1"/>
      <c r="TJU1635" s="1"/>
      <c r="TJV1635" s="1"/>
      <c r="TJW1635" s="1"/>
      <c r="TJX1635" s="1"/>
      <c r="TJY1635" s="1"/>
      <c r="TJZ1635" s="1"/>
      <c r="TKA1635" s="1"/>
      <c r="TKB1635" s="1"/>
      <c r="TKC1635" s="1"/>
      <c r="TKD1635" s="1"/>
      <c r="TKE1635" s="1"/>
      <c r="TKF1635" s="1"/>
      <c r="TKG1635" s="1"/>
      <c r="TKH1635" s="1"/>
      <c r="TKI1635" s="1"/>
      <c r="TKJ1635" s="1"/>
      <c r="TKK1635" s="1"/>
      <c r="TKL1635" s="1"/>
      <c r="TKM1635" s="1"/>
      <c r="TKN1635" s="1"/>
      <c r="TKO1635" s="1"/>
      <c r="TKP1635" s="1"/>
      <c r="TKQ1635" s="1"/>
      <c r="TKR1635" s="1"/>
      <c r="TKS1635" s="1"/>
      <c r="TKT1635" s="1"/>
      <c r="TKU1635" s="1"/>
      <c r="TKV1635" s="1"/>
      <c r="TKW1635" s="1"/>
      <c r="TKX1635" s="1"/>
      <c r="TKY1635" s="1"/>
      <c r="TKZ1635" s="1"/>
      <c r="TLA1635" s="1"/>
      <c r="TLB1635" s="1"/>
      <c r="TLC1635" s="1"/>
      <c r="TLD1635" s="1"/>
      <c r="TLE1635" s="1"/>
      <c r="TLF1635" s="1"/>
      <c r="TLG1635" s="1"/>
      <c r="TLH1635" s="1"/>
      <c r="TLI1635" s="1"/>
      <c r="TLJ1635" s="1"/>
      <c r="TLK1635" s="1"/>
      <c r="TLL1635" s="1"/>
      <c r="TLM1635" s="1"/>
      <c r="TLN1635" s="1"/>
      <c r="TLO1635" s="1"/>
      <c r="TLP1635" s="1"/>
      <c r="TLQ1635" s="1"/>
      <c r="TLR1635" s="1"/>
      <c r="TLS1635" s="1"/>
      <c r="TLT1635" s="1"/>
      <c r="TLU1635" s="1"/>
      <c r="TLV1635" s="1"/>
      <c r="TLW1635" s="1"/>
      <c r="TLX1635" s="1"/>
      <c r="TLY1635" s="1"/>
      <c r="TLZ1635" s="1"/>
      <c r="TMA1635" s="1"/>
      <c r="TMB1635" s="1"/>
      <c r="TMC1635" s="1"/>
      <c r="TMD1635" s="1"/>
      <c r="TME1635" s="1"/>
      <c r="TMF1635" s="1"/>
      <c r="TMG1635" s="1"/>
      <c r="TMH1635" s="1"/>
      <c r="TMI1635" s="1"/>
      <c r="TMJ1635" s="1"/>
      <c r="TMK1635" s="1"/>
      <c r="TML1635" s="1"/>
      <c r="TMM1635" s="1"/>
      <c r="TMN1635" s="1"/>
      <c r="TMO1635" s="1"/>
      <c r="TMP1635" s="1"/>
      <c r="TMQ1635" s="1"/>
      <c r="TMR1635" s="1"/>
      <c r="TMS1635" s="1"/>
      <c r="TMT1635" s="1"/>
      <c r="TMU1635" s="1"/>
      <c r="TMV1635" s="1"/>
      <c r="TMW1635" s="1"/>
      <c r="TMX1635" s="1"/>
      <c r="TMY1635" s="1"/>
      <c r="TMZ1635" s="1"/>
      <c r="TNA1635" s="1"/>
      <c r="TNB1635" s="1"/>
      <c r="TNC1635" s="1"/>
      <c r="TND1635" s="1"/>
      <c r="TNE1635" s="1"/>
      <c r="TNF1635" s="1"/>
      <c r="TNG1635" s="1"/>
      <c r="TNH1635" s="1"/>
      <c r="TNI1635" s="1"/>
      <c r="TNJ1635" s="1"/>
      <c r="TNK1635" s="1"/>
      <c r="TNL1635" s="1"/>
      <c r="TNM1635" s="1"/>
      <c r="TNN1635" s="1"/>
      <c r="TNO1635" s="1"/>
      <c r="TNP1635" s="1"/>
      <c r="TNQ1635" s="1"/>
      <c r="TNR1635" s="1"/>
      <c r="TNS1635" s="1"/>
      <c r="TNT1635" s="1"/>
      <c r="TNU1635" s="1"/>
      <c r="TNV1635" s="1"/>
      <c r="TNW1635" s="1"/>
      <c r="TNX1635" s="1"/>
      <c r="TNY1635" s="1"/>
      <c r="TNZ1635" s="1"/>
      <c r="TOA1635" s="1"/>
      <c r="TOB1635" s="1"/>
      <c r="TOC1635" s="1"/>
      <c r="TOD1635" s="1"/>
      <c r="TOE1635" s="1"/>
      <c r="TOF1635" s="1"/>
      <c r="TOG1635" s="1"/>
      <c r="TOH1635" s="1"/>
      <c r="TOI1635" s="1"/>
      <c r="TOJ1635" s="1"/>
      <c r="TOK1635" s="1"/>
      <c r="TOL1635" s="1"/>
      <c r="TOM1635" s="1"/>
      <c r="TON1635" s="1"/>
      <c r="TOO1635" s="1"/>
      <c r="TOP1635" s="1"/>
      <c r="TOQ1635" s="1"/>
      <c r="TOR1635" s="1"/>
      <c r="TOS1635" s="1"/>
      <c r="TOT1635" s="1"/>
      <c r="TOU1635" s="1"/>
      <c r="TOV1635" s="1"/>
      <c r="TOW1635" s="1"/>
      <c r="TOX1635" s="1"/>
      <c r="TOY1635" s="1"/>
      <c r="TOZ1635" s="1"/>
      <c r="TPA1635" s="1"/>
      <c r="TPB1635" s="1"/>
      <c r="TPC1635" s="1"/>
      <c r="TPD1635" s="1"/>
      <c r="TPE1635" s="1"/>
      <c r="TPF1635" s="1"/>
      <c r="TPG1635" s="1"/>
      <c r="TPH1635" s="1"/>
      <c r="TPI1635" s="1"/>
      <c r="TPJ1635" s="1"/>
      <c r="TPK1635" s="1"/>
      <c r="TPL1635" s="1"/>
      <c r="TPM1635" s="1"/>
      <c r="TPN1635" s="1"/>
      <c r="TPO1635" s="1"/>
      <c r="TPP1635" s="1"/>
      <c r="TPQ1635" s="1"/>
      <c r="TPR1635" s="1"/>
      <c r="TPS1635" s="1"/>
      <c r="TPT1635" s="1"/>
      <c r="TPU1635" s="1"/>
      <c r="TPV1635" s="1"/>
      <c r="TPW1635" s="1"/>
      <c r="TPX1635" s="1"/>
      <c r="TPY1635" s="1"/>
      <c r="TPZ1635" s="1"/>
      <c r="TQA1635" s="1"/>
      <c r="TQB1635" s="1"/>
      <c r="TQC1635" s="1"/>
      <c r="TQD1635" s="1"/>
      <c r="TQE1635" s="1"/>
      <c r="TQF1635" s="1"/>
      <c r="TQG1635" s="1"/>
      <c r="TQH1635" s="1"/>
      <c r="TQI1635" s="1"/>
      <c r="TQJ1635" s="1"/>
      <c r="TQK1635" s="1"/>
      <c r="TQL1635" s="1"/>
      <c r="TQM1635" s="1"/>
      <c r="TQN1635" s="1"/>
      <c r="TQO1635" s="1"/>
      <c r="TQP1635" s="1"/>
      <c r="TQQ1635" s="1"/>
      <c r="TQR1635" s="1"/>
      <c r="TQS1635" s="1"/>
      <c r="TQT1635" s="1"/>
      <c r="TQU1635" s="1"/>
      <c r="TQV1635" s="1"/>
      <c r="TQW1635" s="1"/>
      <c r="TQX1635" s="1"/>
      <c r="TQY1635" s="1"/>
      <c r="TQZ1635" s="1"/>
      <c r="TRA1635" s="1"/>
      <c r="TRB1635" s="1"/>
      <c r="TRC1635" s="1"/>
      <c r="TRD1635" s="1"/>
      <c r="TRE1635" s="1"/>
      <c r="TRF1635" s="1"/>
      <c r="TRG1635" s="1"/>
      <c r="TRH1635" s="1"/>
      <c r="TRI1635" s="1"/>
      <c r="TRJ1635" s="1"/>
      <c r="TRK1635" s="1"/>
      <c r="TRL1635" s="1"/>
      <c r="TRM1635" s="1"/>
      <c r="TRN1635" s="1"/>
      <c r="TRO1635" s="1"/>
      <c r="TRP1635" s="1"/>
      <c r="TRQ1635" s="1"/>
      <c r="TRR1635" s="1"/>
      <c r="TRS1635" s="1"/>
      <c r="TRT1635" s="1"/>
      <c r="TRU1635" s="1"/>
      <c r="TRV1635" s="1"/>
      <c r="TRW1635" s="1"/>
      <c r="TRX1635" s="1"/>
      <c r="TRY1635" s="1"/>
      <c r="TRZ1635" s="1"/>
      <c r="TSA1635" s="1"/>
      <c r="TSB1635" s="1"/>
      <c r="TSC1635" s="1"/>
      <c r="TSD1635" s="1"/>
      <c r="TSE1635" s="1"/>
      <c r="TSF1635" s="1"/>
      <c r="TSG1635" s="1"/>
      <c r="TSH1635" s="1"/>
      <c r="TSI1635" s="1"/>
      <c r="TSJ1635" s="1"/>
      <c r="TSK1635" s="1"/>
      <c r="TSL1635" s="1"/>
      <c r="TSM1635" s="1"/>
      <c r="TSN1635" s="1"/>
      <c r="TSO1635" s="1"/>
      <c r="TSP1635" s="1"/>
      <c r="TSQ1635" s="1"/>
      <c r="TSR1635" s="1"/>
      <c r="TSS1635" s="1"/>
      <c r="TST1635" s="1"/>
      <c r="TSU1635" s="1"/>
      <c r="TSV1635" s="1"/>
      <c r="TSW1635" s="1"/>
      <c r="TSX1635" s="1"/>
      <c r="TSY1635" s="1"/>
      <c r="TSZ1635" s="1"/>
      <c r="TTA1635" s="1"/>
      <c r="TTB1635" s="1"/>
      <c r="TTC1635" s="1"/>
      <c r="TTD1635" s="1"/>
      <c r="TTE1635" s="1"/>
      <c r="TTF1635" s="1"/>
      <c r="TTG1635" s="1"/>
      <c r="TTH1635" s="1"/>
      <c r="TTI1635" s="1"/>
      <c r="TTJ1635" s="1"/>
      <c r="TTK1635" s="1"/>
      <c r="TTL1635" s="1"/>
      <c r="TTM1635" s="1"/>
      <c r="TTN1635" s="1"/>
      <c r="TTO1635" s="1"/>
      <c r="TTP1635" s="1"/>
      <c r="TTQ1635" s="1"/>
      <c r="TTR1635" s="1"/>
      <c r="TTS1635" s="1"/>
      <c r="TTT1635" s="1"/>
      <c r="TTU1635" s="1"/>
      <c r="TTV1635" s="1"/>
      <c r="TTW1635" s="1"/>
      <c r="TTX1635" s="1"/>
      <c r="TTY1635" s="1"/>
      <c r="TTZ1635" s="1"/>
      <c r="TUA1635" s="1"/>
      <c r="TUB1635" s="1"/>
      <c r="TUC1635" s="1"/>
      <c r="TUD1635" s="1"/>
      <c r="TUE1635" s="1"/>
      <c r="TUF1635" s="1"/>
      <c r="TUG1635" s="1"/>
      <c r="TUH1635" s="1"/>
      <c r="TUI1635" s="1"/>
      <c r="TUJ1635" s="1"/>
      <c r="TUK1635" s="1"/>
      <c r="TUL1635" s="1"/>
      <c r="TUM1635" s="1"/>
      <c r="TUN1635" s="1"/>
      <c r="TUO1635" s="1"/>
      <c r="TUP1635" s="1"/>
      <c r="TUQ1635" s="1"/>
      <c r="TUR1635" s="1"/>
      <c r="TUS1635" s="1"/>
      <c r="TUT1635" s="1"/>
      <c r="TUU1635" s="1"/>
      <c r="TUV1635" s="1"/>
      <c r="TUW1635" s="1"/>
      <c r="TUX1635" s="1"/>
      <c r="TUY1635" s="1"/>
      <c r="TUZ1635" s="1"/>
      <c r="TVA1635" s="1"/>
      <c r="TVB1635" s="1"/>
      <c r="TVC1635" s="1"/>
      <c r="TVD1635" s="1"/>
      <c r="TVE1635" s="1"/>
      <c r="TVF1635" s="1"/>
      <c r="TVG1635" s="1"/>
      <c r="TVH1635" s="1"/>
      <c r="TVI1635" s="1"/>
      <c r="TVJ1635" s="1"/>
      <c r="TVK1635" s="1"/>
      <c r="TVL1635" s="1"/>
      <c r="TVM1635" s="1"/>
      <c r="TVN1635" s="1"/>
      <c r="TVO1635" s="1"/>
      <c r="TVP1635" s="1"/>
      <c r="TVQ1635" s="1"/>
      <c r="TVR1635" s="1"/>
      <c r="TVS1635" s="1"/>
      <c r="TVT1635" s="1"/>
      <c r="TVU1635" s="1"/>
      <c r="TVV1635" s="1"/>
      <c r="TVW1635" s="1"/>
      <c r="TVX1635" s="1"/>
      <c r="TVY1635" s="1"/>
      <c r="TVZ1635" s="1"/>
      <c r="TWA1635" s="1"/>
      <c r="TWB1635" s="1"/>
      <c r="TWC1635" s="1"/>
      <c r="TWD1635" s="1"/>
      <c r="TWE1635" s="1"/>
      <c r="TWF1635" s="1"/>
      <c r="TWG1635" s="1"/>
      <c r="TWH1635" s="1"/>
      <c r="TWI1635" s="1"/>
      <c r="TWJ1635" s="1"/>
      <c r="TWK1635" s="1"/>
      <c r="TWL1635" s="1"/>
      <c r="TWM1635" s="1"/>
      <c r="TWN1635" s="1"/>
      <c r="TWO1635" s="1"/>
      <c r="TWP1635" s="1"/>
      <c r="TWQ1635" s="1"/>
      <c r="TWR1635" s="1"/>
      <c r="TWS1635" s="1"/>
      <c r="TWT1635" s="1"/>
      <c r="TWU1635" s="1"/>
      <c r="TWV1635" s="1"/>
      <c r="TWW1635" s="1"/>
      <c r="TWX1635" s="1"/>
      <c r="TWY1635" s="1"/>
      <c r="TWZ1635" s="1"/>
      <c r="TXA1635" s="1"/>
      <c r="TXB1635" s="1"/>
      <c r="TXC1635" s="1"/>
      <c r="TXD1635" s="1"/>
      <c r="TXE1635" s="1"/>
      <c r="TXF1635" s="1"/>
      <c r="TXG1635" s="1"/>
      <c r="TXH1635" s="1"/>
      <c r="TXI1635" s="1"/>
      <c r="TXJ1635" s="1"/>
      <c r="TXK1635" s="1"/>
      <c r="TXL1635" s="1"/>
      <c r="TXM1635" s="1"/>
      <c r="TXN1635" s="1"/>
      <c r="TXO1635" s="1"/>
      <c r="TXP1635" s="1"/>
      <c r="TXQ1635" s="1"/>
      <c r="TXR1635" s="1"/>
      <c r="TXS1635" s="1"/>
      <c r="TXT1635" s="1"/>
      <c r="TXU1635" s="1"/>
      <c r="TXV1635" s="1"/>
      <c r="TXW1635" s="1"/>
      <c r="TXX1635" s="1"/>
      <c r="TXY1635" s="1"/>
      <c r="TXZ1635" s="1"/>
      <c r="TYA1635" s="1"/>
      <c r="TYB1635" s="1"/>
      <c r="TYC1635" s="1"/>
      <c r="TYD1635" s="1"/>
      <c r="TYE1635" s="1"/>
      <c r="TYF1635" s="1"/>
      <c r="TYG1635" s="1"/>
      <c r="TYH1635" s="1"/>
      <c r="TYI1635" s="1"/>
      <c r="TYJ1635" s="1"/>
      <c r="TYK1635" s="1"/>
      <c r="TYL1635" s="1"/>
      <c r="TYM1635" s="1"/>
      <c r="TYN1635" s="1"/>
      <c r="TYO1635" s="1"/>
      <c r="TYP1635" s="1"/>
      <c r="TYQ1635" s="1"/>
      <c r="TYR1635" s="1"/>
      <c r="TYS1635" s="1"/>
      <c r="TYT1635" s="1"/>
      <c r="TYU1635" s="1"/>
      <c r="TYV1635" s="1"/>
      <c r="TYW1635" s="1"/>
      <c r="TYX1635" s="1"/>
      <c r="TYY1635" s="1"/>
      <c r="TYZ1635" s="1"/>
      <c r="TZA1635" s="1"/>
      <c r="TZB1635" s="1"/>
      <c r="TZC1635" s="1"/>
      <c r="TZD1635" s="1"/>
      <c r="TZE1635" s="1"/>
      <c r="TZF1635" s="1"/>
      <c r="TZG1635" s="1"/>
      <c r="TZH1635" s="1"/>
      <c r="TZI1635" s="1"/>
      <c r="TZJ1635" s="1"/>
      <c r="TZK1635" s="1"/>
      <c r="TZL1635" s="1"/>
      <c r="TZM1635" s="1"/>
      <c r="TZN1635" s="1"/>
      <c r="TZO1635" s="1"/>
      <c r="TZP1635" s="1"/>
      <c r="TZQ1635" s="1"/>
      <c r="TZR1635" s="1"/>
      <c r="TZS1635" s="1"/>
      <c r="TZT1635" s="1"/>
      <c r="TZU1635" s="1"/>
      <c r="TZV1635" s="1"/>
      <c r="TZW1635" s="1"/>
      <c r="TZX1635" s="1"/>
      <c r="TZY1635" s="1"/>
      <c r="TZZ1635" s="1"/>
      <c r="UAA1635" s="1"/>
      <c r="UAB1635" s="1"/>
      <c r="UAC1635" s="1"/>
      <c r="UAD1635" s="1"/>
      <c r="UAE1635" s="1"/>
      <c r="UAF1635" s="1"/>
      <c r="UAG1635" s="1"/>
      <c r="UAH1635" s="1"/>
      <c r="UAI1635" s="1"/>
      <c r="UAJ1635" s="1"/>
      <c r="UAK1635" s="1"/>
      <c r="UAL1635" s="1"/>
      <c r="UAM1635" s="1"/>
      <c r="UAN1635" s="1"/>
      <c r="UAO1635" s="1"/>
      <c r="UAP1635" s="1"/>
      <c r="UAQ1635" s="1"/>
      <c r="UAR1635" s="1"/>
      <c r="UAS1635" s="1"/>
      <c r="UAT1635" s="1"/>
      <c r="UAU1635" s="1"/>
      <c r="UAV1635" s="1"/>
      <c r="UAW1635" s="1"/>
      <c r="UAX1635" s="1"/>
      <c r="UAY1635" s="1"/>
      <c r="UAZ1635" s="1"/>
      <c r="UBA1635" s="1"/>
      <c r="UBB1635" s="1"/>
      <c r="UBC1635" s="1"/>
      <c r="UBD1635" s="1"/>
      <c r="UBE1635" s="1"/>
      <c r="UBF1635" s="1"/>
      <c r="UBG1635" s="1"/>
      <c r="UBH1635" s="1"/>
      <c r="UBI1635" s="1"/>
      <c r="UBJ1635" s="1"/>
      <c r="UBK1635" s="1"/>
      <c r="UBL1635" s="1"/>
      <c r="UBM1635" s="1"/>
      <c r="UBN1635" s="1"/>
      <c r="UBO1635" s="1"/>
      <c r="UBP1635" s="1"/>
      <c r="UBQ1635" s="1"/>
      <c r="UBR1635" s="1"/>
      <c r="UBS1635" s="1"/>
      <c r="UBT1635" s="1"/>
      <c r="UBU1635" s="1"/>
      <c r="UBV1635" s="1"/>
      <c r="UBW1635" s="1"/>
      <c r="UBX1635" s="1"/>
      <c r="UBY1635" s="1"/>
      <c r="UBZ1635" s="1"/>
      <c r="UCA1635" s="1"/>
      <c r="UCB1635" s="1"/>
      <c r="UCC1635" s="1"/>
      <c r="UCD1635" s="1"/>
      <c r="UCE1635" s="1"/>
      <c r="UCF1635" s="1"/>
      <c r="UCG1635" s="1"/>
      <c r="UCH1635" s="1"/>
      <c r="UCI1635" s="1"/>
      <c r="UCJ1635" s="1"/>
      <c r="UCK1635" s="1"/>
      <c r="UCL1635" s="1"/>
      <c r="UCM1635" s="1"/>
      <c r="UCN1635" s="1"/>
      <c r="UCO1635" s="1"/>
      <c r="UCP1635" s="1"/>
      <c r="UCQ1635" s="1"/>
      <c r="UCR1635" s="1"/>
      <c r="UCS1635" s="1"/>
      <c r="UCT1635" s="1"/>
      <c r="UCU1635" s="1"/>
      <c r="UCV1635" s="1"/>
      <c r="UCW1635" s="1"/>
      <c r="UCX1635" s="1"/>
      <c r="UCY1635" s="1"/>
      <c r="UCZ1635" s="1"/>
      <c r="UDA1635" s="1"/>
      <c r="UDB1635" s="1"/>
      <c r="UDC1635" s="1"/>
      <c r="UDD1635" s="1"/>
      <c r="UDE1635" s="1"/>
      <c r="UDF1635" s="1"/>
      <c r="UDG1635" s="1"/>
      <c r="UDH1635" s="1"/>
      <c r="UDI1635" s="1"/>
      <c r="UDJ1635" s="1"/>
      <c r="UDK1635" s="1"/>
      <c r="UDL1635" s="1"/>
      <c r="UDM1635" s="1"/>
      <c r="UDN1635" s="1"/>
      <c r="UDO1635" s="1"/>
      <c r="UDP1635" s="1"/>
      <c r="UDQ1635" s="1"/>
      <c r="UDR1635" s="1"/>
      <c r="UDS1635" s="1"/>
      <c r="UDT1635" s="1"/>
      <c r="UDU1635" s="1"/>
      <c r="UDV1635" s="1"/>
      <c r="UDW1635" s="1"/>
      <c r="UDX1635" s="1"/>
      <c r="UDY1635" s="1"/>
      <c r="UDZ1635" s="1"/>
      <c r="UEA1635" s="1"/>
      <c r="UEB1635" s="1"/>
      <c r="UEC1635" s="1"/>
      <c r="UED1635" s="1"/>
      <c r="UEE1635" s="1"/>
      <c r="UEF1635" s="1"/>
      <c r="UEG1635" s="1"/>
      <c r="UEH1635" s="1"/>
      <c r="UEI1635" s="1"/>
      <c r="UEJ1635" s="1"/>
      <c r="UEK1635" s="1"/>
      <c r="UEL1635" s="1"/>
      <c r="UEM1635" s="1"/>
      <c r="UEN1635" s="1"/>
      <c r="UEO1635" s="1"/>
      <c r="UEP1635" s="1"/>
      <c r="UEQ1635" s="1"/>
      <c r="UER1635" s="1"/>
      <c r="UES1635" s="1"/>
      <c r="UET1635" s="1"/>
      <c r="UEU1635" s="1"/>
      <c r="UEV1635" s="1"/>
      <c r="UEW1635" s="1"/>
      <c r="UEX1635" s="1"/>
      <c r="UEY1635" s="1"/>
      <c r="UEZ1635" s="1"/>
      <c r="UFA1635" s="1"/>
      <c r="UFB1635" s="1"/>
      <c r="UFC1635" s="1"/>
      <c r="UFD1635" s="1"/>
      <c r="UFE1635" s="1"/>
      <c r="UFF1635" s="1"/>
      <c r="UFG1635" s="1"/>
      <c r="UFH1635" s="1"/>
      <c r="UFI1635" s="1"/>
      <c r="UFJ1635" s="1"/>
      <c r="UFK1635" s="1"/>
      <c r="UFL1635" s="1"/>
      <c r="UFM1635" s="1"/>
      <c r="UFN1635" s="1"/>
      <c r="UFO1635" s="1"/>
      <c r="UFP1635" s="1"/>
      <c r="UFQ1635" s="1"/>
      <c r="UFR1635" s="1"/>
      <c r="UFS1635" s="1"/>
      <c r="UFT1635" s="1"/>
      <c r="UFU1635" s="1"/>
      <c r="UFV1635" s="1"/>
      <c r="UFW1635" s="1"/>
      <c r="UFX1635" s="1"/>
      <c r="UFY1635" s="1"/>
      <c r="UFZ1635" s="1"/>
      <c r="UGA1635" s="1"/>
      <c r="UGB1635" s="1"/>
      <c r="UGC1635" s="1"/>
      <c r="UGD1635" s="1"/>
      <c r="UGE1635" s="1"/>
      <c r="UGF1635" s="1"/>
      <c r="UGG1635" s="1"/>
      <c r="UGH1635" s="1"/>
      <c r="UGI1635" s="1"/>
      <c r="UGJ1635" s="1"/>
      <c r="UGK1635" s="1"/>
      <c r="UGL1635" s="1"/>
      <c r="UGM1635" s="1"/>
      <c r="UGN1635" s="1"/>
      <c r="UGO1635" s="1"/>
      <c r="UGP1635" s="1"/>
      <c r="UGQ1635" s="1"/>
      <c r="UGR1635" s="1"/>
      <c r="UGS1635" s="1"/>
      <c r="UGT1635" s="1"/>
      <c r="UGU1635" s="1"/>
      <c r="UGV1635" s="1"/>
      <c r="UGW1635" s="1"/>
      <c r="UGX1635" s="1"/>
      <c r="UGY1635" s="1"/>
      <c r="UGZ1635" s="1"/>
      <c r="UHA1635" s="1"/>
      <c r="UHB1635" s="1"/>
      <c r="UHC1635" s="1"/>
      <c r="UHD1635" s="1"/>
      <c r="UHE1635" s="1"/>
      <c r="UHF1635" s="1"/>
      <c r="UHG1635" s="1"/>
      <c r="UHH1635" s="1"/>
      <c r="UHI1635" s="1"/>
      <c r="UHJ1635" s="1"/>
      <c r="UHK1635" s="1"/>
      <c r="UHL1635" s="1"/>
      <c r="UHM1635" s="1"/>
      <c r="UHN1635" s="1"/>
      <c r="UHO1635" s="1"/>
      <c r="UHP1635" s="1"/>
      <c r="UHQ1635" s="1"/>
      <c r="UHR1635" s="1"/>
      <c r="UHS1635" s="1"/>
      <c r="UHT1635" s="1"/>
      <c r="UHU1635" s="1"/>
      <c r="UHV1635" s="1"/>
      <c r="UHW1635" s="1"/>
      <c r="UHX1635" s="1"/>
      <c r="UHY1635" s="1"/>
      <c r="UHZ1635" s="1"/>
      <c r="UIA1635" s="1"/>
      <c r="UIB1635" s="1"/>
      <c r="UIC1635" s="1"/>
      <c r="UID1635" s="1"/>
      <c r="UIE1635" s="1"/>
      <c r="UIF1635" s="1"/>
      <c r="UIG1635" s="1"/>
      <c r="UIH1635" s="1"/>
      <c r="UII1635" s="1"/>
      <c r="UIJ1635" s="1"/>
      <c r="UIK1635" s="1"/>
      <c r="UIL1635" s="1"/>
      <c r="UIM1635" s="1"/>
      <c r="UIN1635" s="1"/>
      <c r="UIO1635" s="1"/>
      <c r="UIP1635" s="1"/>
      <c r="UIQ1635" s="1"/>
      <c r="UIR1635" s="1"/>
      <c r="UIS1635" s="1"/>
      <c r="UIT1635" s="1"/>
      <c r="UIU1635" s="1"/>
      <c r="UIV1635" s="1"/>
      <c r="UIW1635" s="1"/>
      <c r="UIX1635" s="1"/>
      <c r="UIY1635" s="1"/>
      <c r="UIZ1635" s="1"/>
      <c r="UJA1635" s="1"/>
      <c r="UJB1635" s="1"/>
      <c r="UJC1635" s="1"/>
      <c r="UJD1635" s="1"/>
      <c r="UJE1635" s="1"/>
      <c r="UJF1635" s="1"/>
      <c r="UJG1635" s="1"/>
      <c r="UJH1635" s="1"/>
      <c r="UJI1635" s="1"/>
      <c r="UJJ1635" s="1"/>
      <c r="UJK1635" s="1"/>
      <c r="UJL1635" s="1"/>
      <c r="UJM1635" s="1"/>
      <c r="UJN1635" s="1"/>
      <c r="UJO1635" s="1"/>
      <c r="UJP1635" s="1"/>
      <c r="UJQ1635" s="1"/>
      <c r="UJR1635" s="1"/>
      <c r="UJS1635" s="1"/>
      <c r="UJT1635" s="1"/>
      <c r="UJU1635" s="1"/>
      <c r="UJV1635" s="1"/>
      <c r="UJW1635" s="1"/>
      <c r="UJX1635" s="1"/>
      <c r="UJY1635" s="1"/>
      <c r="UJZ1635" s="1"/>
      <c r="UKA1635" s="1"/>
      <c r="UKB1635" s="1"/>
      <c r="UKC1635" s="1"/>
      <c r="UKD1635" s="1"/>
      <c r="UKE1635" s="1"/>
      <c r="UKF1635" s="1"/>
      <c r="UKG1635" s="1"/>
      <c r="UKH1635" s="1"/>
      <c r="UKI1635" s="1"/>
      <c r="UKJ1635" s="1"/>
      <c r="UKK1635" s="1"/>
      <c r="UKL1635" s="1"/>
      <c r="UKM1635" s="1"/>
      <c r="UKN1635" s="1"/>
      <c r="UKO1635" s="1"/>
      <c r="UKP1635" s="1"/>
      <c r="UKQ1635" s="1"/>
      <c r="UKR1635" s="1"/>
      <c r="UKS1635" s="1"/>
      <c r="UKT1635" s="1"/>
      <c r="UKU1635" s="1"/>
      <c r="UKV1635" s="1"/>
      <c r="UKW1635" s="1"/>
      <c r="UKX1635" s="1"/>
      <c r="UKY1635" s="1"/>
      <c r="UKZ1635" s="1"/>
      <c r="ULA1635" s="1"/>
      <c r="ULB1635" s="1"/>
      <c r="ULC1635" s="1"/>
      <c r="ULD1635" s="1"/>
      <c r="ULE1635" s="1"/>
      <c r="ULF1635" s="1"/>
      <c r="ULG1635" s="1"/>
      <c r="ULH1635" s="1"/>
      <c r="ULI1635" s="1"/>
      <c r="ULJ1635" s="1"/>
      <c r="ULK1635" s="1"/>
      <c r="ULL1635" s="1"/>
      <c r="ULM1635" s="1"/>
      <c r="ULN1635" s="1"/>
      <c r="ULO1635" s="1"/>
      <c r="ULP1635" s="1"/>
      <c r="ULQ1635" s="1"/>
      <c r="ULR1635" s="1"/>
      <c r="ULS1635" s="1"/>
      <c r="ULT1635" s="1"/>
      <c r="ULU1635" s="1"/>
      <c r="ULV1635" s="1"/>
      <c r="ULW1635" s="1"/>
      <c r="ULX1635" s="1"/>
      <c r="ULY1635" s="1"/>
      <c r="ULZ1635" s="1"/>
      <c r="UMA1635" s="1"/>
      <c r="UMB1635" s="1"/>
      <c r="UMC1635" s="1"/>
      <c r="UMD1635" s="1"/>
      <c r="UME1635" s="1"/>
      <c r="UMF1635" s="1"/>
      <c r="UMG1635" s="1"/>
      <c r="UMH1635" s="1"/>
      <c r="UMI1635" s="1"/>
      <c r="UMJ1635" s="1"/>
      <c r="UMK1635" s="1"/>
      <c r="UML1635" s="1"/>
      <c r="UMM1635" s="1"/>
      <c r="UMN1635" s="1"/>
      <c r="UMO1635" s="1"/>
      <c r="UMP1635" s="1"/>
      <c r="UMQ1635" s="1"/>
      <c r="UMR1635" s="1"/>
      <c r="UMS1635" s="1"/>
      <c r="UMT1635" s="1"/>
      <c r="UMU1635" s="1"/>
      <c r="UMV1635" s="1"/>
      <c r="UMW1635" s="1"/>
      <c r="UMX1635" s="1"/>
      <c r="UMY1635" s="1"/>
      <c r="UMZ1635" s="1"/>
      <c r="UNA1635" s="1"/>
      <c r="UNB1635" s="1"/>
      <c r="UNC1635" s="1"/>
      <c r="UND1635" s="1"/>
      <c r="UNE1635" s="1"/>
      <c r="UNF1635" s="1"/>
      <c r="UNG1635" s="1"/>
      <c r="UNH1635" s="1"/>
      <c r="UNI1635" s="1"/>
      <c r="UNJ1635" s="1"/>
      <c r="UNK1635" s="1"/>
      <c r="UNL1635" s="1"/>
      <c r="UNM1635" s="1"/>
      <c r="UNN1635" s="1"/>
      <c r="UNO1635" s="1"/>
      <c r="UNP1635" s="1"/>
      <c r="UNQ1635" s="1"/>
      <c r="UNR1635" s="1"/>
      <c r="UNS1635" s="1"/>
      <c r="UNT1635" s="1"/>
      <c r="UNU1635" s="1"/>
      <c r="UNV1635" s="1"/>
      <c r="UNW1635" s="1"/>
      <c r="UNX1635" s="1"/>
      <c r="UNY1635" s="1"/>
      <c r="UNZ1635" s="1"/>
      <c r="UOA1635" s="1"/>
      <c r="UOB1635" s="1"/>
      <c r="UOC1635" s="1"/>
      <c r="UOD1635" s="1"/>
      <c r="UOE1635" s="1"/>
      <c r="UOF1635" s="1"/>
      <c r="UOG1635" s="1"/>
      <c r="UOH1635" s="1"/>
      <c r="UOI1635" s="1"/>
      <c r="UOJ1635" s="1"/>
      <c r="UOK1635" s="1"/>
      <c r="UOL1635" s="1"/>
      <c r="UOM1635" s="1"/>
      <c r="UON1635" s="1"/>
      <c r="UOO1635" s="1"/>
      <c r="UOP1635" s="1"/>
      <c r="UOQ1635" s="1"/>
      <c r="UOR1635" s="1"/>
      <c r="UOS1635" s="1"/>
      <c r="UOT1635" s="1"/>
      <c r="UOU1635" s="1"/>
      <c r="UOV1635" s="1"/>
      <c r="UOW1635" s="1"/>
      <c r="UOX1635" s="1"/>
      <c r="UOY1635" s="1"/>
      <c r="UOZ1635" s="1"/>
      <c r="UPA1635" s="1"/>
      <c r="UPB1635" s="1"/>
      <c r="UPC1635" s="1"/>
      <c r="UPD1635" s="1"/>
      <c r="UPE1635" s="1"/>
      <c r="UPF1635" s="1"/>
      <c r="UPG1635" s="1"/>
      <c r="UPH1635" s="1"/>
      <c r="UPI1635" s="1"/>
      <c r="UPJ1635" s="1"/>
      <c r="UPK1635" s="1"/>
      <c r="UPL1635" s="1"/>
      <c r="UPM1635" s="1"/>
      <c r="UPN1635" s="1"/>
      <c r="UPO1635" s="1"/>
      <c r="UPP1635" s="1"/>
      <c r="UPQ1635" s="1"/>
      <c r="UPR1635" s="1"/>
      <c r="UPS1635" s="1"/>
      <c r="UPT1635" s="1"/>
      <c r="UPU1635" s="1"/>
      <c r="UPV1635" s="1"/>
      <c r="UPW1635" s="1"/>
      <c r="UPX1635" s="1"/>
      <c r="UPY1635" s="1"/>
      <c r="UPZ1635" s="1"/>
      <c r="UQA1635" s="1"/>
      <c r="UQB1635" s="1"/>
      <c r="UQC1635" s="1"/>
      <c r="UQD1635" s="1"/>
      <c r="UQE1635" s="1"/>
      <c r="UQF1635" s="1"/>
      <c r="UQG1635" s="1"/>
      <c r="UQH1635" s="1"/>
      <c r="UQI1635" s="1"/>
      <c r="UQJ1635" s="1"/>
      <c r="UQK1635" s="1"/>
      <c r="UQL1635" s="1"/>
      <c r="UQM1635" s="1"/>
      <c r="UQN1635" s="1"/>
      <c r="UQO1635" s="1"/>
      <c r="UQP1635" s="1"/>
      <c r="UQQ1635" s="1"/>
      <c r="UQR1635" s="1"/>
      <c r="UQS1635" s="1"/>
      <c r="UQT1635" s="1"/>
      <c r="UQU1635" s="1"/>
      <c r="UQV1635" s="1"/>
      <c r="UQW1635" s="1"/>
      <c r="UQX1635" s="1"/>
      <c r="UQY1635" s="1"/>
      <c r="UQZ1635" s="1"/>
      <c r="URA1635" s="1"/>
      <c r="URB1635" s="1"/>
      <c r="URC1635" s="1"/>
      <c r="URD1635" s="1"/>
      <c r="URE1635" s="1"/>
      <c r="URF1635" s="1"/>
      <c r="URG1635" s="1"/>
      <c r="URH1635" s="1"/>
      <c r="URI1635" s="1"/>
      <c r="URJ1635" s="1"/>
      <c r="URK1635" s="1"/>
      <c r="URL1635" s="1"/>
      <c r="URM1635" s="1"/>
      <c r="URN1635" s="1"/>
      <c r="URO1635" s="1"/>
      <c r="URP1635" s="1"/>
      <c r="URQ1635" s="1"/>
      <c r="URR1635" s="1"/>
      <c r="URS1635" s="1"/>
      <c r="URT1635" s="1"/>
      <c r="URU1635" s="1"/>
      <c r="URV1635" s="1"/>
      <c r="URW1635" s="1"/>
      <c r="URX1635" s="1"/>
      <c r="URY1635" s="1"/>
      <c r="URZ1635" s="1"/>
      <c r="USA1635" s="1"/>
      <c r="USB1635" s="1"/>
      <c r="USC1635" s="1"/>
      <c r="USD1635" s="1"/>
      <c r="USE1635" s="1"/>
      <c r="USF1635" s="1"/>
      <c r="USG1635" s="1"/>
      <c r="USH1635" s="1"/>
      <c r="USI1635" s="1"/>
      <c r="USJ1635" s="1"/>
      <c r="USK1635" s="1"/>
      <c r="USL1635" s="1"/>
      <c r="USM1635" s="1"/>
      <c r="USN1635" s="1"/>
      <c r="USO1635" s="1"/>
      <c r="USP1635" s="1"/>
      <c r="USQ1635" s="1"/>
      <c r="USR1635" s="1"/>
      <c r="USS1635" s="1"/>
      <c r="UST1635" s="1"/>
      <c r="USU1635" s="1"/>
      <c r="USV1635" s="1"/>
      <c r="USW1635" s="1"/>
      <c r="USX1635" s="1"/>
      <c r="USY1635" s="1"/>
      <c r="USZ1635" s="1"/>
      <c r="UTA1635" s="1"/>
      <c r="UTB1635" s="1"/>
      <c r="UTC1635" s="1"/>
      <c r="UTD1635" s="1"/>
      <c r="UTE1635" s="1"/>
      <c r="UTF1635" s="1"/>
      <c r="UTG1635" s="1"/>
      <c r="UTH1635" s="1"/>
      <c r="UTI1635" s="1"/>
      <c r="UTJ1635" s="1"/>
      <c r="UTK1635" s="1"/>
      <c r="UTL1635" s="1"/>
      <c r="UTM1635" s="1"/>
      <c r="UTN1635" s="1"/>
      <c r="UTO1635" s="1"/>
      <c r="UTP1635" s="1"/>
      <c r="UTQ1635" s="1"/>
      <c r="UTR1635" s="1"/>
      <c r="UTS1635" s="1"/>
      <c r="UTT1635" s="1"/>
      <c r="UTU1635" s="1"/>
      <c r="UTV1635" s="1"/>
      <c r="UTW1635" s="1"/>
      <c r="UTX1635" s="1"/>
      <c r="UTY1635" s="1"/>
      <c r="UTZ1635" s="1"/>
      <c r="UUA1635" s="1"/>
      <c r="UUB1635" s="1"/>
      <c r="UUC1635" s="1"/>
      <c r="UUD1635" s="1"/>
      <c r="UUE1635" s="1"/>
      <c r="UUF1635" s="1"/>
      <c r="UUG1635" s="1"/>
      <c r="UUH1635" s="1"/>
      <c r="UUI1635" s="1"/>
      <c r="UUJ1635" s="1"/>
      <c r="UUK1635" s="1"/>
      <c r="UUL1635" s="1"/>
      <c r="UUM1635" s="1"/>
      <c r="UUN1635" s="1"/>
      <c r="UUO1635" s="1"/>
      <c r="UUP1635" s="1"/>
      <c r="UUQ1635" s="1"/>
      <c r="UUR1635" s="1"/>
      <c r="UUS1635" s="1"/>
      <c r="UUT1635" s="1"/>
      <c r="UUU1635" s="1"/>
      <c r="UUV1635" s="1"/>
      <c r="UUW1635" s="1"/>
      <c r="UUX1635" s="1"/>
      <c r="UUY1635" s="1"/>
      <c r="UUZ1635" s="1"/>
      <c r="UVA1635" s="1"/>
      <c r="UVB1635" s="1"/>
      <c r="UVC1635" s="1"/>
      <c r="UVD1635" s="1"/>
      <c r="UVE1635" s="1"/>
      <c r="UVF1635" s="1"/>
      <c r="UVG1635" s="1"/>
      <c r="UVH1635" s="1"/>
      <c r="UVI1635" s="1"/>
      <c r="UVJ1635" s="1"/>
      <c r="UVK1635" s="1"/>
      <c r="UVL1635" s="1"/>
      <c r="UVM1635" s="1"/>
      <c r="UVN1635" s="1"/>
      <c r="UVO1635" s="1"/>
      <c r="UVP1635" s="1"/>
      <c r="UVQ1635" s="1"/>
      <c r="UVR1635" s="1"/>
      <c r="UVS1635" s="1"/>
      <c r="UVT1635" s="1"/>
      <c r="UVU1635" s="1"/>
      <c r="UVV1635" s="1"/>
      <c r="UVW1635" s="1"/>
      <c r="UVX1635" s="1"/>
      <c r="UVY1635" s="1"/>
      <c r="UVZ1635" s="1"/>
      <c r="UWA1635" s="1"/>
      <c r="UWB1635" s="1"/>
      <c r="UWC1635" s="1"/>
      <c r="UWD1635" s="1"/>
      <c r="UWE1635" s="1"/>
      <c r="UWF1635" s="1"/>
      <c r="UWG1635" s="1"/>
      <c r="UWH1635" s="1"/>
      <c r="UWI1635" s="1"/>
      <c r="UWJ1635" s="1"/>
      <c r="UWK1635" s="1"/>
      <c r="UWL1635" s="1"/>
      <c r="UWM1635" s="1"/>
      <c r="UWN1635" s="1"/>
      <c r="UWO1635" s="1"/>
      <c r="UWP1635" s="1"/>
      <c r="UWQ1635" s="1"/>
      <c r="UWR1635" s="1"/>
      <c r="UWS1635" s="1"/>
      <c r="UWT1635" s="1"/>
      <c r="UWU1635" s="1"/>
      <c r="UWV1635" s="1"/>
      <c r="UWW1635" s="1"/>
      <c r="UWX1635" s="1"/>
      <c r="UWY1635" s="1"/>
      <c r="UWZ1635" s="1"/>
      <c r="UXA1635" s="1"/>
      <c r="UXB1635" s="1"/>
      <c r="UXC1635" s="1"/>
      <c r="UXD1635" s="1"/>
      <c r="UXE1635" s="1"/>
      <c r="UXF1635" s="1"/>
      <c r="UXG1635" s="1"/>
      <c r="UXH1635" s="1"/>
      <c r="UXI1635" s="1"/>
      <c r="UXJ1635" s="1"/>
      <c r="UXK1635" s="1"/>
      <c r="UXL1635" s="1"/>
      <c r="UXM1635" s="1"/>
      <c r="UXN1635" s="1"/>
      <c r="UXO1635" s="1"/>
      <c r="UXP1635" s="1"/>
      <c r="UXQ1635" s="1"/>
      <c r="UXR1635" s="1"/>
      <c r="UXS1635" s="1"/>
      <c r="UXT1635" s="1"/>
      <c r="UXU1635" s="1"/>
      <c r="UXV1635" s="1"/>
      <c r="UXW1635" s="1"/>
      <c r="UXX1635" s="1"/>
      <c r="UXY1635" s="1"/>
      <c r="UXZ1635" s="1"/>
      <c r="UYA1635" s="1"/>
      <c r="UYB1635" s="1"/>
      <c r="UYC1635" s="1"/>
      <c r="UYD1635" s="1"/>
      <c r="UYE1635" s="1"/>
      <c r="UYF1635" s="1"/>
      <c r="UYG1635" s="1"/>
      <c r="UYH1635" s="1"/>
      <c r="UYI1635" s="1"/>
      <c r="UYJ1635" s="1"/>
      <c r="UYK1635" s="1"/>
      <c r="UYL1635" s="1"/>
      <c r="UYM1635" s="1"/>
      <c r="UYN1635" s="1"/>
      <c r="UYO1635" s="1"/>
      <c r="UYP1635" s="1"/>
      <c r="UYQ1635" s="1"/>
      <c r="UYR1635" s="1"/>
      <c r="UYS1635" s="1"/>
      <c r="UYT1635" s="1"/>
      <c r="UYU1635" s="1"/>
      <c r="UYV1635" s="1"/>
      <c r="UYW1635" s="1"/>
      <c r="UYX1635" s="1"/>
      <c r="UYY1635" s="1"/>
      <c r="UYZ1635" s="1"/>
      <c r="UZA1635" s="1"/>
      <c r="UZB1635" s="1"/>
      <c r="UZC1635" s="1"/>
      <c r="UZD1635" s="1"/>
      <c r="UZE1635" s="1"/>
      <c r="UZF1635" s="1"/>
      <c r="UZG1635" s="1"/>
      <c r="UZH1635" s="1"/>
      <c r="UZI1635" s="1"/>
      <c r="UZJ1635" s="1"/>
      <c r="UZK1635" s="1"/>
      <c r="UZL1635" s="1"/>
      <c r="UZM1635" s="1"/>
      <c r="UZN1635" s="1"/>
      <c r="UZO1635" s="1"/>
      <c r="UZP1635" s="1"/>
      <c r="UZQ1635" s="1"/>
      <c r="UZR1635" s="1"/>
      <c r="UZS1635" s="1"/>
      <c r="UZT1635" s="1"/>
      <c r="UZU1635" s="1"/>
      <c r="UZV1635" s="1"/>
      <c r="UZW1635" s="1"/>
      <c r="UZX1635" s="1"/>
      <c r="UZY1635" s="1"/>
      <c r="UZZ1635" s="1"/>
      <c r="VAA1635" s="1"/>
      <c r="VAB1635" s="1"/>
      <c r="VAC1635" s="1"/>
      <c r="VAD1635" s="1"/>
      <c r="VAE1635" s="1"/>
      <c r="VAF1635" s="1"/>
      <c r="VAG1635" s="1"/>
      <c r="VAH1635" s="1"/>
      <c r="VAI1635" s="1"/>
      <c r="VAJ1635" s="1"/>
      <c r="VAK1635" s="1"/>
      <c r="VAL1635" s="1"/>
      <c r="VAM1635" s="1"/>
      <c r="VAN1635" s="1"/>
      <c r="VAO1635" s="1"/>
      <c r="VAP1635" s="1"/>
      <c r="VAQ1635" s="1"/>
      <c r="VAR1635" s="1"/>
      <c r="VAS1635" s="1"/>
      <c r="VAT1635" s="1"/>
      <c r="VAU1635" s="1"/>
      <c r="VAV1635" s="1"/>
      <c r="VAW1635" s="1"/>
      <c r="VAX1635" s="1"/>
      <c r="VAY1635" s="1"/>
      <c r="VAZ1635" s="1"/>
      <c r="VBA1635" s="1"/>
      <c r="VBB1635" s="1"/>
      <c r="VBC1635" s="1"/>
      <c r="VBD1635" s="1"/>
      <c r="VBE1635" s="1"/>
      <c r="VBF1635" s="1"/>
      <c r="VBG1635" s="1"/>
      <c r="VBH1635" s="1"/>
      <c r="VBI1635" s="1"/>
      <c r="VBJ1635" s="1"/>
      <c r="VBK1635" s="1"/>
      <c r="VBL1635" s="1"/>
      <c r="VBM1635" s="1"/>
      <c r="VBN1635" s="1"/>
      <c r="VBO1635" s="1"/>
      <c r="VBP1635" s="1"/>
      <c r="VBQ1635" s="1"/>
      <c r="VBR1635" s="1"/>
      <c r="VBS1635" s="1"/>
      <c r="VBT1635" s="1"/>
      <c r="VBU1635" s="1"/>
      <c r="VBV1635" s="1"/>
      <c r="VBW1635" s="1"/>
      <c r="VBX1635" s="1"/>
      <c r="VBY1635" s="1"/>
      <c r="VBZ1635" s="1"/>
      <c r="VCA1635" s="1"/>
      <c r="VCB1635" s="1"/>
      <c r="VCC1635" s="1"/>
      <c r="VCD1635" s="1"/>
      <c r="VCE1635" s="1"/>
      <c r="VCF1635" s="1"/>
      <c r="VCG1635" s="1"/>
      <c r="VCH1635" s="1"/>
      <c r="VCI1635" s="1"/>
      <c r="VCJ1635" s="1"/>
      <c r="VCK1635" s="1"/>
      <c r="VCL1635" s="1"/>
      <c r="VCM1635" s="1"/>
      <c r="VCN1635" s="1"/>
      <c r="VCO1635" s="1"/>
      <c r="VCP1635" s="1"/>
      <c r="VCQ1635" s="1"/>
      <c r="VCR1635" s="1"/>
      <c r="VCS1635" s="1"/>
      <c r="VCT1635" s="1"/>
      <c r="VCU1635" s="1"/>
      <c r="VCV1635" s="1"/>
      <c r="VCW1635" s="1"/>
      <c r="VCX1635" s="1"/>
      <c r="VCY1635" s="1"/>
      <c r="VCZ1635" s="1"/>
      <c r="VDA1635" s="1"/>
      <c r="VDB1635" s="1"/>
      <c r="VDC1635" s="1"/>
      <c r="VDD1635" s="1"/>
      <c r="VDE1635" s="1"/>
      <c r="VDF1635" s="1"/>
      <c r="VDG1635" s="1"/>
      <c r="VDH1635" s="1"/>
      <c r="VDI1635" s="1"/>
      <c r="VDJ1635" s="1"/>
      <c r="VDK1635" s="1"/>
      <c r="VDL1635" s="1"/>
      <c r="VDM1635" s="1"/>
      <c r="VDN1635" s="1"/>
      <c r="VDO1635" s="1"/>
      <c r="VDP1635" s="1"/>
      <c r="VDQ1635" s="1"/>
      <c r="VDR1635" s="1"/>
      <c r="VDS1635" s="1"/>
      <c r="VDT1635" s="1"/>
      <c r="VDU1635" s="1"/>
      <c r="VDV1635" s="1"/>
      <c r="VDW1635" s="1"/>
      <c r="VDX1635" s="1"/>
      <c r="VDY1635" s="1"/>
      <c r="VDZ1635" s="1"/>
      <c r="VEA1635" s="1"/>
      <c r="VEB1635" s="1"/>
      <c r="VEC1635" s="1"/>
      <c r="VED1635" s="1"/>
      <c r="VEE1635" s="1"/>
      <c r="VEF1635" s="1"/>
      <c r="VEG1635" s="1"/>
      <c r="VEH1635" s="1"/>
      <c r="VEI1635" s="1"/>
      <c r="VEJ1635" s="1"/>
      <c r="VEK1635" s="1"/>
      <c r="VEL1635" s="1"/>
      <c r="VEM1635" s="1"/>
      <c r="VEN1635" s="1"/>
      <c r="VEO1635" s="1"/>
      <c r="VEP1635" s="1"/>
      <c r="VEQ1635" s="1"/>
      <c r="VER1635" s="1"/>
      <c r="VES1635" s="1"/>
      <c r="VET1635" s="1"/>
      <c r="VEU1635" s="1"/>
      <c r="VEV1635" s="1"/>
      <c r="VEW1635" s="1"/>
      <c r="VEX1635" s="1"/>
      <c r="VEY1635" s="1"/>
      <c r="VEZ1635" s="1"/>
      <c r="VFA1635" s="1"/>
      <c r="VFB1635" s="1"/>
      <c r="VFC1635" s="1"/>
      <c r="VFD1635" s="1"/>
      <c r="VFE1635" s="1"/>
      <c r="VFF1635" s="1"/>
      <c r="VFG1635" s="1"/>
      <c r="VFH1635" s="1"/>
      <c r="VFI1635" s="1"/>
      <c r="VFJ1635" s="1"/>
      <c r="VFK1635" s="1"/>
      <c r="VFL1635" s="1"/>
      <c r="VFM1635" s="1"/>
      <c r="VFN1635" s="1"/>
      <c r="VFO1635" s="1"/>
      <c r="VFP1635" s="1"/>
      <c r="VFQ1635" s="1"/>
      <c r="VFR1635" s="1"/>
      <c r="VFS1635" s="1"/>
      <c r="VFT1635" s="1"/>
      <c r="VFU1635" s="1"/>
      <c r="VFV1635" s="1"/>
      <c r="VFW1635" s="1"/>
      <c r="VFX1635" s="1"/>
      <c r="VFY1635" s="1"/>
      <c r="VFZ1635" s="1"/>
      <c r="VGA1635" s="1"/>
      <c r="VGB1635" s="1"/>
      <c r="VGC1635" s="1"/>
      <c r="VGD1635" s="1"/>
      <c r="VGE1635" s="1"/>
      <c r="VGF1635" s="1"/>
      <c r="VGG1635" s="1"/>
      <c r="VGH1635" s="1"/>
      <c r="VGI1635" s="1"/>
      <c r="VGJ1635" s="1"/>
      <c r="VGK1635" s="1"/>
      <c r="VGL1635" s="1"/>
      <c r="VGM1635" s="1"/>
      <c r="VGN1635" s="1"/>
      <c r="VGO1635" s="1"/>
      <c r="VGP1635" s="1"/>
      <c r="VGQ1635" s="1"/>
      <c r="VGR1635" s="1"/>
      <c r="VGS1635" s="1"/>
      <c r="VGT1635" s="1"/>
      <c r="VGU1635" s="1"/>
      <c r="VGV1635" s="1"/>
      <c r="VGW1635" s="1"/>
      <c r="VGX1635" s="1"/>
      <c r="VGY1635" s="1"/>
      <c r="VGZ1635" s="1"/>
      <c r="VHA1635" s="1"/>
      <c r="VHB1635" s="1"/>
      <c r="VHC1635" s="1"/>
      <c r="VHD1635" s="1"/>
      <c r="VHE1635" s="1"/>
      <c r="VHF1635" s="1"/>
      <c r="VHG1635" s="1"/>
      <c r="VHH1635" s="1"/>
      <c r="VHI1635" s="1"/>
      <c r="VHJ1635" s="1"/>
      <c r="VHK1635" s="1"/>
      <c r="VHL1635" s="1"/>
      <c r="VHM1635" s="1"/>
      <c r="VHN1635" s="1"/>
      <c r="VHO1635" s="1"/>
      <c r="VHP1635" s="1"/>
      <c r="VHQ1635" s="1"/>
      <c r="VHR1635" s="1"/>
      <c r="VHS1635" s="1"/>
      <c r="VHT1635" s="1"/>
      <c r="VHU1635" s="1"/>
      <c r="VHV1635" s="1"/>
      <c r="VHW1635" s="1"/>
      <c r="VHX1635" s="1"/>
      <c r="VHY1635" s="1"/>
      <c r="VHZ1635" s="1"/>
      <c r="VIA1635" s="1"/>
      <c r="VIB1635" s="1"/>
      <c r="VIC1635" s="1"/>
      <c r="VID1635" s="1"/>
      <c r="VIE1635" s="1"/>
      <c r="VIF1635" s="1"/>
      <c r="VIG1635" s="1"/>
      <c r="VIH1635" s="1"/>
      <c r="VII1635" s="1"/>
      <c r="VIJ1635" s="1"/>
      <c r="VIK1635" s="1"/>
      <c r="VIL1635" s="1"/>
      <c r="VIM1635" s="1"/>
      <c r="VIN1635" s="1"/>
      <c r="VIO1635" s="1"/>
      <c r="VIP1635" s="1"/>
      <c r="VIQ1635" s="1"/>
      <c r="VIR1635" s="1"/>
      <c r="VIS1635" s="1"/>
      <c r="VIT1635" s="1"/>
      <c r="VIU1635" s="1"/>
      <c r="VIV1635" s="1"/>
      <c r="VIW1635" s="1"/>
      <c r="VIX1635" s="1"/>
      <c r="VIY1635" s="1"/>
      <c r="VIZ1635" s="1"/>
      <c r="VJA1635" s="1"/>
      <c r="VJB1635" s="1"/>
      <c r="VJC1635" s="1"/>
      <c r="VJD1635" s="1"/>
      <c r="VJE1635" s="1"/>
      <c r="VJF1635" s="1"/>
      <c r="VJG1635" s="1"/>
      <c r="VJH1635" s="1"/>
      <c r="VJI1635" s="1"/>
      <c r="VJJ1635" s="1"/>
      <c r="VJK1635" s="1"/>
      <c r="VJL1635" s="1"/>
      <c r="VJM1635" s="1"/>
      <c r="VJN1635" s="1"/>
      <c r="VJO1635" s="1"/>
      <c r="VJP1635" s="1"/>
      <c r="VJQ1635" s="1"/>
      <c r="VJR1635" s="1"/>
      <c r="VJS1635" s="1"/>
      <c r="VJT1635" s="1"/>
      <c r="VJU1635" s="1"/>
      <c r="VJV1635" s="1"/>
      <c r="VJW1635" s="1"/>
      <c r="VJX1635" s="1"/>
      <c r="VJY1635" s="1"/>
      <c r="VJZ1635" s="1"/>
      <c r="VKA1635" s="1"/>
      <c r="VKB1635" s="1"/>
      <c r="VKC1635" s="1"/>
      <c r="VKD1635" s="1"/>
      <c r="VKE1635" s="1"/>
      <c r="VKF1635" s="1"/>
      <c r="VKG1635" s="1"/>
      <c r="VKH1635" s="1"/>
      <c r="VKI1635" s="1"/>
      <c r="VKJ1635" s="1"/>
      <c r="VKK1635" s="1"/>
      <c r="VKL1635" s="1"/>
      <c r="VKM1635" s="1"/>
      <c r="VKN1635" s="1"/>
      <c r="VKO1635" s="1"/>
      <c r="VKP1635" s="1"/>
      <c r="VKQ1635" s="1"/>
      <c r="VKR1635" s="1"/>
      <c r="VKS1635" s="1"/>
      <c r="VKT1635" s="1"/>
      <c r="VKU1635" s="1"/>
      <c r="VKV1635" s="1"/>
      <c r="VKW1635" s="1"/>
      <c r="VKX1635" s="1"/>
      <c r="VKY1635" s="1"/>
      <c r="VKZ1635" s="1"/>
      <c r="VLA1635" s="1"/>
      <c r="VLB1635" s="1"/>
      <c r="VLC1635" s="1"/>
      <c r="VLD1635" s="1"/>
      <c r="VLE1635" s="1"/>
      <c r="VLF1635" s="1"/>
      <c r="VLG1635" s="1"/>
      <c r="VLH1635" s="1"/>
      <c r="VLI1635" s="1"/>
      <c r="VLJ1635" s="1"/>
      <c r="VLK1635" s="1"/>
      <c r="VLL1635" s="1"/>
      <c r="VLM1635" s="1"/>
      <c r="VLN1635" s="1"/>
      <c r="VLO1635" s="1"/>
      <c r="VLP1635" s="1"/>
      <c r="VLQ1635" s="1"/>
      <c r="VLR1635" s="1"/>
      <c r="VLS1635" s="1"/>
      <c r="VLT1635" s="1"/>
      <c r="VLU1635" s="1"/>
      <c r="VLV1635" s="1"/>
      <c r="VLW1635" s="1"/>
      <c r="VLX1635" s="1"/>
      <c r="VLY1635" s="1"/>
      <c r="VLZ1635" s="1"/>
      <c r="VMA1635" s="1"/>
      <c r="VMB1635" s="1"/>
      <c r="VMC1635" s="1"/>
      <c r="VMD1635" s="1"/>
      <c r="VME1635" s="1"/>
      <c r="VMF1635" s="1"/>
      <c r="VMG1635" s="1"/>
      <c r="VMH1635" s="1"/>
      <c r="VMI1635" s="1"/>
      <c r="VMJ1635" s="1"/>
      <c r="VMK1635" s="1"/>
      <c r="VML1635" s="1"/>
      <c r="VMM1635" s="1"/>
      <c r="VMN1635" s="1"/>
      <c r="VMO1635" s="1"/>
      <c r="VMP1635" s="1"/>
      <c r="VMQ1635" s="1"/>
      <c r="VMR1635" s="1"/>
      <c r="VMS1635" s="1"/>
      <c r="VMT1635" s="1"/>
      <c r="VMU1635" s="1"/>
      <c r="VMV1635" s="1"/>
      <c r="VMW1635" s="1"/>
      <c r="VMX1635" s="1"/>
      <c r="VMY1635" s="1"/>
      <c r="VMZ1635" s="1"/>
      <c r="VNA1635" s="1"/>
      <c r="VNB1635" s="1"/>
      <c r="VNC1635" s="1"/>
      <c r="VND1635" s="1"/>
      <c r="VNE1635" s="1"/>
      <c r="VNF1635" s="1"/>
      <c r="VNG1635" s="1"/>
      <c r="VNH1635" s="1"/>
      <c r="VNI1635" s="1"/>
      <c r="VNJ1635" s="1"/>
      <c r="VNK1635" s="1"/>
      <c r="VNL1635" s="1"/>
      <c r="VNM1635" s="1"/>
      <c r="VNN1635" s="1"/>
      <c r="VNO1635" s="1"/>
      <c r="VNP1635" s="1"/>
      <c r="VNQ1635" s="1"/>
      <c r="VNR1635" s="1"/>
      <c r="VNS1635" s="1"/>
      <c r="VNT1635" s="1"/>
      <c r="VNU1635" s="1"/>
      <c r="VNV1635" s="1"/>
      <c r="VNW1635" s="1"/>
      <c r="VNX1635" s="1"/>
      <c r="VNY1635" s="1"/>
      <c r="VNZ1635" s="1"/>
      <c r="VOA1635" s="1"/>
      <c r="VOB1635" s="1"/>
      <c r="VOC1635" s="1"/>
      <c r="VOD1635" s="1"/>
      <c r="VOE1635" s="1"/>
      <c r="VOF1635" s="1"/>
      <c r="VOG1635" s="1"/>
      <c r="VOH1635" s="1"/>
      <c r="VOI1635" s="1"/>
      <c r="VOJ1635" s="1"/>
      <c r="VOK1635" s="1"/>
      <c r="VOL1635" s="1"/>
      <c r="VOM1635" s="1"/>
      <c r="VON1635" s="1"/>
      <c r="VOO1635" s="1"/>
      <c r="VOP1635" s="1"/>
      <c r="VOQ1635" s="1"/>
      <c r="VOR1635" s="1"/>
      <c r="VOS1635" s="1"/>
      <c r="VOT1635" s="1"/>
      <c r="VOU1635" s="1"/>
      <c r="VOV1635" s="1"/>
      <c r="VOW1635" s="1"/>
      <c r="VOX1635" s="1"/>
      <c r="VOY1635" s="1"/>
      <c r="VOZ1635" s="1"/>
      <c r="VPA1635" s="1"/>
      <c r="VPB1635" s="1"/>
      <c r="VPC1635" s="1"/>
      <c r="VPD1635" s="1"/>
      <c r="VPE1635" s="1"/>
      <c r="VPF1635" s="1"/>
      <c r="VPG1635" s="1"/>
      <c r="VPH1635" s="1"/>
      <c r="VPI1635" s="1"/>
      <c r="VPJ1635" s="1"/>
      <c r="VPK1635" s="1"/>
      <c r="VPL1635" s="1"/>
      <c r="VPM1635" s="1"/>
      <c r="VPN1635" s="1"/>
      <c r="VPO1635" s="1"/>
      <c r="VPP1635" s="1"/>
      <c r="VPQ1635" s="1"/>
      <c r="VPR1635" s="1"/>
      <c r="VPS1635" s="1"/>
      <c r="VPT1635" s="1"/>
      <c r="VPU1635" s="1"/>
      <c r="VPV1635" s="1"/>
      <c r="VPW1635" s="1"/>
      <c r="VPX1635" s="1"/>
      <c r="VPY1635" s="1"/>
      <c r="VPZ1635" s="1"/>
      <c r="VQA1635" s="1"/>
      <c r="VQB1635" s="1"/>
      <c r="VQC1635" s="1"/>
      <c r="VQD1635" s="1"/>
      <c r="VQE1635" s="1"/>
      <c r="VQF1635" s="1"/>
      <c r="VQG1635" s="1"/>
      <c r="VQH1635" s="1"/>
      <c r="VQI1635" s="1"/>
      <c r="VQJ1635" s="1"/>
      <c r="VQK1635" s="1"/>
      <c r="VQL1635" s="1"/>
      <c r="VQM1635" s="1"/>
      <c r="VQN1635" s="1"/>
      <c r="VQO1635" s="1"/>
      <c r="VQP1635" s="1"/>
      <c r="VQQ1635" s="1"/>
      <c r="VQR1635" s="1"/>
      <c r="VQS1635" s="1"/>
      <c r="VQT1635" s="1"/>
      <c r="VQU1635" s="1"/>
      <c r="VQV1635" s="1"/>
      <c r="VQW1635" s="1"/>
      <c r="VQX1635" s="1"/>
      <c r="VQY1635" s="1"/>
      <c r="VQZ1635" s="1"/>
      <c r="VRA1635" s="1"/>
      <c r="VRB1635" s="1"/>
      <c r="VRC1635" s="1"/>
      <c r="VRD1635" s="1"/>
      <c r="VRE1635" s="1"/>
      <c r="VRF1635" s="1"/>
      <c r="VRG1635" s="1"/>
      <c r="VRH1635" s="1"/>
      <c r="VRI1635" s="1"/>
      <c r="VRJ1635" s="1"/>
      <c r="VRK1635" s="1"/>
      <c r="VRL1635" s="1"/>
      <c r="VRM1635" s="1"/>
      <c r="VRN1635" s="1"/>
      <c r="VRO1635" s="1"/>
      <c r="VRP1635" s="1"/>
      <c r="VRQ1635" s="1"/>
      <c r="VRR1635" s="1"/>
      <c r="VRS1635" s="1"/>
      <c r="VRT1635" s="1"/>
      <c r="VRU1635" s="1"/>
      <c r="VRV1635" s="1"/>
      <c r="VRW1635" s="1"/>
      <c r="VRX1635" s="1"/>
      <c r="VRY1635" s="1"/>
      <c r="VRZ1635" s="1"/>
      <c r="VSA1635" s="1"/>
      <c r="VSB1635" s="1"/>
      <c r="VSC1635" s="1"/>
      <c r="VSD1635" s="1"/>
      <c r="VSE1635" s="1"/>
      <c r="VSF1635" s="1"/>
      <c r="VSG1635" s="1"/>
      <c r="VSH1635" s="1"/>
      <c r="VSI1635" s="1"/>
      <c r="VSJ1635" s="1"/>
      <c r="VSK1635" s="1"/>
      <c r="VSL1635" s="1"/>
      <c r="VSM1635" s="1"/>
      <c r="VSN1635" s="1"/>
      <c r="VSO1635" s="1"/>
      <c r="VSP1635" s="1"/>
      <c r="VSQ1635" s="1"/>
      <c r="VSR1635" s="1"/>
      <c r="VSS1635" s="1"/>
      <c r="VST1635" s="1"/>
      <c r="VSU1635" s="1"/>
      <c r="VSV1635" s="1"/>
      <c r="VSW1635" s="1"/>
      <c r="VSX1635" s="1"/>
      <c r="VSY1635" s="1"/>
      <c r="VSZ1635" s="1"/>
      <c r="VTA1635" s="1"/>
      <c r="VTB1635" s="1"/>
      <c r="VTC1635" s="1"/>
      <c r="VTD1635" s="1"/>
      <c r="VTE1635" s="1"/>
      <c r="VTF1635" s="1"/>
      <c r="VTG1635" s="1"/>
      <c r="VTH1635" s="1"/>
      <c r="VTI1635" s="1"/>
      <c r="VTJ1635" s="1"/>
      <c r="VTK1635" s="1"/>
      <c r="VTL1635" s="1"/>
      <c r="VTM1635" s="1"/>
      <c r="VTN1635" s="1"/>
      <c r="VTO1635" s="1"/>
      <c r="VTP1635" s="1"/>
      <c r="VTQ1635" s="1"/>
      <c r="VTR1635" s="1"/>
      <c r="VTS1635" s="1"/>
      <c r="VTT1635" s="1"/>
      <c r="VTU1635" s="1"/>
      <c r="VTV1635" s="1"/>
      <c r="VTW1635" s="1"/>
      <c r="VTX1635" s="1"/>
      <c r="VTY1635" s="1"/>
      <c r="VTZ1635" s="1"/>
      <c r="VUA1635" s="1"/>
      <c r="VUB1635" s="1"/>
      <c r="VUC1635" s="1"/>
      <c r="VUD1635" s="1"/>
      <c r="VUE1635" s="1"/>
      <c r="VUF1635" s="1"/>
      <c r="VUG1635" s="1"/>
      <c r="VUH1635" s="1"/>
      <c r="VUI1635" s="1"/>
      <c r="VUJ1635" s="1"/>
      <c r="VUK1635" s="1"/>
      <c r="VUL1635" s="1"/>
      <c r="VUM1635" s="1"/>
      <c r="VUN1635" s="1"/>
      <c r="VUO1635" s="1"/>
      <c r="VUP1635" s="1"/>
      <c r="VUQ1635" s="1"/>
      <c r="VUR1635" s="1"/>
      <c r="VUS1635" s="1"/>
      <c r="VUT1635" s="1"/>
      <c r="VUU1635" s="1"/>
      <c r="VUV1635" s="1"/>
      <c r="VUW1635" s="1"/>
      <c r="VUX1635" s="1"/>
      <c r="VUY1635" s="1"/>
      <c r="VUZ1635" s="1"/>
      <c r="VVA1635" s="1"/>
      <c r="VVB1635" s="1"/>
      <c r="VVC1635" s="1"/>
      <c r="VVD1635" s="1"/>
      <c r="VVE1635" s="1"/>
      <c r="VVF1635" s="1"/>
      <c r="VVG1635" s="1"/>
      <c r="VVH1635" s="1"/>
      <c r="VVI1635" s="1"/>
      <c r="VVJ1635" s="1"/>
      <c r="VVK1635" s="1"/>
      <c r="VVL1635" s="1"/>
      <c r="VVM1635" s="1"/>
      <c r="VVN1635" s="1"/>
      <c r="VVO1635" s="1"/>
      <c r="VVP1635" s="1"/>
      <c r="VVQ1635" s="1"/>
      <c r="VVR1635" s="1"/>
      <c r="VVS1635" s="1"/>
      <c r="VVT1635" s="1"/>
      <c r="VVU1635" s="1"/>
      <c r="VVV1635" s="1"/>
      <c r="VVW1635" s="1"/>
      <c r="VVX1635" s="1"/>
      <c r="VVY1635" s="1"/>
      <c r="VVZ1635" s="1"/>
      <c r="VWA1635" s="1"/>
      <c r="VWB1635" s="1"/>
      <c r="VWC1635" s="1"/>
      <c r="VWD1635" s="1"/>
      <c r="VWE1635" s="1"/>
      <c r="VWF1635" s="1"/>
      <c r="VWG1635" s="1"/>
      <c r="VWH1635" s="1"/>
      <c r="VWI1635" s="1"/>
      <c r="VWJ1635" s="1"/>
      <c r="VWK1635" s="1"/>
      <c r="VWL1635" s="1"/>
      <c r="VWM1635" s="1"/>
      <c r="VWN1635" s="1"/>
      <c r="VWO1635" s="1"/>
      <c r="VWP1635" s="1"/>
      <c r="VWQ1635" s="1"/>
      <c r="VWR1635" s="1"/>
      <c r="VWS1635" s="1"/>
      <c r="VWT1635" s="1"/>
      <c r="VWU1635" s="1"/>
      <c r="VWV1635" s="1"/>
      <c r="VWW1635" s="1"/>
      <c r="VWX1635" s="1"/>
      <c r="VWY1635" s="1"/>
      <c r="VWZ1635" s="1"/>
      <c r="VXA1635" s="1"/>
      <c r="VXB1635" s="1"/>
      <c r="VXC1635" s="1"/>
      <c r="VXD1635" s="1"/>
      <c r="VXE1635" s="1"/>
      <c r="VXF1635" s="1"/>
      <c r="VXG1635" s="1"/>
      <c r="VXH1635" s="1"/>
      <c r="VXI1635" s="1"/>
      <c r="VXJ1635" s="1"/>
      <c r="VXK1635" s="1"/>
      <c r="VXL1635" s="1"/>
      <c r="VXM1635" s="1"/>
      <c r="VXN1635" s="1"/>
      <c r="VXO1635" s="1"/>
      <c r="VXP1635" s="1"/>
      <c r="VXQ1635" s="1"/>
      <c r="VXR1635" s="1"/>
      <c r="VXS1635" s="1"/>
      <c r="VXT1635" s="1"/>
      <c r="VXU1635" s="1"/>
      <c r="VXV1635" s="1"/>
      <c r="VXW1635" s="1"/>
      <c r="VXX1635" s="1"/>
      <c r="VXY1635" s="1"/>
      <c r="VXZ1635" s="1"/>
      <c r="VYA1635" s="1"/>
      <c r="VYB1635" s="1"/>
      <c r="VYC1635" s="1"/>
      <c r="VYD1635" s="1"/>
      <c r="VYE1635" s="1"/>
      <c r="VYF1635" s="1"/>
      <c r="VYG1635" s="1"/>
      <c r="VYH1635" s="1"/>
      <c r="VYI1635" s="1"/>
      <c r="VYJ1635" s="1"/>
      <c r="VYK1635" s="1"/>
      <c r="VYL1635" s="1"/>
      <c r="VYM1635" s="1"/>
      <c r="VYN1635" s="1"/>
      <c r="VYO1635" s="1"/>
      <c r="VYP1635" s="1"/>
      <c r="VYQ1635" s="1"/>
      <c r="VYR1635" s="1"/>
      <c r="VYS1635" s="1"/>
      <c r="VYT1635" s="1"/>
      <c r="VYU1635" s="1"/>
      <c r="VYV1635" s="1"/>
      <c r="VYW1635" s="1"/>
      <c r="VYX1635" s="1"/>
      <c r="VYY1635" s="1"/>
      <c r="VYZ1635" s="1"/>
      <c r="VZA1635" s="1"/>
      <c r="VZB1635" s="1"/>
      <c r="VZC1635" s="1"/>
      <c r="VZD1635" s="1"/>
      <c r="VZE1635" s="1"/>
      <c r="VZF1635" s="1"/>
      <c r="VZG1635" s="1"/>
      <c r="VZH1635" s="1"/>
      <c r="VZI1635" s="1"/>
      <c r="VZJ1635" s="1"/>
      <c r="VZK1635" s="1"/>
      <c r="VZL1635" s="1"/>
      <c r="VZM1635" s="1"/>
      <c r="VZN1635" s="1"/>
      <c r="VZO1635" s="1"/>
      <c r="VZP1635" s="1"/>
      <c r="VZQ1635" s="1"/>
      <c r="VZR1635" s="1"/>
      <c r="VZS1635" s="1"/>
      <c r="VZT1635" s="1"/>
      <c r="VZU1635" s="1"/>
      <c r="VZV1635" s="1"/>
      <c r="VZW1635" s="1"/>
      <c r="VZX1635" s="1"/>
      <c r="VZY1635" s="1"/>
      <c r="VZZ1635" s="1"/>
      <c r="WAA1635" s="1"/>
      <c r="WAB1635" s="1"/>
      <c r="WAC1635" s="1"/>
      <c r="WAD1635" s="1"/>
      <c r="WAE1635" s="1"/>
      <c r="WAF1635" s="1"/>
      <c r="WAG1635" s="1"/>
      <c r="WAH1635" s="1"/>
      <c r="WAI1635" s="1"/>
      <c r="WAJ1635" s="1"/>
      <c r="WAK1635" s="1"/>
      <c r="WAL1635" s="1"/>
      <c r="WAM1635" s="1"/>
      <c r="WAN1635" s="1"/>
      <c r="WAO1635" s="1"/>
      <c r="WAP1635" s="1"/>
      <c r="WAQ1635" s="1"/>
      <c r="WAR1635" s="1"/>
      <c r="WAS1635" s="1"/>
      <c r="WAT1635" s="1"/>
      <c r="WAU1635" s="1"/>
      <c r="WAV1635" s="1"/>
      <c r="WAW1635" s="1"/>
      <c r="WAX1635" s="1"/>
      <c r="WAY1635" s="1"/>
      <c r="WAZ1635" s="1"/>
      <c r="WBA1635" s="1"/>
      <c r="WBB1635" s="1"/>
      <c r="WBC1635" s="1"/>
      <c r="WBD1635" s="1"/>
      <c r="WBE1635" s="1"/>
      <c r="WBF1635" s="1"/>
      <c r="WBG1635" s="1"/>
      <c r="WBH1635" s="1"/>
      <c r="WBI1635" s="1"/>
      <c r="WBJ1635" s="1"/>
      <c r="WBK1635" s="1"/>
      <c r="WBL1635" s="1"/>
      <c r="WBM1635" s="1"/>
      <c r="WBN1635" s="1"/>
      <c r="WBO1635" s="1"/>
      <c r="WBP1635" s="1"/>
      <c r="WBQ1635" s="1"/>
      <c r="WBR1635" s="1"/>
      <c r="WBS1635" s="1"/>
      <c r="WBT1635" s="1"/>
      <c r="WBU1635" s="1"/>
      <c r="WBV1635" s="1"/>
      <c r="WBW1635" s="1"/>
      <c r="WBX1635" s="1"/>
      <c r="WBY1635" s="1"/>
      <c r="WBZ1635" s="1"/>
      <c r="WCA1635" s="1"/>
      <c r="WCB1635" s="1"/>
      <c r="WCC1635" s="1"/>
      <c r="WCD1635" s="1"/>
      <c r="WCE1635" s="1"/>
      <c r="WCF1635" s="1"/>
      <c r="WCG1635" s="1"/>
      <c r="WCH1635" s="1"/>
      <c r="WCI1635" s="1"/>
      <c r="WCJ1635" s="1"/>
      <c r="WCK1635" s="1"/>
      <c r="WCL1635" s="1"/>
      <c r="WCM1635" s="1"/>
      <c r="WCN1635" s="1"/>
      <c r="WCO1635" s="1"/>
      <c r="WCP1635" s="1"/>
      <c r="WCQ1635" s="1"/>
      <c r="WCR1635" s="1"/>
      <c r="WCS1635" s="1"/>
      <c r="WCT1635" s="1"/>
      <c r="WCU1635" s="1"/>
      <c r="WCV1635" s="1"/>
      <c r="WCW1635" s="1"/>
      <c r="WCX1635" s="1"/>
      <c r="WCY1635" s="1"/>
      <c r="WCZ1635" s="1"/>
      <c r="WDA1635" s="1"/>
      <c r="WDB1635" s="1"/>
      <c r="WDC1635" s="1"/>
      <c r="WDD1635" s="1"/>
      <c r="WDE1635" s="1"/>
      <c r="WDF1635" s="1"/>
      <c r="WDG1635" s="1"/>
      <c r="WDH1635" s="1"/>
      <c r="WDI1635" s="1"/>
      <c r="WDJ1635" s="1"/>
      <c r="WDK1635" s="1"/>
      <c r="WDL1635" s="1"/>
      <c r="WDM1635" s="1"/>
      <c r="WDN1635" s="1"/>
      <c r="WDO1635" s="1"/>
      <c r="WDP1635" s="1"/>
      <c r="WDQ1635" s="1"/>
      <c r="WDR1635" s="1"/>
      <c r="WDS1635" s="1"/>
      <c r="WDT1635" s="1"/>
      <c r="WDU1635" s="1"/>
      <c r="WDV1635" s="1"/>
      <c r="WDW1635" s="1"/>
      <c r="WDX1635" s="1"/>
      <c r="WDY1635" s="1"/>
      <c r="WDZ1635" s="1"/>
      <c r="WEA1635" s="1"/>
      <c r="WEB1635" s="1"/>
      <c r="WEC1635" s="1"/>
      <c r="WED1635" s="1"/>
      <c r="WEE1635" s="1"/>
      <c r="WEF1635" s="1"/>
      <c r="WEG1635" s="1"/>
      <c r="WEH1635" s="1"/>
      <c r="WEI1635" s="1"/>
      <c r="WEJ1635" s="1"/>
      <c r="WEK1635" s="1"/>
      <c r="WEL1635" s="1"/>
      <c r="WEM1635" s="1"/>
      <c r="WEN1635" s="1"/>
      <c r="WEO1635" s="1"/>
      <c r="WEP1635" s="1"/>
      <c r="WEQ1635" s="1"/>
      <c r="WER1635" s="1"/>
      <c r="WES1635" s="1"/>
      <c r="WET1635" s="1"/>
      <c r="WEU1635" s="1"/>
      <c r="WEV1635" s="1"/>
      <c r="WEW1635" s="1"/>
      <c r="WEX1635" s="1"/>
      <c r="WEY1635" s="1"/>
      <c r="WEZ1635" s="1"/>
      <c r="WFA1635" s="1"/>
      <c r="WFB1635" s="1"/>
      <c r="WFC1635" s="1"/>
      <c r="WFD1635" s="1"/>
      <c r="WFE1635" s="1"/>
      <c r="WFF1635" s="1"/>
      <c r="WFG1635" s="1"/>
      <c r="WFH1635" s="1"/>
      <c r="WFI1635" s="1"/>
      <c r="WFJ1635" s="1"/>
      <c r="WFK1635" s="1"/>
      <c r="WFL1635" s="1"/>
      <c r="WFM1635" s="1"/>
      <c r="WFN1635" s="1"/>
      <c r="WFO1635" s="1"/>
      <c r="WFP1635" s="1"/>
      <c r="WFQ1635" s="1"/>
      <c r="WFR1635" s="1"/>
      <c r="WFS1635" s="1"/>
      <c r="WFT1635" s="1"/>
      <c r="WFU1635" s="1"/>
      <c r="WFV1635" s="1"/>
      <c r="WFW1635" s="1"/>
      <c r="WFX1635" s="1"/>
      <c r="WFY1635" s="1"/>
      <c r="WFZ1635" s="1"/>
      <c r="WGA1635" s="1"/>
      <c r="WGB1635" s="1"/>
      <c r="WGC1635" s="1"/>
      <c r="WGD1635" s="1"/>
      <c r="WGE1635" s="1"/>
      <c r="WGF1635" s="1"/>
      <c r="WGG1635" s="1"/>
      <c r="WGH1635" s="1"/>
      <c r="WGI1635" s="1"/>
      <c r="WGJ1635" s="1"/>
      <c r="WGK1635" s="1"/>
      <c r="WGL1635" s="1"/>
      <c r="WGM1635" s="1"/>
      <c r="WGN1635" s="1"/>
      <c r="WGO1635" s="1"/>
      <c r="WGP1635" s="1"/>
      <c r="WGQ1635" s="1"/>
      <c r="WGR1635" s="1"/>
      <c r="WGS1635" s="1"/>
      <c r="WGT1635" s="1"/>
      <c r="WGU1635" s="1"/>
      <c r="WGV1635" s="1"/>
      <c r="WGW1635" s="1"/>
      <c r="WGX1635" s="1"/>
      <c r="WGY1635" s="1"/>
      <c r="WGZ1635" s="1"/>
      <c r="WHA1635" s="1"/>
      <c r="WHB1635" s="1"/>
      <c r="WHC1635" s="1"/>
      <c r="WHD1635" s="1"/>
      <c r="WHE1635" s="1"/>
      <c r="WHF1635" s="1"/>
      <c r="WHG1635" s="1"/>
      <c r="WHH1635" s="1"/>
      <c r="WHI1635" s="1"/>
      <c r="WHJ1635" s="1"/>
      <c r="WHK1635" s="1"/>
      <c r="WHL1635" s="1"/>
      <c r="WHM1635" s="1"/>
      <c r="WHN1635" s="1"/>
      <c r="WHO1635" s="1"/>
      <c r="WHP1635" s="1"/>
      <c r="WHQ1635" s="1"/>
      <c r="WHR1635" s="1"/>
      <c r="WHS1635" s="1"/>
      <c r="WHT1635" s="1"/>
      <c r="WHU1635" s="1"/>
      <c r="WHV1635" s="1"/>
      <c r="WHW1635" s="1"/>
      <c r="WHX1635" s="1"/>
      <c r="WHY1635" s="1"/>
      <c r="WHZ1635" s="1"/>
      <c r="WIA1635" s="1"/>
      <c r="WIB1635" s="1"/>
      <c r="WIC1635" s="1"/>
      <c r="WID1635" s="1"/>
      <c r="WIE1635" s="1"/>
      <c r="WIF1635" s="1"/>
      <c r="WIG1635" s="1"/>
      <c r="WIH1635" s="1"/>
      <c r="WII1635" s="1"/>
      <c r="WIJ1635" s="1"/>
      <c r="WIK1635" s="1"/>
      <c r="WIL1635" s="1"/>
      <c r="WIM1635" s="1"/>
      <c r="WIN1635" s="1"/>
      <c r="WIO1635" s="1"/>
      <c r="WIP1635" s="1"/>
      <c r="WIQ1635" s="1"/>
      <c r="WIR1635" s="1"/>
      <c r="WIS1635" s="1"/>
      <c r="WIT1635" s="1"/>
      <c r="WIU1635" s="1"/>
      <c r="WIV1635" s="1"/>
      <c r="WIW1635" s="1"/>
      <c r="WIX1635" s="1"/>
      <c r="WIY1635" s="1"/>
      <c r="WIZ1635" s="1"/>
      <c r="WJA1635" s="1"/>
      <c r="WJB1635" s="1"/>
      <c r="WJC1635" s="1"/>
      <c r="WJD1635" s="1"/>
      <c r="WJE1635" s="1"/>
      <c r="WJF1635" s="1"/>
      <c r="WJG1635" s="1"/>
      <c r="WJH1635" s="1"/>
      <c r="WJI1635" s="1"/>
      <c r="WJJ1635" s="1"/>
      <c r="WJK1635" s="1"/>
      <c r="WJL1635" s="1"/>
      <c r="WJM1635" s="1"/>
      <c r="WJN1635" s="1"/>
      <c r="WJO1635" s="1"/>
      <c r="WJP1635" s="1"/>
      <c r="WJQ1635" s="1"/>
      <c r="WJR1635" s="1"/>
      <c r="WJS1635" s="1"/>
      <c r="WJT1635" s="1"/>
      <c r="WJU1635" s="1"/>
      <c r="WJV1635" s="1"/>
      <c r="WJW1635" s="1"/>
      <c r="WJX1635" s="1"/>
      <c r="WJY1635" s="1"/>
      <c r="WJZ1635" s="1"/>
      <c r="WKA1635" s="1"/>
      <c r="WKB1635" s="1"/>
      <c r="WKC1635" s="1"/>
      <c r="WKD1635" s="1"/>
      <c r="WKE1635" s="1"/>
      <c r="WKF1635" s="1"/>
      <c r="WKG1635" s="1"/>
      <c r="WKH1635" s="1"/>
      <c r="WKI1635" s="1"/>
      <c r="WKJ1635" s="1"/>
      <c r="WKK1635" s="1"/>
      <c r="WKL1635" s="1"/>
      <c r="WKM1635" s="1"/>
      <c r="WKN1635" s="1"/>
      <c r="WKO1635" s="1"/>
      <c r="WKP1635" s="1"/>
      <c r="WKQ1635" s="1"/>
      <c r="WKR1635" s="1"/>
      <c r="WKS1635" s="1"/>
      <c r="WKT1635" s="1"/>
      <c r="WKU1635" s="1"/>
      <c r="WKV1635" s="1"/>
      <c r="WKW1635" s="1"/>
      <c r="WKX1635" s="1"/>
      <c r="WKY1635" s="1"/>
      <c r="WKZ1635" s="1"/>
      <c r="WLA1635" s="1"/>
      <c r="WLB1635" s="1"/>
      <c r="WLC1635" s="1"/>
      <c r="WLD1635" s="1"/>
      <c r="WLE1635" s="1"/>
      <c r="WLF1635" s="1"/>
      <c r="WLG1635" s="1"/>
      <c r="WLH1635" s="1"/>
      <c r="WLI1635" s="1"/>
      <c r="WLJ1635" s="1"/>
      <c r="WLK1635" s="1"/>
      <c r="WLL1635" s="1"/>
      <c r="WLM1635" s="1"/>
      <c r="WLN1635" s="1"/>
      <c r="WLO1635" s="1"/>
      <c r="WLP1635" s="1"/>
      <c r="WLQ1635" s="1"/>
      <c r="WLR1635" s="1"/>
      <c r="WLS1635" s="1"/>
      <c r="WLT1635" s="1"/>
      <c r="WLU1635" s="1"/>
      <c r="WLV1635" s="1"/>
      <c r="WLW1635" s="1"/>
      <c r="WLX1635" s="1"/>
      <c r="WLY1635" s="1"/>
      <c r="WLZ1635" s="1"/>
      <c r="WMA1635" s="1"/>
      <c r="WMB1635" s="1"/>
      <c r="WMC1635" s="1"/>
      <c r="WMD1635" s="1"/>
      <c r="WME1635" s="1"/>
      <c r="WMF1635" s="1"/>
      <c r="WMG1635" s="1"/>
      <c r="WMH1635" s="1"/>
      <c r="WMI1635" s="1"/>
      <c r="WMJ1635" s="1"/>
      <c r="WMK1635" s="1"/>
      <c r="WML1635" s="1"/>
      <c r="WMM1635" s="1"/>
      <c r="WMN1635" s="1"/>
      <c r="WMO1635" s="1"/>
      <c r="WMP1635" s="1"/>
      <c r="WMQ1635" s="1"/>
      <c r="WMR1635" s="1"/>
      <c r="WMS1635" s="1"/>
      <c r="WMT1635" s="1"/>
      <c r="WMU1635" s="1"/>
      <c r="WMV1635" s="1"/>
      <c r="WMW1635" s="1"/>
      <c r="WMX1635" s="1"/>
      <c r="WMY1635" s="1"/>
      <c r="WMZ1635" s="1"/>
      <c r="WNA1635" s="1"/>
      <c r="WNB1635" s="1"/>
      <c r="WNC1635" s="1"/>
      <c r="WND1635" s="1"/>
      <c r="WNE1635" s="1"/>
      <c r="WNF1635" s="1"/>
      <c r="WNG1635" s="1"/>
      <c r="WNH1635" s="1"/>
      <c r="WNI1635" s="1"/>
      <c r="WNJ1635" s="1"/>
      <c r="WNK1635" s="1"/>
      <c r="WNL1635" s="1"/>
      <c r="WNM1635" s="1"/>
      <c r="WNN1635" s="1"/>
      <c r="WNO1635" s="1"/>
      <c r="WNP1635" s="1"/>
      <c r="WNQ1635" s="1"/>
      <c r="WNR1635" s="1"/>
      <c r="WNS1635" s="1"/>
      <c r="WNT1635" s="1"/>
      <c r="WNU1635" s="1"/>
      <c r="WNV1635" s="1"/>
      <c r="WNW1635" s="1"/>
      <c r="WNX1635" s="1"/>
      <c r="WNY1635" s="1"/>
      <c r="WNZ1635" s="1"/>
      <c r="WOA1635" s="1"/>
      <c r="WOB1635" s="1"/>
      <c r="WOC1635" s="1"/>
      <c r="WOD1635" s="1"/>
      <c r="WOE1635" s="1"/>
      <c r="WOF1635" s="1"/>
      <c r="WOG1635" s="1"/>
      <c r="WOH1635" s="1"/>
      <c r="WOI1635" s="1"/>
      <c r="WOJ1635" s="1"/>
      <c r="WOK1635" s="1"/>
      <c r="WOL1635" s="1"/>
      <c r="WOM1635" s="1"/>
      <c r="WON1635" s="1"/>
      <c r="WOO1635" s="1"/>
      <c r="WOP1635" s="1"/>
      <c r="WOQ1635" s="1"/>
      <c r="WOR1635" s="1"/>
      <c r="WOS1635" s="1"/>
      <c r="WOT1635" s="1"/>
      <c r="WOU1635" s="1"/>
      <c r="WOV1635" s="1"/>
      <c r="WOW1635" s="1"/>
      <c r="WOX1635" s="1"/>
      <c r="WOY1635" s="1"/>
      <c r="WOZ1635" s="1"/>
      <c r="WPA1635" s="1"/>
      <c r="WPB1635" s="1"/>
      <c r="WPC1635" s="1"/>
      <c r="WPD1635" s="1"/>
      <c r="WPE1635" s="1"/>
      <c r="WPF1635" s="1"/>
      <c r="WPG1635" s="1"/>
      <c r="WPH1635" s="1"/>
      <c r="WPI1635" s="1"/>
      <c r="WPJ1635" s="1"/>
      <c r="WPK1635" s="1"/>
      <c r="WPL1635" s="1"/>
      <c r="WPM1635" s="1"/>
      <c r="WPN1635" s="1"/>
      <c r="WPO1635" s="1"/>
      <c r="WPP1635" s="1"/>
      <c r="WPQ1635" s="1"/>
      <c r="WPR1635" s="1"/>
      <c r="WPS1635" s="1"/>
      <c r="WPT1635" s="1"/>
      <c r="WPU1635" s="1"/>
      <c r="WPV1635" s="1"/>
      <c r="WPW1635" s="1"/>
      <c r="WPX1635" s="1"/>
      <c r="WPY1635" s="1"/>
      <c r="WPZ1635" s="1"/>
      <c r="WQA1635" s="1"/>
      <c r="WQB1635" s="1"/>
      <c r="WQC1635" s="1"/>
      <c r="WQD1635" s="1"/>
      <c r="WQE1635" s="1"/>
      <c r="WQF1635" s="1"/>
      <c r="WQG1635" s="1"/>
      <c r="WQH1635" s="1"/>
      <c r="WQI1635" s="1"/>
      <c r="WQJ1635" s="1"/>
      <c r="WQK1635" s="1"/>
      <c r="WQL1635" s="1"/>
      <c r="WQM1635" s="1"/>
      <c r="WQN1635" s="1"/>
      <c r="WQO1635" s="1"/>
      <c r="WQP1635" s="1"/>
      <c r="WQQ1635" s="1"/>
      <c r="WQR1635" s="1"/>
      <c r="WQS1635" s="1"/>
      <c r="WQT1635" s="1"/>
      <c r="WQU1635" s="1"/>
      <c r="WQV1635" s="1"/>
      <c r="WQW1635" s="1"/>
      <c r="WQX1635" s="1"/>
      <c r="WQY1635" s="1"/>
      <c r="WQZ1635" s="1"/>
      <c r="WRA1635" s="1"/>
      <c r="WRB1635" s="1"/>
      <c r="WRC1635" s="1"/>
      <c r="WRD1635" s="1"/>
      <c r="WRE1635" s="1"/>
      <c r="WRF1635" s="1"/>
      <c r="WRG1635" s="1"/>
      <c r="WRH1635" s="1"/>
      <c r="WRI1635" s="1"/>
      <c r="WRJ1635" s="1"/>
      <c r="WRK1635" s="1"/>
      <c r="WRL1635" s="1"/>
      <c r="WRM1635" s="1"/>
      <c r="WRN1635" s="1"/>
      <c r="WRO1635" s="1"/>
      <c r="WRP1635" s="1"/>
      <c r="WRQ1635" s="1"/>
      <c r="WRR1635" s="1"/>
      <c r="WRS1635" s="1"/>
      <c r="WRT1635" s="1"/>
      <c r="WRU1635" s="1"/>
      <c r="WRV1635" s="1"/>
      <c r="WRW1635" s="1"/>
      <c r="WRX1635" s="1"/>
      <c r="WRY1635" s="1"/>
      <c r="WRZ1635" s="1"/>
      <c r="WSA1635" s="1"/>
      <c r="WSB1635" s="1"/>
      <c r="WSC1635" s="1"/>
      <c r="WSD1635" s="1"/>
      <c r="WSE1635" s="1"/>
      <c r="WSF1635" s="1"/>
      <c r="WSG1635" s="1"/>
      <c r="WSH1635" s="1"/>
      <c r="WSI1635" s="1"/>
      <c r="WSJ1635" s="1"/>
      <c r="WSK1635" s="1"/>
      <c r="WSL1635" s="1"/>
      <c r="WSM1635" s="1"/>
      <c r="WSN1635" s="1"/>
      <c r="WSO1635" s="1"/>
      <c r="WSP1635" s="1"/>
      <c r="WSQ1635" s="1"/>
      <c r="WSR1635" s="1"/>
      <c r="WSS1635" s="1"/>
      <c r="WST1635" s="1"/>
      <c r="WSU1635" s="1"/>
      <c r="WSV1635" s="1"/>
      <c r="WSW1635" s="1"/>
      <c r="WSX1635" s="1"/>
      <c r="WSY1635" s="1"/>
      <c r="WSZ1635" s="1"/>
      <c r="WTA1635" s="1"/>
      <c r="WTB1635" s="1"/>
      <c r="WTC1635" s="1"/>
      <c r="WTD1635" s="1"/>
      <c r="WTE1635" s="1"/>
      <c r="WTF1635" s="1"/>
      <c r="WTG1635" s="1"/>
      <c r="WTH1635" s="1"/>
      <c r="WTI1635" s="1"/>
      <c r="WTJ1635" s="1"/>
      <c r="WTK1635" s="1"/>
      <c r="WTL1635" s="1"/>
      <c r="WTM1635" s="1"/>
      <c r="WTN1635" s="1"/>
      <c r="WTO1635" s="1"/>
      <c r="WTP1635" s="1"/>
      <c r="WTQ1635" s="1"/>
      <c r="WTR1635" s="1"/>
      <c r="WTS1635" s="1"/>
      <c r="WTT1635" s="1"/>
      <c r="WTU1635" s="1"/>
      <c r="WTV1635" s="1"/>
      <c r="WTW1635" s="1"/>
      <c r="WTX1635" s="1"/>
      <c r="WTY1635" s="1"/>
      <c r="WTZ1635" s="1"/>
      <c r="WUA1635" s="1"/>
      <c r="WUB1635" s="1"/>
      <c r="WUC1635" s="1"/>
      <c r="WUD1635" s="1"/>
      <c r="WUE1635" s="1"/>
      <c r="WUF1635" s="1"/>
      <c r="WUG1635" s="1"/>
      <c r="WUH1635" s="1"/>
      <c r="WUI1635" s="1"/>
      <c r="WUJ1635" s="1"/>
      <c r="WUK1635" s="1"/>
      <c r="WUL1635" s="1"/>
      <c r="WUM1635" s="1"/>
      <c r="WUN1635" s="1"/>
      <c r="WUO1635" s="1"/>
      <c r="WUP1635" s="1"/>
      <c r="WUQ1635" s="1"/>
      <c r="WUR1635" s="1"/>
      <c r="WUS1635" s="1"/>
      <c r="WUT1635" s="1"/>
      <c r="WUU1635" s="1"/>
      <c r="WUV1635" s="1"/>
      <c r="WUW1635" s="1"/>
      <c r="WUX1635" s="1"/>
      <c r="WUY1635" s="1"/>
      <c r="WUZ1635" s="1"/>
      <c r="WVA1635" s="1"/>
      <c r="WVB1635" s="1"/>
      <c r="WVC1635" s="1"/>
      <c r="WVD1635" s="1"/>
      <c r="WVE1635" s="1"/>
      <c r="WVF1635" s="1"/>
      <c r="WVG1635" s="1"/>
      <c r="WVH1635" s="1"/>
      <c r="WVI1635" s="1"/>
      <c r="WVJ1635" s="1"/>
      <c r="WVK1635" s="1"/>
      <c r="WVL1635" s="1"/>
      <c r="WVM1635" s="1"/>
      <c r="WVN1635" s="1"/>
      <c r="WVO1635" s="1"/>
      <c r="WVP1635" s="1"/>
      <c r="WVQ1635" s="1"/>
      <c r="WVR1635" s="1"/>
      <c r="WVS1635" s="1"/>
      <c r="WVT1635" s="1"/>
      <c r="WVU1635" s="1"/>
      <c r="WVV1635" s="1"/>
      <c r="WVW1635" s="1"/>
      <c r="WVX1635" s="1"/>
      <c r="WVY1635" s="1"/>
      <c r="WVZ1635" s="1"/>
      <c r="WWA1635" s="1"/>
      <c r="WWB1635" s="1"/>
      <c r="WWC1635" s="1"/>
      <c r="WWD1635" s="1"/>
      <c r="WWE1635" s="1"/>
      <c r="WWF1635" s="1"/>
      <c r="WWG1635" s="1"/>
      <c r="WWH1635" s="1"/>
      <c r="WWI1635" s="1"/>
      <c r="WWJ1635" s="1"/>
      <c r="WWK1635" s="1"/>
      <c r="WWL1635" s="1"/>
      <c r="WWM1635" s="1"/>
      <c r="WWN1635" s="1"/>
      <c r="WWO1635" s="1"/>
      <c r="WWP1635" s="1"/>
      <c r="WWQ1635" s="1"/>
      <c r="WWR1635" s="1"/>
      <c r="WWS1635" s="1"/>
      <c r="WWT1635" s="1"/>
      <c r="WWU1635" s="1"/>
      <c r="WWV1635" s="1"/>
      <c r="WWW1635" s="1"/>
      <c r="WWX1635" s="1"/>
      <c r="WWY1635" s="1"/>
      <c r="WWZ1635" s="1"/>
      <c r="WXA1635" s="1"/>
      <c r="WXB1635" s="1"/>
      <c r="WXC1635" s="1"/>
      <c r="WXD1635" s="1"/>
      <c r="WXE1635" s="1"/>
      <c r="WXF1635" s="1"/>
      <c r="WXG1635" s="1"/>
      <c r="WXH1635" s="1"/>
      <c r="WXI1635" s="1"/>
      <c r="WXJ1635" s="1"/>
      <c r="WXK1635" s="1"/>
      <c r="WXL1635" s="1"/>
      <c r="WXM1635" s="1"/>
      <c r="WXN1635" s="1"/>
      <c r="WXO1635" s="1"/>
      <c r="WXP1635" s="1"/>
      <c r="WXQ1635" s="1"/>
      <c r="WXR1635" s="1"/>
      <c r="WXS1635" s="1"/>
      <c r="WXT1635" s="1"/>
      <c r="WXU1635" s="1"/>
      <c r="WXV1635" s="1"/>
      <c r="WXW1635" s="1"/>
      <c r="WXX1635" s="1"/>
      <c r="WXY1635" s="1"/>
      <c r="WXZ1635" s="1"/>
      <c r="WYA1635" s="1"/>
      <c r="WYB1635" s="1"/>
      <c r="WYC1635" s="1"/>
      <c r="WYD1635" s="1"/>
      <c r="WYE1635" s="1"/>
      <c r="WYF1635" s="1"/>
      <c r="WYG1635" s="1"/>
      <c r="WYH1635" s="1"/>
      <c r="WYI1635" s="1"/>
      <c r="WYJ1635" s="1"/>
      <c r="WYK1635" s="1"/>
      <c r="WYL1635" s="1"/>
      <c r="WYM1635" s="1"/>
      <c r="WYN1635" s="1"/>
      <c r="WYO1635" s="1"/>
      <c r="WYP1635" s="1"/>
      <c r="WYQ1635" s="1"/>
      <c r="WYR1635" s="1"/>
      <c r="WYS1635" s="1"/>
      <c r="WYT1635" s="1"/>
      <c r="WYU1635" s="1"/>
      <c r="WYV1635" s="1"/>
      <c r="WYW1635" s="1"/>
      <c r="WYX1635" s="1"/>
      <c r="WYY1635" s="1"/>
      <c r="WYZ1635" s="1"/>
      <c r="WZA1635" s="1"/>
      <c r="WZB1635" s="1"/>
      <c r="WZC1635" s="1"/>
      <c r="WZD1635" s="1"/>
      <c r="WZE1635" s="1"/>
      <c r="WZF1635" s="1"/>
      <c r="WZG1635" s="1"/>
      <c r="WZH1635" s="1"/>
      <c r="WZI1635" s="1"/>
      <c r="WZJ1635" s="1"/>
      <c r="WZK1635" s="1"/>
      <c r="WZL1635" s="1"/>
      <c r="WZM1635" s="1"/>
      <c r="WZN1635" s="1"/>
      <c r="WZO1635" s="1"/>
      <c r="WZP1635" s="1"/>
      <c r="WZQ1635" s="1"/>
      <c r="WZR1635" s="1"/>
      <c r="WZS1635" s="1"/>
      <c r="WZT1635" s="1"/>
      <c r="WZU1635" s="1"/>
      <c r="WZV1635" s="1"/>
      <c r="WZW1635" s="1"/>
      <c r="WZX1635" s="1"/>
      <c r="WZY1635" s="1"/>
      <c r="WZZ1635" s="1"/>
      <c r="XAA1635" s="1"/>
      <c r="XAB1635" s="1"/>
      <c r="XAC1635" s="1"/>
      <c r="XAD1635" s="1"/>
      <c r="XAE1635" s="1"/>
      <c r="XAF1635" s="1"/>
      <c r="XAG1635" s="1"/>
      <c r="XAH1635" s="1"/>
      <c r="XAI1635" s="1"/>
      <c r="XAJ1635" s="1"/>
      <c r="XAK1635" s="1"/>
      <c r="XAL1635" s="1"/>
      <c r="XAM1635" s="1"/>
      <c r="XAN1635" s="1"/>
      <c r="XAO1635" s="1"/>
      <c r="XAP1635" s="1"/>
      <c r="XAQ1635" s="1"/>
      <c r="XAR1635" s="1"/>
      <c r="XAS1635" s="1"/>
      <c r="XAT1635" s="1"/>
      <c r="XAU1635" s="1"/>
      <c r="XAV1635" s="1"/>
      <c r="XAW1635" s="1"/>
      <c r="XAX1635" s="1"/>
      <c r="XAY1635" s="1"/>
      <c r="XAZ1635" s="1"/>
      <c r="XBA1635" s="1"/>
      <c r="XBB1635" s="1"/>
      <c r="XBC1635" s="1"/>
      <c r="XBD1635" s="1"/>
      <c r="XBE1635" s="1"/>
      <c r="XBF1635" s="1"/>
      <c r="XBG1635" s="1"/>
      <c r="XBH1635" s="1"/>
      <c r="XBI1635" s="1"/>
      <c r="XBJ1635" s="1"/>
      <c r="XBK1635" s="1"/>
      <c r="XBL1635" s="1"/>
      <c r="XBM1635" s="1"/>
      <c r="XBN1635" s="1"/>
      <c r="XBO1635" s="1"/>
      <c r="XBP1635" s="1"/>
      <c r="XBQ1635" s="1"/>
      <c r="XBR1635" s="1"/>
      <c r="XBS1635" s="1"/>
      <c r="XBT1635" s="1"/>
      <c r="XBU1635" s="1"/>
      <c r="XBV1635" s="1"/>
      <c r="XBW1635" s="1"/>
      <c r="XBX1635" s="1"/>
      <c r="XBY1635" s="1"/>
      <c r="XBZ1635" s="1"/>
      <c r="XCA1635" s="1"/>
      <c r="XCB1635" s="1"/>
      <c r="XCC1635" s="1"/>
      <c r="XCD1635" s="1"/>
      <c r="XCE1635" s="1"/>
      <c r="XCF1635" s="1"/>
      <c r="XCG1635" s="1"/>
      <c r="XCH1635" s="1"/>
      <c r="XCI1635" s="1"/>
      <c r="XCJ1635" s="1"/>
      <c r="XCK1635" s="1"/>
      <c r="XCL1635" s="1"/>
      <c r="XCM1635" s="1"/>
      <c r="XCN1635" s="1"/>
      <c r="XCO1635" s="1"/>
      <c r="XCP1635" s="1"/>
      <c r="XCQ1635" s="1"/>
      <c r="XCR1635" s="1"/>
      <c r="XCS1635" s="1"/>
      <c r="XCT1635" s="1"/>
      <c r="XCU1635" s="1"/>
      <c r="XCV1635" s="1"/>
      <c r="XCW1635" s="1"/>
      <c r="XCX1635" s="1"/>
      <c r="XCY1635" s="1"/>
      <c r="XCZ1635" s="1"/>
      <c r="XDA1635" s="1"/>
      <c r="XDB1635" s="1"/>
      <c r="XDC1635" s="1"/>
      <c r="XDD1635" s="1"/>
      <c r="XDE1635" s="1"/>
      <c r="XDF1635" s="1"/>
      <c r="XDG1635" s="1"/>
      <c r="XDH1635" s="1"/>
      <c r="XDI1635" s="1"/>
      <c r="XDJ1635" s="1"/>
      <c r="XDK1635" s="1"/>
      <c r="XDL1635" s="1"/>
      <c r="XDM1635" s="1"/>
      <c r="XDN1635" s="1"/>
      <c r="XDO1635" s="1"/>
      <c r="XDP1635" s="1"/>
      <c r="XDQ1635" s="1"/>
      <c r="XDR1635" s="1"/>
      <c r="XDS1635" s="1"/>
    </row>
    <row r="1636" spans="1:16347" s="26" customFormat="1" x14ac:dyDescent="0.25">
      <c r="A1636" s="1" t="s">
        <v>1014</v>
      </c>
      <c r="B1636" s="1" t="s">
        <v>1445</v>
      </c>
      <c r="C1636" s="1">
        <v>982</v>
      </c>
      <c r="D1636" s="1">
        <v>0.5</v>
      </c>
      <c r="E1636" s="3">
        <f t="shared" si="104"/>
        <v>491</v>
      </c>
      <c r="F1636" s="1">
        <f t="shared" si="105"/>
        <v>589.19999999999993</v>
      </c>
    </row>
    <row r="1637" spans="1:16347" s="26" customFormat="1" x14ac:dyDescent="0.25">
      <c r="A1637" s="1" t="s">
        <v>1014</v>
      </c>
      <c r="B1637" s="1" t="s">
        <v>1461</v>
      </c>
      <c r="C1637" s="1">
        <v>2932</v>
      </c>
      <c r="D1637" s="1">
        <v>0.5</v>
      </c>
      <c r="E1637" s="3">
        <f t="shared" si="104"/>
        <v>1466</v>
      </c>
      <c r="F1637" s="1">
        <f t="shared" si="105"/>
        <v>1759.2</v>
      </c>
    </row>
    <row r="1638" spans="1:16347" s="26" customFormat="1" x14ac:dyDescent="0.25">
      <c r="A1638" s="1" t="s">
        <v>1014</v>
      </c>
      <c r="B1638" s="1" t="s">
        <v>1444</v>
      </c>
      <c r="C1638" s="1">
        <v>2206</v>
      </c>
      <c r="D1638" s="1">
        <v>0.5</v>
      </c>
      <c r="E1638" s="3">
        <f t="shared" si="104"/>
        <v>1103</v>
      </c>
      <c r="F1638" s="1">
        <f t="shared" si="105"/>
        <v>1323.6</v>
      </c>
    </row>
    <row r="1639" spans="1:16347" s="26" customFormat="1" x14ac:dyDescent="0.25">
      <c r="A1639" s="1" t="s">
        <v>1014</v>
      </c>
      <c r="B1639" s="1" t="s">
        <v>1645</v>
      </c>
      <c r="C1639" s="1">
        <v>18418</v>
      </c>
      <c r="D1639" s="1">
        <v>0.5</v>
      </c>
      <c r="E1639" s="3">
        <f t="shared" si="104"/>
        <v>9209</v>
      </c>
      <c r="F1639" s="1">
        <f t="shared" si="105"/>
        <v>11050.8</v>
      </c>
    </row>
    <row r="1640" spans="1:16347" s="26" customFormat="1" x14ac:dyDescent="0.25">
      <c r="A1640" s="1" t="s">
        <v>1014</v>
      </c>
      <c r="B1640" s="1" t="s">
        <v>1036</v>
      </c>
      <c r="C1640" s="1">
        <v>479</v>
      </c>
      <c r="D1640" s="1">
        <v>0.5</v>
      </c>
      <c r="E1640" s="3">
        <f t="shared" si="104"/>
        <v>239.5</v>
      </c>
      <c r="F1640" s="1">
        <f t="shared" si="105"/>
        <v>287.39999999999998</v>
      </c>
    </row>
    <row r="1641" spans="1:16347" s="26" customFormat="1" x14ac:dyDescent="0.25">
      <c r="A1641" s="1" t="s">
        <v>1014</v>
      </c>
      <c r="B1641" s="1" t="s">
        <v>1460</v>
      </c>
      <c r="C1641" s="1">
        <v>452</v>
      </c>
      <c r="D1641" s="1">
        <v>0.5</v>
      </c>
      <c r="E1641" s="3">
        <f t="shared" si="104"/>
        <v>226</v>
      </c>
      <c r="F1641" s="1">
        <f t="shared" si="105"/>
        <v>271.2</v>
      </c>
    </row>
    <row r="1642" spans="1:16347" s="26" customFormat="1" x14ac:dyDescent="0.25">
      <c r="A1642" s="1" t="s">
        <v>1014</v>
      </c>
      <c r="B1642" s="1" t="s">
        <v>1301</v>
      </c>
      <c r="C1642" s="1">
        <v>411</v>
      </c>
      <c r="D1642" s="1">
        <v>0.5</v>
      </c>
      <c r="E1642" s="3">
        <f t="shared" si="104"/>
        <v>205.5</v>
      </c>
      <c r="F1642" s="1">
        <f t="shared" si="105"/>
        <v>246.6</v>
      </c>
    </row>
    <row r="1643" spans="1:16347" s="26" customFormat="1" x14ac:dyDescent="0.25">
      <c r="A1643" s="1" t="s">
        <v>1014</v>
      </c>
      <c r="B1643" s="1" t="s">
        <v>1459</v>
      </c>
      <c r="C1643" s="1">
        <v>1837</v>
      </c>
      <c r="D1643" s="1">
        <v>0.5</v>
      </c>
      <c r="E1643" s="3">
        <f t="shared" si="104"/>
        <v>918.5</v>
      </c>
      <c r="F1643" s="1">
        <f t="shared" si="105"/>
        <v>1102.2</v>
      </c>
    </row>
    <row r="1644" spans="1:16347" s="26" customFormat="1" x14ac:dyDescent="0.25">
      <c r="A1644" s="1" t="s">
        <v>1014</v>
      </c>
      <c r="B1644" s="1" t="s">
        <v>1041</v>
      </c>
      <c r="C1644" s="1">
        <v>664</v>
      </c>
      <c r="D1644" s="1">
        <v>0.5</v>
      </c>
      <c r="E1644" s="3">
        <f t="shared" si="104"/>
        <v>332</v>
      </c>
      <c r="F1644" s="1">
        <f t="shared" si="105"/>
        <v>398.4</v>
      </c>
    </row>
    <row r="1645" spans="1:16347" s="26" customFormat="1" x14ac:dyDescent="0.25">
      <c r="A1645" s="1" t="s">
        <v>1014</v>
      </c>
      <c r="B1645" s="1" t="s">
        <v>1042</v>
      </c>
      <c r="C1645" s="1">
        <v>1350</v>
      </c>
      <c r="D1645" s="1">
        <v>0.5</v>
      </c>
      <c r="E1645" s="3">
        <f t="shared" si="104"/>
        <v>675</v>
      </c>
      <c r="F1645" s="1">
        <f t="shared" si="105"/>
        <v>810</v>
      </c>
    </row>
    <row r="1646" spans="1:16347" s="26" customFormat="1" x14ac:dyDescent="0.25">
      <c r="A1646" s="1" t="s">
        <v>1014</v>
      </c>
      <c r="B1646" s="1" t="s">
        <v>1043</v>
      </c>
      <c r="C1646" s="1">
        <v>341</v>
      </c>
      <c r="D1646" s="1">
        <v>0.5</v>
      </c>
      <c r="E1646" s="3">
        <f t="shared" si="104"/>
        <v>170.5</v>
      </c>
      <c r="F1646" s="1">
        <f t="shared" si="105"/>
        <v>204.6</v>
      </c>
    </row>
    <row r="1647" spans="1:16347" s="26" customFormat="1" x14ac:dyDescent="0.25">
      <c r="A1647" s="1" t="s">
        <v>1014</v>
      </c>
      <c r="B1647" s="1" t="s">
        <v>1050</v>
      </c>
      <c r="C1647" s="1">
        <v>614</v>
      </c>
      <c r="D1647" s="1">
        <v>0.5</v>
      </c>
      <c r="E1647" s="3">
        <f t="shared" si="104"/>
        <v>307</v>
      </c>
      <c r="F1647" s="1">
        <f t="shared" si="105"/>
        <v>368.4</v>
      </c>
    </row>
    <row r="1648" spans="1:16347" s="26" customFormat="1" x14ac:dyDescent="0.25">
      <c r="A1648" s="1" t="s">
        <v>1014</v>
      </c>
      <c r="B1648" s="1" t="s">
        <v>1340</v>
      </c>
      <c r="C1648" s="1">
        <v>1278</v>
      </c>
      <c r="D1648" s="1">
        <v>0.5</v>
      </c>
      <c r="E1648" s="3">
        <f t="shared" si="104"/>
        <v>639</v>
      </c>
      <c r="F1648" s="1">
        <f t="shared" si="105"/>
        <v>766.8</v>
      </c>
    </row>
    <row r="1649" spans="1:6" s="26" customFormat="1" x14ac:dyDescent="0.25">
      <c r="A1649" s="1" t="s">
        <v>1014</v>
      </c>
      <c r="B1649" s="1" t="s">
        <v>1046</v>
      </c>
      <c r="C1649" s="1">
        <v>866</v>
      </c>
      <c r="D1649" s="1">
        <v>0.5</v>
      </c>
      <c r="E1649" s="3">
        <f t="shared" si="104"/>
        <v>433</v>
      </c>
      <c r="F1649" s="1">
        <f t="shared" si="105"/>
        <v>519.6</v>
      </c>
    </row>
    <row r="1650" spans="1:6" s="26" customFormat="1" x14ac:dyDescent="0.25">
      <c r="A1650" s="1" t="s">
        <v>1014</v>
      </c>
      <c r="B1650" s="1" t="s">
        <v>1304</v>
      </c>
      <c r="C1650" s="1">
        <v>79.34</v>
      </c>
      <c r="D1650" s="1">
        <v>0.5</v>
      </c>
      <c r="E1650" s="3">
        <f t="shared" ref="E1650:E1668" si="106">(C1650*D1650)</f>
        <v>39.67</v>
      </c>
      <c r="F1650" s="1">
        <f t="shared" si="105"/>
        <v>47.603999999999999</v>
      </c>
    </row>
    <row r="1651" spans="1:6" s="26" customFormat="1" x14ac:dyDescent="0.25">
      <c r="A1651" s="1" t="s">
        <v>1014</v>
      </c>
      <c r="B1651" s="1" t="s">
        <v>1305</v>
      </c>
      <c r="C1651" s="1">
        <v>75</v>
      </c>
      <c r="D1651" s="1">
        <v>0.5</v>
      </c>
      <c r="E1651" s="3">
        <f t="shared" si="106"/>
        <v>37.5</v>
      </c>
      <c r="F1651" s="1">
        <f t="shared" si="105"/>
        <v>45</v>
      </c>
    </row>
    <row r="1652" spans="1:6" s="26" customFormat="1" x14ac:dyDescent="0.25">
      <c r="A1652" s="1" t="s">
        <v>1014</v>
      </c>
      <c r="B1652" s="1" t="s">
        <v>1306</v>
      </c>
      <c r="C1652" s="1">
        <v>43.8</v>
      </c>
      <c r="D1652" s="1">
        <v>0.5</v>
      </c>
      <c r="E1652" s="3">
        <f t="shared" si="106"/>
        <v>21.9</v>
      </c>
      <c r="F1652" s="1">
        <f t="shared" si="105"/>
        <v>26.279999999999998</v>
      </c>
    </row>
    <row r="1653" spans="1:6" s="26" customFormat="1" x14ac:dyDescent="0.25">
      <c r="A1653" s="1" t="s">
        <v>1014</v>
      </c>
      <c r="B1653" s="1" t="s">
        <v>1048</v>
      </c>
      <c r="C1653" s="1">
        <v>1569</v>
      </c>
      <c r="D1653" s="1">
        <v>0.44</v>
      </c>
      <c r="E1653" s="3">
        <f t="shared" si="106"/>
        <v>690.36</v>
      </c>
      <c r="F1653" s="1">
        <f t="shared" si="105"/>
        <v>847.2600000000001</v>
      </c>
    </row>
    <row r="1654" spans="1:6" s="26" customFormat="1" x14ac:dyDescent="0.25">
      <c r="A1654" s="1" t="s">
        <v>1014</v>
      </c>
      <c r="B1654" s="1" t="s">
        <v>1049</v>
      </c>
      <c r="C1654" s="1">
        <v>784</v>
      </c>
      <c r="D1654" s="1">
        <v>0.5</v>
      </c>
      <c r="E1654" s="3">
        <f t="shared" si="106"/>
        <v>392</v>
      </c>
      <c r="F1654" s="1">
        <f t="shared" si="105"/>
        <v>470.4</v>
      </c>
    </row>
    <row r="1655" spans="1:6" s="26" customFormat="1" x14ac:dyDescent="0.25">
      <c r="A1655" s="1" t="s">
        <v>1014</v>
      </c>
      <c r="B1655" s="1" t="s">
        <v>1341</v>
      </c>
      <c r="C1655" s="1">
        <v>833</v>
      </c>
      <c r="D1655" s="1">
        <v>0.5</v>
      </c>
      <c r="E1655" s="3">
        <f t="shared" si="106"/>
        <v>416.5</v>
      </c>
      <c r="F1655" s="1">
        <f t="shared" si="105"/>
        <v>499.79999999999995</v>
      </c>
    </row>
    <row r="1656" spans="1:6" s="26" customFormat="1" x14ac:dyDescent="0.25">
      <c r="A1656" s="1" t="s">
        <v>1014</v>
      </c>
      <c r="B1656" s="1" t="s">
        <v>1342</v>
      </c>
      <c r="C1656" s="1">
        <v>801</v>
      </c>
      <c r="D1656" s="1">
        <v>0.5</v>
      </c>
      <c r="E1656" s="3">
        <f t="shared" si="106"/>
        <v>400.5</v>
      </c>
      <c r="F1656" s="1">
        <f t="shared" si="105"/>
        <v>480.59999999999997</v>
      </c>
    </row>
    <row r="1657" spans="1:6" s="26" customFormat="1" x14ac:dyDescent="0.25">
      <c r="A1657" s="1" t="s">
        <v>1014</v>
      </c>
      <c r="B1657" s="1" t="s">
        <v>1299</v>
      </c>
      <c r="C1657" s="1">
        <v>149</v>
      </c>
      <c r="D1657" s="1">
        <v>0.5</v>
      </c>
      <c r="E1657" s="3">
        <f t="shared" si="106"/>
        <v>74.5</v>
      </c>
      <c r="F1657" s="1">
        <f t="shared" si="105"/>
        <v>89.399999999999991</v>
      </c>
    </row>
    <row r="1658" spans="1:6" s="26" customFormat="1" x14ac:dyDescent="0.25">
      <c r="A1658" s="1" t="s">
        <v>1014</v>
      </c>
      <c r="B1658" s="1" t="s">
        <v>1300</v>
      </c>
      <c r="C1658" s="1">
        <v>196</v>
      </c>
      <c r="D1658" s="1">
        <v>0.5</v>
      </c>
      <c r="E1658" s="3">
        <f t="shared" si="106"/>
        <v>98</v>
      </c>
      <c r="F1658" s="1">
        <f t="shared" si="105"/>
        <v>117.6</v>
      </c>
    </row>
    <row r="1659" spans="1:6" s="26" customFormat="1" x14ac:dyDescent="0.25">
      <c r="A1659" s="1" t="s">
        <v>1014</v>
      </c>
      <c r="B1659" s="1" t="s">
        <v>1051</v>
      </c>
      <c r="C1659" s="1">
        <v>238</v>
      </c>
      <c r="D1659" s="1">
        <v>0.5</v>
      </c>
      <c r="E1659" s="3">
        <f t="shared" si="106"/>
        <v>119</v>
      </c>
      <c r="F1659" s="1">
        <f t="shared" si="105"/>
        <v>142.79999999999998</v>
      </c>
    </row>
    <row r="1660" spans="1:6" s="26" customFormat="1" x14ac:dyDescent="0.25">
      <c r="A1660" s="1" t="s">
        <v>1014</v>
      </c>
      <c r="B1660" s="1" t="s">
        <v>1054</v>
      </c>
      <c r="C1660" s="1">
        <v>2939</v>
      </c>
      <c r="D1660" s="1">
        <v>0.5</v>
      </c>
      <c r="E1660" s="3">
        <f t="shared" si="106"/>
        <v>1469.5</v>
      </c>
      <c r="F1660" s="1">
        <f t="shared" si="105"/>
        <v>1763.3999999999999</v>
      </c>
    </row>
    <row r="1661" spans="1:6" s="26" customFormat="1" x14ac:dyDescent="0.25">
      <c r="A1661" s="1" t="s">
        <v>1014</v>
      </c>
      <c r="B1661" s="1" t="s">
        <v>1055</v>
      </c>
      <c r="C1661" s="1">
        <v>707</v>
      </c>
      <c r="D1661" s="1">
        <v>0.5</v>
      </c>
      <c r="E1661" s="3">
        <f t="shared" si="106"/>
        <v>353.5</v>
      </c>
      <c r="F1661" s="1">
        <f t="shared" si="105"/>
        <v>424.2</v>
      </c>
    </row>
    <row r="1662" spans="1:6" s="26" customFormat="1" x14ac:dyDescent="0.25">
      <c r="A1662" s="1" t="s">
        <v>1014</v>
      </c>
      <c r="B1662" s="1" t="s">
        <v>1056</v>
      </c>
      <c r="C1662" s="1">
        <v>3537</v>
      </c>
      <c r="D1662" s="1">
        <v>0.5</v>
      </c>
      <c r="E1662" s="3">
        <f t="shared" si="106"/>
        <v>1768.5</v>
      </c>
      <c r="F1662" s="1">
        <f t="shared" si="105"/>
        <v>2122.1999999999998</v>
      </c>
    </row>
    <row r="1663" spans="1:6" s="26" customFormat="1" x14ac:dyDescent="0.25">
      <c r="A1663" s="1" t="s">
        <v>1014</v>
      </c>
      <c r="B1663" s="1" t="s">
        <v>1057</v>
      </c>
      <c r="C1663" s="1">
        <v>895</v>
      </c>
      <c r="D1663" s="1">
        <v>0.5</v>
      </c>
      <c r="E1663" s="3">
        <f t="shared" si="106"/>
        <v>447.5</v>
      </c>
      <c r="F1663" s="1">
        <f t="shared" si="105"/>
        <v>537</v>
      </c>
    </row>
    <row r="1664" spans="1:6" s="26" customFormat="1" x14ac:dyDescent="0.25">
      <c r="A1664" s="1" t="s">
        <v>1014</v>
      </c>
      <c r="B1664" s="1" t="s">
        <v>1343</v>
      </c>
      <c r="C1664" s="1">
        <v>6035</v>
      </c>
      <c r="D1664" s="1">
        <v>0.5</v>
      </c>
      <c r="E1664" s="3">
        <f t="shared" si="106"/>
        <v>3017.5</v>
      </c>
      <c r="F1664" s="1">
        <f t="shared" si="105"/>
        <v>3621</v>
      </c>
    </row>
    <row r="1665" spans="1:6" s="9" customFormat="1" ht="15.75" thickBot="1" x14ac:dyDescent="0.3">
      <c r="A1665" s="9" t="s">
        <v>1014</v>
      </c>
      <c r="B1665" s="9" t="s">
        <v>1644</v>
      </c>
      <c r="C1665" s="9">
        <v>887</v>
      </c>
      <c r="D1665" s="9">
        <v>0.5</v>
      </c>
      <c r="E1665" s="11">
        <f t="shared" si="106"/>
        <v>443.5</v>
      </c>
      <c r="F1665" s="9">
        <f t="shared" si="105"/>
        <v>532.19999999999993</v>
      </c>
    </row>
    <row r="1666" spans="1:6" s="7" customFormat="1" x14ac:dyDescent="0.25">
      <c r="A1666" s="7" t="s">
        <v>1060</v>
      </c>
      <c r="B1666" s="7" t="s">
        <v>1061</v>
      </c>
      <c r="C1666" s="7">
        <v>140</v>
      </c>
      <c r="D1666" s="7">
        <v>0.5</v>
      </c>
      <c r="E1666" s="8">
        <f t="shared" si="106"/>
        <v>70</v>
      </c>
      <c r="F1666" s="7">
        <f t="shared" si="105"/>
        <v>84</v>
      </c>
    </row>
    <row r="1667" spans="1:6" x14ac:dyDescent="0.25">
      <c r="A1667" s="1" t="s">
        <v>1060</v>
      </c>
      <c r="B1667" s="1" t="s">
        <v>1062</v>
      </c>
      <c r="C1667" s="1">
        <v>615</v>
      </c>
      <c r="D1667" s="1">
        <v>0.5</v>
      </c>
      <c r="E1667" s="3">
        <f t="shared" si="106"/>
        <v>307.5</v>
      </c>
      <c r="F1667" s="1">
        <f t="shared" si="105"/>
        <v>369</v>
      </c>
    </row>
    <row r="1668" spans="1:6" x14ac:dyDescent="0.25">
      <c r="A1668" s="1" t="s">
        <v>1060</v>
      </c>
      <c r="B1668" s="1" t="s">
        <v>1063</v>
      </c>
      <c r="C1668" s="1">
        <v>142</v>
      </c>
      <c r="D1668" s="1">
        <v>0.5</v>
      </c>
      <c r="E1668" s="3">
        <f t="shared" si="106"/>
        <v>71</v>
      </c>
      <c r="F1668" s="1">
        <f t="shared" si="105"/>
        <v>85.2</v>
      </c>
    </row>
    <row r="1669" spans="1:6" x14ac:dyDescent="0.25">
      <c r="A1669" s="1" t="s">
        <v>1060</v>
      </c>
      <c r="B1669" s="1" t="s">
        <v>1064</v>
      </c>
      <c r="C1669" s="1">
        <v>158</v>
      </c>
      <c r="D1669" s="1">
        <v>0.5</v>
      </c>
      <c r="E1669" s="3">
        <f>C1669*D1669</f>
        <v>79</v>
      </c>
      <c r="F1669" s="1">
        <f t="shared" si="105"/>
        <v>94.8</v>
      </c>
    </row>
    <row r="1670" spans="1:6" x14ac:dyDescent="0.25">
      <c r="A1670" s="1" t="s">
        <v>1060</v>
      </c>
      <c r="B1670" s="1" t="s">
        <v>1065</v>
      </c>
      <c r="C1670" s="1">
        <v>132</v>
      </c>
      <c r="D1670" s="1">
        <v>0.5</v>
      </c>
      <c r="E1670" s="3">
        <f>C1670*D1670</f>
        <v>66</v>
      </c>
      <c r="F1670" s="1">
        <f t="shared" si="105"/>
        <v>79.2</v>
      </c>
    </row>
    <row r="1671" spans="1:6" x14ac:dyDescent="0.25">
      <c r="A1671" s="1" t="s">
        <v>1060</v>
      </c>
      <c r="B1671" s="1" t="s">
        <v>1066</v>
      </c>
      <c r="C1671" s="1">
        <v>172</v>
      </c>
      <c r="D1671" s="1">
        <v>0.5</v>
      </c>
      <c r="E1671" s="3">
        <f>(C1671*D1671)</f>
        <v>86</v>
      </c>
      <c r="F1671" s="1">
        <f t="shared" si="105"/>
        <v>103.2</v>
      </c>
    </row>
    <row r="1672" spans="1:6" x14ac:dyDescent="0.25">
      <c r="A1672" s="1" t="s">
        <v>1060</v>
      </c>
      <c r="B1672" s="1" t="s">
        <v>1067</v>
      </c>
      <c r="C1672" s="1">
        <v>85</v>
      </c>
      <c r="D1672" s="1">
        <v>0.5</v>
      </c>
      <c r="E1672" s="3">
        <f t="shared" ref="E1672:E1703" si="107">C1672*D1672</f>
        <v>42.5</v>
      </c>
      <c r="F1672" s="1">
        <f t="shared" si="105"/>
        <v>51</v>
      </c>
    </row>
    <row r="1673" spans="1:6" x14ac:dyDescent="0.25">
      <c r="A1673" s="1" t="s">
        <v>1060</v>
      </c>
      <c r="B1673" s="1" t="s">
        <v>1068</v>
      </c>
      <c r="C1673" s="1">
        <v>82</v>
      </c>
      <c r="D1673" s="1">
        <v>0.5</v>
      </c>
      <c r="E1673" s="3">
        <f t="shared" si="107"/>
        <v>41</v>
      </c>
      <c r="F1673" s="1">
        <f t="shared" si="105"/>
        <v>49.199999999999996</v>
      </c>
    </row>
    <row r="1674" spans="1:6" x14ac:dyDescent="0.25">
      <c r="A1674" s="1" t="s">
        <v>1060</v>
      </c>
      <c r="B1674" s="1" t="s">
        <v>1069</v>
      </c>
      <c r="C1674" s="1">
        <v>97</v>
      </c>
      <c r="D1674" s="1">
        <v>0.5</v>
      </c>
      <c r="E1674" s="3">
        <f t="shared" si="107"/>
        <v>48.5</v>
      </c>
      <c r="F1674" s="1">
        <f t="shared" si="105"/>
        <v>58.199999999999996</v>
      </c>
    </row>
    <row r="1675" spans="1:6" s="9" customFormat="1" ht="15.75" thickBot="1" x14ac:dyDescent="0.3">
      <c r="A1675" s="9" t="s">
        <v>1060</v>
      </c>
      <c r="B1675" s="9" t="s">
        <v>1070</v>
      </c>
      <c r="C1675" s="9">
        <v>219</v>
      </c>
      <c r="D1675" s="9">
        <v>0.5</v>
      </c>
      <c r="E1675" s="11">
        <f t="shared" si="107"/>
        <v>109.5</v>
      </c>
      <c r="F1675" s="9">
        <f t="shared" si="105"/>
        <v>131.4</v>
      </c>
    </row>
    <row r="1676" spans="1:6" s="7" customFormat="1" x14ac:dyDescent="0.25">
      <c r="A1676" s="7" t="s">
        <v>1071</v>
      </c>
      <c r="B1676" s="7" t="s">
        <v>1072</v>
      </c>
      <c r="C1676" s="7">
        <v>131</v>
      </c>
      <c r="D1676" s="7">
        <v>0.44</v>
      </c>
      <c r="E1676" s="8">
        <f t="shared" si="107"/>
        <v>57.64</v>
      </c>
      <c r="F1676" s="7">
        <f t="shared" si="105"/>
        <v>70.740000000000009</v>
      </c>
    </row>
    <row r="1677" spans="1:6" x14ac:dyDescent="0.25">
      <c r="A1677" s="1" t="s">
        <v>1071</v>
      </c>
      <c r="B1677" s="1" t="s">
        <v>1073</v>
      </c>
      <c r="C1677" s="1">
        <v>333</v>
      </c>
      <c r="D1677" s="1">
        <v>0.44</v>
      </c>
      <c r="E1677" s="3">
        <f t="shared" si="107"/>
        <v>146.52000000000001</v>
      </c>
      <c r="F1677" s="1">
        <f t="shared" si="105"/>
        <v>179.82000000000002</v>
      </c>
    </row>
    <row r="1678" spans="1:6" x14ac:dyDescent="0.25">
      <c r="A1678" s="1" t="s">
        <v>1071</v>
      </c>
      <c r="B1678" s="1" t="s">
        <v>1074</v>
      </c>
      <c r="C1678" s="1">
        <v>604</v>
      </c>
      <c r="D1678" s="1">
        <v>0.44</v>
      </c>
      <c r="E1678" s="3">
        <f t="shared" si="107"/>
        <v>265.76</v>
      </c>
      <c r="F1678" s="1">
        <f t="shared" si="105"/>
        <v>326.16000000000003</v>
      </c>
    </row>
    <row r="1679" spans="1:6" x14ac:dyDescent="0.25">
      <c r="A1679" s="1" t="s">
        <v>1071</v>
      </c>
      <c r="B1679" s="1" t="s">
        <v>1075</v>
      </c>
      <c r="C1679" s="1">
        <v>1185</v>
      </c>
      <c r="D1679" s="1">
        <v>0.44</v>
      </c>
      <c r="E1679" s="3">
        <f t="shared" si="107"/>
        <v>521.4</v>
      </c>
      <c r="F1679" s="1">
        <f t="shared" si="105"/>
        <v>639.90000000000009</v>
      </c>
    </row>
    <row r="1680" spans="1:6" x14ac:dyDescent="0.25">
      <c r="A1680" s="1" t="s">
        <v>1071</v>
      </c>
      <c r="B1680" s="1" t="s">
        <v>1076</v>
      </c>
      <c r="C1680" s="1">
        <v>284</v>
      </c>
      <c r="D1680" s="1">
        <v>0.44</v>
      </c>
      <c r="E1680" s="3">
        <f t="shared" si="107"/>
        <v>124.96</v>
      </c>
      <c r="F1680" s="1">
        <f t="shared" si="105"/>
        <v>153.36000000000001</v>
      </c>
    </row>
    <row r="1681" spans="1:6" x14ac:dyDescent="0.25">
      <c r="A1681" s="1" t="s">
        <v>1071</v>
      </c>
      <c r="B1681" s="1" t="s">
        <v>1521</v>
      </c>
      <c r="C1681" s="1">
        <v>315</v>
      </c>
      <c r="D1681" s="1">
        <v>0.44</v>
      </c>
      <c r="E1681" s="3">
        <f t="shared" si="107"/>
        <v>138.6</v>
      </c>
      <c r="F1681" s="1">
        <f t="shared" si="105"/>
        <v>170.10000000000002</v>
      </c>
    </row>
    <row r="1682" spans="1:6" x14ac:dyDescent="0.25">
      <c r="A1682" s="1" t="s">
        <v>1071</v>
      </c>
      <c r="B1682" s="1" t="s">
        <v>1624</v>
      </c>
      <c r="C1682" s="1">
        <v>261</v>
      </c>
      <c r="D1682" s="1">
        <v>0.44</v>
      </c>
      <c r="E1682" s="3">
        <f t="shared" si="107"/>
        <v>114.84</v>
      </c>
      <c r="F1682" s="1">
        <f t="shared" ref="F1682:F1745" si="108">C1682*(D1682+0.1)</f>
        <v>140.94</v>
      </c>
    </row>
    <row r="1683" spans="1:6" x14ac:dyDescent="0.25">
      <c r="A1683" s="1" t="s">
        <v>1071</v>
      </c>
      <c r="B1683" s="1" t="s">
        <v>1224</v>
      </c>
      <c r="C1683" s="1">
        <v>866</v>
      </c>
      <c r="D1683" s="1">
        <v>0.44</v>
      </c>
      <c r="E1683" s="3">
        <f t="shared" si="107"/>
        <v>381.04</v>
      </c>
      <c r="F1683" s="1">
        <f t="shared" si="108"/>
        <v>467.64000000000004</v>
      </c>
    </row>
    <row r="1684" spans="1:6" x14ac:dyDescent="0.25">
      <c r="A1684" s="1" t="s">
        <v>1071</v>
      </c>
      <c r="B1684" s="1" t="s">
        <v>1077</v>
      </c>
      <c r="C1684" s="1">
        <v>678</v>
      </c>
      <c r="D1684" s="1">
        <v>0.44</v>
      </c>
      <c r="E1684" s="3">
        <f t="shared" si="107"/>
        <v>298.32</v>
      </c>
      <c r="F1684" s="1">
        <f t="shared" si="108"/>
        <v>366.12</v>
      </c>
    </row>
    <row r="1685" spans="1:6" x14ac:dyDescent="0.25">
      <c r="A1685" s="1" t="s">
        <v>1071</v>
      </c>
      <c r="B1685" s="1" t="s">
        <v>1225</v>
      </c>
      <c r="C1685" s="1">
        <v>139</v>
      </c>
      <c r="D1685" s="1">
        <v>0.44</v>
      </c>
      <c r="E1685" s="3">
        <f t="shared" si="107"/>
        <v>61.160000000000004</v>
      </c>
      <c r="F1685" s="1">
        <f t="shared" si="108"/>
        <v>75.06</v>
      </c>
    </row>
    <row r="1686" spans="1:6" x14ac:dyDescent="0.25">
      <c r="A1686" s="1" t="s">
        <v>1071</v>
      </c>
      <c r="B1686" s="1" t="s">
        <v>1079</v>
      </c>
      <c r="C1686" s="1">
        <v>226</v>
      </c>
      <c r="D1686" s="1">
        <v>0.44</v>
      </c>
      <c r="E1686" s="3">
        <f t="shared" si="107"/>
        <v>99.44</v>
      </c>
      <c r="F1686" s="1">
        <f t="shared" si="108"/>
        <v>122.04</v>
      </c>
    </row>
    <row r="1687" spans="1:6" x14ac:dyDescent="0.25">
      <c r="A1687" s="1" t="s">
        <v>1071</v>
      </c>
      <c r="B1687" s="1" t="s">
        <v>1078</v>
      </c>
      <c r="C1687" s="1">
        <v>323</v>
      </c>
      <c r="D1687" s="1">
        <v>0.44</v>
      </c>
      <c r="E1687" s="3">
        <f t="shared" si="107"/>
        <v>142.12</v>
      </c>
      <c r="F1687" s="1">
        <f t="shared" si="108"/>
        <v>174.42000000000002</v>
      </c>
    </row>
    <row r="1688" spans="1:6" x14ac:dyDescent="0.25">
      <c r="A1688" s="1" t="s">
        <v>1071</v>
      </c>
      <c r="B1688" s="1" t="s">
        <v>1080</v>
      </c>
      <c r="C1688" s="1">
        <v>579</v>
      </c>
      <c r="D1688" s="1">
        <v>0.44</v>
      </c>
      <c r="E1688" s="3">
        <f t="shared" si="107"/>
        <v>254.76</v>
      </c>
      <c r="F1688" s="1">
        <f t="shared" si="108"/>
        <v>312.66000000000003</v>
      </c>
    </row>
    <row r="1689" spans="1:6" x14ac:dyDescent="0.25">
      <c r="A1689" s="1" t="s">
        <v>1071</v>
      </c>
      <c r="B1689" s="1" t="s">
        <v>1081</v>
      </c>
      <c r="C1689" s="1">
        <v>235</v>
      </c>
      <c r="D1689" s="1">
        <v>0.44</v>
      </c>
      <c r="E1689" s="3">
        <f t="shared" si="107"/>
        <v>103.4</v>
      </c>
      <c r="F1689" s="1">
        <f t="shared" si="108"/>
        <v>126.9</v>
      </c>
    </row>
    <row r="1690" spans="1:6" x14ac:dyDescent="0.25">
      <c r="A1690" s="1" t="s">
        <v>1071</v>
      </c>
      <c r="B1690" s="1" t="s">
        <v>1082</v>
      </c>
      <c r="C1690" s="1">
        <v>821</v>
      </c>
      <c r="D1690" s="1">
        <v>0.44</v>
      </c>
      <c r="E1690" s="3">
        <f t="shared" si="107"/>
        <v>361.24</v>
      </c>
      <c r="F1690" s="1">
        <f t="shared" si="108"/>
        <v>443.34000000000003</v>
      </c>
    </row>
    <row r="1691" spans="1:6" s="26" customFormat="1" x14ac:dyDescent="0.25">
      <c r="A1691" s="1" t="s">
        <v>1071</v>
      </c>
      <c r="B1691" s="1" t="s">
        <v>1226</v>
      </c>
      <c r="C1691" s="1">
        <v>354</v>
      </c>
      <c r="D1691" s="1">
        <v>0.44</v>
      </c>
      <c r="E1691" s="3">
        <f t="shared" si="107"/>
        <v>155.76</v>
      </c>
      <c r="F1691" s="1">
        <f t="shared" si="108"/>
        <v>191.16000000000003</v>
      </c>
    </row>
    <row r="1692" spans="1:6" s="26" customFormat="1" x14ac:dyDescent="0.25">
      <c r="A1692" s="1" t="s">
        <v>1071</v>
      </c>
      <c r="B1692" s="1" t="s">
        <v>1227</v>
      </c>
      <c r="C1692" s="1">
        <v>192</v>
      </c>
      <c r="D1692" s="1">
        <v>0.44</v>
      </c>
      <c r="E1692" s="3">
        <f t="shared" si="107"/>
        <v>84.48</v>
      </c>
      <c r="F1692" s="1">
        <f t="shared" si="108"/>
        <v>103.68</v>
      </c>
    </row>
    <row r="1693" spans="1:6" s="26" customFormat="1" x14ac:dyDescent="0.25">
      <c r="A1693" s="1" t="s">
        <v>1071</v>
      </c>
      <c r="B1693" s="1" t="s">
        <v>1228</v>
      </c>
      <c r="C1693" s="1">
        <v>317</v>
      </c>
      <c r="D1693" s="1">
        <v>0.44</v>
      </c>
      <c r="E1693" s="3">
        <f t="shared" si="107"/>
        <v>139.47999999999999</v>
      </c>
      <c r="F1693" s="1">
        <f t="shared" si="108"/>
        <v>171.18</v>
      </c>
    </row>
    <row r="1694" spans="1:6" s="26" customFormat="1" x14ac:dyDescent="0.25">
      <c r="A1694" s="1" t="s">
        <v>1071</v>
      </c>
      <c r="B1694" s="1" t="s">
        <v>1229</v>
      </c>
      <c r="C1694" s="1">
        <v>553</v>
      </c>
      <c r="D1694" s="1">
        <v>0.44</v>
      </c>
      <c r="E1694" s="3">
        <f t="shared" si="107"/>
        <v>243.32</v>
      </c>
      <c r="F1694" s="1">
        <f t="shared" si="108"/>
        <v>298.62</v>
      </c>
    </row>
    <row r="1695" spans="1:6" s="26" customFormat="1" x14ac:dyDescent="0.25">
      <c r="A1695" s="1" t="s">
        <v>1071</v>
      </c>
      <c r="B1695" s="1" t="s">
        <v>1230</v>
      </c>
      <c r="C1695" s="1">
        <v>949</v>
      </c>
      <c r="D1695" s="1">
        <v>0.44</v>
      </c>
      <c r="E1695" s="3">
        <f t="shared" si="107"/>
        <v>417.56</v>
      </c>
      <c r="F1695" s="1">
        <f t="shared" si="108"/>
        <v>512.46</v>
      </c>
    </row>
    <row r="1696" spans="1:6" s="9" customFormat="1" ht="15.75" thickBot="1" x14ac:dyDescent="0.3">
      <c r="A1696" s="9" t="s">
        <v>1071</v>
      </c>
      <c r="B1696" s="9" t="s">
        <v>1083</v>
      </c>
      <c r="C1696" s="9">
        <v>247</v>
      </c>
      <c r="D1696" s="9">
        <v>0.44</v>
      </c>
      <c r="E1696" s="11">
        <f t="shared" si="107"/>
        <v>108.68</v>
      </c>
      <c r="F1696" s="9">
        <f t="shared" si="108"/>
        <v>133.38</v>
      </c>
    </row>
    <row r="1697" spans="1:6" s="7" customFormat="1" x14ac:dyDescent="0.25">
      <c r="A1697" s="7" t="s">
        <v>1084</v>
      </c>
      <c r="B1697" s="7" t="s">
        <v>1085</v>
      </c>
      <c r="C1697" s="7">
        <v>257</v>
      </c>
      <c r="D1697" s="7">
        <v>0.56999999999999995</v>
      </c>
      <c r="E1697" s="3">
        <f t="shared" si="107"/>
        <v>146.48999999999998</v>
      </c>
      <c r="F1697" s="1">
        <f t="shared" si="108"/>
        <v>172.18999999999997</v>
      </c>
    </row>
    <row r="1698" spans="1:6" x14ac:dyDescent="0.25">
      <c r="A1698" s="1" t="s">
        <v>1084</v>
      </c>
      <c r="B1698" s="1" t="s">
        <v>1844</v>
      </c>
      <c r="C1698" s="1">
        <v>440</v>
      </c>
      <c r="D1698" s="1">
        <v>0.56999999999999995</v>
      </c>
      <c r="E1698" s="3">
        <f t="shared" si="107"/>
        <v>250.79999999999998</v>
      </c>
      <c r="F1698" s="1">
        <f t="shared" si="108"/>
        <v>294.79999999999995</v>
      </c>
    </row>
    <row r="1699" spans="1:6" x14ac:dyDescent="0.25">
      <c r="A1699" s="1" t="s">
        <v>1084</v>
      </c>
      <c r="B1699" s="1" t="s">
        <v>1845</v>
      </c>
      <c r="C1699" s="1">
        <v>498</v>
      </c>
      <c r="D1699" s="1">
        <v>0.56999999999999995</v>
      </c>
      <c r="E1699" s="3">
        <f t="shared" si="107"/>
        <v>283.85999999999996</v>
      </c>
      <c r="F1699" s="1">
        <f t="shared" si="108"/>
        <v>333.65999999999997</v>
      </c>
    </row>
    <row r="1700" spans="1:6" x14ac:dyDescent="0.25">
      <c r="A1700" s="1" t="s">
        <v>1084</v>
      </c>
      <c r="B1700" s="1" t="s">
        <v>1141</v>
      </c>
      <c r="C1700" s="1">
        <v>913</v>
      </c>
      <c r="D1700" s="1">
        <v>0.56999999999999995</v>
      </c>
      <c r="E1700" s="3">
        <f t="shared" si="107"/>
        <v>520.41</v>
      </c>
      <c r="F1700" s="1">
        <f t="shared" si="108"/>
        <v>611.70999999999992</v>
      </c>
    </row>
    <row r="1701" spans="1:6" x14ac:dyDescent="0.25">
      <c r="A1701" s="1" t="s">
        <v>1084</v>
      </c>
      <c r="B1701" s="1" t="s">
        <v>1833</v>
      </c>
      <c r="C1701" s="1">
        <v>4288</v>
      </c>
      <c r="D1701" s="1">
        <v>0.56999999999999995</v>
      </c>
      <c r="E1701" s="3">
        <f t="shared" si="107"/>
        <v>2444.16</v>
      </c>
      <c r="F1701" s="1">
        <f t="shared" si="108"/>
        <v>2872.9599999999996</v>
      </c>
    </row>
    <row r="1702" spans="1:6" x14ac:dyDescent="0.25">
      <c r="A1702" s="1" t="s">
        <v>1084</v>
      </c>
      <c r="B1702" s="1" t="s">
        <v>1834</v>
      </c>
      <c r="C1702" s="1">
        <v>2380</v>
      </c>
      <c r="D1702" s="1">
        <v>0.56999999999999995</v>
      </c>
      <c r="E1702" s="3">
        <f t="shared" si="107"/>
        <v>1356.6</v>
      </c>
      <c r="F1702" s="1">
        <f t="shared" si="108"/>
        <v>1594.6</v>
      </c>
    </row>
    <row r="1703" spans="1:6" x14ac:dyDescent="0.25">
      <c r="A1703" s="1" t="s">
        <v>1084</v>
      </c>
      <c r="B1703" s="1" t="s">
        <v>1088</v>
      </c>
      <c r="C1703" s="1">
        <v>674</v>
      </c>
      <c r="D1703" s="1">
        <v>0.56999999999999995</v>
      </c>
      <c r="E1703" s="3">
        <f t="shared" si="107"/>
        <v>384.17999999999995</v>
      </c>
      <c r="F1703" s="1">
        <f t="shared" si="108"/>
        <v>451.57999999999993</v>
      </c>
    </row>
    <row r="1704" spans="1:6" x14ac:dyDescent="0.25">
      <c r="A1704" s="1" t="s">
        <v>1084</v>
      </c>
      <c r="B1704" s="1" t="s">
        <v>1089</v>
      </c>
      <c r="C1704" s="1">
        <v>0</v>
      </c>
      <c r="D1704" s="1">
        <v>0.65</v>
      </c>
      <c r="E1704" s="3">
        <f t="shared" ref="E1704:E1735" si="109">C1704*D1704</f>
        <v>0</v>
      </c>
      <c r="F1704" s="1">
        <f t="shared" si="108"/>
        <v>0</v>
      </c>
    </row>
    <row r="1705" spans="1:6" x14ac:dyDescent="0.25">
      <c r="A1705" s="1" t="s">
        <v>1084</v>
      </c>
      <c r="B1705" s="1" t="s">
        <v>1090</v>
      </c>
      <c r="C1705" s="1">
        <v>0</v>
      </c>
      <c r="D1705" s="1">
        <v>0.65</v>
      </c>
      <c r="E1705" s="3">
        <f t="shared" si="109"/>
        <v>0</v>
      </c>
      <c r="F1705" s="1">
        <f t="shared" si="108"/>
        <v>0</v>
      </c>
    </row>
    <row r="1706" spans="1:6" x14ac:dyDescent="0.25">
      <c r="A1706" s="1" t="s">
        <v>1084</v>
      </c>
      <c r="B1706" s="1" t="s">
        <v>1094</v>
      </c>
      <c r="D1706" s="1">
        <v>0.65</v>
      </c>
      <c r="E1706" s="3">
        <f t="shared" si="109"/>
        <v>0</v>
      </c>
      <c r="F1706" s="1">
        <f t="shared" si="108"/>
        <v>0</v>
      </c>
    </row>
    <row r="1707" spans="1:6" x14ac:dyDescent="0.25">
      <c r="A1707" s="1" t="s">
        <v>1084</v>
      </c>
      <c r="B1707" s="1" t="s">
        <v>1835</v>
      </c>
      <c r="C1707" s="1">
        <v>153</v>
      </c>
      <c r="D1707" s="1">
        <v>0.56999999999999995</v>
      </c>
      <c r="E1707" s="3">
        <f t="shared" si="109"/>
        <v>87.21</v>
      </c>
      <c r="F1707" s="1">
        <f t="shared" si="108"/>
        <v>102.50999999999999</v>
      </c>
    </row>
    <row r="1708" spans="1:6" x14ac:dyDescent="0.25">
      <c r="A1708" s="1" t="s">
        <v>1084</v>
      </c>
      <c r="B1708" s="1" t="s">
        <v>1092</v>
      </c>
      <c r="C1708" s="1">
        <v>171</v>
      </c>
      <c r="D1708" s="1">
        <v>0.56999999999999995</v>
      </c>
      <c r="E1708" s="3">
        <f t="shared" si="109"/>
        <v>97.469999999999985</v>
      </c>
      <c r="F1708" s="1">
        <f t="shared" si="108"/>
        <v>114.57</v>
      </c>
    </row>
    <row r="1709" spans="1:6" x14ac:dyDescent="0.25">
      <c r="A1709" s="1" t="s">
        <v>1084</v>
      </c>
      <c r="B1709" s="1" t="s">
        <v>1093</v>
      </c>
      <c r="C1709" s="1">
        <v>352</v>
      </c>
      <c r="D1709" s="1">
        <v>0.56999999999999995</v>
      </c>
      <c r="E1709" s="3">
        <f t="shared" si="109"/>
        <v>200.64</v>
      </c>
      <c r="F1709" s="1">
        <f t="shared" si="108"/>
        <v>235.83999999999997</v>
      </c>
    </row>
    <row r="1710" spans="1:6" x14ac:dyDescent="0.25">
      <c r="A1710" s="1" t="s">
        <v>1084</v>
      </c>
      <c r="B1710" s="1" t="s">
        <v>1146</v>
      </c>
      <c r="C1710" s="1">
        <v>2872</v>
      </c>
      <c r="D1710" s="1">
        <v>0.56999999999999995</v>
      </c>
      <c r="E1710" s="3">
        <f t="shared" si="109"/>
        <v>1637.04</v>
      </c>
      <c r="F1710" s="1">
        <f t="shared" si="108"/>
        <v>1924.2399999999998</v>
      </c>
    </row>
    <row r="1711" spans="1:6" x14ac:dyDescent="0.25">
      <c r="A1711" s="1" t="s">
        <v>1084</v>
      </c>
      <c r="B1711" s="1" t="s">
        <v>1096</v>
      </c>
      <c r="C1711" s="1">
        <v>501</v>
      </c>
      <c r="D1711" s="1">
        <v>0.56999999999999995</v>
      </c>
      <c r="E1711" s="3">
        <f t="shared" si="109"/>
        <v>285.57</v>
      </c>
      <c r="F1711" s="1">
        <f t="shared" si="108"/>
        <v>335.66999999999996</v>
      </c>
    </row>
    <row r="1712" spans="1:6" x14ac:dyDescent="0.25">
      <c r="A1712" s="1" t="s">
        <v>1084</v>
      </c>
      <c r="B1712" s="1" t="s">
        <v>1097</v>
      </c>
      <c r="C1712" s="1">
        <v>327</v>
      </c>
      <c r="D1712" s="1">
        <v>0.56999999999999995</v>
      </c>
      <c r="E1712" s="3">
        <f t="shared" si="109"/>
        <v>186.39</v>
      </c>
      <c r="F1712" s="1">
        <f t="shared" si="108"/>
        <v>219.08999999999997</v>
      </c>
    </row>
    <row r="1713" spans="1:6" x14ac:dyDescent="0.25">
      <c r="A1713" s="1" t="s">
        <v>1084</v>
      </c>
      <c r="B1713" s="1" t="s">
        <v>1098</v>
      </c>
      <c r="C1713" s="1">
        <v>195.1</v>
      </c>
      <c r="D1713" s="1">
        <v>0.56999999999999995</v>
      </c>
      <c r="E1713" s="3">
        <f t="shared" si="109"/>
        <v>111.20699999999999</v>
      </c>
      <c r="F1713" s="1">
        <f t="shared" si="108"/>
        <v>130.71699999999998</v>
      </c>
    </row>
    <row r="1714" spans="1:6" x14ac:dyDescent="0.25">
      <c r="A1714" s="1" t="s">
        <v>1084</v>
      </c>
      <c r="B1714" s="1" t="s">
        <v>1099</v>
      </c>
      <c r="C1714" s="1">
        <v>139</v>
      </c>
      <c r="D1714" s="1">
        <v>0.56999999999999995</v>
      </c>
      <c r="E1714" s="3">
        <f t="shared" si="109"/>
        <v>79.22999999999999</v>
      </c>
      <c r="F1714" s="1">
        <f t="shared" si="108"/>
        <v>93.13</v>
      </c>
    </row>
    <row r="1715" spans="1:6" x14ac:dyDescent="0.25">
      <c r="A1715" s="1" t="s">
        <v>1084</v>
      </c>
      <c r="B1715" s="1" t="s">
        <v>1100</v>
      </c>
      <c r="C1715" s="1">
        <v>577</v>
      </c>
      <c r="D1715" s="1">
        <v>0.56999999999999995</v>
      </c>
      <c r="E1715" s="3">
        <f t="shared" si="109"/>
        <v>328.89</v>
      </c>
      <c r="F1715" s="1">
        <f t="shared" si="108"/>
        <v>386.59</v>
      </c>
    </row>
    <row r="1716" spans="1:6" x14ac:dyDescent="0.25">
      <c r="A1716" s="1" t="s">
        <v>1084</v>
      </c>
      <c r="B1716" s="1" t="s">
        <v>1124</v>
      </c>
      <c r="C1716" s="1">
        <v>471</v>
      </c>
      <c r="D1716" s="1">
        <v>0.56999999999999995</v>
      </c>
      <c r="E1716" s="3">
        <f t="shared" si="109"/>
        <v>268.46999999999997</v>
      </c>
      <c r="F1716" s="1">
        <f t="shared" si="108"/>
        <v>315.57</v>
      </c>
    </row>
    <row r="1717" spans="1:6" x14ac:dyDescent="0.25">
      <c r="A1717" s="1" t="s">
        <v>1084</v>
      </c>
      <c r="B1717" s="1" t="s">
        <v>1102</v>
      </c>
      <c r="C1717" s="1">
        <v>1880</v>
      </c>
      <c r="D1717" s="1">
        <v>0.56999999999999995</v>
      </c>
      <c r="E1717" s="3">
        <f t="shared" si="109"/>
        <v>1071.5999999999999</v>
      </c>
      <c r="F1717" s="1">
        <f t="shared" si="108"/>
        <v>1259.5999999999999</v>
      </c>
    </row>
    <row r="1718" spans="1:6" x14ac:dyDescent="0.25">
      <c r="A1718" s="1" t="s">
        <v>1084</v>
      </c>
      <c r="B1718" s="1" t="s">
        <v>1837</v>
      </c>
      <c r="C1718" s="1">
        <v>779</v>
      </c>
      <c r="D1718" s="1">
        <v>0.56999999999999995</v>
      </c>
      <c r="E1718" s="3">
        <f t="shared" si="109"/>
        <v>444.03</v>
      </c>
      <c r="F1718" s="1">
        <f t="shared" si="108"/>
        <v>521.92999999999995</v>
      </c>
    </row>
    <row r="1719" spans="1:6" x14ac:dyDescent="0.25">
      <c r="A1719" s="1" t="s">
        <v>1084</v>
      </c>
      <c r="B1719" s="1" t="s">
        <v>1838</v>
      </c>
      <c r="C1719" s="1">
        <v>3240</v>
      </c>
      <c r="D1719" s="1">
        <v>0.56999999999999995</v>
      </c>
      <c r="E1719" s="3">
        <f t="shared" si="109"/>
        <v>1846.8</v>
      </c>
      <c r="F1719" s="1">
        <f t="shared" si="108"/>
        <v>2170.7999999999997</v>
      </c>
    </row>
    <row r="1720" spans="1:6" x14ac:dyDescent="0.25">
      <c r="A1720" s="1" t="s">
        <v>1084</v>
      </c>
      <c r="B1720" s="1" t="s">
        <v>1103</v>
      </c>
      <c r="C1720" s="1">
        <v>973</v>
      </c>
      <c r="D1720" s="1">
        <v>0.56999999999999995</v>
      </c>
      <c r="E1720" s="3">
        <f t="shared" si="109"/>
        <v>554.6099999999999</v>
      </c>
      <c r="F1720" s="1">
        <f t="shared" si="108"/>
        <v>651.91</v>
      </c>
    </row>
    <row r="1721" spans="1:6" x14ac:dyDescent="0.25">
      <c r="A1721" s="1" t="s">
        <v>1084</v>
      </c>
      <c r="B1721" s="1" t="s">
        <v>1104</v>
      </c>
      <c r="C1721" s="1">
        <v>2032</v>
      </c>
      <c r="D1721" s="1">
        <v>0.56999999999999995</v>
      </c>
      <c r="E1721" s="3">
        <f t="shared" si="109"/>
        <v>1158.24</v>
      </c>
      <c r="F1721" s="1">
        <f t="shared" si="108"/>
        <v>1361.4399999999998</v>
      </c>
    </row>
    <row r="1722" spans="1:6" x14ac:dyDescent="0.25">
      <c r="A1722" s="1" t="s">
        <v>1084</v>
      </c>
      <c r="B1722" s="1" t="s">
        <v>1105</v>
      </c>
      <c r="C1722" s="1">
        <v>930</v>
      </c>
      <c r="D1722" s="1">
        <v>0.56999999999999995</v>
      </c>
      <c r="E1722" s="3">
        <f t="shared" si="109"/>
        <v>530.09999999999991</v>
      </c>
      <c r="F1722" s="1">
        <f t="shared" si="108"/>
        <v>623.09999999999991</v>
      </c>
    </row>
    <row r="1723" spans="1:6" x14ac:dyDescent="0.25">
      <c r="A1723" s="1" t="s">
        <v>1084</v>
      </c>
      <c r="B1723" s="1" t="s">
        <v>1106</v>
      </c>
      <c r="C1723" s="1">
        <v>1935</v>
      </c>
      <c r="D1723" s="1">
        <v>0.56999999999999995</v>
      </c>
      <c r="E1723" s="3">
        <f t="shared" si="109"/>
        <v>1102.9499999999998</v>
      </c>
      <c r="F1723" s="1">
        <f t="shared" si="108"/>
        <v>1296.4499999999998</v>
      </c>
    </row>
    <row r="1724" spans="1:6" x14ac:dyDescent="0.25">
      <c r="A1724" s="1" t="s">
        <v>1084</v>
      </c>
      <c r="B1724" s="1" t="s">
        <v>1107</v>
      </c>
      <c r="C1724" s="1">
        <v>369</v>
      </c>
      <c r="D1724" s="1">
        <v>0.56999999999999995</v>
      </c>
      <c r="E1724" s="3">
        <f t="shared" si="109"/>
        <v>210.32999999999998</v>
      </c>
      <c r="F1724" s="1">
        <f t="shared" si="108"/>
        <v>247.22999999999996</v>
      </c>
    </row>
    <row r="1725" spans="1:6" x14ac:dyDescent="0.25">
      <c r="A1725" s="1" t="s">
        <v>1084</v>
      </c>
      <c r="B1725" s="1" t="s">
        <v>1108</v>
      </c>
      <c r="C1725" s="1">
        <v>2554</v>
      </c>
      <c r="D1725" s="1">
        <v>0.56999999999999995</v>
      </c>
      <c r="E1725" s="3">
        <f t="shared" si="109"/>
        <v>1455.78</v>
      </c>
      <c r="F1725" s="1">
        <f t="shared" si="108"/>
        <v>1711.1799999999998</v>
      </c>
    </row>
    <row r="1726" spans="1:6" x14ac:dyDescent="0.25">
      <c r="A1726" s="1" t="s">
        <v>1084</v>
      </c>
      <c r="B1726" s="1" t="s">
        <v>1840</v>
      </c>
      <c r="C1726" s="1">
        <v>2325</v>
      </c>
      <c r="D1726" s="1">
        <v>0.56999999999999995</v>
      </c>
      <c r="E1726" s="3">
        <f t="shared" si="109"/>
        <v>1325.25</v>
      </c>
      <c r="F1726" s="1">
        <f t="shared" si="108"/>
        <v>1557.7499999999998</v>
      </c>
    </row>
    <row r="1727" spans="1:6" x14ac:dyDescent="0.25">
      <c r="A1727" s="1" t="s">
        <v>1084</v>
      </c>
      <c r="B1727" s="1" t="s">
        <v>1841</v>
      </c>
      <c r="C1727" s="1">
        <v>7687</v>
      </c>
      <c r="D1727" s="1">
        <v>0.56999999999999995</v>
      </c>
      <c r="E1727" s="3">
        <f t="shared" si="109"/>
        <v>4381.5899999999992</v>
      </c>
      <c r="F1727" s="1">
        <f t="shared" si="108"/>
        <v>5150.2899999999991</v>
      </c>
    </row>
    <row r="1728" spans="1:6" x14ac:dyDescent="0.25">
      <c r="A1728" s="1" t="s">
        <v>1084</v>
      </c>
      <c r="B1728" s="1" t="s">
        <v>1109</v>
      </c>
      <c r="C1728" s="1">
        <v>186</v>
      </c>
      <c r="D1728" s="1">
        <v>0.56999999999999995</v>
      </c>
      <c r="E1728" s="3">
        <f t="shared" si="109"/>
        <v>106.02</v>
      </c>
      <c r="F1728" s="1">
        <f t="shared" si="108"/>
        <v>124.61999999999999</v>
      </c>
    </row>
    <row r="1729" spans="1:6" x14ac:dyDescent="0.25">
      <c r="A1729" s="1" t="s">
        <v>1084</v>
      </c>
      <c r="B1729" s="1" t="s">
        <v>1110</v>
      </c>
      <c r="C1729" s="1">
        <v>505</v>
      </c>
      <c r="D1729" s="1">
        <v>0.56999999999999995</v>
      </c>
      <c r="E1729" s="3">
        <f t="shared" si="109"/>
        <v>287.84999999999997</v>
      </c>
      <c r="F1729" s="1">
        <f t="shared" si="108"/>
        <v>338.34999999999997</v>
      </c>
    </row>
    <row r="1730" spans="1:6" x14ac:dyDescent="0.25">
      <c r="A1730" s="1" t="s">
        <v>1084</v>
      </c>
      <c r="B1730" s="1" t="s">
        <v>1111</v>
      </c>
      <c r="C1730" s="1">
        <v>1059</v>
      </c>
      <c r="D1730" s="1">
        <v>0.56999999999999995</v>
      </c>
      <c r="E1730" s="3">
        <f t="shared" si="109"/>
        <v>603.63</v>
      </c>
      <c r="F1730" s="1">
        <f t="shared" si="108"/>
        <v>709.53</v>
      </c>
    </row>
    <row r="1731" spans="1:6" x14ac:dyDescent="0.25">
      <c r="A1731" s="1" t="s">
        <v>1084</v>
      </c>
      <c r="B1731" s="1" t="s">
        <v>1112</v>
      </c>
      <c r="C1731" s="1">
        <v>215</v>
      </c>
      <c r="D1731" s="1">
        <v>0.56999999999999995</v>
      </c>
      <c r="E1731" s="3">
        <f t="shared" si="109"/>
        <v>122.54999999999998</v>
      </c>
      <c r="F1731" s="1">
        <f t="shared" si="108"/>
        <v>144.04999999999998</v>
      </c>
    </row>
    <row r="1732" spans="1:6" x14ac:dyDescent="0.25">
      <c r="A1732" s="1" t="s">
        <v>1084</v>
      </c>
      <c r="B1732" s="1" t="s">
        <v>1113</v>
      </c>
      <c r="C1732" s="1">
        <v>83</v>
      </c>
      <c r="D1732" s="1">
        <v>0.56999999999999995</v>
      </c>
      <c r="E1732" s="3">
        <f t="shared" si="109"/>
        <v>47.309999999999995</v>
      </c>
      <c r="F1732" s="1">
        <f t="shared" si="108"/>
        <v>55.609999999999992</v>
      </c>
    </row>
    <row r="1733" spans="1:6" x14ac:dyDescent="0.25">
      <c r="A1733" s="1" t="s">
        <v>1084</v>
      </c>
      <c r="B1733" s="1" t="s">
        <v>1114</v>
      </c>
      <c r="C1733" s="1">
        <v>823</v>
      </c>
      <c r="D1733" s="1">
        <v>0.56999999999999995</v>
      </c>
      <c r="E1733" s="3">
        <f t="shared" si="109"/>
        <v>469.10999999999996</v>
      </c>
      <c r="F1733" s="1">
        <f t="shared" si="108"/>
        <v>551.41</v>
      </c>
    </row>
    <row r="1734" spans="1:6" x14ac:dyDescent="0.25">
      <c r="A1734" s="1" t="s">
        <v>1084</v>
      </c>
      <c r="B1734" s="1" t="s">
        <v>1115</v>
      </c>
      <c r="C1734" s="1">
        <v>510</v>
      </c>
      <c r="D1734" s="1">
        <v>0.56999999999999995</v>
      </c>
      <c r="E1734" s="3">
        <f t="shared" si="109"/>
        <v>290.7</v>
      </c>
      <c r="F1734" s="1">
        <f t="shared" si="108"/>
        <v>341.7</v>
      </c>
    </row>
    <row r="1735" spans="1:6" x14ac:dyDescent="0.25">
      <c r="A1735" s="1" t="s">
        <v>1084</v>
      </c>
      <c r="B1735" s="1" t="s">
        <v>1117</v>
      </c>
      <c r="C1735" s="1">
        <v>1180</v>
      </c>
      <c r="D1735" s="1">
        <v>0.56999999999999995</v>
      </c>
      <c r="E1735" s="3">
        <f t="shared" si="109"/>
        <v>672.59999999999991</v>
      </c>
      <c r="F1735" s="1">
        <f t="shared" si="108"/>
        <v>790.59999999999991</v>
      </c>
    </row>
    <row r="1736" spans="1:6" x14ac:dyDescent="0.25">
      <c r="A1736" s="1" t="s">
        <v>1084</v>
      </c>
      <c r="B1736" s="1" t="s">
        <v>1842</v>
      </c>
      <c r="C1736" s="1">
        <v>299</v>
      </c>
      <c r="D1736" s="1">
        <v>0.56999999999999995</v>
      </c>
      <c r="E1736" s="3">
        <f t="shared" ref="E1736:E1767" si="110">C1736*D1736</f>
        <v>170.42999999999998</v>
      </c>
      <c r="F1736" s="1">
        <f t="shared" si="108"/>
        <v>200.32999999999998</v>
      </c>
    </row>
    <row r="1737" spans="1:6" x14ac:dyDescent="0.25">
      <c r="A1737" s="1" t="s">
        <v>1084</v>
      </c>
      <c r="B1737" s="1" t="s">
        <v>1843</v>
      </c>
      <c r="C1737" s="1">
        <v>1583</v>
      </c>
      <c r="D1737" s="1">
        <v>0.56999999999999995</v>
      </c>
      <c r="E1737" s="3">
        <f t="shared" si="110"/>
        <v>902.31</v>
      </c>
      <c r="F1737" s="1">
        <f t="shared" si="108"/>
        <v>1060.6099999999999</v>
      </c>
    </row>
    <row r="1738" spans="1:6" x14ac:dyDescent="0.25">
      <c r="A1738" s="1" t="s">
        <v>1084</v>
      </c>
      <c r="B1738" s="1" t="s">
        <v>1119</v>
      </c>
      <c r="C1738" s="1">
        <v>146</v>
      </c>
      <c r="D1738" s="1">
        <v>0.56999999999999995</v>
      </c>
      <c r="E1738" s="3">
        <f t="shared" si="110"/>
        <v>83.22</v>
      </c>
      <c r="F1738" s="1">
        <f t="shared" si="108"/>
        <v>97.82</v>
      </c>
    </row>
    <row r="1739" spans="1:6" x14ac:dyDescent="0.25">
      <c r="A1739" s="1" t="s">
        <v>1084</v>
      </c>
      <c r="B1739" s="1" t="s">
        <v>1120</v>
      </c>
      <c r="C1739" s="1">
        <v>246</v>
      </c>
      <c r="D1739" s="1">
        <v>0.56999999999999995</v>
      </c>
      <c r="E1739" s="3">
        <f t="shared" si="110"/>
        <v>140.22</v>
      </c>
      <c r="F1739" s="1">
        <f t="shared" si="108"/>
        <v>164.82</v>
      </c>
    </row>
    <row r="1740" spans="1:6" x14ac:dyDescent="0.25">
      <c r="A1740" s="5" t="s">
        <v>1084</v>
      </c>
      <c r="B1740" s="5" t="s">
        <v>1121</v>
      </c>
      <c r="C1740" s="6">
        <v>63.25</v>
      </c>
      <c r="D1740" s="1">
        <v>0.56999999999999995</v>
      </c>
      <c r="E1740" s="3">
        <f t="shared" si="110"/>
        <v>36.052499999999995</v>
      </c>
      <c r="F1740" s="1">
        <f t="shared" si="108"/>
        <v>42.377499999999998</v>
      </c>
    </row>
    <row r="1741" spans="1:6" x14ac:dyDescent="0.25">
      <c r="A1741" s="5" t="s">
        <v>1084</v>
      </c>
      <c r="B1741" s="5" t="s">
        <v>1836</v>
      </c>
      <c r="C1741" s="6">
        <v>992</v>
      </c>
      <c r="D1741" s="1">
        <v>0.56999999999999995</v>
      </c>
      <c r="E1741" s="3">
        <f t="shared" si="110"/>
        <v>565.43999999999994</v>
      </c>
      <c r="F1741" s="1">
        <f t="shared" si="108"/>
        <v>664.63999999999987</v>
      </c>
    </row>
    <row r="1742" spans="1:6" x14ac:dyDescent="0.25">
      <c r="A1742" s="1" t="s">
        <v>1084</v>
      </c>
      <c r="B1742" s="1" t="s">
        <v>1137</v>
      </c>
      <c r="C1742" s="1">
        <v>795</v>
      </c>
      <c r="D1742" s="1">
        <v>0.56999999999999995</v>
      </c>
      <c r="E1742" s="3">
        <f t="shared" si="110"/>
        <v>453.15</v>
      </c>
      <c r="F1742" s="1">
        <f t="shared" si="108"/>
        <v>532.65</v>
      </c>
    </row>
    <row r="1743" spans="1:6" x14ac:dyDescent="0.25">
      <c r="A1743" s="1" t="s">
        <v>1084</v>
      </c>
      <c r="B1743" s="1" t="s">
        <v>1122</v>
      </c>
      <c r="C1743" s="1">
        <v>1624</v>
      </c>
      <c r="D1743" s="1">
        <v>0.56999999999999995</v>
      </c>
      <c r="E1743" s="3">
        <f t="shared" si="110"/>
        <v>925.68</v>
      </c>
      <c r="F1743" s="1">
        <f t="shared" si="108"/>
        <v>1088.08</v>
      </c>
    </row>
    <row r="1744" spans="1:6" x14ac:dyDescent="0.25">
      <c r="A1744" s="1" t="s">
        <v>1084</v>
      </c>
      <c r="B1744" s="1" t="s">
        <v>1142</v>
      </c>
      <c r="C1744" s="1">
        <v>4999</v>
      </c>
      <c r="D1744" s="1">
        <v>0.56999999999999995</v>
      </c>
      <c r="E1744" s="3">
        <f t="shared" si="110"/>
        <v>2849.43</v>
      </c>
      <c r="F1744" s="1">
        <f t="shared" si="108"/>
        <v>3349.3299999999995</v>
      </c>
    </row>
    <row r="1745" spans="1:6" x14ac:dyDescent="0.25">
      <c r="A1745" s="1" t="s">
        <v>1084</v>
      </c>
      <c r="B1745" s="1" t="s">
        <v>1123</v>
      </c>
      <c r="C1745" s="1">
        <v>0</v>
      </c>
      <c r="D1745" s="1">
        <v>0.56999999999999995</v>
      </c>
      <c r="E1745" s="3">
        <f t="shared" si="110"/>
        <v>0</v>
      </c>
      <c r="F1745" s="1">
        <f t="shared" si="108"/>
        <v>0</v>
      </c>
    </row>
    <row r="1746" spans="1:6" x14ac:dyDescent="0.25">
      <c r="A1746" s="1" t="s">
        <v>1084</v>
      </c>
      <c r="B1746" s="1" t="s">
        <v>1143</v>
      </c>
      <c r="C1746" s="1">
        <v>0</v>
      </c>
      <c r="D1746" s="1">
        <v>0.7</v>
      </c>
      <c r="E1746" s="3">
        <f t="shared" si="110"/>
        <v>0</v>
      </c>
      <c r="F1746" s="1">
        <f t="shared" ref="F1746:F1809" si="111">C1746*(D1746+0.1)</f>
        <v>0</v>
      </c>
    </row>
    <row r="1747" spans="1:6" x14ac:dyDescent="0.25">
      <c r="A1747" s="1" t="s">
        <v>1084</v>
      </c>
      <c r="B1747" s="1" t="s">
        <v>1144</v>
      </c>
      <c r="C1747" s="1">
        <v>59.59</v>
      </c>
      <c r="D1747" s="1">
        <v>0.56999999999999995</v>
      </c>
      <c r="E1747" s="3">
        <f t="shared" si="110"/>
        <v>33.966299999999997</v>
      </c>
      <c r="F1747" s="1">
        <f t="shared" si="111"/>
        <v>39.9253</v>
      </c>
    </row>
    <row r="1748" spans="1:6" x14ac:dyDescent="0.25">
      <c r="A1748" s="1" t="s">
        <v>1084</v>
      </c>
      <c r="B1748" s="1" t="s">
        <v>1140</v>
      </c>
      <c r="C1748" s="1">
        <v>746</v>
      </c>
      <c r="D1748" s="1">
        <v>0.56999999999999995</v>
      </c>
      <c r="E1748" s="3">
        <f t="shared" si="110"/>
        <v>425.21999999999997</v>
      </c>
      <c r="F1748" s="1">
        <f t="shared" si="111"/>
        <v>499.81999999999994</v>
      </c>
    </row>
    <row r="1749" spans="1:6" x14ac:dyDescent="0.25">
      <c r="A1749" s="1" t="s">
        <v>1084</v>
      </c>
      <c r="B1749" s="1" t="s">
        <v>1839</v>
      </c>
      <c r="C1749" s="1">
        <v>883</v>
      </c>
      <c r="D1749" s="1">
        <v>0.56999999999999995</v>
      </c>
      <c r="E1749" s="3">
        <f t="shared" si="110"/>
        <v>503.30999999999995</v>
      </c>
      <c r="F1749" s="1">
        <f t="shared" si="111"/>
        <v>591.6099999999999</v>
      </c>
    </row>
    <row r="1750" spans="1:6" x14ac:dyDescent="0.25">
      <c r="A1750" s="1" t="s">
        <v>1084</v>
      </c>
      <c r="B1750" s="1" t="s">
        <v>1138</v>
      </c>
      <c r="C1750" s="1">
        <v>160</v>
      </c>
      <c r="D1750" s="1">
        <v>0.56999999999999995</v>
      </c>
      <c r="E1750" s="3">
        <f t="shared" si="110"/>
        <v>91.199999999999989</v>
      </c>
      <c r="F1750" s="1">
        <f t="shared" si="111"/>
        <v>107.19999999999999</v>
      </c>
    </row>
    <row r="1751" spans="1:6" x14ac:dyDescent="0.25">
      <c r="A1751" s="1" t="s">
        <v>1084</v>
      </c>
      <c r="B1751" s="1" t="s">
        <v>1139</v>
      </c>
      <c r="C1751" s="1">
        <v>542</v>
      </c>
      <c r="D1751" s="1">
        <v>0.56999999999999995</v>
      </c>
      <c r="E1751" s="3">
        <f t="shared" si="110"/>
        <v>308.94</v>
      </c>
      <c r="F1751" s="1">
        <f t="shared" si="111"/>
        <v>363.14</v>
      </c>
    </row>
    <row r="1752" spans="1:6" x14ac:dyDescent="0.25">
      <c r="A1752" s="1" t="s">
        <v>1694</v>
      </c>
      <c r="B1752" s="1" t="s">
        <v>1695</v>
      </c>
      <c r="C1752" s="1">
        <v>119.2</v>
      </c>
      <c r="D1752" s="1">
        <v>0.53</v>
      </c>
      <c r="E1752" s="3">
        <f t="shared" si="110"/>
        <v>63.176000000000002</v>
      </c>
      <c r="F1752" s="1">
        <f t="shared" si="111"/>
        <v>75.096000000000004</v>
      </c>
    </row>
    <row r="1753" spans="1:6" x14ac:dyDescent="0.25">
      <c r="A1753" s="1" t="s">
        <v>1694</v>
      </c>
      <c r="B1753" s="1" t="s">
        <v>1846</v>
      </c>
      <c r="C1753" s="1">
        <v>125.88</v>
      </c>
      <c r="D1753" s="1">
        <v>0.51</v>
      </c>
      <c r="E1753" s="3">
        <f t="shared" si="110"/>
        <v>64.198800000000006</v>
      </c>
      <c r="F1753" s="1">
        <f t="shared" si="111"/>
        <v>76.786799999999999</v>
      </c>
    </row>
    <row r="1754" spans="1:6" x14ac:dyDescent="0.25">
      <c r="A1754" s="1" t="s">
        <v>1694</v>
      </c>
      <c r="B1754" s="1" t="s">
        <v>1697</v>
      </c>
      <c r="C1754" s="1">
        <v>153.63999999999999</v>
      </c>
      <c r="D1754" s="1">
        <v>0.52</v>
      </c>
      <c r="E1754" s="3">
        <f t="shared" si="110"/>
        <v>79.892799999999994</v>
      </c>
      <c r="F1754" s="1">
        <f t="shared" si="111"/>
        <v>95.256799999999984</v>
      </c>
    </row>
    <row r="1755" spans="1:6" x14ac:dyDescent="0.25">
      <c r="A1755" s="1" t="s">
        <v>1694</v>
      </c>
      <c r="B1755" s="1" t="s">
        <v>1696</v>
      </c>
      <c r="C1755" s="1">
        <v>136</v>
      </c>
      <c r="D1755" s="1">
        <v>0.52</v>
      </c>
      <c r="E1755" s="3">
        <f t="shared" si="110"/>
        <v>70.72</v>
      </c>
      <c r="F1755" s="1">
        <f t="shared" si="111"/>
        <v>84.32</v>
      </c>
    </row>
    <row r="1756" spans="1:6" x14ac:dyDescent="0.25">
      <c r="A1756" s="1" t="s">
        <v>1694</v>
      </c>
      <c r="B1756" s="1" t="s">
        <v>1698</v>
      </c>
      <c r="C1756" s="1">
        <v>82.12</v>
      </c>
      <c r="D1756" s="1">
        <v>0.52</v>
      </c>
      <c r="E1756" s="3">
        <f t="shared" si="110"/>
        <v>42.702400000000004</v>
      </c>
      <c r="F1756" s="1">
        <f t="shared" si="111"/>
        <v>50.914400000000001</v>
      </c>
    </row>
    <row r="1757" spans="1:6" x14ac:dyDescent="0.25">
      <c r="A1757" s="1" t="s">
        <v>1694</v>
      </c>
      <c r="B1757" s="1" t="s">
        <v>1699</v>
      </c>
      <c r="C1757" s="1">
        <v>91.44</v>
      </c>
      <c r="D1757" s="1">
        <v>0.52</v>
      </c>
      <c r="E1757" s="3">
        <f t="shared" si="110"/>
        <v>47.5488</v>
      </c>
      <c r="F1757" s="1">
        <f t="shared" si="111"/>
        <v>56.692799999999998</v>
      </c>
    </row>
    <row r="1758" spans="1:6" x14ac:dyDescent="0.25">
      <c r="A1758" s="1" t="s">
        <v>1694</v>
      </c>
      <c r="B1758" s="1" t="s">
        <v>1700</v>
      </c>
      <c r="C1758" s="1">
        <v>167.04</v>
      </c>
      <c r="D1758" s="1">
        <v>0.55000000000000004</v>
      </c>
      <c r="E1758" s="3">
        <f t="shared" si="110"/>
        <v>91.872</v>
      </c>
      <c r="F1758" s="1">
        <f t="shared" si="111"/>
        <v>108.57599999999999</v>
      </c>
    </row>
    <row r="1759" spans="1:6" x14ac:dyDescent="0.25">
      <c r="A1759" s="1" t="s">
        <v>1694</v>
      </c>
      <c r="B1759" s="1" t="s">
        <v>1701</v>
      </c>
      <c r="C1759" s="1">
        <v>83.76</v>
      </c>
      <c r="D1759" s="1">
        <v>0.51</v>
      </c>
      <c r="E1759" s="3">
        <f t="shared" si="110"/>
        <v>42.717600000000004</v>
      </c>
      <c r="F1759" s="1">
        <f t="shared" si="111"/>
        <v>51.093600000000002</v>
      </c>
    </row>
    <row r="1760" spans="1:6" x14ac:dyDescent="0.25">
      <c r="A1760" s="1" t="s">
        <v>1694</v>
      </c>
      <c r="B1760" s="1" t="s">
        <v>1702</v>
      </c>
      <c r="C1760" s="1">
        <v>83.56</v>
      </c>
      <c r="D1760" s="1">
        <v>0.52</v>
      </c>
      <c r="E1760" s="3">
        <f t="shared" si="110"/>
        <v>43.4512</v>
      </c>
      <c r="F1760" s="1">
        <f t="shared" si="111"/>
        <v>51.807200000000002</v>
      </c>
    </row>
    <row r="1761" spans="1:6" x14ac:dyDescent="0.25">
      <c r="A1761" s="1" t="s">
        <v>1694</v>
      </c>
      <c r="B1761" s="1" t="s">
        <v>1703</v>
      </c>
      <c r="C1761" s="1">
        <v>98.32</v>
      </c>
      <c r="D1761" s="1">
        <v>0.51</v>
      </c>
      <c r="E1761" s="3">
        <f t="shared" si="110"/>
        <v>50.1432</v>
      </c>
      <c r="F1761" s="1">
        <f t="shared" si="111"/>
        <v>59.975199999999994</v>
      </c>
    </row>
    <row r="1762" spans="1:6" x14ac:dyDescent="0.25">
      <c r="A1762" s="1" t="s">
        <v>1694</v>
      </c>
      <c r="B1762" s="1" t="s">
        <v>1704</v>
      </c>
      <c r="C1762" s="1">
        <v>312.8</v>
      </c>
      <c r="D1762" s="1">
        <v>0.5</v>
      </c>
      <c r="E1762" s="3">
        <f t="shared" si="110"/>
        <v>156.4</v>
      </c>
      <c r="F1762" s="1">
        <f t="shared" si="111"/>
        <v>187.68</v>
      </c>
    </row>
    <row r="1763" spans="1:6" x14ac:dyDescent="0.25">
      <c r="A1763" s="1" t="s">
        <v>1694</v>
      </c>
      <c r="B1763" s="1" t="s">
        <v>1705</v>
      </c>
      <c r="C1763" s="1">
        <v>43.34</v>
      </c>
      <c r="D1763" s="1">
        <v>0.5</v>
      </c>
      <c r="E1763" s="3">
        <f t="shared" si="110"/>
        <v>21.67</v>
      </c>
      <c r="F1763" s="1">
        <f t="shared" si="111"/>
        <v>26.004000000000001</v>
      </c>
    </row>
    <row r="1764" spans="1:6" x14ac:dyDescent="0.25">
      <c r="A1764" s="1" t="s">
        <v>1694</v>
      </c>
      <c r="B1764" s="1" t="s">
        <v>1706</v>
      </c>
      <c r="C1764" s="1">
        <v>405</v>
      </c>
      <c r="D1764" s="1">
        <v>0.54</v>
      </c>
      <c r="E1764" s="3">
        <f t="shared" si="110"/>
        <v>218.70000000000002</v>
      </c>
      <c r="F1764" s="1">
        <f t="shared" si="111"/>
        <v>259.2</v>
      </c>
    </row>
    <row r="1765" spans="1:6" x14ac:dyDescent="0.25">
      <c r="A1765" s="1" t="s">
        <v>1694</v>
      </c>
      <c r="B1765" s="1" t="s">
        <v>1707</v>
      </c>
      <c r="C1765" s="1">
        <v>2985</v>
      </c>
      <c r="D1765" s="1">
        <v>0.62</v>
      </c>
      <c r="E1765" s="3">
        <f t="shared" si="110"/>
        <v>1850.7</v>
      </c>
      <c r="F1765" s="1">
        <f t="shared" si="111"/>
        <v>2149.1999999999998</v>
      </c>
    </row>
    <row r="1766" spans="1:6" x14ac:dyDescent="0.25">
      <c r="A1766" s="1" t="s">
        <v>1694</v>
      </c>
      <c r="B1766" s="1" t="s">
        <v>1708</v>
      </c>
      <c r="C1766" s="1">
        <v>3650</v>
      </c>
      <c r="D1766" s="1">
        <v>0.62</v>
      </c>
      <c r="E1766" s="3">
        <f t="shared" si="110"/>
        <v>2263</v>
      </c>
      <c r="F1766" s="1">
        <f t="shared" si="111"/>
        <v>2628</v>
      </c>
    </row>
    <row r="1767" spans="1:6" x14ac:dyDescent="0.25">
      <c r="A1767" s="1" t="s">
        <v>1694</v>
      </c>
      <c r="B1767" s="1" t="s">
        <v>1709</v>
      </c>
      <c r="C1767" s="1">
        <v>4448</v>
      </c>
      <c r="D1767" s="1">
        <v>0.62</v>
      </c>
      <c r="E1767" s="3">
        <f t="shared" si="110"/>
        <v>2757.7599999999998</v>
      </c>
      <c r="F1767" s="1">
        <f t="shared" si="111"/>
        <v>3202.56</v>
      </c>
    </row>
    <row r="1768" spans="1:6" x14ac:dyDescent="0.25">
      <c r="A1768" s="1" t="s">
        <v>1694</v>
      </c>
      <c r="B1768" s="1" t="s">
        <v>1710</v>
      </c>
      <c r="C1768" s="1">
        <v>940</v>
      </c>
      <c r="D1768" s="1">
        <v>0.56000000000000005</v>
      </c>
      <c r="E1768" s="3">
        <f t="shared" ref="E1768:E1799" si="112">C1768*D1768</f>
        <v>526.40000000000009</v>
      </c>
      <c r="F1768" s="1">
        <f t="shared" si="111"/>
        <v>620.4</v>
      </c>
    </row>
    <row r="1769" spans="1:6" x14ac:dyDescent="0.25">
      <c r="A1769" s="1" t="s">
        <v>1694</v>
      </c>
      <c r="B1769" s="1" t="s">
        <v>1711</v>
      </c>
      <c r="C1769" s="1">
        <v>1387</v>
      </c>
      <c r="D1769" s="1">
        <v>0.56000000000000005</v>
      </c>
      <c r="E1769" s="3">
        <f t="shared" si="112"/>
        <v>776.72</v>
      </c>
      <c r="F1769" s="1">
        <f t="shared" si="111"/>
        <v>915.42000000000007</v>
      </c>
    </row>
    <row r="1770" spans="1:6" x14ac:dyDescent="0.25">
      <c r="A1770" s="1" t="s">
        <v>1694</v>
      </c>
      <c r="B1770" s="1" t="s">
        <v>1712</v>
      </c>
      <c r="C1770" s="1">
        <v>1719</v>
      </c>
      <c r="D1770" s="1">
        <v>0.55000000000000004</v>
      </c>
      <c r="E1770" s="3">
        <f t="shared" si="112"/>
        <v>945.45</v>
      </c>
      <c r="F1770" s="1">
        <f t="shared" si="111"/>
        <v>1117.3500000000001</v>
      </c>
    </row>
    <row r="1771" spans="1:6" x14ac:dyDescent="0.25">
      <c r="A1771" s="1" t="s">
        <v>1694</v>
      </c>
      <c r="B1771" s="1" t="s">
        <v>1712</v>
      </c>
      <c r="C1771" s="1">
        <v>2027</v>
      </c>
      <c r="D1771" s="1">
        <v>0.55000000000000004</v>
      </c>
      <c r="E1771" s="3">
        <f t="shared" si="112"/>
        <v>1114.8500000000001</v>
      </c>
      <c r="F1771" s="1">
        <f t="shared" si="111"/>
        <v>1317.55</v>
      </c>
    </row>
    <row r="1772" spans="1:6" x14ac:dyDescent="0.25">
      <c r="A1772" s="1" t="s">
        <v>1694</v>
      </c>
      <c r="B1772" s="1" t="s">
        <v>1716</v>
      </c>
      <c r="C1772" s="1">
        <v>686</v>
      </c>
      <c r="D1772" s="1">
        <v>0.54</v>
      </c>
      <c r="E1772" s="3">
        <f t="shared" si="112"/>
        <v>370.44</v>
      </c>
      <c r="F1772" s="1">
        <f t="shared" si="111"/>
        <v>439.04</v>
      </c>
    </row>
    <row r="1773" spans="1:6" x14ac:dyDescent="0.25">
      <c r="A1773" s="1" t="s">
        <v>1694</v>
      </c>
      <c r="B1773" s="1" t="s">
        <v>1715</v>
      </c>
      <c r="C1773" s="1">
        <v>706</v>
      </c>
      <c r="D1773" s="1">
        <v>0.54</v>
      </c>
      <c r="E1773" s="3">
        <f t="shared" si="112"/>
        <v>381.24</v>
      </c>
      <c r="F1773" s="1">
        <f t="shared" si="111"/>
        <v>451.84000000000003</v>
      </c>
    </row>
    <row r="1774" spans="1:6" x14ac:dyDescent="0.25">
      <c r="A1774" s="1" t="s">
        <v>1694</v>
      </c>
      <c r="B1774" s="1" t="s">
        <v>1714</v>
      </c>
      <c r="C1774" s="1">
        <v>745</v>
      </c>
      <c r="D1774" s="1">
        <v>0.54</v>
      </c>
      <c r="E1774" s="3">
        <f t="shared" si="112"/>
        <v>402.3</v>
      </c>
      <c r="F1774" s="1">
        <f t="shared" si="111"/>
        <v>476.8</v>
      </c>
    </row>
    <row r="1775" spans="1:6" x14ac:dyDescent="0.25">
      <c r="A1775" s="1" t="s">
        <v>1694</v>
      </c>
      <c r="B1775" s="1" t="s">
        <v>1713</v>
      </c>
      <c r="C1775" s="1">
        <v>790</v>
      </c>
      <c r="D1775" s="1">
        <v>0.54</v>
      </c>
      <c r="E1775" s="3">
        <f t="shared" si="112"/>
        <v>426.6</v>
      </c>
      <c r="F1775" s="1">
        <f t="shared" si="111"/>
        <v>505.6</v>
      </c>
    </row>
    <row r="1776" spans="1:6" x14ac:dyDescent="0.25">
      <c r="A1776" s="1" t="s">
        <v>1694</v>
      </c>
      <c r="B1776" s="1" t="s">
        <v>1717</v>
      </c>
      <c r="C1776" s="1">
        <v>4720</v>
      </c>
      <c r="D1776" s="1">
        <v>0.60499999999999998</v>
      </c>
      <c r="E1776" s="3">
        <f t="shared" si="112"/>
        <v>2855.6</v>
      </c>
      <c r="F1776" s="1">
        <f t="shared" si="111"/>
        <v>3327.6</v>
      </c>
    </row>
    <row r="1777" spans="1:6" x14ac:dyDescent="0.25">
      <c r="A1777" s="1" t="s">
        <v>1694</v>
      </c>
      <c r="B1777" s="1" t="s">
        <v>1718</v>
      </c>
      <c r="C1777" s="1">
        <v>2064</v>
      </c>
      <c r="D1777" s="1">
        <v>0.55500000000000005</v>
      </c>
      <c r="E1777" s="3">
        <f t="shared" si="112"/>
        <v>1145.5200000000002</v>
      </c>
      <c r="F1777" s="1">
        <f t="shared" si="111"/>
        <v>1351.92</v>
      </c>
    </row>
    <row r="1778" spans="1:6" x14ac:dyDescent="0.25">
      <c r="A1778" s="1" t="s">
        <v>1694</v>
      </c>
      <c r="B1778" s="1" t="s">
        <v>1722</v>
      </c>
      <c r="C1778" s="1">
        <v>1970</v>
      </c>
      <c r="D1778" s="1">
        <v>0.61</v>
      </c>
      <c r="E1778" s="3">
        <f t="shared" si="112"/>
        <v>1201.7</v>
      </c>
      <c r="F1778" s="1">
        <f t="shared" si="111"/>
        <v>1398.6999999999998</v>
      </c>
    </row>
    <row r="1779" spans="1:6" x14ac:dyDescent="0.25">
      <c r="A1779" s="1" t="s">
        <v>1694</v>
      </c>
      <c r="B1779" s="1" t="s">
        <v>1721</v>
      </c>
      <c r="C1779" s="1">
        <v>1035</v>
      </c>
      <c r="D1779" s="1">
        <v>0.55000000000000004</v>
      </c>
      <c r="E1779" s="3">
        <f t="shared" si="112"/>
        <v>569.25</v>
      </c>
      <c r="F1779" s="1">
        <f t="shared" si="111"/>
        <v>672.75</v>
      </c>
    </row>
    <row r="1780" spans="1:6" x14ac:dyDescent="0.25">
      <c r="A1780" s="1" t="s">
        <v>1694</v>
      </c>
      <c r="B1780" s="1" t="s">
        <v>1719</v>
      </c>
      <c r="C1780" s="1">
        <v>1464</v>
      </c>
      <c r="D1780" s="1">
        <v>0.55000000000000004</v>
      </c>
      <c r="E1780" s="3">
        <f t="shared" si="112"/>
        <v>805.2</v>
      </c>
      <c r="F1780" s="1">
        <f t="shared" si="111"/>
        <v>951.6</v>
      </c>
    </row>
    <row r="1781" spans="1:6" x14ac:dyDescent="0.25">
      <c r="A1781" s="1" t="s">
        <v>1694</v>
      </c>
      <c r="B1781" s="1" t="s">
        <v>1720</v>
      </c>
      <c r="C1781" s="1">
        <v>1845</v>
      </c>
      <c r="D1781" s="1">
        <v>0.55000000000000004</v>
      </c>
      <c r="E1781" s="3">
        <f t="shared" si="112"/>
        <v>1014.7500000000001</v>
      </c>
      <c r="F1781" s="1">
        <f t="shared" si="111"/>
        <v>1199.25</v>
      </c>
    </row>
    <row r="1782" spans="1:6" x14ac:dyDescent="0.25">
      <c r="A1782" s="1" t="s">
        <v>1694</v>
      </c>
      <c r="B1782" s="1" t="s">
        <v>1145</v>
      </c>
      <c r="C1782" s="1">
        <v>990</v>
      </c>
      <c r="D1782" s="1">
        <v>0.56999999999999995</v>
      </c>
      <c r="E1782" s="3">
        <f t="shared" si="112"/>
        <v>564.29999999999995</v>
      </c>
      <c r="F1782" s="1">
        <f t="shared" si="111"/>
        <v>663.3</v>
      </c>
    </row>
    <row r="1783" spans="1:6" x14ac:dyDescent="0.25">
      <c r="A1783" s="1" t="s">
        <v>1694</v>
      </c>
      <c r="B1783" s="1" t="s">
        <v>1722</v>
      </c>
      <c r="C1783" s="1">
        <v>1970</v>
      </c>
      <c r="D1783" s="1">
        <v>0.61199999999999999</v>
      </c>
      <c r="E1783" s="3">
        <f t="shared" si="112"/>
        <v>1205.6399999999999</v>
      </c>
      <c r="F1783" s="1">
        <f t="shared" si="111"/>
        <v>1402.6399999999999</v>
      </c>
    </row>
    <row r="1784" spans="1:6" x14ac:dyDescent="0.25">
      <c r="A1784" s="1" t="s">
        <v>1694</v>
      </c>
      <c r="B1784" s="1" t="s">
        <v>1723</v>
      </c>
      <c r="C1784" s="1">
        <v>477</v>
      </c>
      <c r="D1784" s="1">
        <v>0.6</v>
      </c>
      <c r="E1784" s="3">
        <f t="shared" si="112"/>
        <v>286.2</v>
      </c>
      <c r="F1784" s="1">
        <f t="shared" si="111"/>
        <v>333.9</v>
      </c>
    </row>
    <row r="1785" spans="1:6" x14ac:dyDescent="0.25">
      <c r="A1785" s="1" t="s">
        <v>1694</v>
      </c>
      <c r="B1785" s="1" t="s">
        <v>1092</v>
      </c>
      <c r="C1785" s="1">
        <v>139</v>
      </c>
      <c r="D1785" s="1">
        <v>0.7</v>
      </c>
      <c r="E1785" s="3">
        <f t="shared" si="112"/>
        <v>97.3</v>
      </c>
      <c r="F1785" s="1">
        <f t="shared" si="111"/>
        <v>111.19999999999999</v>
      </c>
    </row>
    <row r="1786" spans="1:6" x14ac:dyDescent="0.25">
      <c r="A1786" s="1" t="s">
        <v>1694</v>
      </c>
      <c r="B1786" s="1" t="s">
        <v>1093</v>
      </c>
      <c r="C1786" s="1">
        <v>352</v>
      </c>
      <c r="D1786" s="1">
        <v>0.56999999999999995</v>
      </c>
      <c r="E1786" s="3">
        <f t="shared" si="112"/>
        <v>200.64</v>
      </c>
      <c r="F1786" s="1">
        <f t="shared" si="111"/>
        <v>235.83999999999997</v>
      </c>
    </row>
    <row r="1787" spans="1:6" x14ac:dyDescent="0.25">
      <c r="A1787" s="1" t="s">
        <v>1694</v>
      </c>
      <c r="B1787" s="1" t="s">
        <v>1101</v>
      </c>
      <c r="C1787" s="1">
        <v>2240</v>
      </c>
      <c r="D1787" s="1">
        <v>0.52500000000000002</v>
      </c>
      <c r="E1787" s="3">
        <f t="shared" si="112"/>
        <v>1176</v>
      </c>
      <c r="F1787" s="1">
        <f t="shared" si="111"/>
        <v>1400</v>
      </c>
    </row>
    <row r="1788" spans="1:6" x14ac:dyDescent="0.25">
      <c r="A1788" s="1" t="s">
        <v>1694</v>
      </c>
      <c r="B1788" s="1" t="s">
        <v>1091</v>
      </c>
      <c r="C1788" s="1">
        <v>4924</v>
      </c>
      <c r="D1788" s="1">
        <v>0.52500000000000002</v>
      </c>
      <c r="E1788" s="3">
        <f t="shared" si="112"/>
        <v>2585.1</v>
      </c>
      <c r="F1788" s="1">
        <f t="shared" si="111"/>
        <v>3077.5</v>
      </c>
    </row>
    <row r="1789" spans="1:6" x14ac:dyDescent="0.25">
      <c r="A1789" s="1" t="s">
        <v>1694</v>
      </c>
      <c r="B1789" s="1" t="s">
        <v>1724</v>
      </c>
      <c r="C1789" s="1">
        <v>2224</v>
      </c>
      <c r="D1789" s="1">
        <v>0.52500000000000002</v>
      </c>
      <c r="E1789" s="3">
        <f t="shared" si="112"/>
        <v>1167.6000000000001</v>
      </c>
      <c r="F1789" s="1">
        <f t="shared" si="111"/>
        <v>1390</v>
      </c>
    </row>
    <row r="1790" spans="1:6" x14ac:dyDescent="0.25">
      <c r="A1790" s="1" t="s">
        <v>1694</v>
      </c>
      <c r="B1790" s="1" t="s">
        <v>1725</v>
      </c>
      <c r="C1790" s="1">
        <v>5145</v>
      </c>
      <c r="D1790" s="1">
        <v>0.52500000000000002</v>
      </c>
      <c r="E1790" s="3">
        <f t="shared" si="112"/>
        <v>2701.125</v>
      </c>
      <c r="F1790" s="1">
        <f t="shared" si="111"/>
        <v>3215.625</v>
      </c>
    </row>
    <row r="1791" spans="1:6" x14ac:dyDescent="0.25">
      <c r="A1791" s="1" t="s">
        <v>1694</v>
      </c>
      <c r="B1791" s="1" t="s">
        <v>1726</v>
      </c>
      <c r="C1791" s="1">
        <v>2413</v>
      </c>
      <c r="D1791" s="1">
        <v>0.56000000000000005</v>
      </c>
      <c r="E1791" s="3">
        <f t="shared" si="112"/>
        <v>1351.2800000000002</v>
      </c>
      <c r="F1791" s="1">
        <f t="shared" si="111"/>
        <v>1592.5800000000002</v>
      </c>
    </row>
    <row r="1792" spans="1:6" x14ac:dyDescent="0.25">
      <c r="A1792" s="1" t="s">
        <v>1694</v>
      </c>
      <c r="B1792" s="1" t="s">
        <v>1095</v>
      </c>
      <c r="C1792" s="1">
        <v>153</v>
      </c>
      <c r="D1792" s="1">
        <v>0.56999999999999995</v>
      </c>
      <c r="E1792" s="3">
        <f t="shared" si="112"/>
        <v>87.21</v>
      </c>
      <c r="F1792" s="1">
        <f t="shared" si="111"/>
        <v>102.50999999999999</v>
      </c>
    </row>
    <row r="1793" spans="1:6" x14ac:dyDescent="0.25">
      <c r="A1793" s="1" t="s">
        <v>1694</v>
      </c>
      <c r="B1793" s="1" t="s">
        <v>1087</v>
      </c>
      <c r="C1793" s="1">
        <v>583</v>
      </c>
      <c r="D1793" s="1">
        <v>0.57499999999999996</v>
      </c>
      <c r="E1793" s="3">
        <f t="shared" si="112"/>
        <v>335.22499999999997</v>
      </c>
      <c r="F1793" s="1">
        <f t="shared" si="111"/>
        <v>393.52499999999998</v>
      </c>
    </row>
    <row r="1794" spans="1:6" x14ac:dyDescent="0.25">
      <c r="A1794" s="1" t="s">
        <v>1694</v>
      </c>
      <c r="B1794" s="1" t="s">
        <v>1728</v>
      </c>
      <c r="C1794" s="1">
        <v>233</v>
      </c>
      <c r="D1794" s="1">
        <v>0.54</v>
      </c>
      <c r="E1794" s="3">
        <f t="shared" si="112"/>
        <v>125.82000000000001</v>
      </c>
      <c r="F1794" s="1">
        <f t="shared" si="111"/>
        <v>149.12</v>
      </c>
    </row>
    <row r="1795" spans="1:6" x14ac:dyDescent="0.25">
      <c r="A1795" s="1" t="s">
        <v>1694</v>
      </c>
      <c r="B1795" s="1" t="s">
        <v>1727</v>
      </c>
      <c r="C1795" s="1">
        <v>294</v>
      </c>
      <c r="D1795" s="1">
        <v>0.54</v>
      </c>
      <c r="E1795" s="3">
        <f t="shared" si="112"/>
        <v>158.76000000000002</v>
      </c>
      <c r="F1795" s="1">
        <f t="shared" si="111"/>
        <v>188.16</v>
      </c>
    </row>
    <row r="1796" spans="1:6" x14ac:dyDescent="0.25">
      <c r="A1796" s="1" t="s">
        <v>1694</v>
      </c>
      <c r="B1796" s="1" t="s">
        <v>1729</v>
      </c>
      <c r="C1796" s="1">
        <v>835</v>
      </c>
      <c r="D1796" s="1">
        <v>0.57999999999999996</v>
      </c>
      <c r="E1796" s="3">
        <f t="shared" si="112"/>
        <v>484.29999999999995</v>
      </c>
      <c r="F1796" s="1">
        <f t="shared" si="111"/>
        <v>567.79999999999995</v>
      </c>
    </row>
    <row r="1797" spans="1:6" x14ac:dyDescent="0.25">
      <c r="A1797" s="1" t="s">
        <v>1694</v>
      </c>
      <c r="B1797" s="1" t="s">
        <v>1086</v>
      </c>
      <c r="C1797" s="1">
        <v>2175</v>
      </c>
      <c r="D1797" s="1">
        <v>0.56999999999999995</v>
      </c>
      <c r="E1797" s="3">
        <f t="shared" si="112"/>
        <v>1239.75</v>
      </c>
      <c r="F1797" s="1">
        <f t="shared" si="111"/>
        <v>1457.2499999999998</v>
      </c>
    </row>
    <row r="1798" spans="1:6" x14ac:dyDescent="0.25">
      <c r="A1798" s="1" t="s">
        <v>1694</v>
      </c>
      <c r="B1798" s="1" t="s">
        <v>1116</v>
      </c>
      <c r="C1798" s="1">
        <v>5167</v>
      </c>
      <c r="D1798" s="1">
        <v>0.6</v>
      </c>
      <c r="E1798" s="3">
        <f t="shared" si="112"/>
        <v>3100.2</v>
      </c>
      <c r="F1798" s="1">
        <f t="shared" si="111"/>
        <v>3616.8999999999996</v>
      </c>
    </row>
    <row r="1799" spans="1:6" x14ac:dyDescent="0.25">
      <c r="A1799" s="1" t="s">
        <v>1694</v>
      </c>
      <c r="B1799" s="1" t="s">
        <v>1730</v>
      </c>
      <c r="C1799" s="1">
        <v>675</v>
      </c>
      <c r="D1799" s="1">
        <v>0.56999999999999995</v>
      </c>
      <c r="E1799" s="3">
        <f t="shared" si="112"/>
        <v>384.74999999999994</v>
      </c>
      <c r="F1799" s="1">
        <f t="shared" si="111"/>
        <v>452.24999999999994</v>
      </c>
    </row>
    <row r="1800" spans="1:6" x14ac:dyDescent="0.25">
      <c r="A1800" s="1" t="s">
        <v>1694</v>
      </c>
      <c r="B1800" s="1" t="s">
        <v>1118</v>
      </c>
      <c r="C1800" s="1">
        <v>303</v>
      </c>
      <c r="D1800" s="1">
        <v>0.56499999999999995</v>
      </c>
      <c r="E1800" s="3">
        <f t="shared" ref="E1800:E1831" si="113">C1800*D1800</f>
        <v>171.19499999999999</v>
      </c>
      <c r="F1800" s="1">
        <f t="shared" si="111"/>
        <v>201.49499999999998</v>
      </c>
    </row>
    <row r="1801" spans="1:6" x14ac:dyDescent="0.25">
      <c r="B1801" s="1" t="s">
        <v>1125</v>
      </c>
      <c r="C1801" s="1">
        <v>84</v>
      </c>
      <c r="D1801" s="1">
        <v>0.5</v>
      </c>
      <c r="E1801" s="3">
        <f t="shared" si="113"/>
        <v>42</v>
      </c>
      <c r="F1801" s="1">
        <f t="shared" si="111"/>
        <v>50.4</v>
      </c>
    </row>
    <row r="1802" spans="1:6" x14ac:dyDescent="0.25">
      <c r="A1802" s="1" t="s">
        <v>1831</v>
      </c>
      <c r="B1802" s="1" t="s">
        <v>1250</v>
      </c>
      <c r="C1802" s="1">
        <v>179</v>
      </c>
      <c r="D1802" s="7">
        <v>0.37</v>
      </c>
      <c r="E1802" s="8">
        <f t="shared" si="113"/>
        <v>66.23</v>
      </c>
      <c r="F1802" s="7">
        <f t="shared" si="111"/>
        <v>84.13</v>
      </c>
    </row>
    <row r="1803" spans="1:6" x14ac:dyDescent="0.25">
      <c r="A1803" s="1" t="s">
        <v>1831</v>
      </c>
      <c r="B1803" s="1" t="s">
        <v>1261</v>
      </c>
      <c r="C1803" s="1">
        <v>62.84</v>
      </c>
      <c r="D1803" s="7">
        <v>0.44</v>
      </c>
      <c r="E1803" s="8">
        <f t="shared" si="113"/>
        <v>27.649600000000003</v>
      </c>
      <c r="F1803" s="7">
        <f t="shared" si="111"/>
        <v>33.933600000000006</v>
      </c>
    </row>
    <row r="1804" spans="1:6" x14ac:dyDescent="0.25">
      <c r="A1804" s="1" t="s">
        <v>1831</v>
      </c>
      <c r="B1804" s="1" t="s">
        <v>1251</v>
      </c>
      <c r="C1804" s="1">
        <v>196</v>
      </c>
      <c r="D1804" s="7">
        <v>0.48</v>
      </c>
      <c r="E1804" s="8">
        <f t="shared" si="113"/>
        <v>94.08</v>
      </c>
      <c r="F1804" s="7">
        <f t="shared" si="111"/>
        <v>113.67999999999999</v>
      </c>
    </row>
    <row r="1805" spans="1:6" x14ac:dyDescent="0.25">
      <c r="A1805" s="1" t="s">
        <v>1831</v>
      </c>
      <c r="B1805" s="1" t="s">
        <v>1252</v>
      </c>
      <c r="C1805" s="1">
        <v>354</v>
      </c>
      <c r="D1805" s="7">
        <v>0.46</v>
      </c>
      <c r="E1805" s="8">
        <f t="shared" si="113"/>
        <v>162.84</v>
      </c>
      <c r="F1805" s="7">
        <f t="shared" si="111"/>
        <v>198.24</v>
      </c>
    </row>
    <row r="1806" spans="1:6" x14ac:dyDescent="0.25">
      <c r="A1806" s="1" t="s">
        <v>1831</v>
      </c>
      <c r="B1806" s="1" t="s">
        <v>1253</v>
      </c>
      <c r="C1806" s="1">
        <v>682</v>
      </c>
      <c r="D1806" s="7">
        <v>0.46</v>
      </c>
      <c r="E1806" s="8">
        <f t="shared" si="113"/>
        <v>313.72000000000003</v>
      </c>
      <c r="F1806" s="7">
        <f t="shared" si="111"/>
        <v>381.92</v>
      </c>
    </row>
    <row r="1807" spans="1:6" x14ac:dyDescent="0.25">
      <c r="A1807" s="1" t="s">
        <v>1831</v>
      </c>
      <c r="B1807" s="1" t="s">
        <v>1254</v>
      </c>
      <c r="C1807" s="1">
        <v>1268</v>
      </c>
      <c r="D1807" s="7">
        <v>0.46</v>
      </c>
      <c r="E1807" s="8">
        <f t="shared" si="113"/>
        <v>583.28</v>
      </c>
      <c r="F1807" s="7">
        <f t="shared" si="111"/>
        <v>710.08</v>
      </c>
    </row>
    <row r="1808" spans="1:6" x14ac:dyDescent="0.25">
      <c r="A1808" s="1" t="s">
        <v>1831</v>
      </c>
      <c r="B1808" s="1" t="s">
        <v>1255</v>
      </c>
      <c r="C1808" s="1">
        <v>1063</v>
      </c>
      <c r="D1808" s="7">
        <v>0.47</v>
      </c>
      <c r="E1808" s="8">
        <f t="shared" si="113"/>
        <v>499.60999999999996</v>
      </c>
      <c r="F1808" s="7">
        <f t="shared" si="111"/>
        <v>605.91</v>
      </c>
    </row>
    <row r="1809" spans="1:6" x14ac:dyDescent="0.25">
      <c r="A1809" s="1" t="s">
        <v>1831</v>
      </c>
      <c r="B1809" s="1" t="s">
        <v>715</v>
      </c>
      <c r="C1809" s="1">
        <v>171</v>
      </c>
      <c r="D1809" s="7">
        <v>0.47</v>
      </c>
      <c r="E1809" s="8">
        <f t="shared" si="113"/>
        <v>80.36999999999999</v>
      </c>
      <c r="F1809" s="7">
        <f t="shared" si="111"/>
        <v>97.469999999999985</v>
      </c>
    </row>
    <row r="1810" spans="1:6" x14ac:dyDescent="0.25">
      <c r="A1810" s="1" t="s">
        <v>1831</v>
      </c>
      <c r="B1810" s="1" t="s">
        <v>1256</v>
      </c>
      <c r="C1810" s="1">
        <v>192</v>
      </c>
      <c r="D1810" s="7">
        <v>0.39</v>
      </c>
      <c r="E1810" s="8">
        <f t="shared" si="113"/>
        <v>74.88</v>
      </c>
      <c r="F1810" s="7">
        <f t="shared" ref="F1810:F1818" si="114">C1810*(D1810+0.1)</f>
        <v>94.08</v>
      </c>
    </row>
    <row r="1811" spans="1:6" x14ac:dyDescent="0.25">
      <c r="A1811" s="1" t="s">
        <v>1831</v>
      </c>
      <c r="B1811" s="1" t="s">
        <v>1832</v>
      </c>
      <c r="C1811" s="1">
        <v>494</v>
      </c>
      <c r="D1811" s="7">
        <v>0.39</v>
      </c>
      <c r="E1811" s="8">
        <f t="shared" si="113"/>
        <v>192.66</v>
      </c>
      <c r="F1811" s="7">
        <f t="shared" si="114"/>
        <v>242.06</v>
      </c>
    </row>
    <row r="1812" spans="1:6" x14ac:dyDescent="0.25">
      <c r="A1812" s="1" t="s">
        <v>1831</v>
      </c>
      <c r="B1812" s="1" t="s">
        <v>1257</v>
      </c>
      <c r="C1812" s="1">
        <v>157</v>
      </c>
      <c r="D1812" s="7">
        <v>0.41</v>
      </c>
      <c r="E1812" s="8">
        <f t="shared" si="113"/>
        <v>64.36999999999999</v>
      </c>
      <c r="F1812" s="7">
        <f t="shared" si="114"/>
        <v>80.070000000000007</v>
      </c>
    </row>
    <row r="1813" spans="1:6" x14ac:dyDescent="0.25">
      <c r="A1813" s="1" t="s">
        <v>1831</v>
      </c>
      <c r="B1813" s="1" t="s">
        <v>1258</v>
      </c>
      <c r="C1813" s="1">
        <v>560</v>
      </c>
      <c r="D1813" s="7">
        <v>0.41</v>
      </c>
      <c r="E1813" s="8">
        <f t="shared" si="113"/>
        <v>229.6</v>
      </c>
      <c r="F1813" s="7">
        <f t="shared" si="114"/>
        <v>285.60000000000002</v>
      </c>
    </row>
    <row r="1814" spans="1:6" x14ac:dyDescent="0.25">
      <c r="A1814" s="1" t="s">
        <v>1831</v>
      </c>
      <c r="B1814" s="1" t="s">
        <v>1259</v>
      </c>
      <c r="C1814" s="1">
        <v>480</v>
      </c>
      <c r="D1814" s="7">
        <v>0.41</v>
      </c>
      <c r="E1814" s="8">
        <f t="shared" si="113"/>
        <v>196.79999999999998</v>
      </c>
      <c r="F1814" s="7">
        <f t="shared" si="114"/>
        <v>244.8</v>
      </c>
    </row>
    <row r="1815" spans="1:6" ht="15.75" thickBot="1" x14ac:dyDescent="0.3">
      <c r="A1815" s="9" t="s">
        <v>783</v>
      </c>
      <c r="B1815" s="9" t="s">
        <v>1127</v>
      </c>
      <c r="C1815" s="9">
        <v>709</v>
      </c>
      <c r="D1815" s="10">
        <v>0.46</v>
      </c>
      <c r="E1815" s="11">
        <f t="shared" si="113"/>
        <v>326.14</v>
      </c>
      <c r="F1815" s="9">
        <f t="shared" si="114"/>
        <v>397.04</v>
      </c>
    </row>
    <row r="1816" spans="1:6" ht="15.75" thickBot="1" x14ac:dyDescent="0.3">
      <c r="B1816" s="1">
        <v>0</v>
      </c>
      <c r="C1816" s="1">
        <v>0</v>
      </c>
      <c r="D1816" s="2">
        <v>0.43099999999999999</v>
      </c>
      <c r="E1816" s="11">
        <f t="shared" si="113"/>
        <v>0</v>
      </c>
      <c r="F1816" s="9">
        <f t="shared" si="114"/>
        <v>0</v>
      </c>
    </row>
    <row r="1817" spans="1:6" ht="15.75" thickBot="1" x14ac:dyDescent="0.3">
      <c r="C1817" s="1">
        <v>130</v>
      </c>
      <c r="D1817" s="2">
        <v>0.5</v>
      </c>
      <c r="E1817" s="11">
        <f t="shared" si="113"/>
        <v>65</v>
      </c>
      <c r="F1817" s="9">
        <f t="shared" si="114"/>
        <v>78</v>
      </c>
    </row>
    <row r="1818" spans="1:6" ht="15.75" thickBot="1" x14ac:dyDescent="0.3">
      <c r="C1818" s="1">
        <v>352</v>
      </c>
      <c r="D1818" s="2">
        <v>0.33900000000000002</v>
      </c>
      <c r="E1818" s="11">
        <f t="shared" si="113"/>
        <v>119.328</v>
      </c>
      <c r="F1818" s="9">
        <f t="shared" si="114"/>
        <v>154.52800000000002</v>
      </c>
    </row>
    <row r="1819" spans="1:6" ht="15.75" thickBot="1" x14ac:dyDescent="0.3">
      <c r="C1819" s="1">
        <v>0</v>
      </c>
      <c r="D1819" s="2">
        <v>0.49</v>
      </c>
      <c r="E1819" s="11">
        <f t="shared" si="113"/>
        <v>0</v>
      </c>
      <c r="F1819" s="9">
        <v>87.98</v>
      </c>
    </row>
    <row r="1820" spans="1:6" ht="15.75" thickBot="1" x14ac:dyDescent="0.3">
      <c r="C1820" s="1">
        <v>1221</v>
      </c>
      <c r="D1820" s="2">
        <v>0.34200000000000003</v>
      </c>
      <c r="E1820" s="11">
        <f t="shared" si="113"/>
        <v>417.58200000000005</v>
      </c>
      <c r="F1820" s="9">
        <f t="shared" ref="F1820:F1847" si="115">C1820*(D1820+0.1)</f>
        <v>539.68200000000002</v>
      </c>
    </row>
    <row r="1821" spans="1:6" ht="15.75" thickBot="1" x14ac:dyDescent="0.3">
      <c r="C1821" s="1">
        <v>241</v>
      </c>
      <c r="D1821" s="2">
        <v>0.441</v>
      </c>
      <c r="E1821" s="11">
        <f t="shared" si="113"/>
        <v>106.28100000000001</v>
      </c>
      <c r="F1821" s="9">
        <f t="shared" si="115"/>
        <v>130.381</v>
      </c>
    </row>
    <row r="1822" spans="1:6" ht="15.75" thickBot="1" x14ac:dyDescent="0.3">
      <c r="C1822" s="1">
        <v>23479</v>
      </c>
      <c r="D1822" s="2">
        <v>0.67</v>
      </c>
      <c r="E1822" s="11">
        <f t="shared" si="113"/>
        <v>15730.93</v>
      </c>
      <c r="F1822" s="9">
        <f t="shared" si="115"/>
        <v>18078.830000000002</v>
      </c>
    </row>
    <row r="1823" spans="1:6" ht="15.75" thickBot="1" x14ac:dyDescent="0.3">
      <c r="C1823" s="1">
        <v>0</v>
      </c>
      <c r="D1823" s="2">
        <v>0.48</v>
      </c>
      <c r="E1823" s="11">
        <f t="shared" si="113"/>
        <v>0</v>
      </c>
      <c r="F1823" s="9">
        <f t="shared" si="115"/>
        <v>0</v>
      </c>
    </row>
    <row r="1824" spans="1:6" ht="15.75" thickBot="1" x14ac:dyDescent="0.3">
      <c r="C1824" s="1">
        <v>320</v>
      </c>
      <c r="D1824" s="2">
        <v>0.32300000000000001</v>
      </c>
      <c r="E1824" s="11">
        <f t="shared" si="113"/>
        <v>103.36</v>
      </c>
      <c r="F1824" s="9">
        <f t="shared" si="115"/>
        <v>135.36000000000001</v>
      </c>
    </row>
    <row r="1825" spans="1:6" ht="15.75" thickBot="1" x14ac:dyDescent="0.3">
      <c r="C1825" s="1">
        <v>146</v>
      </c>
      <c r="D1825" s="2">
        <v>0.46</v>
      </c>
      <c r="E1825" s="11">
        <f t="shared" si="113"/>
        <v>67.16</v>
      </c>
      <c r="F1825" s="9">
        <f t="shared" si="115"/>
        <v>81.760000000000005</v>
      </c>
    </row>
    <row r="1826" spans="1:6" ht="15.75" thickBot="1" x14ac:dyDescent="0.3">
      <c r="A1826" s="1" t="s">
        <v>337</v>
      </c>
      <c r="B1826" s="1" t="s">
        <v>1133</v>
      </c>
      <c r="C1826" s="1">
        <v>214</v>
      </c>
      <c r="D1826" s="2">
        <v>0.5</v>
      </c>
      <c r="E1826">
        <f t="shared" si="113"/>
        <v>107</v>
      </c>
      <c r="F1826" s="9">
        <f t="shared" si="115"/>
        <v>128.4</v>
      </c>
    </row>
    <row r="1827" spans="1:6" x14ac:dyDescent="0.25">
      <c r="A1827" s="1" t="s">
        <v>577</v>
      </c>
      <c r="B1827" s="1" t="s">
        <v>1134</v>
      </c>
      <c r="C1827" s="1">
        <v>648</v>
      </c>
      <c r="D1827" s="1">
        <v>0.5</v>
      </c>
      <c r="E1827" s="3">
        <f t="shared" si="113"/>
        <v>324</v>
      </c>
      <c r="F1827" s="1">
        <f t="shared" si="115"/>
        <v>388.8</v>
      </c>
    </row>
    <row r="1828" spans="1:6" ht="15.75" thickBot="1" x14ac:dyDescent="0.3">
      <c r="A1828" s="1" t="s">
        <v>577</v>
      </c>
      <c r="B1828" s="1" t="s">
        <v>1164</v>
      </c>
      <c r="C1828" s="1">
        <v>521</v>
      </c>
      <c r="D1828" s="9">
        <v>0.5</v>
      </c>
      <c r="E1828" s="11">
        <f t="shared" si="113"/>
        <v>260.5</v>
      </c>
      <c r="F1828" s="9">
        <f t="shared" si="115"/>
        <v>312.59999999999997</v>
      </c>
    </row>
    <row r="1829" spans="1:6" x14ac:dyDescent="0.25">
      <c r="A1829" s="1" t="s">
        <v>577</v>
      </c>
      <c r="B1829" s="1" t="s">
        <v>1135</v>
      </c>
      <c r="C1829" s="1">
        <v>171</v>
      </c>
      <c r="D1829" s="1">
        <v>0.5</v>
      </c>
      <c r="E1829" s="3">
        <f t="shared" si="113"/>
        <v>85.5</v>
      </c>
      <c r="F1829" s="1">
        <f t="shared" si="115"/>
        <v>102.6</v>
      </c>
    </row>
    <row r="1830" spans="1:6" ht="15.75" thickBot="1" x14ac:dyDescent="0.3">
      <c r="A1830" s="1" t="s">
        <v>577</v>
      </c>
      <c r="B1830" s="1" t="s">
        <v>1136</v>
      </c>
      <c r="C1830" s="1">
        <v>1155</v>
      </c>
      <c r="D1830" s="9">
        <v>0.5</v>
      </c>
      <c r="E1830" s="11">
        <f t="shared" si="113"/>
        <v>577.5</v>
      </c>
      <c r="F1830" s="9">
        <f t="shared" si="115"/>
        <v>693</v>
      </c>
    </row>
    <row r="1831" spans="1:6" ht="15.75" thickBot="1" x14ac:dyDescent="0.3">
      <c r="A1831" s="1" t="s">
        <v>1279</v>
      </c>
      <c r="B1831" s="1" t="s">
        <v>1362</v>
      </c>
      <c r="C1831" s="1">
        <v>113</v>
      </c>
      <c r="D1831" s="9">
        <v>0.47</v>
      </c>
      <c r="E1831" s="11">
        <f t="shared" si="113"/>
        <v>53.11</v>
      </c>
      <c r="F1831" s="9">
        <f t="shared" si="115"/>
        <v>64.41</v>
      </c>
    </row>
    <row r="1832" spans="1:6" ht="15.75" thickBot="1" x14ac:dyDescent="0.3">
      <c r="A1832" s="1" t="s">
        <v>1279</v>
      </c>
      <c r="B1832" s="1" t="s">
        <v>1280</v>
      </c>
      <c r="C1832" s="1">
        <v>126</v>
      </c>
      <c r="D1832" s="9">
        <v>0.5</v>
      </c>
      <c r="E1832" s="11">
        <f t="shared" ref="E1832:E1847" si="116">C1832*D1832</f>
        <v>63</v>
      </c>
      <c r="F1832" s="9">
        <f t="shared" si="115"/>
        <v>75.599999999999994</v>
      </c>
    </row>
    <row r="1833" spans="1:6" ht="15.75" thickBot="1" x14ac:dyDescent="0.3">
      <c r="A1833" s="1" t="s">
        <v>1279</v>
      </c>
      <c r="B1833" s="1" t="s">
        <v>1281</v>
      </c>
      <c r="C1833" s="1">
        <v>168</v>
      </c>
      <c r="D1833" s="9">
        <v>0.5</v>
      </c>
      <c r="E1833" s="11">
        <f t="shared" si="116"/>
        <v>84</v>
      </c>
      <c r="F1833" s="9">
        <f t="shared" si="115"/>
        <v>100.8</v>
      </c>
    </row>
    <row r="1834" spans="1:6" ht="15.75" thickBot="1" x14ac:dyDescent="0.3">
      <c r="A1834" s="1" t="s">
        <v>1279</v>
      </c>
      <c r="B1834" s="1" t="s">
        <v>1363</v>
      </c>
      <c r="C1834" s="1">
        <v>89</v>
      </c>
      <c r="D1834" s="9">
        <v>0.5</v>
      </c>
      <c r="E1834" s="11">
        <f t="shared" si="116"/>
        <v>44.5</v>
      </c>
      <c r="F1834" s="9">
        <f t="shared" si="115"/>
        <v>53.4</v>
      </c>
    </row>
    <row r="1835" spans="1:6" ht="15.75" thickBot="1" x14ac:dyDescent="0.3">
      <c r="A1835" s="1" t="s">
        <v>1279</v>
      </c>
      <c r="B1835" s="1" t="s">
        <v>1287</v>
      </c>
      <c r="C1835" s="1">
        <v>232</v>
      </c>
      <c r="D1835" s="9">
        <v>0.5</v>
      </c>
      <c r="E1835" s="11">
        <f t="shared" si="116"/>
        <v>116</v>
      </c>
      <c r="F1835" s="9">
        <f t="shared" si="115"/>
        <v>139.19999999999999</v>
      </c>
    </row>
    <row r="1836" spans="1:6" ht="15.75" thickBot="1" x14ac:dyDescent="0.3">
      <c r="A1836" s="1" t="s">
        <v>1279</v>
      </c>
      <c r="B1836" s="1" t="s">
        <v>1288</v>
      </c>
      <c r="C1836" s="1">
        <v>85</v>
      </c>
      <c r="D1836" s="9">
        <v>0.5</v>
      </c>
      <c r="E1836" s="11">
        <f t="shared" si="116"/>
        <v>42.5</v>
      </c>
      <c r="F1836" s="9">
        <f t="shared" si="115"/>
        <v>51</v>
      </c>
    </row>
    <row r="1837" spans="1:6" ht="15.75" thickBot="1" x14ac:dyDescent="0.3">
      <c r="A1837" s="1" t="s">
        <v>1279</v>
      </c>
      <c r="B1837" s="1" t="s">
        <v>1282</v>
      </c>
      <c r="C1837" s="1">
        <v>125</v>
      </c>
      <c r="D1837" s="9">
        <v>0.5</v>
      </c>
      <c r="E1837" s="11">
        <f t="shared" si="116"/>
        <v>62.5</v>
      </c>
      <c r="F1837" s="9">
        <f t="shared" si="115"/>
        <v>75</v>
      </c>
    </row>
    <row r="1838" spans="1:6" ht="15.75" thickBot="1" x14ac:dyDescent="0.3">
      <c r="A1838" s="1" t="s">
        <v>1279</v>
      </c>
      <c r="B1838" s="1" t="s">
        <v>1286</v>
      </c>
      <c r="C1838" s="1">
        <v>230</v>
      </c>
      <c r="D1838" s="9">
        <v>0.5</v>
      </c>
      <c r="E1838" s="11">
        <f t="shared" si="116"/>
        <v>115</v>
      </c>
      <c r="F1838" s="9">
        <f t="shared" si="115"/>
        <v>138</v>
      </c>
    </row>
    <row r="1839" spans="1:6" ht="15.75" thickBot="1" x14ac:dyDescent="0.3">
      <c r="A1839" s="1" t="s">
        <v>1279</v>
      </c>
      <c r="B1839" s="1" t="s">
        <v>1283</v>
      </c>
      <c r="C1839" s="1">
        <v>110</v>
      </c>
      <c r="D1839" s="9">
        <v>0.5</v>
      </c>
      <c r="E1839" s="11">
        <f t="shared" si="116"/>
        <v>55</v>
      </c>
      <c r="F1839" s="9">
        <f t="shared" si="115"/>
        <v>66</v>
      </c>
    </row>
    <row r="1840" spans="1:6" ht="15.75" thickBot="1" x14ac:dyDescent="0.3">
      <c r="A1840" s="1" t="s">
        <v>1279</v>
      </c>
      <c r="B1840" s="1" t="s">
        <v>1284</v>
      </c>
      <c r="C1840" s="1">
        <v>156</v>
      </c>
      <c r="D1840" s="9">
        <v>0.5</v>
      </c>
      <c r="E1840" s="11">
        <f t="shared" si="116"/>
        <v>78</v>
      </c>
      <c r="F1840" s="9">
        <f t="shared" si="115"/>
        <v>93.6</v>
      </c>
    </row>
    <row r="1841" spans="1:6" ht="15.75" thickBot="1" x14ac:dyDescent="0.3">
      <c r="A1841" s="1" t="s">
        <v>1279</v>
      </c>
      <c r="B1841" s="1" t="s">
        <v>1293</v>
      </c>
      <c r="C1841" s="1">
        <v>189</v>
      </c>
      <c r="D1841" s="9">
        <v>0.5</v>
      </c>
      <c r="E1841" s="11">
        <f t="shared" si="116"/>
        <v>94.5</v>
      </c>
      <c r="F1841" s="9">
        <f t="shared" si="115"/>
        <v>113.39999999999999</v>
      </c>
    </row>
    <row r="1842" spans="1:6" ht="15.75" thickBot="1" x14ac:dyDescent="0.3">
      <c r="A1842" s="1" t="s">
        <v>1279</v>
      </c>
      <c r="B1842" s="1" t="s">
        <v>1285</v>
      </c>
      <c r="C1842" s="1">
        <v>110</v>
      </c>
      <c r="D1842" s="9">
        <v>0.5</v>
      </c>
      <c r="E1842" s="11">
        <f t="shared" si="116"/>
        <v>55</v>
      </c>
      <c r="F1842" s="9">
        <f t="shared" si="115"/>
        <v>66</v>
      </c>
    </row>
    <row r="1843" spans="1:6" ht="15.75" thickBot="1" x14ac:dyDescent="0.3">
      <c r="A1843" s="1" t="s">
        <v>1289</v>
      </c>
      <c r="B1843" s="1" t="s">
        <v>1292</v>
      </c>
      <c r="C1843" s="1">
        <v>199</v>
      </c>
      <c r="D1843" s="9">
        <v>0.5</v>
      </c>
      <c r="E1843" s="11">
        <f t="shared" si="116"/>
        <v>99.5</v>
      </c>
      <c r="F1843" s="9">
        <f t="shared" si="115"/>
        <v>119.39999999999999</v>
      </c>
    </row>
    <row r="1844" spans="1:6" ht="15.75" thickBot="1" x14ac:dyDescent="0.3">
      <c r="A1844" s="1" t="s">
        <v>1290</v>
      </c>
      <c r="B1844" s="1" t="s">
        <v>1291</v>
      </c>
      <c r="C1844" s="1">
        <v>110</v>
      </c>
      <c r="D1844" s="9">
        <v>0.5</v>
      </c>
      <c r="E1844" s="11">
        <f t="shared" si="116"/>
        <v>55</v>
      </c>
      <c r="F1844" s="9">
        <f t="shared" si="115"/>
        <v>66</v>
      </c>
    </row>
    <row r="1845" spans="1:6" ht="15.75" thickBot="1" x14ac:dyDescent="0.3">
      <c r="A1845" s="1" t="s">
        <v>1294</v>
      </c>
      <c r="B1845" s="1" t="s">
        <v>1295</v>
      </c>
      <c r="C1845" s="1">
        <v>395</v>
      </c>
      <c r="D1845" s="9">
        <v>0.5</v>
      </c>
      <c r="E1845" s="11">
        <f t="shared" si="116"/>
        <v>197.5</v>
      </c>
      <c r="F1845" s="9">
        <f t="shared" si="115"/>
        <v>237</v>
      </c>
    </row>
    <row r="1846" spans="1:6" ht="15.75" thickBot="1" x14ac:dyDescent="0.3">
      <c r="A1846" s="1" t="s">
        <v>1294</v>
      </c>
      <c r="B1846" s="1" t="s">
        <v>1296</v>
      </c>
      <c r="C1846" s="1">
        <v>287</v>
      </c>
      <c r="D1846" s="9">
        <v>0.5</v>
      </c>
      <c r="E1846" s="11">
        <f t="shared" si="116"/>
        <v>143.5</v>
      </c>
      <c r="F1846" s="9">
        <f t="shared" si="115"/>
        <v>172.2</v>
      </c>
    </row>
    <row r="1847" spans="1:6" ht="15.75" thickBot="1" x14ac:dyDescent="0.3">
      <c r="A1847" s="1" t="s">
        <v>1294</v>
      </c>
      <c r="B1847" s="1" t="s">
        <v>1364</v>
      </c>
      <c r="C1847" s="1">
        <v>104</v>
      </c>
      <c r="D1847" s="9">
        <v>0.5</v>
      </c>
      <c r="E1847" s="11">
        <f t="shared" si="116"/>
        <v>52</v>
      </c>
      <c r="F1847" s="9">
        <f t="shared" si="115"/>
        <v>62.4</v>
      </c>
    </row>
    <row r="1848" spans="1:6" x14ac:dyDescent="0.25">
      <c r="E1848" s="3"/>
    </row>
    <row r="1849" spans="1:6" x14ac:dyDescent="0.25">
      <c r="E1849" s="3"/>
    </row>
    <row r="1850" spans="1:6" x14ac:dyDescent="0.25">
      <c r="A1850" s="1" t="s">
        <v>1361</v>
      </c>
      <c r="E1850" s="3"/>
    </row>
    <row r="1851" spans="1:6" x14ac:dyDescent="0.25">
      <c r="B1851" s="1" t="s">
        <v>1470</v>
      </c>
      <c r="D1851" s="2" t="s">
        <v>1455</v>
      </c>
      <c r="E1851" s="3"/>
    </row>
    <row r="1871" spans="1:1" x14ac:dyDescent="0.25">
      <c r="A1871" s="37">
        <v>44238</v>
      </c>
    </row>
  </sheetData>
  <autoFilter ref="A1:F1851" xr:uid="{00000000-0009-0000-0000-000000000000}"/>
  <sortState xmlns:xlrd2="http://schemas.microsoft.com/office/spreadsheetml/2017/richdata2" ref="A1:K1868">
    <sortCondition ref="B1:B1868"/>
  </sortState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527"/>
  <sheetViews>
    <sheetView tabSelected="1" workbookViewId="0">
      <pane ySplit="1" topLeftCell="A996" activePane="bottomLeft" state="frozen"/>
      <selection pane="bottomLeft" activeCell="C894" sqref="C894"/>
    </sheetView>
  </sheetViews>
  <sheetFormatPr baseColWidth="10" defaultColWidth="11.42578125" defaultRowHeight="15" x14ac:dyDescent="0.25"/>
  <cols>
    <col min="2" max="2" width="11.42578125" customWidth="1"/>
    <col min="3" max="3" width="34.85546875" customWidth="1"/>
  </cols>
  <sheetData>
    <row r="1" spans="1:9" x14ac:dyDescent="0.25">
      <c r="A1" t="s">
        <v>1885</v>
      </c>
      <c r="B1" t="s">
        <v>1886</v>
      </c>
      <c r="C1" t="s">
        <v>1887</v>
      </c>
      <c r="D1" t="s">
        <v>1888</v>
      </c>
      <c r="E1" t="s">
        <v>1889</v>
      </c>
      <c r="F1" t="s">
        <v>1890</v>
      </c>
      <c r="G1" t="s">
        <v>1891</v>
      </c>
      <c r="H1" t="s">
        <v>1892</v>
      </c>
      <c r="I1" t="s">
        <v>1893</v>
      </c>
    </row>
    <row r="2" spans="1:9" x14ac:dyDescent="0.25">
      <c r="A2">
        <v>1</v>
      </c>
      <c r="B2" s="40" t="s">
        <v>0</v>
      </c>
      <c r="C2" s="40" t="s">
        <v>1</v>
      </c>
      <c r="D2">
        <v>10</v>
      </c>
      <c r="E2">
        <v>22.555555555555554</v>
      </c>
      <c r="F2">
        <v>58</v>
      </c>
      <c r="G2">
        <v>25.777777777777775</v>
      </c>
      <c r="H2">
        <v>1</v>
      </c>
      <c r="I2">
        <v>1</v>
      </c>
    </row>
    <row r="3" spans="1:9" x14ac:dyDescent="0.25">
      <c r="A3">
        <v>2</v>
      </c>
      <c r="B3" s="40" t="s">
        <v>0</v>
      </c>
      <c r="C3" s="40" t="s">
        <v>2</v>
      </c>
      <c r="D3">
        <v>10</v>
      </c>
      <c r="E3">
        <v>32.277777777777771</v>
      </c>
      <c r="F3">
        <v>83</v>
      </c>
      <c r="G3">
        <v>36.888888888888886</v>
      </c>
      <c r="H3">
        <v>1</v>
      </c>
      <c r="I3">
        <v>1</v>
      </c>
    </row>
    <row r="4" spans="1:9" x14ac:dyDescent="0.25">
      <c r="A4">
        <v>3</v>
      </c>
      <c r="B4" s="40" t="s">
        <v>0</v>
      </c>
      <c r="C4" s="40" t="s">
        <v>3</v>
      </c>
      <c r="D4">
        <v>10</v>
      </c>
      <c r="E4">
        <v>41.611111111111107</v>
      </c>
      <c r="F4">
        <v>107</v>
      </c>
      <c r="G4">
        <v>47.55555555555555</v>
      </c>
      <c r="H4">
        <v>1</v>
      </c>
      <c r="I4">
        <v>1</v>
      </c>
    </row>
    <row r="5" spans="1:9" x14ac:dyDescent="0.25">
      <c r="A5">
        <v>4</v>
      </c>
      <c r="B5" s="40" t="s">
        <v>0</v>
      </c>
      <c r="C5" s="40" t="s">
        <v>4</v>
      </c>
      <c r="D5">
        <v>10</v>
      </c>
      <c r="E5">
        <v>31.111111111111111</v>
      </c>
      <c r="F5">
        <v>80</v>
      </c>
      <c r="G5">
        <v>35.55555555555555</v>
      </c>
      <c r="H5">
        <v>1</v>
      </c>
      <c r="I5">
        <v>1</v>
      </c>
    </row>
    <row r="6" spans="1:9" x14ac:dyDescent="0.25">
      <c r="A6">
        <v>5</v>
      </c>
      <c r="B6" s="40" t="s">
        <v>0</v>
      </c>
      <c r="C6" s="40" t="s">
        <v>5</v>
      </c>
      <c r="D6">
        <v>10</v>
      </c>
      <c r="E6">
        <v>45.888888888888886</v>
      </c>
      <c r="F6">
        <v>118</v>
      </c>
      <c r="G6">
        <v>52.444444444444436</v>
      </c>
      <c r="H6">
        <v>1</v>
      </c>
      <c r="I6">
        <v>1</v>
      </c>
    </row>
    <row r="7" spans="1:9" x14ac:dyDescent="0.25">
      <c r="A7">
        <v>6</v>
      </c>
      <c r="B7" s="40" t="s">
        <v>0</v>
      </c>
      <c r="C7" s="40" t="s">
        <v>6</v>
      </c>
      <c r="D7">
        <v>10</v>
      </c>
      <c r="E7">
        <v>65.333333333333329</v>
      </c>
      <c r="F7">
        <v>168</v>
      </c>
      <c r="G7">
        <v>74.666666666666657</v>
      </c>
      <c r="H7">
        <v>1</v>
      </c>
      <c r="I7">
        <v>1</v>
      </c>
    </row>
    <row r="8" spans="1:9" x14ac:dyDescent="0.25">
      <c r="A8">
        <v>7</v>
      </c>
      <c r="B8" s="40" t="s">
        <v>0</v>
      </c>
      <c r="C8" s="40" t="s">
        <v>7</v>
      </c>
      <c r="D8">
        <v>10</v>
      </c>
      <c r="E8">
        <v>23.333333333333332</v>
      </c>
      <c r="F8">
        <v>60</v>
      </c>
      <c r="G8">
        <v>26.666666666666661</v>
      </c>
      <c r="H8">
        <v>1</v>
      </c>
      <c r="I8">
        <v>1</v>
      </c>
    </row>
    <row r="9" spans="1:9" x14ac:dyDescent="0.25">
      <c r="A9">
        <v>8</v>
      </c>
      <c r="B9" s="40" t="s">
        <v>0</v>
      </c>
      <c r="C9" s="40" t="s">
        <v>8</v>
      </c>
      <c r="D9">
        <v>10</v>
      </c>
      <c r="E9">
        <v>26.055555555555554</v>
      </c>
      <c r="F9">
        <v>67</v>
      </c>
      <c r="G9">
        <v>29.777777777777775</v>
      </c>
      <c r="H9">
        <v>1</v>
      </c>
      <c r="I9">
        <v>1</v>
      </c>
    </row>
    <row r="10" spans="1:9" x14ac:dyDescent="0.25">
      <c r="A10">
        <v>9</v>
      </c>
      <c r="B10" s="40" t="s">
        <v>0</v>
      </c>
      <c r="C10" s="40" t="s">
        <v>9</v>
      </c>
      <c r="D10">
        <v>10</v>
      </c>
      <c r="E10">
        <v>29.944444444444443</v>
      </c>
      <c r="F10">
        <v>77</v>
      </c>
      <c r="G10">
        <v>34.222222222222221</v>
      </c>
      <c r="H10">
        <v>1</v>
      </c>
      <c r="I10">
        <v>1</v>
      </c>
    </row>
    <row r="11" spans="1:9" x14ac:dyDescent="0.25">
      <c r="A11">
        <v>10</v>
      </c>
      <c r="B11" s="40" t="s">
        <v>0</v>
      </c>
      <c r="C11" s="40" t="s">
        <v>10</v>
      </c>
      <c r="D11">
        <v>10</v>
      </c>
      <c r="E11">
        <v>30.722222222222221</v>
      </c>
      <c r="F11">
        <v>79</v>
      </c>
      <c r="G11">
        <v>35.111111111111107</v>
      </c>
      <c r="H11">
        <v>1</v>
      </c>
      <c r="I11">
        <v>1</v>
      </c>
    </row>
    <row r="12" spans="1:9" x14ac:dyDescent="0.25">
      <c r="A12">
        <v>11</v>
      </c>
      <c r="B12" s="40" t="s">
        <v>0</v>
      </c>
      <c r="C12" s="40" t="s">
        <v>11</v>
      </c>
      <c r="D12">
        <v>10</v>
      </c>
      <c r="E12">
        <v>35.388888888888886</v>
      </c>
      <c r="F12">
        <v>91</v>
      </c>
      <c r="G12">
        <v>40.444444444444443</v>
      </c>
      <c r="H12">
        <v>1</v>
      </c>
      <c r="I12">
        <v>1</v>
      </c>
    </row>
    <row r="13" spans="1:9" x14ac:dyDescent="0.25">
      <c r="A13">
        <v>12</v>
      </c>
      <c r="B13" s="40" t="s">
        <v>0</v>
      </c>
      <c r="C13" s="40" t="s">
        <v>1398</v>
      </c>
      <c r="D13">
        <v>10</v>
      </c>
      <c r="E13">
        <v>80.1111111111111</v>
      </c>
      <c r="F13">
        <v>206</v>
      </c>
      <c r="G13">
        <v>91.555555555555543</v>
      </c>
      <c r="H13">
        <v>1</v>
      </c>
      <c r="I13">
        <v>1</v>
      </c>
    </row>
    <row r="14" spans="1:9" x14ac:dyDescent="0.25">
      <c r="A14">
        <v>13</v>
      </c>
      <c r="B14" s="40" t="s">
        <v>0</v>
      </c>
      <c r="C14" s="40" t="s">
        <v>1401</v>
      </c>
      <c r="D14">
        <v>10</v>
      </c>
      <c r="E14">
        <v>130.27777777777777</v>
      </c>
      <c r="F14">
        <v>335</v>
      </c>
      <c r="G14">
        <v>148.88888888888889</v>
      </c>
      <c r="H14">
        <v>1</v>
      </c>
      <c r="I14">
        <v>1</v>
      </c>
    </row>
    <row r="15" spans="1:9" x14ac:dyDescent="0.25">
      <c r="A15">
        <v>14</v>
      </c>
      <c r="B15" s="40" t="s">
        <v>0</v>
      </c>
      <c r="C15" s="40" t="s">
        <v>1400</v>
      </c>
      <c r="D15">
        <v>10</v>
      </c>
      <c r="E15">
        <v>221.66666666666666</v>
      </c>
      <c r="F15">
        <v>570</v>
      </c>
      <c r="G15">
        <v>253.33333333333329</v>
      </c>
      <c r="H15">
        <v>1</v>
      </c>
      <c r="I15">
        <v>1</v>
      </c>
    </row>
    <row r="16" spans="1:9" x14ac:dyDescent="0.25">
      <c r="A16">
        <v>15</v>
      </c>
      <c r="B16" s="40" t="s">
        <v>0</v>
      </c>
      <c r="C16" s="40" t="s">
        <v>1399</v>
      </c>
      <c r="D16">
        <v>10</v>
      </c>
      <c r="E16">
        <v>392.77777777777777</v>
      </c>
      <c r="F16">
        <v>1010</v>
      </c>
      <c r="G16">
        <v>448.8888888888888</v>
      </c>
      <c r="H16">
        <v>1</v>
      </c>
      <c r="I16">
        <v>1</v>
      </c>
    </row>
    <row r="17" spans="1:9" x14ac:dyDescent="0.25">
      <c r="A17">
        <v>16</v>
      </c>
      <c r="B17" s="40" t="s">
        <v>0</v>
      </c>
      <c r="C17" s="40" t="s">
        <v>1402</v>
      </c>
      <c r="D17">
        <v>10</v>
      </c>
      <c r="E17">
        <v>24.888888888888886</v>
      </c>
      <c r="F17">
        <v>64</v>
      </c>
      <c r="G17">
        <v>28.444444444444443</v>
      </c>
      <c r="H17">
        <v>1</v>
      </c>
      <c r="I17">
        <v>1</v>
      </c>
    </row>
    <row r="18" spans="1:9" x14ac:dyDescent="0.25">
      <c r="A18">
        <v>17</v>
      </c>
      <c r="B18" s="40" t="s">
        <v>0</v>
      </c>
      <c r="C18" s="40" t="s">
        <v>1410</v>
      </c>
      <c r="D18">
        <v>10</v>
      </c>
      <c r="E18">
        <v>22.555555555555554</v>
      </c>
      <c r="F18">
        <v>58</v>
      </c>
      <c r="G18">
        <v>25.777777777777775</v>
      </c>
      <c r="H18">
        <v>1</v>
      </c>
      <c r="I18">
        <v>1</v>
      </c>
    </row>
    <row r="19" spans="1:9" x14ac:dyDescent="0.25">
      <c r="A19">
        <v>18</v>
      </c>
      <c r="B19" s="40" t="s">
        <v>0</v>
      </c>
      <c r="C19" s="40" t="s">
        <v>1411</v>
      </c>
      <c r="D19">
        <v>10</v>
      </c>
      <c r="E19">
        <v>82.833333333333329</v>
      </c>
      <c r="F19">
        <v>213</v>
      </c>
      <c r="G19">
        <v>94.666666666666657</v>
      </c>
      <c r="H19">
        <v>1</v>
      </c>
      <c r="I19">
        <v>1</v>
      </c>
    </row>
    <row r="20" spans="1:9" x14ac:dyDescent="0.25">
      <c r="A20">
        <v>19</v>
      </c>
      <c r="B20" s="40" t="s">
        <v>0</v>
      </c>
      <c r="C20" s="40" t="s">
        <v>1412</v>
      </c>
      <c r="D20">
        <v>10</v>
      </c>
      <c r="E20">
        <v>146.99999999999997</v>
      </c>
      <c r="F20">
        <v>378</v>
      </c>
      <c r="G20">
        <v>167.99999999999997</v>
      </c>
      <c r="H20">
        <v>1</v>
      </c>
      <c r="I20">
        <v>1</v>
      </c>
    </row>
    <row r="21" spans="1:9" x14ac:dyDescent="0.25">
      <c r="A21">
        <v>20</v>
      </c>
      <c r="B21" s="40" t="s">
        <v>0</v>
      </c>
      <c r="C21" s="40" t="s">
        <v>1413</v>
      </c>
      <c r="D21">
        <v>10</v>
      </c>
      <c r="E21">
        <v>21.777777777777775</v>
      </c>
      <c r="F21">
        <v>56</v>
      </c>
      <c r="G21">
        <v>24.888888888888886</v>
      </c>
      <c r="H21">
        <v>1</v>
      </c>
      <c r="I21">
        <v>1</v>
      </c>
    </row>
    <row r="22" spans="1:9" x14ac:dyDescent="0.25">
      <c r="A22">
        <v>21</v>
      </c>
      <c r="B22" s="40" t="s">
        <v>0</v>
      </c>
      <c r="C22" s="40" t="s">
        <v>1414</v>
      </c>
      <c r="D22">
        <v>10</v>
      </c>
      <c r="E22">
        <v>78.555555555555543</v>
      </c>
      <c r="F22">
        <v>202</v>
      </c>
      <c r="G22">
        <v>89.777777777777771</v>
      </c>
      <c r="H22">
        <v>1</v>
      </c>
      <c r="I22">
        <v>1</v>
      </c>
    </row>
    <row r="23" spans="1:9" x14ac:dyDescent="0.25">
      <c r="A23">
        <v>22</v>
      </c>
      <c r="B23" s="40" t="s">
        <v>0</v>
      </c>
      <c r="C23" s="40" t="s">
        <v>12</v>
      </c>
      <c r="D23">
        <v>10</v>
      </c>
      <c r="E23">
        <v>58.722222222222214</v>
      </c>
      <c r="F23">
        <v>151</v>
      </c>
      <c r="G23">
        <v>67.1111111111111</v>
      </c>
      <c r="H23">
        <v>1</v>
      </c>
      <c r="I23">
        <v>1</v>
      </c>
    </row>
    <row r="24" spans="1:9" x14ac:dyDescent="0.25">
      <c r="A24">
        <v>23</v>
      </c>
      <c r="B24" s="40" t="s">
        <v>0</v>
      </c>
      <c r="C24" s="40" t="s">
        <v>1416</v>
      </c>
      <c r="D24">
        <v>10</v>
      </c>
      <c r="E24">
        <v>40.05555555555555</v>
      </c>
      <c r="F24">
        <v>103</v>
      </c>
      <c r="G24">
        <v>45.777777777777771</v>
      </c>
      <c r="H24">
        <v>1</v>
      </c>
      <c r="I24">
        <v>1</v>
      </c>
    </row>
    <row r="25" spans="1:9" x14ac:dyDescent="0.25">
      <c r="A25">
        <v>24</v>
      </c>
      <c r="B25" s="40" t="s">
        <v>0</v>
      </c>
      <c r="C25" s="40" t="s">
        <v>1418</v>
      </c>
      <c r="D25">
        <v>10</v>
      </c>
      <c r="E25">
        <v>53.277777777777771</v>
      </c>
      <c r="F25">
        <v>137</v>
      </c>
      <c r="G25">
        <v>60.888888888888886</v>
      </c>
      <c r="H25">
        <v>1</v>
      </c>
      <c r="I25">
        <v>1</v>
      </c>
    </row>
    <row r="26" spans="1:9" x14ac:dyDescent="0.25">
      <c r="A26">
        <v>25</v>
      </c>
      <c r="B26" s="40" t="s">
        <v>0</v>
      </c>
      <c r="C26" s="40" t="s">
        <v>1417</v>
      </c>
      <c r="D26">
        <v>10</v>
      </c>
      <c r="E26">
        <v>61.05555555555555</v>
      </c>
      <c r="F26">
        <v>157</v>
      </c>
      <c r="G26">
        <v>69.777777777777771</v>
      </c>
      <c r="H26">
        <v>1</v>
      </c>
      <c r="I26">
        <v>1</v>
      </c>
    </row>
    <row r="27" spans="1:9" x14ac:dyDescent="0.25">
      <c r="A27">
        <v>26</v>
      </c>
      <c r="B27" s="40" t="s">
        <v>0</v>
      </c>
      <c r="C27" s="40" t="s">
        <v>13</v>
      </c>
      <c r="D27">
        <v>10</v>
      </c>
      <c r="E27">
        <v>126.38888888888887</v>
      </c>
      <c r="F27">
        <v>325</v>
      </c>
      <c r="G27">
        <v>144.44444444444443</v>
      </c>
      <c r="H27">
        <v>1</v>
      </c>
      <c r="I27">
        <v>1</v>
      </c>
    </row>
    <row r="28" spans="1:9" x14ac:dyDescent="0.25">
      <c r="A28">
        <v>27</v>
      </c>
      <c r="B28" s="40" t="s">
        <v>0</v>
      </c>
      <c r="C28" s="40" t="s">
        <v>14</v>
      </c>
      <c r="D28">
        <v>10</v>
      </c>
      <c r="E28">
        <v>403.27777777777777</v>
      </c>
      <c r="F28">
        <v>1037</v>
      </c>
      <c r="G28">
        <v>460.8888888888888</v>
      </c>
      <c r="H28">
        <v>1</v>
      </c>
      <c r="I28">
        <v>1</v>
      </c>
    </row>
    <row r="29" spans="1:9" x14ac:dyDescent="0.25">
      <c r="A29">
        <v>28</v>
      </c>
      <c r="B29" s="40" t="s">
        <v>0</v>
      </c>
      <c r="C29" s="40" t="s">
        <v>1870</v>
      </c>
      <c r="D29">
        <v>10</v>
      </c>
      <c r="E29">
        <v>30.333333333333329</v>
      </c>
      <c r="F29">
        <v>78</v>
      </c>
      <c r="G29">
        <v>34.666666666666664</v>
      </c>
      <c r="H29">
        <v>1</v>
      </c>
      <c r="I29">
        <v>1</v>
      </c>
    </row>
    <row r="30" spans="1:9" x14ac:dyDescent="0.25">
      <c r="A30">
        <v>29</v>
      </c>
      <c r="B30" s="40" t="s">
        <v>0</v>
      </c>
      <c r="C30" s="40" t="s">
        <v>1871</v>
      </c>
      <c r="D30">
        <v>10</v>
      </c>
      <c r="E30">
        <v>403.27777777777777</v>
      </c>
      <c r="F30">
        <v>1037</v>
      </c>
      <c r="G30">
        <v>460.8888888888888</v>
      </c>
      <c r="H30">
        <v>1</v>
      </c>
      <c r="I30">
        <v>1</v>
      </c>
    </row>
    <row r="31" spans="1:9" x14ac:dyDescent="0.25">
      <c r="A31">
        <v>30</v>
      </c>
      <c r="B31" s="40" t="s">
        <v>0</v>
      </c>
      <c r="C31" s="40" t="s">
        <v>1872</v>
      </c>
      <c r="D31">
        <v>10</v>
      </c>
      <c r="E31">
        <v>30.333333333333329</v>
      </c>
      <c r="F31">
        <v>78</v>
      </c>
      <c r="G31">
        <v>34.666666666666664</v>
      </c>
      <c r="H31">
        <v>1</v>
      </c>
      <c r="I31">
        <v>1</v>
      </c>
    </row>
    <row r="32" spans="1:9" x14ac:dyDescent="0.25">
      <c r="A32">
        <v>31</v>
      </c>
      <c r="B32" s="40" t="s">
        <v>0</v>
      </c>
      <c r="C32" s="40" t="s">
        <v>1403</v>
      </c>
      <c r="D32">
        <v>10</v>
      </c>
      <c r="E32">
        <v>96.055555555555543</v>
      </c>
      <c r="F32">
        <v>247</v>
      </c>
      <c r="G32">
        <v>109.77777777777777</v>
      </c>
      <c r="H32">
        <v>1</v>
      </c>
      <c r="I32">
        <v>1</v>
      </c>
    </row>
    <row r="33" spans="1:9" x14ac:dyDescent="0.25">
      <c r="A33">
        <v>32</v>
      </c>
      <c r="B33" s="40" t="s">
        <v>0</v>
      </c>
      <c r="C33" s="40" t="s">
        <v>1404</v>
      </c>
      <c r="D33">
        <v>10</v>
      </c>
      <c r="E33">
        <v>174.2222222222222</v>
      </c>
      <c r="F33">
        <v>448</v>
      </c>
      <c r="G33">
        <v>199.11111111111109</v>
      </c>
      <c r="H33">
        <v>1</v>
      </c>
      <c r="I33">
        <v>1</v>
      </c>
    </row>
    <row r="34" spans="1:9" x14ac:dyDescent="0.25">
      <c r="A34">
        <v>33</v>
      </c>
      <c r="B34" s="40" t="s">
        <v>0</v>
      </c>
      <c r="C34" s="40" t="s">
        <v>630</v>
      </c>
      <c r="D34">
        <v>10</v>
      </c>
      <c r="E34">
        <v>54.444444444444443</v>
      </c>
      <c r="F34">
        <v>140</v>
      </c>
      <c r="G34">
        <v>62.222222222222214</v>
      </c>
      <c r="H34">
        <v>1</v>
      </c>
      <c r="I34">
        <v>1</v>
      </c>
    </row>
    <row r="35" spans="1:9" x14ac:dyDescent="0.25">
      <c r="A35">
        <v>34</v>
      </c>
      <c r="B35" s="40" t="s">
        <v>0</v>
      </c>
      <c r="C35" s="40" t="s">
        <v>1407</v>
      </c>
      <c r="D35">
        <v>10</v>
      </c>
      <c r="E35">
        <v>116.66666666666666</v>
      </c>
      <c r="F35">
        <v>300</v>
      </c>
      <c r="G35">
        <v>133.33333333333331</v>
      </c>
      <c r="H35">
        <v>1</v>
      </c>
      <c r="I35">
        <v>1</v>
      </c>
    </row>
    <row r="36" spans="1:9" x14ac:dyDescent="0.25">
      <c r="A36">
        <v>35</v>
      </c>
      <c r="B36" s="40" t="s">
        <v>0</v>
      </c>
      <c r="C36" s="40" t="s">
        <v>1408</v>
      </c>
      <c r="D36">
        <v>10</v>
      </c>
      <c r="E36">
        <v>51.333333333333329</v>
      </c>
      <c r="F36">
        <v>132</v>
      </c>
      <c r="G36">
        <v>58.666666666666664</v>
      </c>
      <c r="H36">
        <v>1</v>
      </c>
      <c r="I36">
        <v>1</v>
      </c>
    </row>
    <row r="37" spans="1:9" x14ac:dyDescent="0.25">
      <c r="A37">
        <v>36</v>
      </c>
      <c r="B37" s="40" t="s">
        <v>0</v>
      </c>
      <c r="C37" s="40" t="s">
        <v>1409</v>
      </c>
      <c r="D37">
        <v>10</v>
      </c>
      <c r="E37">
        <v>210.38888888888889</v>
      </c>
      <c r="F37">
        <v>541</v>
      </c>
      <c r="G37">
        <v>240.4444444444444</v>
      </c>
      <c r="H37">
        <v>1</v>
      </c>
      <c r="I37">
        <v>1</v>
      </c>
    </row>
    <row r="38" spans="1:9" x14ac:dyDescent="0.25">
      <c r="A38">
        <v>37</v>
      </c>
      <c r="B38" s="40" t="s">
        <v>0</v>
      </c>
      <c r="C38" s="40" t="s">
        <v>1406</v>
      </c>
      <c r="D38">
        <v>10</v>
      </c>
      <c r="E38">
        <v>358.16666666666663</v>
      </c>
      <c r="F38">
        <v>921</v>
      </c>
      <c r="G38">
        <v>409.33333333333331</v>
      </c>
      <c r="H38">
        <v>1</v>
      </c>
      <c r="I38">
        <v>1</v>
      </c>
    </row>
    <row r="39" spans="1:9" x14ac:dyDescent="0.25">
      <c r="A39">
        <v>38</v>
      </c>
      <c r="B39" s="40" t="s">
        <v>0</v>
      </c>
      <c r="C39" s="40" t="s">
        <v>1415</v>
      </c>
      <c r="D39">
        <v>10</v>
      </c>
      <c r="E39">
        <v>404.44444444444446</v>
      </c>
      <c r="F39">
        <v>1040</v>
      </c>
      <c r="G39">
        <v>462.22222222222217</v>
      </c>
      <c r="H39">
        <v>1</v>
      </c>
      <c r="I39">
        <v>1</v>
      </c>
    </row>
    <row r="40" spans="1:9" x14ac:dyDescent="0.25">
      <c r="A40">
        <v>39</v>
      </c>
      <c r="B40" s="40" t="s">
        <v>0</v>
      </c>
      <c r="C40" s="40" t="s">
        <v>1405</v>
      </c>
      <c r="D40">
        <v>10</v>
      </c>
      <c r="E40">
        <v>77</v>
      </c>
      <c r="F40">
        <v>198</v>
      </c>
      <c r="G40">
        <v>87.999999999999986</v>
      </c>
      <c r="H40">
        <v>1</v>
      </c>
      <c r="I40">
        <v>1</v>
      </c>
    </row>
    <row r="41" spans="1:9" x14ac:dyDescent="0.25">
      <c r="A41">
        <v>40</v>
      </c>
      <c r="B41" s="40" t="s">
        <v>0</v>
      </c>
      <c r="C41" s="40" t="s">
        <v>15</v>
      </c>
      <c r="D41">
        <v>10</v>
      </c>
      <c r="E41">
        <v>165.27777777777777</v>
      </c>
      <c r="F41">
        <v>425</v>
      </c>
      <c r="G41">
        <v>188.88888888888889</v>
      </c>
      <c r="H41">
        <v>1</v>
      </c>
      <c r="I41">
        <v>1</v>
      </c>
    </row>
    <row r="42" spans="1:9" x14ac:dyDescent="0.25">
      <c r="A42">
        <v>41</v>
      </c>
      <c r="B42" s="40" t="s">
        <v>16</v>
      </c>
      <c r="C42" s="40" t="s">
        <v>17</v>
      </c>
      <c r="D42">
        <v>10</v>
      </c>
      <c r="E42">
        <v>33.5</v>
      </c>
      <c r="F42">
        <v>67</v>
      </c>
      <c r="G42">
        <v>40.199999999999996</v>
      </c>
      <c r="H42">
        <v>1</v>
      </c>
      <c r="I42">
        <v>1</v>
      </c>
    </row>
    <row r="43" spans="1:9" x14ac:dyDescent="0.25">
      <c r="A43">
        <v>42</v>
      </c>
      <c r="B43" s="40" t="s">
        <v>16</v>
      </c>
      <c r="C43" s="40" t="s">
        <v>18</v>
      </c>
      <c r="D43">
        <v>10</v>
      </c>
      <c r="E43">
        <v>27.5</v>
      </c>
      <c r="F43">
        <v>55</v>
      </c>
      <c r="G43">
        <v>33</v>
      </c>
      <c r="H43">
        <v>1</v>
      </c>
      <c r="I43">
        <v>1</v>
      </c>
    </row>
    <row r="44" spans="1:9" x14ac:dyDescent="0.25">
      <c r="A44">
        <v>43</v>
      </c>
      <c r="B44" s="40" t="s">
        <v>16</v>
      </c>
      <c r="C44" s="40" t="s">
        <v>19</v>
      </c>
      <c r="D44">
        <v>10</v>
      </c>
      <c r="E44">
        <v>20</v>
      </c>
      <c r="F44">
        <v>40</v>
      </c>
      <c r="G44">
        <v>24</v>
      </c>
      <c r="H44">
        <v>1</v>
      </c>
      <c r="I44">
        <v>1</v>
      </c>
    </row>
    <row r="45" spans="1:9" x14ac:dyDescent="0.25">
      <c r="A45">
        <v>44</v>
      </c>
      <c r="B45" s="40" t="s">
        <v>16</v>
      </c>
      <c r="C45" s="40" t="s">
        <v>20</v>
      </c>
      <c r="D45">
        <v>10</v>
      </c>
      <c r="E45">
        <v>92.5</v>
      </c>
      <c r="F45">
        <v>185</v>
      </c>
      <c r="G45">
        <v>111</v>
      </c>
      <c r="H45">
        <v>1</v>
      </c>
      <c r="I45">
        <v>1</v>
      </c>
    </row>
    <row r="46" spans="1:9" x14ac:dyDescent="0.25">
      <c r="A46">
        <v>45</v>
      </c>
      <c r="B46" s="40" t="s">
        <v>16</v>
      </c>
      <c r="C46" s="40" t="s">
        <v>21</v>
      </c>
      <c r="D46">
        <v>10</v>
      </c>
      <c r="E46">
        <v>184</v>
      </c>
      <c r="F46">
        <v>368</v>
      </c>
      <c r="G46">
        <v>220.79999999999998</v>
      </c>
      <c r="H46">
        <v>1</v>
      </c>
      <c r="I46">
        <v>1</v>
      </c>
    </row>
    <row r="47" spans="1:9" x14ac:dyDescent="0.25">
      <c r="A47">
        <v>46</v>
      </c>
      <c r="B47" s="40" t="s">
        <v>16</v>
      </c>
      <c r="C47" s="40" t="s">
        <v>22</v>
      </c>
      <c r="D47">
        <v>10</v>
      </c>
      <c r="E47">
        <v>182.5</v>
      </c>
      <c r="F47">
        <v>365</v>
      </c>
      <c r="G47">
        <v>219</v>
      </c>
      <c r="H47">
        <v>1</v>
      </c>
      <c r="I47">
        <v>1</v>
      </c>
    </row>
    <row r="48" spans="1:9" x14ac:dyDescent="0.25">
      <c r="A48">
        <v>47</v>
      </c>
      <c r="B48" s="40" t="s">
        <v>23</v>
      </c>
      <c r="C48" s="40" t="s">
        <v>1265</v>
      </c>
      <c r="D48">
        <v>10</v>
      </c>
      <c r="E48">
        <v>50.74</v>
      </c>
      <c r="F48">
        <v>118</v>
      </c>
      <c r="G48">
        <v>62.540000000000006</v>
      </c>
      <c r="H48">
        <v>1</v>
      </c>
      <c r="I48">
        <v>1</v>
      </c>
    </row>
    <row r="49" spans="1:9" x14ac:dyDescent="0.25">
      <c r="A49">
        <v>48</v>
      </c>
      <c r="B49" s="40" t="s">
        <v>23</v>
      </c>
      <c r="C49" s="40" t="s">
        <v>1273</v>
      </c>
      <c r="D49">
        <v>10</v>
      </c>
      <c r="E49">
        <v>70.95</v>
      </c>
      <c r="F49">
        <v>165</v>
      </c>
      <c r="G49">
        <v>87.45</v>
      </c>
      <c r="H49">
        <v>1</v>
      </c>
      <c r="I49">
        <v>1</v>
      </c>
    </row>
    <row r="50" spans="1:9" x14ac:dyDescent="0.25">
      <c r="A50">
        <v>49</v>
      </c>
      <c r="B50" s="40" t="s">
        <v>23</v>
      </c>
      <c r="C50" s="40" t="s">
        <v>1266</v>
      </c>
      <c r="D50">
        <v>10</v>
      </c>
      <c r="E50">
        <v>82.99</v>
      </c>
      <c r="F50">
        <v>193</v>
      </c>
      <c r="G50">
        <v>102.29</v>
      </c>
      <c r="H50">
        <v>1</v>
      </c>
      <c r="I50">
        <v>1</v>
      </c>
    </row>
    <row r="51" spans="1:9" x14ac:dyDescent="0.25">
      <c r="A51">
        <v>50</v>
      </c>
      <c r="B51" s="40" t="s">
        <v>23</v>
      </c>
      <c r="C51" s="40" t="s">
        <v>1267</v>
      </c>
      <c r="D51">
        <v>10</v>
      </c>
      <c r="E51">
        <v>129.85999999999999</v>
      </c>
      <c r="F51">
        <v>302</v>
      </c>
      <c r="G51">
        <v>160.06</v>
      </c>
      <c r="H51">
        <v>1</v>
      </c>
      <c r="I51">
        <v>1</v>
      </c>
    </row>
    <row r="52" spans="1:9" x14ac:dyDescent="0.25">
      <c r="A52">
        <v>51</v>
      </c>
      <c r="B52" s="40" t="s">
        <v>23</v>
      </c>
      <c r="C52" s="40" t="s">
        <v>24</v>
      </c>
      <c r="D52">
        <v>10</v>
      </c>
      <c r="E52">
        <v>335.4</v>
      </c>
      <c r="F52">
        <v>780</v>
      </c>
      <c r="G52">
        <v>413.40000000000003</v>
      </c>
      <c r="H52">
        <v>1</v>
      </c>
      <c r="I52">
        <v>1</v>
      </c>
    </row>
    <row r="53" spans="1:9" x14ac:dyDescent="0.25">
      <c r="A53">
        <v>52</v>
      </c>
      <c r="B53" s="40" t="s">
        <v>23</v>
      </c>
      <c r="C53" s="40" t="s">
        <v>25</v>
      </c>
      <c r="D53">
        <v>10</v>
      </c>
      <c r="E53">
        <v>187.04999999999998</v>
      </c>
      <c r="F53">
        <v>435</v>
      </c>
      <c r="G53">
        <v>230.55</v>
      </c>
      <c r="H53">
        <v>1</v>
      </c>
      <c r="I53">
        <v>1</v>
      </c>
    </row>
    <row r="54" spans="1:9" x14ac:dyDescent="0.25">
      <c r="A54">
        <v>53</v>
      </c>
      <c r="B54" s="40" t="s">
        <v>23</v>
      </c>
      <c r="C54" s="40" t="s">
        <v>1272</v>
      </c>
      <c r="D54">
        <v>10</v>
      </c>
      <c r="E54">
        <v>60.199999999999996</v>
      </c>
      <c r="F54">
        <v>140</v>
      </c>
      <c r="G54">
        <v>74.2</v>
      </c>
      <c r="H54">
        <v>1</v>
      </c>
      <c r="I54">
        <v>1</v>
      </c>
    </row>
    <row r="55" spans="1:9" x14ac:dyDescent="0.25">
      <c r="A55">
        <v>54</v>
      </c>
      <c r="B55" s="40" t="s">
        <v>23</v>
      </c>
      <c r="C55" s="40" t="s">
        <v>1268</v>
      </c>
      <c r="D55">
        <v>10</v>
      </c>
      <c r="E55">
        <v>66.22</v>
      </c>
      <c r="F55">
        <v>154</v>
      </c>
      <c r="G55">
        <v>81.62</v>
      </c>
      <c r="H55">
        <v>1</v>
      </c>
      <c r="I55">
        <v>1</v>
      </c>
    </row>
    <row r="56" spans="1:9" x14ac:dyDescent="0.25">
      <c r="A56">
        <v>55</v>
      </c>
      <c r="B56" s="40" t="s">
        <v>23</v>
      </c>
      <c r="C56" s="40" t="s">
        <v>1269</v>
      </c>
      <c r="D56">
        <v>10</v>
      </c>
      <c r="E56">
        <v>127.71</v>
      </c>
      <c r="F56">
        <v>297</v>
      </c>
      <c r="G56">
        <v>157.41</v>
      </c>
      <c r="H56">
        <v>1</v>
      </c>
      <c r="I56">
        <v>1</v>
      </c>
    </row>
    <row r="57" spans="1:9" x14ac:dyDescent="0.25">
      <c r="A57">
        <v>56</v>
      </c>
      <c r="B57" s="40" t="s">
        <v>23</v>
      </c>
      <c r="C57" s="40" t="s">
        <v>26</v>
      </c>
      <c r="D57">
        <v>10</v>
      </c>
      <c r="E57">
        <v>302.71999999999997</v>
      </c>
      <c r="F57">
        <v>704</v>
      </c>
      <c r="G57">
        <v>373.12</v>
      </c>
      <c r="H57">
        <v>1</v>
      </c>
      <c r="I57">
        <v>1</v>
      </c>
    </row>
    <row r="58" spans="1:9" x14ac:dyDescent="0.25">
      <c r="A58">
        <v>57</v>
      </c>
      <c r="B58" s="40" t="s">
        <v>23</v>
      </c>
      <c r="C58" s="40" t="s">
        <v>1271</v>
      </c>
      <c r="D58">
        <v>10</v>
      </c>
      <c r="E58">
        <v>51.6</v>
      </c>
      <c r="F58">
        <v>120</v>
      </c>
      <c r="G58">
        <v>63.6</v>
      </c>
      <c r="H58">
        <v>1</v>
      </c>
      <c r="I58">
        <v>1</v>
      </c>
    </row>
    <row r="59" spans="1:9" x14ac:dyDescent="0.25">
      <c r="A59">
        <v>58</v>
      </c>
      <c r="B59" s="40" t="s">
        <v>23</v>
      </c>
      <c r="C59" s="40" t="s">
        <v>1270</v>
      </c>
      <c r="D59">
        <v>10</v>
      </c>
      <c r="E59">
        <v>60.199999999999996</v>
      </c>
      <c r="F59">
        <v>140</v>
      </c>
      <c r="G59">
        <v>74.2</v>
      </c>
      <c r="H59">
        <v>1</v>
      </c>
      <c r="I59">
        <v>1</v>
      </c>
    </row>
    <row r="60" spans="1:9" x14ac:dyDescent="0.25">
      <c r="A60">
        <v>59</v>
      </c>
      <c r="B60" s="40" t="s">
        <v>23</v>
      </c>
      <c r="C60" s="40" t="s">
        <v>27</v>
      </c>
      <c r="D60">
        <v>10</v>
      </c>
      <c r="E60">
        <v>243.38</v>
      </c>
      <c r="F60">
        <v>566</v>
      </c>
      <c r="G60">
        <v>299.98</v>
      </c>
      <c r="H60">
        <v>1</v>
      </c>
      <c r="I60">
        <v>1</v>
      </c>
    </row>
    <row r="61" spans="1:9" x14ac:dyDescent="0.25">
      <c r="A61">
        <v>60</v>
      </c>
      <c r="B61" s="40" t="s">
        <v>23</v>
      </c>
      <c r="C61" s="40" t="s">
        <v>28</v>
      </c>
      <c r="D61">
        <v>10</v>
      </c>
      <c r="E61">
        <v>118.67999999999999</v>
      </c>
      <c r="F61">
        <v>276</v>
      </c>
      <c r="G61">
        <v>146.28</v>
      </c>
      <c r="H61">
        <v>1</v>
      </c>
      <c r="I61">
        <v>1</v>
      </c>
    </row>
    <row r="62" spans="1:9" x14ac:dyDescent="0.25">
      <c r="A62">
        <v>61</v>
      </c>
      <c r="B62" s="40" t="s">
        <v>23</v>
      </c>
      <c r="C62" s="40" t="s">
        <v>29</v>
      </c>
      <c r="D62">
        <v>10</v>
      </c>
      <c r="E62">
        <v>35.905000000000001</v>
      </c>
      <c r="F62">
        <v>83.5</v>
      </c>
      <c r="G62">
        <v>44.255000000000003</v>
      </c>
      <c r="H62">
        <v>1</v>
      </c>
      <c r="I62">
        <v>1</v>
      </c>
    </row>
    <row r="63" spans="1:9" x14ac:dyDescent="0.25">
      <c r="A63">
        <v>62</v>
      </c>
      <c r="B63" s="40" t="s">
        <v>23</v>
      </c>
      <c r="C63" s="40" t="s">
        <v>30</v>
      </c>
      <c r="D63">
        <v>10</v>
      </c>
      <c r="E63">
        <v>67.94</v>
      </c>
      <c r="F63">
        <v>158</v>
      </c>
      <c r="G63">
        <v>83.740000000000009</v>
      </c>
      <c r="H63">
        <v>1</v>
      </c>
      <c r="I63">
        <v>1</v>
      </c>
    </row>
    <row r="64" spans="1:9" x14ac:dyDescent="0.25">
      <c r="A64">
        <v>63</v>
      </c>
      <c r="B64" s="40" t="s">
        <v>23</v>
      </c>
      <c r="C64" s="40" t="s">
        <v>31</v>
      </c>
      <c r="D64">
        <v>10</v>
      </c>
      <c r="E64">
        <v>107.5</v>
      </c>
      <c r="F64">
        <v>250</v>
      </c>
      <c r="G64">
        <v>132.5</v>
      </c>
      <c r="H64">
        <v>1</v>
      </c>
      <c r="I64">
        <v>1</v>
      </c>
    </row>
    <row r="65" spans="1:9" x14ac:dyDescent="0.25">
      <c r="A65">
        <v>64</v>
      </c>
      <c r="B65" s="40" t="s">
        <v>23</v>
      </c>
      <c r="C65" s="40" t="s">
        <v>32</v>
      </c>
      <c r="D65">
        <v>10</v>
      </c>
      <c r="E65">
        <v>212.85</v>
      </c>
      <c r="F65">
        <v>495</v>
      </c>
      <c r="G65">
        <v>262.35000000000002</v>
      </c>
      <c r="H65">
        <v>1</v>
      </c>
      <c r="I65">
        <v>1</v>
      </c>
    </row>
    <row r="66" spans="1:9" x14ac:dyDescent="0.25">
      <c r="A66">
        <v>65</v>
      </c>
      <c r="B66" s="40" t="s">
        <v>23</v>
      </c>
      <c r="C66" s="40" t="s">
        <v>33</v>
      </c>
      <c r="D66">
        <v>10</v>
      </c>
      <c r="E66">
        <v>101.05</v>
      </c>
      <c r="F66">
        <v>235</v>
      </c>
      <c r="G66">
        <v>124.55000000000001</v>
      </c>
      <c r="H66">
        <v>1</v>
      </c>
      <c r="I66">
        <v>1</v>
      </c>
    </row>
    <row r="67" spans="1:9" x14ac:dyDescent="0.25">
      <c r="A67">
        <v>66</v>
      </c>
      <c r="B67" s="40" t="s">
        <v>45</v>
      </c>
      <c r="C67" s="40" t="s">
        <v>1213</v>
      </c>
      <c r="D67">
        <v>10</v>
      </c>
      <c r="E67">
        <v>40.940000000000005</v>
      </c>
      <c r="F67">
        <v>89</v>
      </c>
      <c r="G67">
        <v>49.84</v>
      </c>
      <c r="H67">
        <v>1</v>
      </c>
      <c r="I67">
        <v>1</v>
      </c>
    </row>
    <row r="68" spans="1:9" x14ac:dyDescent="0.25">
      <c r="A68">
        <v>67</v>
      </c>
      <c r="B68" s="40" t="s">
        <v>45</v>
      </c>
      <c r="C68" s="40" t="s">
        <v>1214</v>
      </c>
      <c r="D68">
        <v>10</v>
      </c>
      <c r="E68">
        <v>68.540000000000006</v>
      </c>
      <c r="F68">
        <v>149</v>
      </c>
      <c r="G68">
        <v>83.440000000000012</v>
      </c>
      <c r="H68">
        <v>1</v>
      </c>
      <c r="I68">
        <v>1</v>
      </c>
    </row>
    <row r="69" spans="1:9" x14ac:dyDescent="0.25">
      <c r="A69">
        <v>68</v>
      </c>
      <c r="B69" s="40" t="s">
        <v>45</v>
      </c>
      <c r="C69" s="40" t="s">
        <v>46</v>
      </c>
      <c r="D69">
        <v>10</v>
      </c>
      <c r="E69">
        <v>36.340000000000003</v>
      </c>
      <c r="F69">
        <v>79</v>
      </c>
      <c r="G69">
        <v>44.24</v>
      </c>
      <c r="H69">
        <v>1</v>
      </c>
      <c r="I69">
        <v>1</v>
      </c>
    </row>
    <row r="70" spans="1:9" x14ac:dyDescent="0.25">
      <c r="A70">
        <v>69</v>
      </c>
      <c r="B70" s="40" t="s">
        <v>45</v>
      </c>
      <c r="C70" s="40" t="s">
        <v>47</v>
      </c>
      <c r="D70">
        <v>10</v>
      </c>
      <c r="E70">
        <v>54.74</v>
      </c>
      <c r="F70">
        <v>119</v>
      </c>
      <c r="G70">
        <v>66.64</v>
      </c>
      <c r="H70">
        <v>1</v>
      </c>
      <c r="I70">
        <v>1</v>
      </c>
    </row>
    <row r="71" spans="1:9" x14ac:dyDescent="0.25">
      <c r="A71">
        <v>70</v>
      </c>
      <c r="B71" s="40" t="s">
        <v>45</v>
      </c>
      <c r="C71" s="40" t="s">
        <v>48</v>
      </c>
      <c r="D71">
        <v>10</v>
      </c>
      <c r="E71">
        <v>125.58000000000001</v>
      </c>
      <c r="F71">
        <v>273</v>
      </c>
      <c r="G71">
        <v>152.88000000000002</v>
      </c>
      <c r="H71">
        <v>1</v>
      </c>
      <c r="I71">
        <v>1</v>
      </c>
    </row>
    <row r="72" spans="1:9" x14ac:dyDescent="0.25">
      <c r="A72">
        <v>71</v>
      </c>
      <c r="B72" s="40" t="s">
        <v>45</v>
      </c>
      <c r="C72" s="40" t="s">
        <v>49</v>
      </c>
      <c r="D72">
        <v>10</v>
      </c>
      <c r="E72">
        <v>169.74</v>
      </c>
      <c r="F72">
        <v>369</v>
      </c>
      <c r="G72">
        <v>206.64000000000001</v>
      </c>
      <c r="H72">
        <v>1</v>
      </c>
      <c r="I72">
        <v>1</v>
      </c>
    </row>
    <row r="73" spans="1:9" x14ac:dyDescent="0.25">
      <c r="A73">
        <v>72</v>
      </c>
      <c r="B73" s="40" t="s">
        <v>45</v>
      </c>
      <c r="C73" s="40" t="s">
        <v>50</v>
      </c>
      <c r="D73">
        <v>10</v>
      </c>
      <c r="E73">
        <v>583.74</v>
      </c>
      <c r="F73">
        <v>1269</v>
      </c>
      <c r="G73">
        <v>710.6400000000001</v>
      </c>
      <c r="H73">
        <v>1</v>
      </c>
      <c r="I73">
        <v>1</v>
      </c>
    </row>
    <row r="74" spans="1:9" x14ac:dyDescent="0.25">
      <c r="A74">
        <v>73</v>
      </c>
      <c r="B74" s="40" t="s">
        <v>45</v>
      </c>
      <c r="C74" s="40" t="s">
        <v>51</v>
      </c>
      <c r="D74">
        <v>10</v>
      </c>
      <c r="E74">
        <v>57.96</v>
      </c>
      <c r="F74">
        <v>126</v>
      </c>
      <c r="G74">
        <v>70.56</v>
      </c>
      <c r="H74">
        <v>1</v>
      </c>
      <c r="I74">
        <v>1</v>
      </c>
    </row>
    <row r="75" spans="1:9" x14ac:dyDescent="0.25">
      <c r="A75">
        <v>74</v>
      </c>
      <c r="B75" s="40" t="s">
        <v>45</v>
      </c>
      <c r="C75" s="40" t="s">
        <v>52</v>
      </c>
      <c r="D75">
        <v>10</v>
      </c>
      <c r="E75">
        <v>22.540000000000003</v>
      </c>
      <c r="F75">
        <v>49</v>
      </c>
      <c r="G75">
        <v>27.44</v>
      </c>
      <c r="H75">
        <v>1</v>
      </c>
      <c r="I75">
        <v>1</v>
      </c>
    </row>
    <row r="76" spans="1:9" x14ac:dyDescent="0.25">
      <c r="A76">
        <v>75</v>
      </c>
      <c r="B76" s="40" t="s">
        <v>45</v>
      </c>
      <c r="C76" s="40" t="s">
        <v>53</v>
      </c>
      <c r="D76">
        <v>10</v>
      </c>
      <c r="E76">
        <v>188.14000000000001</v>
      </c>
      <c r="F76">
        <v>409</v>
      </c>
      <c r="G76">
        <v>229.04000000000002</v>
      </c>
      <c r="H76">
        <v>1</v>
      </c>
      <c r="I76">
        <v>1</v>
      </c>
    </row>
    <row r="77" spans="1:9" x14ac:dyDescent="0.25">
      <c r="A77">
        <v>76</v>
      </c>
      <c r="B77" s="40" t="s">
        <v>45</v>
      </c>
      <c r="C77" s="40" t="s">
        <v>54</v>
      </c>
      <c r="D77">
        <v>10</v>
      </c>
      <c r="E77">
        <v>122.36</v>
      </c>
      <c r="F77">
        <v>266</v>
      </c>
      <c r="G77">
        <v>148.96</v>
      </c>
      <c r="H77">
        <v>1</v>
      </c>
      <c r="I77">
        <v>1</v>
      </c>
    </row>
    <row r="78" spans="1:9" x14ac:dyDescent="0.25">
      <c r="A78">
        <v>77</v>
      </c>
      <c r="B78" s="40" t="s">
        <v>45</v>
      </c>
      <c r="C78" s="40" t="s">
        <v>55</v>
      </c>
      <c r="D78">
        <v>10</v>
      </c>
      <c r="E78">
        <v>137.54</v>
      </c>
      <c r="F78">
        <v>299</v>
      </c>
      <c r="G78">
        <v>167.44000000000003</v>
      </c>
      <c r="H78">
        <v>1</v>
      </c>
      <c r="I78">
        <v>1</v>
      </c>
    </row>
    <row r="79" spans="1:9" x14ac:dyDescent="0.25">
      <c r="A79">
        <v>78</v>
      </c>
      <c r="B79" s="40" t="s">
        <v>45</v>
      </c>
      <c r="C79" s="40" t="s">
        <v>56</v>
      </c>
      <c r="D79">
        <v>10</v>
      </c>
      <c r="E79">
        <v>257.14</v>
      </c>
      <c r="F79">
        <v>559</v>
      </c>
      <c r="G79">
        <v>313.04000000000002</v>
      </c>
      <c r="H79">
        <v>1</v>
      </c>
      <c r="I79">
        <v>1</v>
      </c>
    </row>
    <row r="80" spans="1:9" x14ac:dyDescent="0.25">
      <c r="A80">
        <v>79</v>
      </c>
      <c r="B80" s="40" t="s">
        <v>45</v>
      </c>
      <c r="C80" s="40" t="s">
        <v>57</v>
      </c>
      <c r="D80">
        <v>10</v>
      </c>
      <c r="E80">
        <v>94.76</v>
      </c>
      <c r="F80">
        <v>206</v>
      </c>
      <c r="G80">
        <v>115.36000000000001</v>
      </c>
      <c r="H80">
        <v>1</v>
      </c>
      <c r="I80">
        <v>1</v>
      </c>
    </row>
    <row r="81" spans="1:9" x14ac:dyDescent="0.25">
      <c r="A81">
        <v>80</v>
      </c>
      <c r="B81" s="40" t="s">
        <v>45</v>
      </c>
      <c r="C81" s="40" t="s">
        <v>58</v>
      </c>
      <c r="D81">
        <v>10</v>
      </c>
      <c r="E81">
        <v>74.98</v>
      </c>
      <c r="F81">
        <v>163</v>
      </c>
      <c r="G81">
        <v>91.280000000000015</v>
      </c>
      <c r="H81">
        <v>1</v>
      </c>
      <c r="I81">
        <v>1</v>
      </c>
    </row>
    <row r="82" spans="1:9" x14ac:dyDescent="0.25">
      <c r="A82">
        <v>81</v>
      </c>
      <c r="B82" s="40" t="s">
        <v>45</v>
      </c>
      <c r="C82" s="40" t="s">
        <v>59</v>
      </c>
      <c r="D82">
        <v>10</v>
      </c>
      <c r="E82">
        <v>33.58</v>
      </c>
      <c r="F82">
        <v>73</v>
      </c>
      <c r="G82">
        <v>40.880000000000003</v>
      </c>
      <c r="H82">
        <v>1</v>
      </c>
      <c r="I82">
        <v>1</v>
      </c>
    </row>
    <row r="83" spans="1:9" x14ac:dyDescent="0.25">
      <c r="A83">
        <v>82</v>
      </c>
      <c r="B83" s="40" t="s">
        <v>45</v>
      </c>
      <c r="C83" s="40" t="s">
        <v>60</v>
      </c>
      <c r="D83">
        <v>10</v>
      </c>
      <c r="E83">
        <v>57.96</v>
      </c>
      <c r="F83">
        <v>126</v>
      </c>
      <c r="G83">
        <v>70.56</v>
      </c>
      <c r="H83">
        <v>1</v>
      </c>
      <c r="I83">
        <v>1</v>
      </c>
    </row>
    <row r="84" spans="1:9" x14ac:dyDescent="0.25">
      <c r="A84">
        <v>83</v>
      </c>
      <c r="B84" s="40" t="s">
        <v>45</v>
      </c>
      <c r="C84" s="40" t="s">
        <v>61</v>
      </c>
      <c r="D84">
        <v>10</v>
      </c>
      <c r="E84">
        <v>25.76</v>
      </c>
      <c r="F84">
        <v>56</v>
      </c>
      <c r="G84">
        <v>31.360000000000003</v>
      </c>
      <c r="H84">
        <v>1</v>
      </c>
      <c r="I84">
        <v>1</v>
      </c>
    </row>
    <row r="85" spans="1:9" x14ac:dyDescent="0.25">
      <c r="A85">
        <v>84</v>
      </c>
      <c r="B85" s="40" t="s">
        <v>45</v>
      </c>
      <c r="C85" s="40" t="s">
        <v>62</v>
      </c>
      <c r="D85">
        <v>10</v>
      </c>
      <c r="E85">
        <v>59.34</v>
      </c>
      <c r="F85">
        <v>129</v>
      </c>
      <c r="G85">
        <v>72.240000000000009</v>
      </c>
      <c r="H85">
        <v>1</v>
      </c>
      <c r="I85">
        <v>1</v>
      </c>
    </row>
    <row r="86" spans="1:9" x14ac:dyDescent="0.25">
      <c r="A86">
        <v>85</v>
      </c>
      <c r="B86" s="40" t="s">
        <v>45</v>
      </c>
      <c r="C86" s="40" t="s">
        <v>63</v>
      </c>
      <c r="D86">
        <v>10</v>
      </c>
      <c r="E86">
        <v>80.960000000000008</v>
      </c>
      <c r="F86">
        <v>176</v>
      </c>
      <c r="G86">
        <v>98.56</v>
      </c>
      <c r="H86">
        <v>1</v>
      </c>
      <c r="I86">
        <v>1</v>
      </c>
    </row>
    <row r="87" spans="1:9" x14ac:dyDescent="0.25">
      <c r="A87">
        <v>86</v>
      </c>
      <c r="B87" s="40" t="s">
        <v>45</v>
      </c>
      <c r="C87" s="40" t="s">
        <v>64</v>
      </c>
      <c r="D87">
        <v>10</v>
      </c>
      <c r="E87">
        <v>151.34</v>
      </c>
      <c r="F87">
        <v>329</v>
      </c>
      <c r="G87">
        <v>184.24</v>
      </c>
      <c r="H87">
        <v>1</v>
      </c>
      <c r="I87">
        <v>1</v>
      </c>
    </row>
    <row r="88" spans="1:9" x14ac:dyDescent="0.25">
      <c r="A88">
        <v>87</v>
      </c>
      <c r="B88" s="40" t="s">
        <v>45</v>
      </c>
      <c r="C88" s="40" t="s">
        <v>65</v>
      </c>
      <c r="D88">
        <v>10</v>
      </c>
      <c r="E88">
        <v>74.98</v>
      </c>
      <c r="F88">
        <v>163</v>
      </c>
      <c r="G88">
        <v>91.280000000000015</v>
      </c>
      <c r="H88">
        <v>1</v>
      </c>
      <c r="I88">
        <v>1</v>
      </c>
    </row>
    <row r="89" spans="1:9" x14ac:dyDescent="0.25">
      <c r="A89">
        <v>88</v>
      </c>
      <c r="B89" s="40" t="s">
        <v>45</v>
      </c>
      <c r="C89" s="40" t="s">
        <v>66</v>
      </c>
      <c r="D89">
        <v>10</v>
      </c>
      <c r="E89">
        <v>90.160000000000011</v>
      </c>
      <c r="F89">
        <v>196</v>
      </c>
      <c r="G89">
        <v>109.76</v>
      </c>
      <c r="H89">
        <v>1</v>
      </c>
      <c r="I89">
        <v>1</v>
      </c>
    </row>
    <row r="90" spans="1:9" x14ac:dyDescent="0.25">
      <c r="A90">
        <v>89</v>
      </c>
      <c r="B90" s="40" t="s">
        <v>45</v>
      </c>
      <c r="C90" s="40" t="s">
        <v>67</v>
      </c>
      <c r="D90">
        <v>10</v>
      </c>
      <c r="E90">
        <v>76.36</v>
      </c>
      <c r="F90">
        <v>166</v>
      </c>
      <c r="G90">
        <v>92.960000000000008</v>
      </c>
      <c r="H90">
        <v>1</v>
      </c>
      <c r="I90">
        <v>1</v>
      </c>
    </row>
    <row r="91" spans="1:9" x14ac:dyDescent="0.25">
      <c r="A91">
        <v>90</v>
      </c>
      <c r="B91" s="40" t="s">
        <v>45</v>
      </c>
      <c r="C91" s="40" t="s">
        <v>68</v>
      </c>
      <c r="D91">
        <v>10</v>
      </c>
      <c r="E91">
        <v>19.32</v>
      </c>
      <c r="F91">
        <v>42</v>
      </c>
      <c r="G91">
        <v>23.520000000000003</v>
      </c>
      <c r="H91">
        <v>1</v>
      </c>
      <c r="I91">
        <v>1</v>
      </c>
    </row>
    <row r="92" spans="1:9" x14ac:dyDescent="0.25">
      <c r="A92">
        <v>91</v>
      </c>
      <c r="B92" s="40" t="s">
        <v>45</v>
      </c>
      <c r="C92" s="40" t="s">
        <v>69</v>
      </c>
      <c r="D92">
        <v>10</v>
      </c>
      <c r="E92">
        <v>139.38</v>
      </c>
      <c r="F92">
        <v>303</v>
      </c>
      <c r="G92">
        <v>169.68</v>
      </c>
      <c r="H92">
        <v>1</v>
      </c>
      <c r="I92">
        <v>1</v>
      </c>
    </row>
    <row r="93" spans="1:9" x14ac:dyDescent="0.25">
      <c r="A93">
        <v>92</v>
      </c>
      <c r="B93" s="40" t="s">
        <v>45</v>
      </c>
      <c r="C93" s="40" t="s">
        <v>71</v>
      </c>
      <c r="D93">
        <v>10</v>
      </c>
      <c r="E93">
        <v>137.54</v>
      </c>
      <c r="F93">
        <v>299</v>
      </c>
      <c r="G93">
        <v>167.44000000000003</v>
      </c>
      <c r="H93">
        <v>1</v>
      </c>
      <c r="I93">
        <v>1</v>
      </c>
    </row>
    <row r="94" spans="1:9" x14ac:dyDescent="0.25">
      <c r="A94">
        <v>93</v>
      </c>
      <c r="B94" s="40" t="s">
        <v>72</v>
      </c>
      <c r="C94" s="40" t="s">
        <v>74</v>
      </c>
      <c r="D94">
        <v>10</v>
      </c>
      <c r="E94">
        <v>802.8</v>
      </c>
      <c r="F94">
        <v>1338</v>
      </c>
      <c r="G94">
        <v>936.59999999999991</v>
      </c>
      <c r="H94">
        <v>1</v>
      </c>
      <c r="I94">
        <v>1</v>
      </c>
    </row>
    <row r="95" spans="1:9" x14ac:dyDescent="0.25">
      <c r="A95">
        <v>94</v>
      </c>
      <c r="B95" s="40" t="s">
        <v>75</v>
      </c>
      <c r="C95" s="40" t="s">
        <v>76</v>
      </c>
      <c r="D95">
        <v>10</v>
      </c>
      <c r="E95">
        <v>119.60000000000001</v>
      </c>
      <c r="F95">
        <v>299</v>
      </c>
      <c r="G95">
        <v>155.48000000000002</v>
      </c>
      <c r="H95">
        <v>1</v>
      </c>
      <c r="I95">
        <v>1</v>
      </c>
    </row>
    <row r="96" spans="1:9" x14ac:dyDescent="0.25">
      <c r="A96">
        <v>95</v>
      </c>
      <c r="B96" s="40" t="s">
        <v>75</v>
      </c>
      <c r="C96" s="40" t="s">
        <v>77</v>
      </c>
      <c r="D96">
        <v>10</v>
      </c>
      <c r="E96">
        <v>31.200000000000003</v>
      </c>
      <c r="F96">
        <v>78</v>
      </c>
      <c r="G96">
        <v>40.56</v>
      </c>
      <c r="H96">
        <v>1</v>
      </c>
      <c r="I96">
        <v>1</v>
      </c>
    </row>
    <row r="97" spans="1:9" x14ac:dyDescent="0.25">
      <c r="A97">
        <v>96</v>
      </c>
      <c r="B97" s="40" t="s">
        <v>75</v>
      </c>
      <c r="C97" s="40" t="s">
        <v>78</v>
      </c>
      <c r="D97">
        <v>10</v>
      </c>
      <c r="E97">
        <v>87.2</v>
      </c>
      <c r="F97">
        <v>218</v>
      </c>
      <c r="G97">
        <v>113.36</v>
      </c>
      <c r="H97">
        <v>1</v>
      </c>
      <c r="I97">
        <v>1</v>
      </c>
    </row>
    <row r="98" spans="1:9" x14ac:dyDescent="0.25">
      <c r="A98">
        <v>97</v>
      </c>
      <c r="B98" s="40" t="s">
        <v>75</v>
      </c>
      <c r="C98" s="40" t="s">
        <v>79</v>
      </c>
      <c r="D98">
        <v>10</v>
      </c>
      <c r="E98">
        <v>63.6</v>
      </c>
      <c r="F98">
        <v>159</v>
      </c>
      <c r="G98">
        <v>82.68</v>
      </c>
      <c r="H98">
        <v>1</v>
      </c>
      <c r="I98">
        <v>1</v>
      </c>
    </row>
    <row r="99" spans="1:9" x14ac:dyDescent="0.25">
      <c r="A99">
        <v>98</v>
      </c>
      <c r="B99" s="40" t="s">
        <v>75</v>
      </c>
      <c r="C99" s="40" t="s">
        <v>80</v>
      </c>
      <c r="D99">
        <v>10</v>
      </c>
      <c r="E99">
        <v>95.600000000000009</v>
      </c>
      <c r="F99">
        <v>239</v>
      </c>
      <c r="G99">
        <v>124.28</v>
      </c>
      <c r="H99">
        <v>1</v>
      </c>
      <c r="I99">
        <v>1</v>
      </c>
    </row>
    <row r="100" spans="1:9" x14ac:dyDescent="0.25">
      <c r="A100">
        <v>99</v>
      </c>
      <c r="B100" s="40" t="s">
        <v>75</v>
      </c>
      <c r="C100" s="40" t="s">
        <v>81</v>
      </c>
      <c r="D100">
        <v>10</v>
      </c>
      <c r="E100">
        <v>65.2</v>
      </c>
      <c r="F100">
        <v>163</v>
      </c>
      <c r="G100">
        <v>84.76</v>
      </c>
      <c r="H100">
        <v>1</v>
      </c>
      <c r="I100">
        <v>1</v>
      </c>
    </row>
    <row r="101" spans="1:9" x14ac:dyDescent="0.25">
      <c r="A101">
        <v>100</v>
      </c>
      <c r="B101" s="40" t="s">
        <v>75</v>
      </c>
      <c r="C101" s="40" t="s">
        <v>82</v>
      </c>
      <c r="D101">
        <v>10</v>
      </c>
      <c r="E101">
        <v>23.6</v>
      </c>
      <c r="F101">
        <v>59</v>
      </c>
      <c r="G101">
        <v>30.68</v>
      </c>
      <c r="H101">
        <v>1</v>
      </c>
      <c r="I101">
        <v>1</v>
      </c>
    </row>
    <row r="102" spans="1:9" x14ac:dyDescent="0.25">
      <c r="A102">
        <v>101</v>
      </c>
      <c r="B102" s="40" t="s">
        <v>75</v>
      </c>
      <c r="C102" s="40" t="s">
        <v>83</v>
      </c>
      <c r="D102">
        <v>10</v>
      </c>
      <c r="E102">
        <v>38</v>
      </c>
      <c r="F102">
        <v>95</v>
      </c>
      <c r="G102">
        <v>49.4</v>
      </c>
      <c r="H102">
        <v>1</v>
      </c>
      <c r="I102">
        <v>1</v>
      </c>
    </row>
    <row r="103" spans="1:9" x14ac:dyDescent="0.25">
      <c r="A103">
        <v>102</v>
      </c>
      <c r="B103" s="40" t="s">
        <v>75</v>
      </c>
      <c r="C103" s="40" t="s">
        <v>84</v>
      </c>
      <c r="D103">
        <v>10</v>
      </c>
      <c r="E103">
        <v>43.2</v>
      </c>
      <c r="F103">
        <v>108</v>
      </c>
      <c r="G103">
        <v>56.160000000000004</v>
      </c>
      <c r="H103">
        <v>1</v>
      </c>
      <c r="I103">
        <v>1</v>
      </c>
    </row>
    <row r="104" spans="1:9" x14ac:dyDescent="0.25">
      <c r="A104">
        <v>103</v>
      </c>
      <c r="B104" s="40" t="s">
        <v>75</v>
      </c>
      <c r="C104" s="40" t="s">
        <v>85</v>
      </c>
      <c r="D104">
        <v>10</v>
      </c>
      <c r="E104">
        <v>92</v>
      </c>
      <c r="F104">
        <v>230</v>
      </c>
      <c r="G104">
        <v>119.60000000000001</v>
      </c>
      <c r="H104">
        <v>1</v>
      </c>
      <c r="I104">
        <v>1</v>
      </c>
    </row>
    <row r="105" spans="1:9" x14ac:dyDescent="0.25">
      <c r="A105">
        <v>104</v>
      </c>
      <c r="B105" s="40" t="s">
        <v>75</v>
      </c>
      <c r="C105" s="40" t="s">
        <v>86</v>
      </c>
      <c r="D105">
        <v>10</v>
      </c>
      <c r="E105">
        <v>63.2</v>
      </c>
      <c r="F105">
        <v>158</v>
      </c>
      <c r="G105">
        <v>82.16</v>
      </c>
      <c r="H105">
        <v>1</v>
      </c>
      <c r="I105">
        <v>1</v>
      </c>
    </row>
    <row r="106" spans="1:9" x14ac:dyDescent="0.25">
      <c r="A106">
        <v>105</v>
      </c>
      <c r="B106" s="40" t="s">
        <v>75</v>
      </c>
      <c r="C106" s="40" t="s">
        <v>87</v>
      </c>
      <c r="D106">
        <v>10</v>
      </c>
      <c r="E106">
        <v>28.400000000000002</v>
      </c>
      <c r="F106">
        <v>71</v>
      </c>
      <c r="G106">
        <v>36.92</v>
      </c>
      <c r="H106">
        <v>1</v>
      </c>
      <c r="I106">
        <v>1</v>
      </c>
    </row>
    <row r="107" spans="1:9" x14ac:dyDescent="0.25">
      <c r="A107">
        <v>106</v>
      </c>
      <c r="B107" s="40" t="s">
        <v>75</v>
      </c>
      <c r="C107" s="40" t="s">
        <v>88</v>
      </c>
      <c r="D107">
        <v>10</v>
      </c>
      <c r="E107">
        <v>161.60000000000002</v>
      </c>
      <c r="F107">
        <v>404</v>
      </c>
      <c r="G107">
        <v>210.08</v>
      </c>
      <c r="H107">
        <v>1</v>
      </c>
      <c r="I107">
        <v>1</v>
      </c>
    </row>
    <row r="108" spans="1:9" x14ac:dyDescent="0.25">
      <c r="A108">
        <v>107</v>
      </c>
      <c r="B108" s="40" t="s">
        <v>75</v>
      </c>
      <c r="C108" s="40" t="s">
        <v>89</v>
      </c>
      <c r="D108">
        <v>10</v>
      </c>
      <c r="E108">
        <v>206</v>
      </c>
      <c r="F108">
        <v>515</v>
      </c>
      <c r="G108">
        <v>267.8</v>
      </c>
      <c r="H108">
        <v>1</v>
      </c>
      <c r="I108">
        <v>1</v>
      </c>
    </row>
    <row r="109" spans="1:9" x14ac:dyDescent="0.25">
      <c r="A109">
        <v>108</v>
      </c>
      <c r="B109" s="40" t="s">
        <v>75</v>
      </c>
      <c r="C109" s="40" t="s">
        <v>90</v>
      </c>
      <c r="D109">
        <v>10</v>
      </c>
      <c r="E109">
        <v>118</v>
      </c>
      <c r="F109">
        <v>295</v>
      </c>
      <c r="G109">
        <v>153.4</v>
      </c>
      <c r="H109">
        <v>1</v>
      </c>
      <c r="I109">
        <v>1</v>
      </c>
    </row>
    <row r="110" spans="1:9" x14ac:dyDescent="0.25">
      <c r="A110">
        <v>109</v>
      </c>
      <c r="B110" s="40" t="s">
        <v>75</v>
      </c>
      <c r="C110" s="40" t="s">
        <v>91</v>
      </c>
      <c r="D110">
        <v>10</v>
      </c>
      <c r="E110">
        <v>135.20000000000002</v>
      </c>
      <c r="F110">
        <v>338</v>
      </c>
      <c r="G110">
        <v>175.76000000000002</v>
      </c>
      <c r="H110">
        <v>1</v>
      </c>
      <c r="I110">
        <v>1</v>
      </c>
    </row>
    <row r="111" spans="1:9" x14ac:dyDescent="0.25">
      <c r="A111">
        <v>110</v>
      </c>
      <c r="B111" s="40" t="s">
        <v>75</v>
      </c>
      <c r="C111" s="40" t="s">
        <v>92</v>
      </c>
      <c r="D111">
        <v>10</v>
      </c>
      <c r="E111">
        <v>373.6</v>
      </c>
      <c r="F111">
        <v>934</v>
      </c>
      <c r="G111">
        <v>485.68</v>
      </c>
      <c r="H111">
        <v>1</v>
      </c>
      <c r="I111">
        <v>1</v>
      </c>
    </row>
    <row r="112" spans="1:9" x14ac:dyDescent="0.25">
      <c r="A112">
        <v>111</v>
      </c>
      <c r="B112" s="40" t="s">
        <v>75</v>
      </c>
      <c r="C112" s="40" t="s">
        <v>93</v>
      </c>
      <c r="D112">
        <v>10</v>
      </c>
      <c r="E112">
        <v>26.8</v>
      </c>
      <c r="F112">
        <v>67</v>
      </c>
      <c r="G112">
        <v>34.840000000000003</v>
      </c>
      <c r="H112">
        <v>1</v>
      </c>
      <c r="I112">
        <v>1</v>
      </c>
    </row>
    <row r="113" spans="1:9" x14ac:dyDescent="0.25">
      <c r="A113">
        <v>112</v>
      </c>
      <c r="B113" s="40" t="s">
        <v>75</v>
      </c>
      <c r="C113" s="40" t="s">
        <v>95</v>
      </c>
      <c r="D113">
        <v>10</v>
      </c>
      <c r="E113">
        <v>54</v>
      </c>
      <c r="F113">
        <v>135</v>
      </c>
      <c r="G113">
        <v>70.2</v>
      </c>
      <c r="H113">
        <v>1</v>
      </c>
      <c r="I113">
        <v>1</v>
      </c>
    </row>
    <row r="114" spans="1:9" x14ac:dyDescent="0.25">
      <c r="A114">
        <v>113</v>
      </c>
      <c r="B114" s="40" t="s">
        <v>75</v>
      </c>
      <c r="C114" s="40" t="s">
        <v>94</v>
      </c>
      <c r="D114">
        <v>10</v>
      </c>
      <c r="E114">
        <v>87.600000000000009</v>
      </c>
      <c r="F114">
        <v>219</v>
      </c>
      <c r="G114">
        <v>113.88000000000001</v>
      </c>
      <c r="H114">
        <v>1</v>
      </c>
      <c r="I114">
        <v>1</v>
      </c>
    </row>
    <row r="115" spans="1:9" x14ac:dyDescent="0.25">
      <c r="A115">
        <v>114</v>
      </c>
      <c r="B115" s="40" t="s">
        <v>75</v>
      </c>
      <c r="C115" s="40" t="s">
        <v>96</v>
      </c>
      <c r="D115">
        <v>10</v>
      </c>
      <c r="E115">
        <v>41.6</v>
      </c>
      <c r="F115">
        <v>104</v>
      </c>
      <c r="G115">
        <v>54.08</v>
      </c>
      <c r="H115">
        <v>1</v>
      </c>
      <c r="I115">
        <v>1</v>
      </c>
    </row>
    <row r="116" spans="1:9" x14ac:dyDescent="0.25">
      <c r="A116">
        <v>115</v>
      </c>
      <c r="B116" s="40" t="s">
        <v>75</v>
      </c>
      <c r="C116" s="40" t="s">
        <v>1601</v>
      </c>
      <c r="D116">
        <v>10</v>
      </c>
      <c r="E116">
        <v>40.400000000000006</v>
      </c>
      <c r="F116">
        <v>101</v>
      </c>
      <c r="G116">
        <v>52.52</v>
      </c>
      <c r="H116">
        <v>1</v>
      </c>
      <c r="I116">
        <v>1</v>
      </c>
    </row>
    <row r="117" spans="1:9" x14ac:dyDescent="0.25">
      <c r="A117">
        <v>116</v>
      </c>
      <c r="B117" s="40" t="s">
        <v>75</v>
      </c>
      <c r="C117" s="40" t="s">
        <v>97</v>
      </c>
      <c r="D117">
        <v>10</v>
      </c>
      <c r="E117">
        <v>119.60000000000001</v>
      </c>
      <c r="F117">
        <v>299</v>
      </c>
      <c r="G117">
        <v>155.48000000000002</v>
      </c>
      <c r="H117">
        <v>1</v>
      </c>
      <c r="I117">
        <v>1</v>
      </c>
    </row>
    <row r="118" spans="1:9" x14ac:dyDescent="0.25">
      <c r="A118">
        <v>117</v>
      </c>
      <c r="B118" s="40" t="s">
        <v>75</v>
      </c>
      <c r="C118" s="40" t="s">
        <v>98</v>
      </c>
      <c r="D118">
        <v>10</v>
      </c>
      <c r="E118">
        <v>254</v>
      </c>
      <c r="F118">
        <v>635</v>
      </c>
      <c r="G118">
        <v>330.2</v>
      </c>
      <c r="H118">
        <v>1</v>
      </c>
      <c r="I118">
        <v>1</v>
      </c>
    </row>
    <row r="119" spans="1:9" x14ac:dyDescent="0.25">
      <c r="A119">
        <v>118</v>
      </c>
      <c r="B119" s="40" t="s">
        <v>75</v>
      </c>
      <c r="C119" s="40" t="s">
        <v>1607</v>
      </c>
      <c r="D119">
        <v>10</v>
      </c>
      <c r="E119">
        <v>611.20000000000005</v>
      </c>
      <c r="F119">
        <v>1528</v>
      </c>
      <c r="G119">
        <v>794.56000000000006</v>
      </c>
      <c r="H119">
        <v>1</v>
      </c>
      <c r="I119">
        <v>1</v>
      </c>
    </row>
    <row r="120" spans="1:9" x14ac:dyDescent="0.25">
      <c r="A120">
        <v>119</v>
      </c>
      <c r="B120" s="40" t="s">
        <v>75</v>
      </c>
      <c r="C120" s="40" t="s">
        <v>1608</v>
      </c>
      <c r="D120">
        <v>10</v>
      </c>
      <c r="E120">
        <v>58</v>
      </c>
      <c r="F120">
        <v>145</v>
      </c>
      <c r="G120">
        <v>75.400000000000006</v>
      </c>
      <c r="H120">
        <v>1</v>
      </c>
      <c r="I120">
        <v>1</v>
      </c>
    </row>
    <row r="121" spans="1:9" x14ac:dyDescent="0.25">
      <c r="A121">
        <v>120</v>
      </c>
      <c r="B121" s="40" t="s">
        <v>75</v>
      </c>
      <c r="C121" s="40" t="s">
        <v>99</v>
      </c>
      <c r="D121">
        <v>10</v>
      </c>
      <c r="E121">
        <v>85.2</v>
      </c>
      <c r="F121">
        <v>213</v>
      </c>
      <c r="G121">
        <v>110.76</v>
      </c>
      <c r="H121">
        <v>1</v>
      </c>
      <c r="I121">
        <v>1</v>
      </c>
    </row>
    <row r="122" spans="1:9" x14ac:dyDescent="0.25">
      <c r="A122">
        <v>121</v>
      </c>
      <c r="B122" s="40" t="s">
        <v>75</v>
      </c>
      <c r="C122" s="40" t="s">
        <v>100</v>
      </c>
      <c r="D122">
        <v>10</v>
      </c>
      <c r="E122">
        <v>30.400000000000002</v>
      </c>
      <c r="F122">
        <v>76</v>
      </c>
      <c r="G122">
        <v>39.520000000000003</v>
      </c>
      <c r="H122">
        <v>1</v>
      </c>
      <c r="I122">
        <v>1</v>
      </c>
    </row>
    <row r="123" spans="1:9" x14ac:dyDescent="0.25">
      <c r="A123">
        <v>122</v>
      </c>
      <c r="B123" s="40" t="s">
        <v>75</v>
      </c>
      <c r="C123" s="40" t="s">
        <v>101</v>
      </c>
      <c r="D123">
        <v>10</v>
      </c>
      <c r="E123">
        <v>135.6</v>
      </c>
      <c r="F123">
        <v>339</v>
      </c>
      <c r="G123">
        <v>176.28</v>
      </c>
      <c r="H123">
        <v>1</v>
      </c>
      <c r="I123">
        <v>1</v>
      </c>
    </row>
    <row r="124" spans="1:9" x14ac:dyDescent="0.25">
      <c r="A124">
        <v>123</v>
      </c>
      <c r="B124" s="40" t="s">
        <v>75</v>
      </c>
      <c r="C124" s="40" t="s">
        <v>102</v>
      </c>
      <c r="D124">
        <v>10</v>
      </c>
      <c r="E124">
        <v>45.2</v>
      </c>
      <c r="F124">
        <v>113</v>
      </c>
      <c r="G124">
        <v>58.760000000000005</v>
      </c>
      <c r="H124">
        <v>1</v>
      </c>
      <c r="I124">
        <v>1</v>
      </c>
    </row>
    <row r="125" spans="1:9" x14ac:dyDescent="0.25">
      <c r="A125">
        <v>124</v>
      </c>
      <c r="B125" s="40" t="s">
        <v>75</v>
      </c>
      <c r="C125" s="40" t="s">
        <v>103</v>
      </c>
      <c r="D125">
        <v>10</v>
      </c>
      <c r="E125">
        <v>79.2</v>
      </c>
      <c r="F125">
        <v>198</v>
      </c>
      <c r="G125">
        <v>102.96000000000001</v>
      </c>
      <c r="H125">
        <v>1</v>
      </c>
      <c r="I125">
        <v>1</v>
      </c>
    </row>
    <row r="126" spans="1:9" x14ac:dyDescent="0.25">
      <c r="A126">
        <v>125</v>
      </c>
      <c r="B126" s="40" t="s">
        <v>75</v>
      </c>
      <c r="C126" s="40" t="s">
        <v>1215</v>
      </c>
      <c r="D126">
        <v>10</v>
      </c>
      <c r="E126">
        <v>77.2</v>
      </c>
      <c r="F126">
        <v>193</v>
      </c>
      <c r="G126">
        <v>100.36</v>
      </c>
      <c r="H126">
        <v>1</v>
      </c>
      <c r="I126">
        <v>1</v>
      </c>
    </row>
    <row r="127" spans="1:9" x14ac:dyDescent="0.25">
      <c r="A127">
        <v>126</v>
      </c>
      <c r="B127" s="40" t="s">
        <v>75</v>
      </c>
      <c r="C127" s="40" t="s">
        <v>104</v>
      </c>
      <c r="D127">
        <v>10</v>
      </c>
      <c r="E127">
        <v>26.400000000000002</v>
      </c>
      <c r="F127">
        <v>66</v>
      </c>
      <c r="G127">
        <v>34.32</v>
      </c>
      <c r="H127">
        <v>1</v>
      </c>
      <c r="I127">
        <v>1</v>
      </c>
    </row>
    <row r="128" spans="1:9" x14ac:dyDescent="0.25">
      <c r="A128">
        <v>127</v>
      </c>
      <c r="B128" s="40" t="s">
        <v>75</v>
      </c>
      <c r="C128" s="40" t="s">
        <v>105</v>
      </c>
      <c r="D128">
        <v>10</v>
      </c>
      <c r="E128">
        <v>119.2</v>
      </c>
      <c r="F128">
        <v>298</v>
      </c>
      <c r="G128">
        <v>154.96</v>
      </c>
      <c r="H128">
        <v>1</v>
      </c>
      <c r="I128">
        <v>1</v>
      </c>
    </row>
    <row r="129" spans="1:9" x14ac:dyDescent="0.25">
      <c r="A129">
        <v>128</v>
      </c>
      <c r="B129" s="40" t="s">
        <v>75</v>
      </c>
      <c r="C129" s="40" t="s">
        <v>106</v>
      </c>
      <c r="D129">
        <v>10</v>
      </c>
      <c r="E129">
        <v>225.20000000000002</v>
      </c>
      <c r="F129">
        <v>563</v>
      </c>
      <c r="G129">
        <v>292.76</v>
      </c>
      <c r="H129">
        <v>1</v>
      </c>
      <c r="I129">
        <v>1</v>
      </c>
    </row>
    <row r="130" spans="1:9" x14ac:dyDescent="0.25">
      <c r="A130">
        <v>129</v>
      </c>
      <c r="B130" s="40" t="s">
        <v>75</v>
      </c>
      <c r="C130" s="40" t="s">
        <v>107</v>
      </c>
      <c r="D130">
        <v>10</v>
      </c>
      <c r="E130">
        <v>374</v>
      </c>
      <c r="F130">
        <v>935</v>
      </c>
      <c r="G130">
        <v>486.2</v>
      </c>
      <c r="H130">
        <v>1</v>
      </c>
      <c r="I130">
        <v>1</v>
      </c>
    </row>
    <row r="131" spans="1:9" x14ac:dyDescent="0.25">
      <c r="A131">
        <v>130</v>
      </c>
      <c r="B131" s="40" t="s">
        <v>75</v>
      </c>
      <c r="C131" s="40" t="s">
        <v>108</v>
      </c>
      <c r="D131">
        <v>10</v>
      </c>
      <c r="E131">
        <v>165.60000000000002</v>
      </c>
      <c r="F131">
        <v>414</v>
      </c>
      <c r="G131">
        <v>215.28</v>
      </c>
      <c r="H131">
        <v>1</v>
      </c>
      <c r="I131">
        <v>1</v>
      </c>
    </row>
    <row r="132" spans="1:9" x14ac:dyDescent="0.25">
      <c r="A132">
        <v>131</v>
      </c>
      <c r="B132" s="40" t="s">
        <v>75</v>
      </c>
      <c r="C132" s="40" t="s">
        <v>109</v>
      </c>
      <c r="D132">
        <v>10</v>
      </c>
      <c r="E132">
        <v>518</v>
      </c>
      <c r="F132">
        <v>1295</v>
      </c>
      <c r="G132">
        <v>673.4</v>
      </c>
      <c r="H132">
        <v>1</v>
      </c>
      <c r="I132">
        <v>1</v>
      </c>
    </row>
    <row r="133" spans="1:9" x14ac:dyDescent="0.25">
      <c r="A133">
        <v>132</v>
      </c>
      <c r="B133" s="40" t="s">
        <v>75</v>
      </c>
      <c r="C133" s="40" t="s">
        <v>1602</v>
      </c>
      <c r="D133">
        <v>10</v>
      </c>
      <c r="E133">
        <v>245.20000000000002</v>
      </c>
      <c r="F133">
        <v>613</v>
      </c>
      <c r="G133">
        <v>318.76</v>
      </c>
      <c r="H133">
        <v>1</v>
      </c>
      <c r="I133">
        <v>1</v>
      </c>
    </row>
    <row r="134" spans="1:9" x14ac:dyDescent="0.25">
      <c r="A134">
        <v>133</v>
      </c>
      <c r="B134" s="40" t="s">
        <v>75</v>
      </c>
      <c r="C134" s="40" t="s">
        <v>1603</v>
      </c>
      <c r="D134">
        <v>10</v>
      </c>
      <c r="E134">
        <v>1026.4000000000001</v>
      </c>
      <c r="F134">
        <v>2566</v>
      </c>
      <c r="G134">
        <v>1334.32</v>
      </c>
      <c r="H134">
        <v>1</v>
      </c>
      <c r="I134">
        <v>1</v>
      </c>
    </row>
    <row r="135" spans="1:9" x14ac:dyDescent="0.25">
      <c r="A135">
        <v>134</v>
      </c>
      <c r="B135" s="40" t="s">
        <v>75</v>
      </c>
      <c r="C135" s="40" t="s">
        <v>110</v>
      </c>
      <c r="D135">
        <v>10</v>
      </c>
      <c r="E135">
        <v>40.800000000000004</v>
      </c>
      <c r="F135">
        <v>102</v>
      </c>
      <c r="G135">
        <v>53.04</v>
      </c>
      <c r="H135">
        <v>1</v>
      </c>
      <c r="I135">
        <v>1</v>
      </c>
    </row>
    <row r="136" spans="1:9" x14ac:dyDescent="0.25">
      <c r="A136">
        <v>135</v>
      </c>
      <c r="B136" s="40" t="s">
        <v>75</v>
      </c>
      <c r="C136" s="40" t="s">
        <v>111</v>
      </c>
      <c r="D136">
        <v>10</v>
      </c>
      <c r="E136">
        <v>213.60000000000002</v>
      </c>
      <c r="F136">
        <v>534</v>
      </c>
      <c r="G136">
        <v>277.68</v>
      </c>
      <c r="H136">
        <v>1</v>
      </c>
      <c r="I136">
        <v>1</v>
      </c>
    </row>
    <row r="137" spans="1:9" x14ac:dyDescent="0.25">
      <c r="A137">
        <v>136</v>
      </c>
      <c r="B137" s="40" t="s">
        <v>75</v>
      </c>
      <c r="C137" s="40" t="s">
        <v>112</v>
      </c>
      <c r="D137">
        <v>10</v>
      </c>
      <c r="E137">
        <v>579.6</v>
      </c>
      <c r="F137">
        <v>1449</v>
      </c>
      <c r="G137">
        <v>753.48</v>
      </c>
      <c r="H137">
        <v>1</v>
      </c>
      <c r="I137">
        <v>1</v>
      </c>
    </row>
    <row r="138" spans="1:9" x14ac:dyDescent="0.25">
      <c r="A138">
        <v>137</v>
      </c>
      <c r="B138" s="40" t="s">
        <v>75</v>
      </c>
      <c r="C138" s="40" t="s">
        <v>113</v>
      </c>
      <c r="D138">
        <v>10</v>
      </c>
      <c r="E138">
        <v>79.2</v>
      </c>
      <c r="F138">
        <v>198</v>
      </c>
      <c r="G138">
        <v>102.96000000000001</v>
      </c>
      <c r="H138">
        <v>1</v>
      </c>
      <c r="I138">
        <v>1</v>
      </c>
    </row>
    <row r="139" spans="1:9" x14ac:dyDescent="0.25">
      <c r="A139">
        <v>138</v>
      </c>
      <c r="B139" s="40" t="s">
        <v>75</v>
      </c>
      <c r="C139" s="40" t="s">
        <v>114</v>
      </c>
      <c r="D139">
        <v>10</v>
      </c>
      <c r="E139">
        <v>98.4</v>
      </c>
      <c r="F139">
        <v>246</v>
      </c>
      <c r="G139">
        <v>127.92</v>
      </c>
      <c r="H139">
        <v>1</v>
      </c>
      <c r="I139">
        <v>1</v>
      </c>
    </row>
    <row r="140" spans="1:9" x14ac:dyDescent="0.25">
      <c r="A140">
        <v>139</v>
      </c>
      <c r="B140" s="40" t="s">
        <v>75</v>
      </c>
      <c r="C140" s="40" t="s">
        <v>115</v>
      </c>
      <c r="D140">
        <v>10</v>
      </c>
      <c r="E140">
        <v>335.6</v>
      </c>
      <c r="F140">
        <v>839</v>
      </c>
      <c r="G140">
        <v>436.28000000000003</v>
      </c>
      <c r="H140">
        <v>1</v>
      </c>
      <c r="I140">
        <v>1</v>
      </c>
    </row>
    <row r="141" spans="1:9" x14ac:dyDescent="0.25">
      <c r="A141">
        <v>140</v>
      </c>
      <c r="B141" s="40" t="s">
        <v>75</v>
      </c>
      <c r="C141" s="40" t="s">
        <v>116</v>
      </c>
      <c r="D141">
        <v>10</v>
      </c>
      <c r="E141">
        <v>39.200000000000003</v>
      </c>
      <c r="F141">
        <v>98</v>
      </c>
      <c r="G141">
        <v>50.96</v>
      </c>
      <c r="H141">
        <v>1</v>
      </c>
      <c r="I141">
        <v>1</v>
      </c>
    </row>
    <row r="142" spans="1:9" x14ac:dyDescent="0.25">
      <c r="A142">
        <v>141</v>
      </c>
      <c r="B142" s="40" t="s">
        <v>75</v>
      </c>
      <c r="C142" s="40" t="s">
        <v>117</v>
      </c>
      <c r="D142">
        <v>10</v>
      </c>
      <c r="E142">
        <v>62</v>
      </c>
      <c r="F142">
        <v>155</v>
      </c>
      <c r="G142">
        <v>80.600000000000009</v>
      </c>
      <c r="H142">
        <v>1</v>
      </c>
      <c r="I142">
        <v>1</v>
      </c>
    </row>
    <row r="143" spans="1:9" x14ac:dyDescent="0.25">
      <c r="A143">
        <v>142</v>
      </c>
      <c r="B143" s="40" t="s">
        <v>75</v>
      </c>
      <c r="C143" s="40" t="s">
        <v>118</v>
      </c>
      <c r="D143">
        <v>10</v>
      </c>
      <c r="E143">
        <v>83.600000000000009</v>
      </c>
      <c r="F143">
        <v>209</v>
      </c>
      <c r="G143">
        <v>108.68</v>
      </c>
      <c r="H143">
        <v>1</v>
      </c>
      <c r="I143">
        <v>1</v>
      </c>
    </row>
    <row r="144" spans="1:9" x14ac:dyDescent="0.25">
      <c r="A144">
        <v>143</v>
      </c>
      <c r="B144" s="40" t="s">
        <v>75</v>
      </c>
      <c r="C144" s="40" t="s">
        <v>119</v>
      </c>
      <c r="D144">
        <v>10</v>
      </c>
      <c r="E144">
        <v>190.8</v>
      </c>
      <c r="F144">
        <v>477</v>
      </c>
      <c r="G144">
        <v>248.04000000000002</v>
      </c>
      <c r="H144">
        <v>1</v>
      </c>
      <c r="I144">
        <v>1</v>
      </c>
    </row>
    <row r="145" spans="1:9" x14ac:dyDescent="0.25">
      <c r="A145">
        <v>144</v>
      </c>
      <c r="B145" s="40" t="s">
        <v>75</v>
      </c>
      <c r="C145" s="40" t="s">
        <v>120</v>
      </c>
      <c r="D145">
        <v>10</v>
      </c>
      <c r="E145">
        <v>329.20000000000005</v>
      </c>
      <c r="F145">
        <v>823</v>
      </c>
      <c r="G145">
        <v>427.96000000000004</v>
      </c>
      <c r="H145">
        <v>1</v>
      </c>
      <c r="I145">
        <v>1</v>
      </c>
    </row>
    <row r="146" spans="1:9" x14ac:dyDescent="0.25">
      <c r="A146">
        <v>145</v>
      </c>
      <c r="B146" s="40" t="s">
        <v>75</v>
      </c>
      <c r="C146" s="40" t="s">
        <v>121</v>
      </c>
      <c r="D146">
        <v>10</v>
      </c>
      <c r="E146">
        <v>62.800000000000004</v>
      </c>
      <c r="F146">
        <v>157</v>
      </c>
      <c r="G146">
        <v>81.64</v>
      </c>
      <c r="H146">
        <v>1</v>
      </c>
      <c r="I146">
        <v>1</v>
      </c>
    </row>
    <row r="147" spans="1:9" x14ac:dyDescent="0.25">
      <c r="A147">
        <v>146</v>
      </c>
      <c r="B147" s="40" t="s">
        <v>75</v>
      </c>
      <c r="C147" s="40" t="s">
        <v>1612</v>
      </c>
      <c r="D147">
        <v>10</v>
      </c>
      <c r="E147">
        <v>35.200000000000003</v>
      </c>
      <c r="F147">
        <v>88</v>
      </c>
      <c r="G147">
        <v>45.760000000000005</v>
      </c>
      <c r="H147">
        <v>1</v>
      </c>
      <c r="I147">
        <v>1</v>
      </c>
    </row>
    <row r="148" spans="1:9" x14ac:dyDescent="0.25">
      <c r="A148">
        <v>147</v>
      </c>
      <c r="B148" s="40" t="s">
        <v>75</v>
      </c>
      <c r="C148" s="40" t="s">
        <v>1613</v>
      </c>
      <c r="D148">
        <v>10</v>
      </c>
      <c r="E148">
        <v>61.6</v>
      </c>
      <c r="F148">
        <v>154</v>
      </c>
      <c r="G148">
        <v>80.08</v>
      </c>
      <c r="H148">
        <v>1</v>
      </c>
      <c r="I148">
        <v>1</v>
      </c>
    </row>
    <row r="149" spans="1:9" x14ac:dyDescent="0.25">
      <c r="A149">
        <v>148</v>
      </c>
      <c r="B149" s="40" t="s">
        <v>75</v>
      </c>
      <c r="C149" s="40" t="s">
        <v>1614</v>
      </c>
      <c r="D149">
        <v>10</v>
      </c>
      <c r="E149">
        <v>25.6</v>
      </c>
      <c r="F149">
        <v>64</v>
      </c>
      <c r="G149">
        <v>33.28</v>
      </c>
      <c r="H149">
        <v>1</v>
      </c>
      <c r="I149">
        <v>1</v>
      </c>
    </row>
    <row r="150" spans="1:9" x14ac:dyDescent="0.25">
      <c r="A150">
        <v>149</v>
      </c>
      <c r="B150" s="40" t="s">
        <v>75</v>
      </c>
      <c r="C150" s="40" t="s">
        <v>1615</v>
      </c>
      <c r="D150">
        <v>10</v>
      </c>
      <c r="E150">
        <v>54.800000000000004</v>
      </c>
      <c r="F150">
        <v>137</v>
      </c>
      <c r="G150">
        <v>71.240000000000009</v>
      </c>
      <c r="H150">
        <v>1</v>
      </c>
      <c r="I150">
        <v>1</v>
      </c>
    </row>
    <row r="151" spans="1:9" x14ac:dyDescent="0.25">
      <c r="A151">
        <v>150</v>
      </c>
      <c r="B151" s="40" t="s">
        <v>75</v>
      </c>
      <c r="C151" s="40" t="s">
        <v>122</v>
      </c>
      <c r="D151">
        <v>10</v>
      </c>
      <c r="E151">
        <v>29.200000000000003</v>
      </c>
      <c r="F151">
        <v>73</v>
      </c>
      <c r="G151">
        <v>37.96</v>
      </c>
      <c r="H151">
        <v>1</v>
      </c>
      <c r="I151">
        <v>1</v>
      </c>
    </row>
    <row r="152" spans="1:9" x14ac:dyDescent="0.25">
      <c r="A152">
        <v>151</v>
      </c>
      <c r="B152" s="40" t="s">
        <v>75</v>
      </c>
      <c r="C152" s="40" t="s">
        <v>123</v>
      </c>
      <c r="D152">
        <v>10</v>
      </c>
      <c r="E152">
        <v>112.80000000000001</v>
      </c>
      <c r="F152">
        <v>282</v>
      </c>
      <c r="G152">
        <v>146.64000000000001</v>
      </c>
      <c r="H152">
        <v>1</v>
      </c>
      <c r="I152">
        <v>1</v>
      </c>
    </row>
    <row r="153" spans="1:9" x14ac:dyDescent="0.25">
      <c r="A153">
        <v>152</v>
      </c>
      <c r="B153" s="40" t="s">
        <v>75</v>
      </c>
      <c r="C153" s="40" t="s">
        <v>124</v>
      </c>
      <c r="D153">
        <v>10</v>
      </c>
      <c r="E153">
        <v>42</v>
      </c>
      <c r="F153">
        <v>105</v>
      </c>
      <c r="G153">
        <v>54.6</v>
      </c>
      <c r="H153">
        <v>1</v>
      </c>
      <c r="I153">
        <v>1</v>
      </c>
    </row>
    <row r="154" spans="1:9" x14ac:dyDescent="0.25">
      <c r="A154">
        <v>153</v>
      </c>
      <c r="B154" s="40" t="s">
        <v>75</v>
      </c>
      <c r="C154" s="40" t="s">
        <v>125</v>
      </c>
      <c r="D154">
        <v>10</v>
      </c>
      <c r="E154">
        <v>39.6</v>
      </c>
      <c r="F154">
        <v>99</v>
      </c>
      <c r="G154">
        <v>51.480000000000004</v>
      </c>
      <c r="H154">
        <v>1</v>
      </c>
      <c r="I154">
        <v>1</v>
      </c>
    </row>
    <row r="155" spans="1:9" x14ac:dyDescent="0.25">
      <c r="A155">
        <v>154</v>
      </c>
      <c r="B155" s="40" t="s">
        <v>75</v>
      </c>
      <c r="C155" s="40" t="s">
        <v>126</v>
      </c>
      <c r="D155">
        <v>10</v>
      </c>
      <c r="E155">
        <v>23.6</v>
      </c>
      <c r="F155">
        <v>59</v>
      </c>
      <c r="G155">
        <v>30.68</v>
      </c>
      <c r="H155">
        <v>1</v>
      </c>
      <c r="I155">
        <v>1</v>
      </c>
    </row>
    <row r="156" spans="1:9" x14ac:dyDescent="0.25">
      <c r="A156">
        <v>155</v>
      </c>
      <c r="B156" s="40" t="s">
        <v>75</v>
      </c>
      <c r="C156" s="40" t="s">
        <v>1616</v>
      </c>
      <c r="D156">
        <v>10</v>
      </c>
      <c r="E156">
        <v>25.6</v>
      </c>
      <c r="F156">
        <v>64</v>
      </c>
      <c r="G156">
        <v>33.28</v>
      </c>
      <c r="H156">
        <v>1</v>
      </c>
      <c r="I156">
        <v>1</v>
      </c>
    </row>
    <row r="157" spans="1:9" x14ac:dyDescent="0.25">
      <c r="A157">
        <v>156</v>
      </c>
      <c r="B157" s="40" t="s">
        <v>75</v>
      </c>
      <c r="C157" s="40" t="s">
        <v>127</v>
      </c>
      <c r="D157">
        <v>10</v>
      </c>
      <c r="E157">
        <v>42.400000000000006</v>
      </c>
      <c r="F157">
        <v>106</v>
      </c>
      <c r="G157">
        <v>55.120000000000005</v>
      </c>
      <c r="H157">
        <v>1</v>
      </c>
      <c r="I157">
        <v>1</v>
      </c>
    </row>
    <row r="158" spans="1:9" x14ac:dyDescent="0.25">
      <c r="A158">
        <v>157</v>
      </c>
      <c r="B158" s="40" t="s">
        <v>75</v>
      </c>
      <c r="C158" s="40" t="s">
        <v>128</v>
      </c>
      <c r="D158">
        <v>10</v>
      </c>
      <c r="E158">
        <v>143.6</v>
      </c>
      <c r="F158">
        <v>359</v>
      </c>
      <c r="G158">
        <v>186.68</v>
      </c>
      <c r="H158">
        <v>1</v>
      </c>
      <c r="I158">
        <v>1</v>
      </c>
    </row>
    <row r="159" spans="1:9" x14ac:dyDescent="0.25">
      <c r="A159">
        <v>158</v>
      </c>
      <c r="B159" s="40" t="s">
        <v>75</v>
      </c>
      <c r="C159" s="40" t="s">
        <v>129</v>
      </c>
      <c r="D159">
        <v>10</v>
      </c>
      <c r="E159">
        <v>309.60000000000002</v>
      </c>
      <c r="F159">
        <v>774</v>
      </c>
      <c r="G159">
        <v>402.48</v>
      </c>
      <c r="H159">
        <v>1</v>
      </c>
      <c r="I159">
        <v>1</v>
      </c>
    </row>
    <row r="160" spans="1:9" x14ac:dyDescent="0.25">
      <c r="A160">
        <v>159</v>
      </c>
      <c r="B160" s="40" t="s">
        <v>75</v>
      </c>
      <c r="C160" s="40" t="s">
        <v>130</v>
      </c>
      <c r="D160">
        <v>10</v>
      </c>
      <c r="E160">
        <v>48</v>
      </c>
      <c r="F160">
        <v>120</v>
      </c>
      <c r="G160">
        <v>62.400000000000006</v>
      </c>
      <c r="H160">
        <v>1</v>
      </c>
      <c r="I160">
        <v>1</v>
      </c>
    </row>
    <row r="161" spans="1:9" x14ac:dyDescent="0.25">
      <c r="A161">
        <v>160</v>
      </c>
      <c r="B161" s="40" t="s">
        <v>75</v>
      </c>
      <c r="C161" s="40" t="s">
        <v>131</v>
      </c>
      <c r="D161">
        <v>10</v>
      </c>
      <c r="E161">
        <v>25.6</v>
      </c>
      <c r="F161">
        <v>64</v>
      </c>
      <c r="G161">
        <v>33.28</v>
      </c>
      <c r="H161">
        <v>1</v>
      </c>
      <c r="I161">
        <v>1</v>
      </c>
    </row>
    <row r="162" spans="1:9" x14ac:dyDescent="0.25">
      <c r="A162">
        <v>161</v>
      </c>
      <c r="B162" s="40" t="s">
        <v>75</v>
      </c>
      <c r="C162" s="40" t="s">
        <v>1604</v>
      </c>
      <c r="D162">
        <v>10</v>
      </c>
      <c r="E162">
        <v>237.20000000000002</v>
      </c>
      <c r="F162">
        <v>593</v>
      </c>
      <c r="G162">
        <v>308.36</v>
      </c>
      <c r="H162">
        <v>1</v>
      </c>
      <c r="I162">
        <v>1</v>
      </c>
    </row>
    <row r="163" spans="1:9" x14ac:dyDescent="0.25">
      <c r="A163">
        <v>162</v>
      </c>
      <c r="B163" s="40" t="s">
        <v>75</v>
      </c>
      <c r="C163" s="40" t="s">
        <v>1605</v>
      </c>
      <c r="D163">
        <v>10</v>
      </c>
      <c r="E163">
        <v>1631.2</v>
      </c>
      <c r="F163">
        <v>4078</v>
      </c>
      <c r="G163">
        <v>2120.56</v>
      </c>
      <c r="H163">
        <v>1</v>
      </c>
      <c r="I163">
        <v>1</v>
      </c>
    </row>
    <row r="164" spans="1:9" x14ac:dyDescent="0.25">
      <c r="A164">
        <v>163</v>
      </c>
      <c r="B164" s="40" t="s">
        <v>75</v>
      </c>
      <c r="C164" s="40" t="s">
        <v>1483</v>
      </c>
      <c r="D164">
        <v>10</v>
      </c>
      <c r="E164">
        <v>77.2</v>
      </c>
      <c r="F164">
        <v>193</v>
      </c>
      <c r="G164">
        <v>100.36</v>
      </c>
      <c r="H164">
        <v>1</v>
      </c>
      <c r="I164">
        <v>1</v>
      </c>
    </row>
    <row r="165" spans="1:9" x14ac:dyDescent="0.25">
      <c r="A165">
        <v>164</v>
      </c>
      <c r="B165" s="40" t="s">
        <v>75</v>
      </c>
      <c r="C165" s="40" t="s">
        <v>1606</v>
      </c>
      <c r="D165">
        <v>10</v>
      </c>
      <c r="E165">
        <v>46.400000000000006</v>
      </c>
      <c r="F165">
        <v>116</v>
      </c>
      <c r="G165">
        <v>60.32</v>
      </c>
      <c r="H165">
        <v>1</v>
      </c>
      <c r="I165">
        <v>1</v>
      </c>
    </row>
    <row r="166" spans="1:9" x14ac:dyDescent="0.25">
      <c r="A166">
        <v>165</v>
      </c>
      <c r="B166" s="40" t="s">
        <v>75</v>
      </c>
      <c r="C166" s="40" t="s">
        <v>1609</v>
      </c>
      <c r="D166">
        <v>10</v>
      </c>
      <c r="E166">
        <v>156.80000000000001</v>
      </c>
      <c r="F166">
        <v>392</v>
      </c>
      <c r="G166">
        <v>203.84</v>
      </c>
      <c r="H166">
        <v>1</v>
      </c>
      <c r="I166">
        <v>1</v>
      </c>
    </row>
    <row r="167" spans="1:9" x14ac:dyDescent="0.25">
      <c r="A167">
        <v>166</v>
      </c>
      <c r="B167" s="40" t="s">
        <v>75</v>
      </c>
      <c r="C167" s="40" t="s">
        <v>1223</v>
      </c>
      <c r="D167">
        <v>10</v>
      </c>
      <c r="E167">
        <v>57.2</v>
      </c>
      <c r="F167">
        <v>143</v>
      </c>
      <c r="G167">
        <v>74.36</v>
      </c>
      <c r="H167">
        <v>1</v>
      </c>
      <c r="I167">
        <v>1</v>
      </c>
    </row>
    <row r="168" spans="1:9" x14ac:dyDescent="0.25">
      <c r="A168">
        <v>167</v>
      </c>
      <c r="B168" s="40" t="s">
        <v>75</v>
      </c>
      <c r="C168" s="40" t="s">
        <v>132</v>
      </c>
      <c r="D168">
        <v>10</v>
      </c>
      <c r="E168">
        <v>143.6</v>
      </c>
      <c r="F168">
        <v>359</v>
      </c>
      <c r="G168">
        <v>186.68</v>
      </c>
      <c r="H168">
        <v>1</v>
      </c>
      <c r="I168">
        <v>1</v>
      </c>
    </row>
    <row r="169" spans="1:9" x14ac:dyDescent="0.25">
      <c r="A169">
        <v>168</v>
      </c>
      <c r="B169" s="40" t="s">
        <v>75</v>
      </c>
      <c r="C169" s="40" t="s">
        <v>133</v>
      </c>
      <c r="D169">
        <v>10</v>
      </c>
      <c r="E169">
        <v>263.60000000000002</v>
      </c>
      <c r="F169">
        <v>659</v>
      </c>
      <c r="G169">
        <v>342.68</v>
      </c>
      <c r="H169">
        <v>1</v>
      </c>
      <c r="I169">
        <v>1</v>
      </c>
    </row>
    <row r="170" spans="1:9" x14ac:dyDescent="0.25">
      <c r="A170">
        <v>169</v>
      </c>
      <c r="B170" s="40" t="s">
        <v>75</v>
      </c>
      <c r="C170" s="40" t="s">
        <v>1216</v>
      </c>
      <c r="D170">
        <v>10</v>
      </c>
      <c r="E170">
        <v>511.20000000000005</v>
      </c>
      <c r="F170">
        <v>1278</v>
      </c>
      <c r="G170">
        <v>664.56000000000006</v>
      </c>
      <c r="H170">
        <v>1</v>
      </c>
      <c r="I170">
        <v>1</v>
      </c>
    </row>
    <row r="171" spans="1:9" x14ac:dyDescent="0.25">
      <c r="A171">
        <v>170</v>
      </c>
      <c r="B171" s="40" t="s">
        <v>75</v>
      </c>
      <c r="C171" s="40" t="s">
        <v>134</v>
      </c>
      <c r="D171">
        <v>10</v>
      </c>
      <c r="E171">
        <v>154</v>
      </c>
      <c r="F171">
        <v>385</v>
      </c>
      <c r="G171">
        <v>200.20000000000002</v>
      </c>
      <c r="H171">
        <v>1</v>
      </c>
      <c r="I171">
        <v>1</v>
      </c>
    </row>
    <row r="172" spans="1:9" x14ac:dyDescent="0.25">
      <c r="A172">
        <v>171</v>
      </c>
      <c r="B172" s="40" t="s">
        <v>75</v>
      </c>
      <c r="C172" s="40" t="s">
        <v>135</v>
      </c>
      <c r="D172">
        <v>10</v>
      </c>
      <c r="E172">
        <v>29.200000000000003</v>
      </c>
      <c r="F172">
        <v>73</v>
      </c>
      <c r="G172">
        <v>37.96</v>
      </c>
      <c r="H172">
        <v>1</v>
      </c>
      <c r="I172">
        <v>1</v>
      </c>
    </row>
    <row r="173" spans="1:9" x14ac:dyDescent="0.25">
      <c r="A173">
        <v>172</v>
      </c>
      <c r="B173" s="40" t="s">
        <v>75</v>
      </c>
      <c r="C173" s="40" t="s">
        <v>136</v>
      </c>
      <c r="D173">
        <v>10</v>
      </c>
      <c r="E173">
        <v>165.60000000000002</v>
      </c>
      <c r="F173">
        <v>414</v>
      </c>
      <c r="G173">
        <v>215.28</v>
      </c>
      <c r="H173">
        <v>1</v>
      </c>
      <c r="I173">
        <v>1</v>
      </c>
    </row>
    <row r="174" spans="1:9" x14ac:dyDescent="0.25">
      <c r="A174">
        <v>173</v>
      </c>
      <c r="B174" s="40" t="s">
        <v>75</v>
      </c>
      <c r="C174" s="40" t="s">
        <v>137</v>
      </c>
      <c r="D174">
        <v>10</v>
      </c>
      <c r="E174">
        <v>295.60000000000002</v>
      </c>
      <c r="F174">
        <v>739</v>
      </c>
      <c r="G174">
        <v>384.28000000000003</v>
      </c>
      <c r="H174">
        <v>1</v>
      </c>
      <c r="I174">
        <v>1</v>
      </c>
    </row>
    <row r="175" spans="1:9" x14ac:dyDescent="0.25">
      <c r="A175">
        <v>174</v>
      </c>
      <c r="B175" s="40" t="s">
        <v>75</v>
      </c>
      <c r="C175" s="40" t="s">
        <v>138</v>
      </c>
      <c r="D175">
        <v>10</v>
      </c>
      <c r="E175">
        <v>50.800000000000004</v>
      </c>
      <c r="F175">
        <v>127</v>
      </c>
      <c r="G175">
        <v>66.040000000000006</v>
      </c>
      <c r="H175">
        <v>1</v>
      </c>
      <c r="I175">
        <v>1</v>
      </c>
    </row>
    <row r="176" spans="1:9" x14ac:dyDescent="0.25">
      <c r="A176">
        <v>175</v>
      </c>
      <c r="B176" s="40" t="s">
        <v>75</v>
      </c>
      <c r="C176" s="40" t="s">
        <v>1610</v>
      </c>
      <c r="D176">
        <v>10</v>
      </c>
      <c r="E176">
        <v>39.6</v>
      </c>
      <c r="F176">
        <v>99</v>
      </c>
      <c r="G176">
        <v>51.480000000000004</v>
      </c>
      <c r="H176">
        <v>1</v>
      </c>
      <c r="I176">
        <v>1</v>
      </c>
    </row>
    <row r="177" spans="1:9" x14ac:dyDescent="0.25">
      <c r="A177">
        <v>176</v>
      </c>
      <c r="B177" s="40" t="s">
        <v>75</v>
      </c>
      <c r="C177" s="40" t="s">
        <v>1611</v>
      </c>
      <c r="D177">
        <v>10</v>
      </c>
      <c r="E177">
        <v>22.400000000000002</v>
      </c>
      <c r="F177">
        <v>56</v>
      </c>
      <c r="G177">
        <v>29.12</v>
      </c>
      <c r="H177">
        <v>1</v>
      </c>
      <c r="I177">
        <v>1</v>
      </c>
    </row>
    <row r="178" spans="1:9" x14ac:dyDescent="0.25">
      <c r="A178">
        <v>177</v>
      </c>
      <c r="B178" s="40" t="s">
        <v>75</v>
      </c>
      <c r="C178" s="40" t="s">
        <v>139</v>
      </c>
      <c r="D178">
        <v>10</v>
      </c>
      <c r="E178">
        <v>38.400000000000006</v>
      </c>
      <c r="F178">
        <v>96</v>
      </c>
      <c r="G178">
        <v>49.92</v>
      </c>
      <c r="H178">
        <v>1</v>
      </c>
      <c r="I178">
        <v>1</v>
      </c>
    </row>
    <row r="179" spans="1:9" x14ac:dyDescent="0.25">
      <c r="A179">
        <v>178</v>
      </c>
      <c r="B179" s="40" t="s">
        <v>75</v>
      </c>
      <c r="C179" s="40" t="s">
        <v>1217</v>
      </c>
      <c r="D179">
        <v>10</v>
      </c>
      <c r="E179">
        <v>79.600000000000009</v>
      </c>
      <c r="F179">
        <v>199</v>
      </c>
      <c r="G179">
        <v>103.48</v>
      </c>
      <c r="H179">
        <v>1</v>
      </c>
      <c r="I179">
        <v>1</v>
      </c>
    </row>
    <row r="180" spans="1:9" x14ac:dyDescent="0.25">
      <c r="A180">
        <v>179</v>
      </c>
      <c r="B180" s="40" t="s">
        <v>75</v>
      </c>
      <c r="C180" s="40" t="s">
        <v>1218</v>
      </c>
      <c r="D180">
        <v>10</v>
      </c>
      <c r="E180">
        <v>105.60000000000001</v>
      </c>
      <c r="F180">
        <v>264</v>
      </c>
      <c r="G180">
        <v>137.28</v>
      </c>
      <c r="H180">
        <v>1</v>
      </c>
      <c r="I180">
        <v>1</v>
      </c>
    </row>
    <row r="181" spans="1:9" x14ac:dyDescent="0.25">
      <c r="A181">
        <v>180</v>
      </c>
      <c r="B181" s="40" t="s">
        <v>75</v>
      </c>
      <c r="C181" s="40" t="s">
        <v>140</v>
      </c>
      <c r="D181">
        <v>10</v>
      </c>
      <c r="E181">
        <v>204</v>
      </c>
      <c r="F181">
        <v>510</v>
      </c>
      <c r="G181">
        <v>265.2</v>
      </c>
      <c r="H181">
        <v>1</v>
      </c>
      <c r="I181">
        <v>1</v>
      </c>
    </row>
    <row r="182" spans="1:9" x14ac:dyDescent="0.25">
      <c r="A182">
        <v>181</v>
      </c>
      <c r="B182" s="40" t="s">
        <v>75</v>
      </c>
      <c r="C182" s="40" t="s">
        <v>1484</v>
      </c>
      <c r="D182">
        <v>10</v>
      </c>
      <c r="E182">
        <v>1086.8</v>
      </c>
      <c r="F182">
        <v>2717</v>
      </c>
      <c r="G182">
        <v>1412.8400000000001</v>
      </c>
      <c r="H182">
        <v>1</v>
      </c>
      <c r="I182">
        <v>1</v>
      </c>
    </row>
    <row r="183" spans="1:9" x14ac:dyDescent="0.25">
      <c r="A183">
        <v>182</v>
      </c>
      <c r="B183" s="40" t="s">
        <v>75</v>
      </c>
      <c r="C183" s="40" t="s">
        <v>141</v>
      </c>
      <c r="D183">
        <v>10</v>
      </c>
      <c r="E183">
        <v>70</v>
      </c>
      <c r="F183">
        <v>175</v>
      </c>
      <c r="G183">
        <v>91</v>
      </c>
      <c r="H183">
        <v>1</v>
      </c>
      <c r="I183">
        <v>1</v>
      </c>
    </row>
    <row r="184" spans="1:9" x14ac:dyDescent="0.25">
      <c r="A184">
        <v>183</v>
      </c>
      <c r="B184" s="40" t="s">
        <v>75</v>
      </c>
      <c r="C184" s="40" t="s">
        <v>142</v>
      </c>
      <c r="D184">
        <v>10</v>
      </c>
      <c r="E184">
        <v>29.6</v>
      </c>
      <c r="F184">
        <v>74</v>
      </c>
      <c r="G184">
        <v>38.480000000000004</v>
      </c>
      <c r="H184">
        <v>1</v>
      </c>
      <c r="I184">
        <v>1</v>
      </c>
    </row>
    <row r="185" spans="1:9" x14ac:dyDescent="0.25">
      <c r="A185">
        <v>184</v>
      </c>
      <c r="B185" s="40" t="s">
        <v>75</v>
      </c>
      <c r="C185" s="40" t="s">
        <v>143</v>
      </c>
      <c r="D185">
        <v>10</v>
      </c>
      <c r="E185">
        <v>50.400000000000006</v>
      </c>
      <c r="F185">
        <v>126</v>
      </c>
      <c r="G185">
        <v>65.52</v>
      </c>
      <c r="H185">
        <v>1</v>
      </c>
      <c r="I185">
        <v>1</v>
      </c>
    </row>
    <row r="186" spans="1:9" x14ac:dyDescent="0.25">
      <c r="A186">
        <v>185</v>
      </c>
      <c r="B186" s="40" t="s">
        <v>75</v>
      </c>
      <c r="C186" s="40" t="s">
        <v>144</v>
      </c>
      <c r="D186">
        <v>10</v>
      </c>
      <c r="E186">
        <v>39.6</v>
      </c>
      <c r="F186">
        <v>99</v>
      </c>
      <c r="G186">
        <v>51.480000000000004</v>
      </c>
      <c r="H186">
        <v>1</v>
      </c>
      <c r="I186">
        <v>1</v>
      </c>
    </row>
    <row r="187" spans="1:9" x14ac:dyDescent="0.25">
      <c r="A187">
        <v>186</v>
      </c>
      <c r="B187" s="40" t="s">
        <v>75</v>
      </c>
      <c r="C187" s="40" t="s">
        <v>145</v>
      </c>
      <c r="D187">
        <v>10</v>
      </c>
      <c r="E187">
        <v>175.60000000000002</v>
      </c>
      <c r="F187">
        <v>439</v>
      </c>
      <c r="G187">
        <v>228.28</v>
      </c>
      <c r="H187">
        <v>1</v>
      </c>
      <c r="I187">
        <v>1</v>
      </c>
    </row>
    <row r="188" spans="1:9" x14ac:dyDescent="0.25">
      <c r="A188">
        <v>187</v>
      </c>
      <c r="B188" s="40" t="s">
        <v>75</v>
      </c>
      <c r="C188" s="40" t="s">
        <v>1617</v>
      </c>
      <c r="D188">
        <v>10</v>
      </c>
      <c r="E188">
        <v>27.6</v>
      </c>
      <c r="F188">
        <v>69</v>
      </c>
      <c r="G188">
        <v>35.880000000000003</v>
      </c>
      <c r="H188">
        <v>1</v>
      </c>
      <c r="I188">
        <v>1</v>
      </c>
    </row>
    <row r="189" spans="1:9" x14ac:dyDescent="0.25">
      <c r="A189">
        <v>188</v>
      </c>
      <c r="B189" s="40" t="s">
        <v>75</v>
      </c>
      <c r="C189" s="40" t="s">
        <v>1618</v>
      </c>
      <c r="D189">
        <v>10</v>
      </c>
      <c r="E189">
        <v>42</v>
      </c>
      <c r="F189">
        <v>105</v>
      </c>
      <c r="G189">
        <v>54.6</v>
      </c>
      <c r="H189">
        <v>1</v>
      </c>
      <c r="I189">
        <v>1</v>
      </c>
    </row>
    <row r="190" spans="1:9" x14ac:dyDescent="0.25">
      <c r="A190">
        <v>189</v>
      </c>
      <c r="B190" s="40" t="s">
        <v>75</v>
      </c>
      <c r="C190" s="40" t="s">
        <v>1619</v>
      </c>
      <c r="D190">
        <v>10</v>
      </c>
      <c r="E190">
        <v>42.400000000000006</v>
      </c>
      <c r="F190">
        <v>106</v>
      </c>
      <c r="G190">
        <v>55.120000000000005</v>
      </c>
      <c r="H190">
        <v>1</v>
      </c>
      <c r="I190">
        <v>1</v>
      </c>
    </row>
    <row r="191" spans="1:9" x14ac:dyDescent="0.25">
      <c r="A191">
        <v>190</v>
      </c>
      <c r="B191" s="40" t="s">
        <v>75</v>
      </c>
      <c r="C191" s="40" t="s">
        <v>146</v>
      </c>
      <c r="D191">
        <v>10</v>
      </c>
      <c r="E191">
        <v>50</v>
      </c>
      <c r="F191">
        <v>125</v>
      </c>
      <c r="G191">
        <v>65</v>
      </c>
      <c r="H191">
        <v>1</v>
      </c>
      <c r="I191">
        <v>1</v>
      </c>
    </row>
    <row r="192" spans="1:9" x14ac:dyDescent="0.25">
      <c r="A192">
        <v>191</v>
      </c>
      <c r="B192" s="40" t="s">
        <v>75</v>
      </c>
      <c r="C192" s="40" t="s">
        <v>148</v>
      </c>
      <c r="D192">
        <v>10</v>
      </c>
      <c r="E192">
        <v>85.2</v>
      </c>
      <c r="F192">
        <v>213</v>
      </c>
      <c r="G192">
        <v>106.5</v>
      </c>
      <c r="H192">
        <v>1</v>
      </c>
      <c r="I192">
        <v>1</v>
      </c>
    </row>
    <row r="193" spans="1:9" x14ac:dyDescent="0.25">
      <c r="A193">
        <v>192</v>
      </c>
      <c r="B193" s="40" t="s">
        <v>75</v>
      </c>
      <c r="C193" s="40" t="s">
        <v>1620</v>
      </c>
      <c r="D193">
        <v>10</v>
      </c>
      <c r="E193">
        <v>85.2</v>
      </c>
      <c r="F193">
        <v>213</v>
      </c>
      <c r="G193">
        <v>106.5</v>
      </c>
      <c r="H193">
        <v>1</v>
      </c>
      <c r="I193">
        <v>1</v>
      </c>
    </row>
    <row r="194" spans="1:9" x14ac:dyDescent="0.25">
      <c r="A194">
        <v>193</v>
      </c>
      <c r="B194" s="40" t="s">
        <v>75</v>
      </c>
      <c r="C194" s="40" t="s">
        <v>149</v>
      </c>
      <c r="D194">
        <v>10</v>
      </c>
      <c r="E194">
        <v>74.400000000000006</v>
      </c>
      <c r="F194">
        <v>186</v>
      </c>
      <c r="G194">
        <v>93</v>
      </c>
      <c r="H194">
        <v>1</v>
      </c>
      <c r="I194">
        <v>1</v>
      </c>
    </row>
    <row r="195" spans="1:9" x14ac:dyDescent="0.25">
      <c r="A195">
        <v>194</v>
      </c>
      <c r="B195" s="40" t="s">
        <v>75</v>
      </c>
      <c r="C195" s="40" t="s">
        <v>150</v>
      </c>
      <c r="D195">
        <v>10</v>
      </c>
      <c r="E195">
        <v>94.4</v>
      </c>
      <c r="F195">
        <v>236</v>
      </c>
      <c r="G195">
        <v>118</v>
      </c>
      <c r="H195">
        <v>1</v>
      </c>
      <c r="I195">
        <v>1</v>
      </c>
    </row>
    <row r="196" spans="1:9" x14ac:dyDescent="0.25">
      <c r="A196">
        <v>195</v>
      </c>
      <c r="B196" s="40" t="s">
        <v>75</v>
      </c>
      <c r="C196" s="40" t="s">
        <v>1219</v>
      </c>
      <c r="D196">
        <v>10</v>
      </c>
      <c r="E196">
        <v>58.400000000000006</v>
      </c>
      <c r="F196">
        <v>146</v>
      </c>
      <c r="G196">
        <v>73</v>
      </c>
      <c r="H196">
        <v>1</v>
      </c>
      <c r="I196">
        <v>1</v>
      </c>
    </row>
    <row r="197" spans="1:9" x14ac:dyDescent="0.25">
      <c r="A197">
        <v>196</v>
      </c>
      <c r="B197" s="40" t="s">
        <v>75</v>
      </c>
      <c r="C197" s="40" t="s">
        <v>1621</v>
      </c>
      <c r="D197">
        <v>10</v>
      </c>
      <c r="E197">
        <v>40</v>
      </c>
      <c r="F197">
        <v>100</v>
      </c>
      <c r="G197">
        <v>50</v>
      </c>
      <c r="H197">
        <v>1</v>
      </c>
      <c r="I197">
        <v>1</v>
      </c>
    </row>
    <row r="198" spans="1:9" x14ac:dyDescent="0.25">
      <c r="A198">
        <v>197</v>
      </c>
      <c r="B198" s="40" t="s">
        <v>75</v>
      </c>
      <c r="C198" s="40" t="s">
        <v>151</v>
      </c>
      <c r="D198">
        <v>10</v>
      </c>
      <c r="E198">
        <v>41.2</v>
      </c>
      <c r="F198">
        <v>103</v>
      </c>
      <c r="G198">
        <v>51.5</v>
      </c>
      <c r="H198">
        <v>1</v>
      </c>
      <c r="I198">
        <v>1</v>
      </c>
    </row>
    <row r="199" spans="1:9" x14ac:dyDescent="0.25">
      <c r="A199">
        <v>198</v>
      </c>
      <c r="B199" s="40" t="s">
        <v>75</v>
      </c>
      <c r="C199" s="40" t="s">
        <v>152</v>
      </c>
      <c r="D199">
        <v>10</v>
      </c>
      <c r="E199">
        <v>64.8</v>
      </c>
      <c r="F199">
        <v>162</v>
      </c>
      <c r="G199">
        <v>81</v>
      </c>
      <c r="H199">
        <v>1</v>
      </c>
      <c r="I199">
        <v>1</v>
      </c>
    </row>
    <row r="200" spans="1:9" x14ac:dyDescent="0.25">
      <c r="A200">
        <v>199</v>
      </c>
      <c r="B200" s="42" t="s">
        <v>75</v>
      </c>
      <c r="C200" s="42" t="s">
        <v>153</v>
      </c>
      <c r="D200">
        <v>10</v>
      </c>
      <c r="E200">
        <v>33.6</v>
      </c>
      <c r="F200">
        <v>84</v>
      </c>
      <c r="G200">
        <v>42</v>
      </c>
      <c r="H200">
        <v>1</v>
      </c>
      <c r="I200">
        <v>1</v>
      </c>
    </row>
    <row r="201" spans="1:9" x14ac:dyDescent="0.25">
      <c r="A201">
        <v>200</v>
      </c>
      <c r="B201" s="40" t="s">
        <v>75</v>
      </c>
      <c r="C201" s="40" t="s">
        <v>154</v>
      </c>
      <c r="D201">
        <v>10</v>
      </c>
      <c r="E201">
        <v>42</v>
      </c>
      <c r="F201">
        <v>105</v>
      </c>
      <c r="G201">
        <v>52.5</v>
      </c>
      <c r="H201">
        <v>1</v>
      </c>
      <c r="I201">
        <v>1</v>
      </c>
    </row>
    <row r="202" spans="1:9" x14ac:dyDescent="0.25">
      <c r="A202">
        <v>201</v>
      </c>
      <c r="B202" s="40" t="s">
        <v>75</v>
      </c>
      <c r="C202" s="40" t="s">
        <v>155</v>
      </c>
      <c r="D202">
        <v>10</v>
      </c>
      <c r="E202">
        <v>35.6</v>
      </c>
      <c r="F202">
        <v>89</v>
      </c>
      <c r="G202">
        <v>44.5</v>
      </c>
      <c r="H202">
        <v>1</v>
      </c>
      <c r="I202">
        <v>1</v>
      </c>
    </row>
    <row r="203" spans="1:9" x14ac:dyDescent="0.25">
      <c r="A203">
        <v>202</v>
      </c>
      <c r="B203" s="40" t="s">
        <v>156</v>
      </c>
      <c r="C203" s="40" t="s">
        <v>157</v>
      </c>
      <c r="D203">
        <v>10</v>
      </c>
      <c r="E203">
        <v>90</v>
      </c>
      <c r="F203">
        <v>180</v>
      </c>
      <c r="G203">
        <v>106.36363636363636</v>
      </c>
      <c r="H203">
        <v>1</v>
      </c>
      <c r="I203">
        <v>1</v>
      </c>
    </row>
    <row r="204" spans="1:9" x14ac:dyDescent="0.25">
      <c r="A204">
        <v>203</v>
      </c>
      <c r="B204" s="40" t="s">
        <v>156</v>
      </c>
      <c r="C204" s="40" t="s">
        <v>158</v>
      </c>
      <c r="D204">
        <v>10</v>
      </c>
      <c r="E204">
        <v>170</v>
      </c>
      <c r="F204">
        <v>340</v>
      </c>
      <c r="G204">
        <v>200.90909090909091</v>
      </c>
      <c r="H204">
        <v>1</v>
      </c>
      <c r="I204">
        <v>1</v>
      </c>
    </row>
    <row r="205" spans="1:9" x14ac:dyDescent="0.25">
      <c r="A205">
        <v>204</v>
      </c>
      <c r="B205" s="40" t="s">
        <v>156</v>
      </c>
      <c r="C205" s="40" t="s">
        <v>159</v>
      </c>
      <c r="D205">
        <v>10</v>
      </c>
      <c r="E205">
        <v>29.700000000000003</v>
      </c>
      <c r="F205">
        <v>54</v>
      </c>
      <c r="G205">
        <v>37.800000000000004</v>
      </c>
      <c r="H205">
        <v>1</v>
      </c>
      <c r="I205">
        <v>1</v>
      </c>
    </row>
    <row r="206" spans="1:9" x14ac:dyDescent="0.25">
      <c r="A206">
        <v>205</v>
      </c>
      <c r="B206" s="40" t="s">
        <v>156</v>
      </c>
      <c r="C206" s="40" t="s">
        <v>160</v>
      </c>
      <c r="D206">
        <v>10</v>
      </c>
      <c r="E206">
        <v>29.700000000000003</v>
      </c>
      <c r="F206">
        <v>54</v>
      </c>
      <c r="G206">
        <v>37.800000000000004</v>
      </c>
      <c r="H206">
        <v>1</v>
      </c>
      <c r="I206">
        <v>1</v>
      </c>
    </row>
    <row r="207" spans="1:9" x14ac:dyDescent="0.25">
      <c r="A207">
        <v>206</v>
      </c>
      <c r="B207" s="40" t="s">
        <v>156</v>
      </c>
      <c r="C207" s="40" t="s">
        <v>161</v>
      </c>
      <c r="D207">
        <v>10</v>
      </c>
      <c r="E207">
        <v>327.60000000000002</v>
      </c>
      <c r="F207">
        <v>630</v>
      </c>
      <c r="G207">
        <v>390.6</v>
      </c>
      <c r="H207">
        <v>1</v>
      </c>
      <c r="I207">
        <v>1</v>
      </c>
    </row>
    <row r="208" spans="1:9" x14ac:dyDescent="0.25">
      <c r="A208">
        <v>207</v>
      </c>
      <c r="B208" s="40" t="s">
        <v>156</v>
      </c>
      <c r="C208" s="40" t="s">
        <v>162</v>
      </c>
      <c r="D208">
        <v>10</v>
      </c>
      <c r="E208">
        <v>258.5</v>
      </c>
      <c r="F208">
        <v>470</v>
      </c>
      <c r="G208">
        <v>305.5</v>
      </c>
      <c r="H208">
        <v>1</v>
      </c>
      <c r="I208">
        <v>1</v>
      </c>
    </row>
    <row r="209" spans="1:9" x14ac:dyDescent="0.25">
      <c r="A209">
        <v>208</v>
      </c>
      <c r="B209" s="40" t="s">
        <v>165</v>
      </c>
      <c r="C209" s="40" t="s">
        <v>168</v>
      </c>
      <c r="D209">
        <v>10</v>
      </c>
      <c r="E209">
        <v>43.680000000000007</v>
      </c>
      <c r="F209">
        <v>78</v>
      </c>
      <c r="G209">
        <v>51.480000000000004</v>
      </c>
      <c r="H209">
        <v>1</v>
      </c>
      <c r="I209">
        <v>1</v>
      </c>
    </row>
    <row r="210" spans="1:9" x14ac:dyDescent="0.25">
      <c r="A210">
        <v>209</v>
      </c>
      <c r="B210" s="40" t="s">
        <v>165</v>
      </c>
      <c r="C210" s="40" t="s">
        <v>1772</v>
      </c>
      <c r="D210">
        <v>10</v>
      </c>
      <c r="E210">
        <v>141.25779999999997</v>
      </c>
      <c r="F210">
        <v>239.42</v>
      </c>
      <c r="G210">
        <v>165.19979999999998</v>
      </c>
      <c r="H210">
        <v>1</v>
      </c>
      <c r="I210">
        <v>1</v>
      </c>
    </row>
    <row r="211" spans="1:9" x14ac:dyDescent="0.25">
      <c r="A211">
        <v>210</v>
      </c>
      <c r="B211" s="40" t="s">
        <v>165</v>
      </c>
      <c r="C211" s="40" t="s">
        <v>169</v>
      </c>
      <c r="D211">
        <v>10</v>
      </c>
      <c r="E211">
        <v>966.58159999999998</v>
      </c>
      <c r="F211">
        <v>1584.56</v>
      </c>
      <c r="G211">
        <v>1125.0375999999999</v>
      </c>
      <c r="H211">
        <v>1</v>
      </c>
      <c r="I211">
        <v>1</v>
      </c>
    </row>
    <row r="212" spans="1:9" x14ac:dyDescent="0.25">
      <c r="A212">
        <v>211</v>
      </c>
      <c r="B212" s="40" t="s">
        <v>165</v>
      </c>
      <c r="C212" s="40" t="s">
        <v>170</v>
      </c>
      <c r="D212">
        <v>10</v>
      </c>
      <c r="E212">
        <v>55.095199999999991</v>
      </c>
      <c r="F212">
        <v>90.32</v>
      </c>
      <c r="G212">
        <v>64.127199999999988</v>
      </c>
      <c r="H212">
        <v>1</v>
      </c>
      <c r="I212">
        <v>1</v>
      </c>
    </row>
    <row r="213" spans="1:9" x14ac:dyDescent="0.25">
      <c r="A213">
        <v>212</v>
      </c>
      <c r="B213" s="40" t="s">
        <v>165</v>
      </c>
      <c r="C213" s="40" t="s">
        <v>171</v>
      </c>
      <c r="D213">
        <v>10</v>
      </c>
      <c r="E213">
        <v>99.106399999999994</v>
      </c>
      <c r="F213">
        <v>147.91999999999999</v>
      </c>
      <c r="G213">
        <v>113.8984</v>
      </c>
      <c r="H213">
        <v>1</v>
      </c>
      <c r="I213">
        <v>1</v>
      </c>
    </row>
    <row r="214" spans="1:9" x14ac:dyDescent="0.25">
      <c r="A214">
        <v>213</v>
      </c>
      <c r="B214" s="40" t="s">
        <v>165</v>
      </c>
      <c r="C214" s="40" t="s">
        <v>172</v>
      </c>
      <c r="D214">
        <v>10</v>
      </c>
      <c r="E214">
        <v>158.96100000000001</v>
      </c>
      <c r="F214">
        <v>240.85</v>
      </c>
      <c r="G214">
        <v>183.04599999999999</v>
      </c>
      <c r="H214">
        <v>1</v>
      </c>
      <c r="I214">
        <v>1</v>
      </c>
    </row>
    <row r="215" spans="1:9" x14ac:dyDescent="0.25">
      <c r="A215">
        <v>214</v>
      </c>
      <c r="B215" s="40" t="s">
        <v>165</v>
      </c>
      <c r="C215" s="40" t="s">
        <v>173</v>
      </c>
      <c r="D215">
        <v>10</v>
      </c>
      <c r="E215">
        <v>142.61400000000003</v>
      </c>
      <c r="F215">
        <v>264.10000000000002</v>
      </c>
      <c r="G215">
        <v>169.02400000000003</v>
      </c>
      <c r="H215">
        <v>1</v>
      </c>
      <c r="I215">
        <v>1</v>
      </c>
    </row>
    <row r="216" spans="1:9" x14ac:dyDescent="0.25">
      <c r="A216">
        <v>215</v>
      </c>
      <c r="B216" s="40" t="s">
        <v>165</v>
      </c>
      <c r="C216" s="40" t="s">
        <v>174</v>
      </c>
      <c r="D216">
        <v>10</v>
      </c>
      <c r="E216">
        <v>349.13200000000001</v>
      </c>
      <c r="F216">
        <v>943.6</v>
      </c>
      <c r="G216">
        <v>443.49199999999996</v>
      </c>
      <c r="H216">
        <v>1</v>
      </c>
      <c r="I216">
        <v>1</v>
      </c>
    </row>
    <row r="217" spans="1:9" x14ac:dyDescent="0.25">
      <c r="A217">
        <v>216</v>
      </c>
      <c r="B217" s="40" t="s">
        <v>165</v>
      </c>
      <c r="C217" s="40" t="s">
        <v>1798</v>
      </c>
      <c r="D217">
        <v>10</v>
      </c>
      <c r="E217">
        <v>926.86750000000006</v>
      </c>
      <c r="F217">
        <v>1425.95</v>
      </c>
      <c r="G217">
        <v>1069.4625000000001</v>
      </c>
      <c r="H217">
        <v>1</v>
      </c>
      <c r="I217">
        <v>1</v>
      </c>
    </row>
    <row r="218" spans="1:9" x14ac:dyDescent="0.25">
      <c r="A218">
        <v>217</v>
      </c>
      <c r="B218" s="40" t="s">
        <v>165</v>
      </c>
      <c r="C218" s="40" t="s">
        <v>1810</v>
      </c>
      <c r="D218">
        <v>10</v>
      </c>
      <c r="E218">
        <v>1057.1560999999999</v>
      </c>
      <c r="F218">
        <v>1478.54</v>
      </c>
      <c r="G218">
        <v>1205.0101</v>
      </c>
      <c r="H218">
        <v>1</v>
      </c>
      <c r="I218">
        <v>1</v>
      </c>
    </row>
    <row r="219" spans="1:9" x14ac:dyDescent="0.25">
      <c r="A219">
        <v>218</v>
      </c>
      <c r="B219" s="40" t="s">
        <v>165</v>
      </c>
      <c r="C219" s="40" t="s">
        <v>1773</v>
      </c>
      <c r="D219">
        <v>10</v>
      </c>
      <c r="E219">
        <v>74.5535</v>
      </c>
      <c r="F219">
        <v>152.15</v>
      </c>
      <c r="G219">
        <v>89.768500000000003</v>
      </c>
      <c r="H219">
        <v>1</v>
      </c>
      <c r="I219">
        <v>1</v>
      </c>
    </row>
    <row r="220" spans="1:9" x14ac:dyDescent="0.25">
      <c r="A220">
        <v>219</v>
      </c>
      <c r="B220" s="40" t="s">
        <v>165</v>
      </c>
      <c r="C220" s="40" t="s">
        <v>1774</v>
      </c>
      <c r="D220">
        <v>10</v>
      </c>
      <c r="E220">
        <v>373.11470000000003</v>
      </c>
      <c r="F220">
        <v>703.99</v>
      </c>
      <c r="G220">
        <v>443.51370000000003</v>
      </c>
      <c r="H220">
        <v>1</v>
      </c>
      <c r="I220">
        <v>1</v>
      </c>
    </row>
    <row r="221" spans="1:9" x14ac:dyDescent="0.25">
      <c r="A221">
        <v>220</v>
      </c>
      <c r="B221" s="40" t="s">
        <v>165</v>
      </c>
      <c r="C221" s="40" t="s">
        <v>1776</v>
      </c>
      <c r="D221">
        <v>10</v>
      </c>
      <c r="E221">
        <v>1156.3262</v>
      </c>
      <c r="F221">
        <v>1725.86</v>
      </c>
      <c r="G221">
        <v>1328.9122</v>
      </c>
      <c r="H221">
        <v>1</v>
      </c>
      <c r="I221">
        <v>1</v>
      </c>
    </row>
    <row r="222" spans="1:9" x14ac:dyDescent="0.25">
      <c r="A222">
        <v>221</v>
      </c>
      <c r="B222" s="40" t="s">
        <v>165</v>
      </c>
      <c r="C222" s="40" t="s">
        <v>1775</v>
      </c>
      <c r="D222">
        <v>10</v>
      </c>
      <c r="E222">
        <v>4174.9064999999991</v>
      </c>
      <c r="F222">
        <v>5880.15</v>
      </c>
      <c r="G222">
        <v>4762.9214999999995</v>
      </c>
      <c r="H222">
        <v>1</v>
      </c>
      <c r="I222">
        <v>1</v>
      </c>
    </row>
    <row r="223" spans="1:9" x14ac:dyDescent="0.25">
      <c r="A223">
        <v>222</v>
      </c>
      <c r="B223" s="40" t="s">
        <v>165</v>
      </c>
      <c r="C223" s="40" t="s">
        <v>1777</v>
      </c>
      <c r="D223">
        <v>10</v>
      </c>
      <c r="E223">
        <v>6415.2</v>
      </c>
      <c r="F223">
        <v>12960</v>
      </c>
      <c r="G223">
        <v>7711.2</v>
      </c>
      <c r="H223">
        <v>1</v>
      </c>
      <c r="I223">
        <v>1</v>
      </c>
    </row>
    <row r="224" spans="1:9" x14ac:dyDescent="0.25">
      <c r="A224">
        <v>223</v>
      </c>
      <c r="B224" s="40" t="s">
        <v>165</v>
      </c>
      <c r="C224" s="40" t="s">
        <v>1799</v>
      </c>
      <c r="D224">
        <v>10</v>
      </c>
      <c r="E224">
        <v>1257.425</v>
      </c>
      <c r="F224">
        <v>1722.5</v>
      </c>
      <c r="G224">
        <v>1429.675</v>
      </c>
      <c r="H224">
        <v>1</v>
      </c>
      <c r="I224">
        <v>1</v>
      </c>
    </row>
    <row r="225" spans="1:9" x14ac:dyDescent="0.25">
      <c r="A225">
        <v>224</v>
      </c>
      <c r="B225" s="40" t="s">
        <v>165</v>
      </c>
      <c r="C225" s="40" t="s">
        <v>1778</v>
      </c>
      <c r="D225">
        <v>10</v>
      </c>
      <c r="E225">
        <v>1325.8776</v>
      </c>
      <c r="F225">
        <v>1949.82</v>
      </c>
      <c r="G225">
        <v>1520.8596</v>
      </c>
      <c r="H225">
        <v>1</v>
      </c>
      <c r="I225">
        <v>1</v>
      </c>
    </row>
    <row r="226" spans="1:9" x14ac:dyDescent="0.25">
      <c r="A226">
        <v>225</v>
      </c>
      <c r="B226" s="40" t="s">
        <v>165</v>
      </c>
      <c r="C226" s="40" t="s">
        <v>175</v>
      </c>
      <c r="D226">
        <v>10</v>
      </c>
      <c r="E226">
        <v>283.13599999999997</v>
      </c>
      <c r="F226">
        <v>442.4</v>
      </c>
      <c r="G226">
        <v>327.37599999999998</v>
      </c>
      <c r="H226">
        <v>1</v>
      </c>
      <c r="I226">
        <v>1</v>
      </c>
    </row>
    <row r="227" spans="1:9" x14ac:dyDescent="0.25">
      <c r="A227">
        <v>226</v>
      </c>
      <c r="B227" s="40" t="s">
        <v>165</v>
      </c>
      <c r="C227" s="40" t="s">
        <v>176</v>
      </c>
      <c r="D227">
        <v>10</v>
      </c>
      <c r="E227">
        <v>187.1919</v>
      </c>
      <c r="F227">
        <v>297.13</v>
      </c>
      <c r="G227">
        <v>216.9049</v>
      </c>
      <c r="H227">
        <v>1</v>
      </c>
      <c r="I227">
        <v>1</v>
      </c>
    </row>
    <row r="228" spans="1:9" x14ac:dyDescent="0.25">
      <c r="A228">
        <v>227</v>
      </c>
      <c r="B228" s="40" t="s">
        <v>165</v>
      </c>
      <c r="C228" s="40" t="s">
        <v>1802</v>
      </c>
      <c r="D228">
        <v>10</v>
      </c>
      <c r="E228">
        <v>354.06</v>
      </c>
      <c r="F228">
        <v>562</v>
      </c>
      <c r="G228">
        <v>410.26</v>
      </c>
      <c r="H228">
        <v>1</v>
      </c>
      <c r="I228">
        <v>1</v>
      </c>
    </row>
    <row r="229" spans="1:9" x14ac:dyDescent="0.25">
      <c r="A229">
        <v>228</v>
      </c>
      <c r="B229" s="40" t="s">
        <v>165</v>
      </c>
      <c r="C229" s="40" t="s">
        <v>1803</v>
      </c>
      <c r="D229">
        <v>10</v>
      </c>
      <c r="E229">
        <v>1427.7516000000003</v>
      </c>
      <c r="F229">
        <v>2163.2600000000002</v>
      </c>
      <c r="G229">
        <v>1644.0776000000001</v>
      </c>
      <c r="H229">
        <v>1</v>
      </c>
      <c r="I229">
        <v>1</v>
      </c>
    </row>
    <row r="230" spans="1:9" x14ac:dyDescent="0.25">
      <c r="A230">
        <v>229</v>
      </c>
      <c r="B230" s="40" t="s">
        <v>165</v>
      </c>
      <c r="C230" s="40" t="s">
        <v>178</v>
      </c>
      <c r="D230">
        <v>10</v>
      </c>
      <c r="E230">
        <v>79.5</v>
      </c>
      <c r="F230">
        <v>150</v>
      </c>
      <c r="G230">
        <v>94.5</v>
      </c>
      <c r="H230">
        <v>1</v>
      </c>
      <c r="I230">
        <v>1</v>
      </c>
    </row>
    <row r="231" spans="1:9" x14ac:dyDescent="0.25">
      <c r="A231">
        <v>230</v>
      </c>
      <c r="B231" s="40" t="s">
        <v>165</v>
      </c>
      <c r="C231" s="40" t="s">
        <v>179</v>
      </c>
      <c r="D231">
        <v>10</v>
      </c>
      <c r="E231">
        <v>149.41999999999999</v>
      </c>
      <c r="F231">
        <v>241</v>
      </c>
      <c r="G231">
        <v>173.51999999999998</v>
      </c>
      <c r="H231">
        <v>1</v>
      </c>
      <c r="I231">
        <v>1</v>
      </c>
    </row>
    <row r="232" spans="1:9" x14ac:dyDescent="0.25">
      <c r="A232">
        <v>231</v>
      </c>
      <c r="B232" s="40" t="s">
        <v>165</v>
      </c>
      <c r="C232" s="40" t="s">
        <v>182</v>
      </c>
      <c r="D232">
        <v>10</v>
      </c>
      <c r="E232">
        <v>240.25979999999998</v>
      </c>
      <c r="F232">
        <v>364.03</v>
      </c>
      <c r="G232">
        <v>276.6628</v>
      </c>
      <c r="H232">
        <v>1</v>
      </c>
      <c r="I232">
        <v>1</v>
      </c>
    </row>
    <row r="233" spans="1:9" x14ac:dyDescent="0.25">
      <c r="A233">
        <v>232</v>
      </c>
      <c r="B233" s="40" t="s">
        <v>165</v>
      </c>
      <c r="C233" s="40" t="s">
        <v>1779</v>
      </c>
      <c r="D233">
        <v>10</v>
      </c>
      <c r="E233">
        <v>984.00900000000001</v>
      </c>
      <c r="F233">
        <v>1513.86</v>
      </c>
      <c r="G233">
        <v>1135.395</v>
      </c>
      <c r="H233">
        <v>1</v>
      </c>
      <c r="I233">
        <v>1</v>
      </c>
    </row>
    <row r="234" spans="1:9" x14ac:dyDescent="0.25">
      <c r="A234">
        <v>233</v>
      </c>
      <c r="B234" s="40" t="s">
        <v>165</v>
      </c>
      <c r="C234" s="40" t="s">
        <v>183</v>
      </c>
      <c r="D234">
        <v>10</v>
      </c>
      <c r="E234">
        <v>338.3415</v>
      </c>
      <c r="F234">
        <v>537.04999999999995</v>
      </c>
      <c r="G234">
        <v>392.04649999999998</v>
      </c>
      <c r="H234">
        <v>1</v>
      </c>
      <c r="I234">
        <v>1</v>
      </c>
    </row>
    <row r="235" spans="1:9" x14ac:dyDescent="0.25">
      <c r="A235">
        <v>234</v>
      </c>
      <c r="B235" s="40" t="s">
        <v>165</v>
      </c>
      <c r="C235" s="40" t="s">
        <v>1780</v>
      </c>
      <c r="D235">
        <v>10</v>
      </c>
      <c r="E235">
        <v>144.99540000000002</v>
      </c>
      <c r="F235">
        <v>219.69</v>
      </c>
      <c r="G235">
        <v>166.96440000000001</v>
      </c>
      <c r="H235">
        <v>1</v>
      </c>
      <c r="I235">
        <v>1</v>
      </c>
    </row>
    <row r="236" spans="1:9" x14ac:dyDescent="0.25">
      <c r="A236">
        <v>235</v>
      </c>
      <c r="B236" s="40" t="s">
        <v>165</v>
      </c>
      <c r="C236" s="40" t="s">
        <v>1781</v>
      </c>
      <c r="D236">
        <v>10</v>
      </c>
      <c r="E236">
        <v>284.81640000000004</v>
      </c>
      <c r="F236">
        <v>431.54</v>
      </c>
      <c r="G236">
        <v>327.97040000000004</v>
      </c>
      <c r="H236">
        <v>1</v>
      </c>
      <c r="I236">
        <v>1</v>
      </c>
    </row>
    <row r="237" spans="1:9" x14ac:dyDescent="0.25">
      <c r="A237">
        <v>236</v>
      </c>
      <c r="B237" s="40" t="s">
        <v>165</v>
      </c>
      <c r="C237" s="40" t="s">
        <v>184</v>
      </c>
      <c r="D237">
        <v>10</v>
      </c>
      <c r="E237">
        <v>439.02949999999998</v>
      </c>
      <c r="F237">
        <v>675.43</v>
      </c>
      <c r="G237">
        <v>506.57249999999999</v>
      </c>
      <c r="H237">
        <v>1</v>
      </c>
      <c r="I237">
        <v>1</v>
      </c>
    </row>
    <row r="238" spans="1:9" x14ac:dyDescent="0.25">
      <c r="A238">
        <v>237</v>
      </c>
      <c r="B238" s="40" t="s">
        <v>165</v>
      </c>
      <c r="C238" s="40" t="s">
        <v>185</v>
      </c>
      <c r="D238">
        <v>10</v>
      </c>
      <c r="E238">
        <v>944.82960000000003</v>
      </c>
      <c r="F238">
        <v>1431.56</v>
      </c>
      <c r="G238">
        <v>1087.9856</v>
      </c>
      <c r="H238">
        <v>1</v>
      </c>
      <c r="I238">
        <v>1</v>
      </c>
    </row>
    <row r="239" spans="1:9" x14ac:dyDescent="0.25">
      <c r="A239">
        <v>238</v>
      </c>
      <c r="B239" s="40" t="s">
        <v>165</v>
      </c>
      <c r="C239" s="40" t="s">
        <v>1782</v>
      </c>
      <c r="D239">
        <v>10</v>
      </c>
      <c r="E239">
        <v>424.84000000000003</v>
      </c>
      <c r="F239">
        <v>817</v>
      </c>
      <c r="G239">
        <v>506.54</v>
      </c>
      <c r="H239">
        <v>1</v>
      </c>
      <c r="I239">
        <v>1</v>
      </c>
    </row>
    <row r="240" spans="1:9" x14ac:dyDescent="0.25">
      <c r="A240">
        <v>239</v>
      </c>
      <c r="B240" s="40" t="s">
        <v>165</v>
      </c>
      <c r="C240" s="40" t="s">
        <v>186</v>
      </c>
      <c r="D240">
        <v>10</v>
      </c>
      <c r="E240">
        <v>679.024</v>
      </c>
      <c r="F240">
        <v>917.6</v>
      </c>
      <c r="G240">
        <v>770.78399999999999</v>
      </c>
      <c r="H240">
        <v>1</v>
      </c>
      <c r="I240">
        <v>1</v>
      </c>
    </row>
    <row r="241" spans="1:9" x14ac:dyDescent="0.25">
      <c r="A241">
        <v>240</v>
      </c>
      <c r="B241" s="40" t="s">
        <v>165</v>
      </c>
      <c r="C241" s="40" t="s">
        <v>1789</v>
      </c>
      <c r="D241">
        <v>10</v>
      </c>
      <c r="E241">
        <v>148.67999999999998</v>
      </c>
      <c r="F241">
        <v>252</v>
      </c>
      <c r="G241">
        <v>173.88</v>
      </c>
      <c r="H241">
        <v>1</v>
      </c>
      <c r="I241">
        <v>1</v>
      </c>
    </row>
    <row r="242" spans="1:9" x14ac:dyDescent="0.25">
      <c r="A242">
        <v>241</v>
      </c>
      <c r="B242" s="40" t="s">
        <v>165</v>
      </c>
      <c r="C242" s="40" t="s">
        <v>187</v>
      </c>
      <c r="D242">
        <v>10</v>
      </c>
      <c r="E242">
        <v>20.791599999999999</v>
      </c>
      <c r="F242">
        <v>35.24</v>
      </c>
      <c r="G242">
        <v>24.3156</v>
      </c>
      <c r="H242">
        <v>1</v>
      </c>
      <c r="I242">
        <v>1</v>
      </c>
    </row>
    <row r="243" spans="1:9" x14ac:dyDescent="0.25">
      <c r="A243">
        <v>242</v>
      </c>
      <c r="B243" s="40" t="s">
        <v>165</v>
      </c>
      <c r="C243" s="40" t="s">
        <v>188</v>
      </c>
      <c r="D243">
        <v>10</v>
      </c>
      <c r="E243">
        <v>64.31</v>
      </c>
      <c r="F243">
        <v>109</v>
      </c>
      <c r="G243">
        <v>75.209999999999994</v>
      </c>
      <c r="H243">
        <v>1</v>
      </c>
      <c r="I243">
        <v>1</v>
      </c>
    </row>
    <row r="244" spans="1:9" x14ac:dyDescent="0.25">
      <c r="A244">
        <v>243</v>
      </c>
      <c r="B244" s="40" t="s">
        <v>165</v>
      </c>
      <c r="C244" s="40" t="s">
        <v>1800</v>
      </c>
      <c r="D244">
        <v>10</v>
      </c>
      <c r="E244">
        <v>752.57699999999988</v>
      </c>
      <c r="F244">
        <v>1075.1099999999999</v>
      </c>
      <c r="G244">
        <v>860.08799999999985</v>
      </c>
      <c r="H244">
        <v>1</v>
      </c>
      <c r="I244">
        <v>1</v>
      </c>
    </row>
    <row r="245" spans="1:9" x14ac:dyDescent="0.25">
      <c r="A245">
        <v>244</v>
      </c>
      <c r="B245" s="40" t="s">
        <v>165</v>
      </c>
      <c r="C245" s="40" t="s">
        <v>1801</v>
      </c>
      <c r="D245">
        <v>10</v>
      </c>
      <c r="E245">
        <v>347.74080000000004</v>
      </c>
      <c r="F245">
        <v>526.88</v>
      </c>
      <c r="G245">
        <v>400.42880000000002</v>
      </c>
      <c r="H245">
        <v>1</v>
      </c>
      <c r="I245">
        <v>1</v>
      </c>
    </row>
    <row r="246" spans="1:9" x14ac:dyDescent="0.25">
      <c r="A246">
        <v>245</v>
      </c>
      <c r="B246" s="40" t="s">
        <v>165</v>
      </c>
      <c r="C246" s="40" t="s">
        <v>194</v>
      </c>
      <c r="D246">
        <v>10</v>
      </c>
      <c r="E246">
        <v>58.819200000000009</v>
      </c>
      <c r="F246">
        <v>89.12</v>
      </c>
      <c r="G246">
        <v>67.731200000000001</v>
      </c>
      <c r="H246">
        <v>1</v>
      </c>
      <c r="I246">
        <v>1</v>
      </c>
    </row>
    <row r="247" spans="1:9" x14ac:dyDescent="0.25">
      <c r="A247">
        <v>246</v>
      </c>
      <c r="B247" s="40" t="s">
        <v>165</v>
      </c>
      <c r="C247" s="40" t="s">
        <v>195</v>
      </c>
      <c r="D247">
        <v>10</v>
      </c>
      <c r="E247">
        <v>169.26509999999999</v>
      </c>
      <c r="F247">
        <v>286.89</v>
      </c>
      <c r="G247">
        <v>197.95409999999998</v>
      </c>
      <c r="H247">
        <v>1</v>
      </c>
      <c r="I247">
        <v>1</v>
      </c>
    </row>
    <row r="248" spans="1:9" x14ac:dyDescent="0.25">
      <c r="A248">
        <v>247</v>
      </c>
      <c r="B248" s="40" t="s">
        <v>165</v>
      </c>
      <c r="C248" s="40" t="s">
        <v>197</v>
      </c>
      <c r="D248">
        <v>10</v>
      </c>
      <c r="E248">
        <v>1661.9984000000002</v>
      </c>
      <c r="F248">
        <v>2186.84</v>
      </c>
      <c r="G248">
        <v>1880.6824000000001</v>
      </c>
      <c r="H248">
        <v>1</v>
      </c>
      <c r="I248">
        <v>1</v>
      </c>
    </row>
    <row r="249" spans="1:9" x14ac:dyDescent="0.25">
      <c r="A249">
        <v>248</v>
      </c>
      <c r="B249" s="40" t="s">
        <v>165</v>
      </c>
      <c r="C249" s="40" t="s">
        <v>1804</v>
      </c>
      <c r="D249">
        <v>10</v>
      </c>
      <c r="E249">
        <v>424.97960000000006</v>
      </c>
      <c r="F249">
        <v>624.97</v>
      </c>
      <c r="G249">
        <v>487.47660000000002</v>
      </c>
      <c r="H249">
        <v>1</v>
      </c>
      <c r="I249">
        <v>1</v>
      </c>
    </row>
    <row r="250" spans="1:9" x14ac:dyDescent="0.25">
      <c r="A250">
        <v>249</v>
      </c>
      <c r="B250" s="40" t="s">
        <v>165</v>
      </c>
      <c r="C250" s="40" t="s">
        <v>1805</v>
      </c>
      <c r="D250">
        <v>10</v>
      </c>
      <c r="E250">
        <v>424.97960000000006</v>
      </c>
      <c r="F250">
        <v>624.97</v>
      </c>
      <c r="G250">
        <v>487.47660000000002</v>
      </c>
      <c r="H250">
        <v>1</v>
      </c>
      <c r="I250">
        <v>1</v>
      </c>
    </row>
    <row r="251" spans="1:9" x14ac:dyDescent="0.25">
      <c r="A251">
        <v>250</v>
      </c>
      <c r="B251" s="40" t="s">
        <v>165</v>
      </c>
      <c r="C251" s="40" t="s">
        <v>1793</v>
      </c>
      <c r="D251">
        <v>10</v>
      </c>
      <c r="E251">
        <v>700.245</v>
      </c>
      <c r="F251">
        <v>933.66</v>
      </c>
      <c r="G251">
        <v>793.61099999999999</v>
      </c>
      <c r="H251">
        <v>1</v>
      </c>
      <c r="I251">
        <v>1</v>
      </c>
    </row>
    <row r="252" spans="1:9" x14ac:dyDescent="0.25">
      <c r="A252">
        <v>251</v>
      </c>
      <c r="B252" s="40" t="s">
        <v>165</v>
      </c>
      <c r="C252" s="40" t="s">
        <v>1794</v>
      </c>
      <c r="D252">
        <v>10</v>
      </c>
      <c r="E252">
        <v>1367.9280000000001</v>
      </c>
      <c r="F252">
        <v>1688.8</v>
      </c>
      <c r="G252">
        <v>1536.808</v>
      </c>
      <c r="H252">
        <v>1</v>
      </c>
      <c r="I252">
        <v>1</v>
      </c>
    </row>
    <row r="253" spans="1:9" x14ac:dyDescent="0.25">
      <c r="A253">
        <v>252</v>
      </c>
      <c r="B253" s="40" t="s">
        <v>165</v>
      </c>
      <c r="C253" s="40" t="s">
        <v>1806</v>
      </c>
      <c r="D253">
        <v>10</v>
      </c>
      <c r="E253">
        <v>907.26280000000008</v>
      </c>
      <c r="F253">
        <v>1334.21</v>
      </c>
      <c r="G253">
        <v>1040.6838</v>
      </c>
      <c r="H253">
        <v>1</v>
      </c>
      <c r="I253">
        <v>1</v>
      </c>
    </row>
    <row r="254" spans="1:9" x14ac:dyDescent="0.25">
      <c r="A254">
        <v>253</v>
      </c>
      <c r="B254" s="40" t="s">
        <v>165</v>
      </c>
      <c r="C254" s="40" t="s">
        <v>1807</v>
      </c>
      <c r="D254">
        <v>10</v>
      </c>
      <c r="E254">
        <v>1257.0016000000001</v>
      </c>
      <c r="F254">
        <v>1721.92</v>
      </c>
      <c r="G254">
        <v>1429.1936000000001</v>
      </c>
      <c r="H254">
        <v>1</v>
      </c>
      <c r="I254">
        <v>1</v>
      </c>
    </row>
    <row r="255" spans="1:9" x14ac:dyDescent="0.25">
      <c r="A255">
        <v>254</v>
      </c>
      <c r="B255" s="40" t="s">
        <v>165</v>
      </c>
      <c r="C255" s="40" t="s">
        <v>198</v>
      </c>
      <c r="D255">
        <v>10</v>
      </c>
      <c r="E255">
        <v>121.09900000000002</v>
      </c>
      <c r="F255">
        <v>220.18</v>
      </c>
      <c r="G255">
        <v>143.11700000000002</v>
      </c>
      <c r="H255">
        <v>1</v>
      </c>
      <c r="I255">
        <v>1</v>
      </c>
    </row>
    <row r="256" spans="1:9" x14ac:dyDescent="0.25">
      <c r="A256">
        <v>255</v>
      </c>
      <c r="B256" s="40" t="s">
        <v>165</v>
      </c>
      <c r="C256" s="40" t="s">
        <v>199</v>
      </c>
      <c r="D256">
        <v>10</v>
      </c>
      <c r="E256">
        <v>155.80320000000003</v>
      </c>
      <c r="F256">
        <v>278.22000000000003</v>
      </c>
      <c r="G256">
        <v>183.62520000000004</v>
      </c>
      <c r="H256">
        <v>1</v>
      </c>
      <c r="I256">
        <v>1</v>
      </c>
    </row>
    <row r="257" spans="1:9" x14ac:dyDescent="0.25">
      <c r="A257">
        <v>256</v>
      </c>
      <c r="B257" s="40" t="s">
        <v>165</v>
      </c>
      <c r="C257" s="40" t="s">
        <v>1796</v>
      </c>
      <c r="D257">
        <v>10</v>
      </c>
      <c r="E257">
        <v>2583.7795999999998</v>
      </c>
      <c r="F257">
        <v>3399.71</v>
      </c>
      <c r="G257">
        <v>2923.7505999999998</v>
      </c>
      <c r="H257">
        <v>1</v>
      </c>
      <c r="I257">
        <v>1</v>
      </c>
    </row>
    <row r="258" spans="1:9" x14ac:dyDescent="0.25">
      <c r="A258">
        <v>257</v>
      </c>
      <c r="B258" s="40" t="s">
        <v>165</v>
      </c>
      <c r="C258" s="40" t="s">
        <v>1795</v>
      </c>
      <c r="D258">
        <v>10</v>
      </c>
      <c r="E258">
        <v>5327.3251999999993</v>
      </c>
      <c r="F258">
        <v>8733.32</v>
      </c>
      <c r="G258">
        <v>6200.6571999999996</v>
      </c>
      <c r="H258">
        <v>1</v>
      </c>
      <c r="I258">
        <v>1</v>
      </c>
    </row>
    <row r="259" spans="1:9" x14ac:dyDescent="0.25">
      <c r="A259">
        <v>258</v>
      </c>
      <c r="B259" s="40" t="s">
        <v>165</v>
      </c>
      <c r="C259" s="40" t="s">
        <v>1808</v>
      </c>
      <c r="D259">
        <v>10</v>
      </c>
      <c r="E259">
        <v>85.41</v>
      </c>
      <c r="F259">
        <v>117</v>
      </c>
      <c r="G259">
        <v>97.11</v>
      </c>
      <c r="H259">
        <v>1</v>
      </c>
      <c r="I259">
        <v>1</v>
      </c>
    </row>
    <row r="260" spans="1:9" x14ac:dyDescent="0.25">
      <c r="A260">
        <v>259</v>
      </c>
      <c r="B260" s="40" t="s">
        <v>165</v>
      </c>
      <c r="C260" s="40" t="s">
        <v>1797</v>
      </c>
      <c r="D260">
        <v>10</v>
      </c>
      <c r="E260">
        <v>7435.89</v>
      </c>
      <c r="F260">
        <v>11266.5</v>
      </c>
      <c r="G260">
        <v>8562.5400000000009</v>
      </c>
      <c r="H260">
        <v>1</v>
      </c>
      <c r="I260">
        <v>1</v>
      </c>
    </row>
    <row r="261" spans="1:9" x14ac:dyDescent="0.25">
      <c r="A261">
        <v>260</v>
      </c>
      <c r="B261" s="40" t="s">
        <v>165</v>
      </c>
      <c r="C261" s="40" t="s">
        <v>202</v>
      </c>
      <c r="D261">
        <v>10</v>
      </c>
      <c r="E261">
        <v>109.8</v>
      </c>
      <c r="F261">
        <v>180</v>
      </c>
      <c r="G261">
        <v>127.8</v>
      </c>
      <c r="H261">
        <v>1</v>
      </c>
      <c r="I261">
        <v>1</v>
      </c>
    </row>
    <row r="262" spans="1:9" x14ac:dyDescent="0.25">
      <c r="A262">
        <v>261</v>
      </c>
      <c r="B262" s="40" t="s">
        <v>165</v>
      </c>
      <c r="C262" s="40" t="s">
        <v>1792</v>
      </c>
      <c r="D262">
        <v>10</v>
      </c>
      <c r="E262">
        <v>199.26470000000003</v>
      </c>
      <c r="F262">
        <v>297.41000000000003</v>
      </c>
      <c r="G262">
        <v>229.00570000000002</v>
      </c>
      <c r="H262">
        <v>1</v>
      </c>
      <c r="I262">
        <v>1</v>
      </c>
    </row>
    <row r="263" spans="1:9" x14ac:dyDescent="0.25">
      <c r="A263">
        <v>262</v>
      </c>
      <c r="B263" s="40" t="s">
        <v>165</v>
      </c>
      <c r="C263" s="40" t="s">
        <v>193</v>
      </c>
      <c r="D263">
        <v>10</v>
      </c>
      <c r="E263">
        <v>61.61</v>
      </c>
      <c r="F263">
        <v>101</v>
      </c>
      <c r="G263">
        <v>71.709999999999994</v>
      </c>
      <c r="H263">
        <v>1</v>
      </c>
      <c r="I263">
        <v>1</v>
      </c>
    </row>
    <row r="264" spans="1:9" x14ac:dyDescent="0.25">
      <c r="A264">
        <v>263</v>
      </c>
      <c r="B264" s="40" t="s">
        <v>165</v>
      </c>
      <c r="C264" s="40" t="s">
        <v>1790</v>
      </c>
      <c r="D264">
        <v>10</v>
      </c>
      <c r="E264">
        <v>133.32</v>
      </c>
      <c r="F264">
        <v>202</v>
      </c>
      <c r="G264">
        <v>153.52000000000001</v>
      </c>
      <c r="H264">
        <v>1</v>
      </c>
      <c r="I264">
        <v>1</v>
      </c>
    </row>
    <row r="265" spans="1:9" x14ac:dyDescent="0.25">
      <c r="A265">
        <v>264</v>
      </c>
      <c r="B265" s="40" t="s">
        <v>165</v>
      </c>
      <c r="C265" s="40" t="s">
        <v>1791</v>
      </c>
      <c r="D265">
        <v>10</v>
      </c>
      <c r="E265">
        <v>144.46</v>
      </c>
      <c r="F265">
        <v>233</v>
      </c>
      <c r="G265">
        <v>167.76</v>
      </c>
      <c r="H265">
        <v>1</v>
      </c>
      <c r="I265">
        <v>1</v>
      </c>
    </row>
    <row r="266" spans="1:9" x14ac:dyDescent="0.25">
      <c r="A266">
        <v>265</v>
      </c>
      <c r="B266" s="40" t="s">
        <v>165</v>
      </c>
      <c r="C266" s="40" t="s">
        <v>203</v>
      </c>
      <c r="D266">
        <v>10</v>
      </c>
      <c r="E266">
        <v>463.73380000000003</v>
      </c>
      <c r="F266">
        <v>692.14</v>
      </c>
      <c r="G266">
        <v>532.94780000000003</v>
      </c>
      <c r="H266">
        <v>1</v>
      </c>
      <c r="I266">
        <v>1</v>
      </c>
    </row>
    <row r="267" spans="1:9" x14ac:dyDescent="0.25">
      <c r="A267">
        <v>266</v>
      </c>
      <c r="B267" s="40" t="s">
        <v>165</v>
      </c>
      <c r="C267" s="40" t="s">
        <v>204</v>
      </c>
      <c r="D267">
        <v>10</v>
      </c>
      <c r="E267">
        <v>175.61370000000002</v>
      </c>
      <c r="F267">
        <v>262.11</v>
      </c>
      <c r="G267">
        <v>201.82470000000001</v>
      </c>
      <c r="H267">
        <v>1</v>
      </c>
      <c r="I267">
        <v>1</v>
      </c>
    </row>
    <row r="268" spans="1:9" x14ac:dyDescent="0.25">
      <c r="A268">
        <v>267</v>
      </c>
      <c r="B268" s="40" t="s">
        <v>165</v>
      </c>
      <c r="C268" s="40" t="s">
        <v>205</v>
      </c>
      <c r="D268">
        <v>10</v>
      </c>
      <c r="E268">
        <v>2036.8652</v>
      </c>
      <c r="F268">
        <v>2995.39</v>
      </c>
      <c r="G268">
        <v>2336.4041999999999</v>
      </c>
      <c r="H268">
        <v>1</v>
      </c>
      <c r="I268">
        <v>1</v>
      </c>
    </row>
    <row r="269" spans="1:9" x14ac:dyDescent="0.25">
      <c r="A269">
        <v>268</v>
      </c>
      <c r="B269" s="40" t="s">
        <v>165</v>
      </c>
      <c r="C269" s="40" t="s">
        <v>206</v>
      </c>
      <c r="D269">
        <v>10</v>
      </c>
      <c r="E269">
        <v>282.12360000000001</v>
      </c>
      <c r="F269">
        <v>427.46</v>
      </c>
      <c r="G269">
        <v>324.86959999999999</v>
      </c>
      <c r="H269">
        <v>1</v>
      </c>
      <c r="I269">
        <v>1</v>
      </c>
    </row>
    <row r="270" spans="1:9" x14ac:dyDescent="0.25">
      <c r="A270">
        <v>269</v>
      </c>
      <c r="B270" s="40" t="s">
        <v>165</v>
      </c>
      <c r="C270" s="40" t="s">
        <v>1809</v>
      </c>
      <c r="D270">
        <v>10</v>
      </c>
      <c r="E270">
        <v>444.18</v>
      </c>
      <c r="F270">
        <v>673</v>
      </c>
      <c r="G270">
        <v>511.48</v>
      </c>
      <c r="H270">
        <v>1</v>
      </c>
      <c r="I270">
        <v>1</v>
      </c>
    </row>
    <row r="271" spans="1:9" x14ac:dyDescent="0.25">
      <c r="A271">
        <v>270</v>
      </c>
      <c r="B271" s="40" t="s">
        <v>165</v>
      </c>
      <c r="C271" s="40" t="s">
        <v>1783</v>
      </c>
      <c r="D271">
        <v>10</v>
      </c>
      <c r="E271">
        <v>151.32</v>
      </c>
      <c r="F271">
        <v>291</v>
      </c>
      <c r="G271">
        <v>180.42</v>
      </c>
      <c r="H271">
        <v>1</v>
      </c>
      <c r="I271">
        <v>1</v>
      </c>
    </row>
    <row r="272" spans="1:9" x14ac:dyDescent="0.25">
      <c r="A272">
        <v>271</v>
      </c>
      <c r="B272" s="40" t="s">
        <v>165</v>
      </c>
      <c r="C272" s="40" t="s">
        <v>1784</v>
      </c>
      <c r="D272">
        <v>10</v>
      </c>
      <c r="E272">
        <v>159</v>
      </c>
      <c r="F272">
        <v>300</v>
      </c>
      <c r="G272">
        <v>189</v>
      </c>
      <c r="H272">
        <v>1</v>
      </c>
      <c r="I272">
        <v>1</v>
      </c>
    </row>
    <row r="273" spans="1:9" x14ac:dyDescent="0.25">
      <c r="A273">
        <v>272</v>
      </c>
      <c r="B273" s="40" t="s">
        <v>165</v>
      </c>
      <c r="C273" s="40" t="s">
        <v>1785</v>
      </c>
      <c r="D273">
        <v>10</v>
      </c>
      <c r="E273">
        <v>166.95000000000002</v>
      </c>
      <c r="F273">
        <v>315</v>
      </c>
      <c r="G273">
        <v>198.45</v>
      </c>
      <c r="H273">
        <v>1</v>
      </c>
      <c r="I273">
        <v>1</v>
      </c>
    </row>
    <row r="274" spans="1:9" x14ac:dyDescent="0.25">
      <c r="A274">
        <v>273</v>
      </c>
      <c r="B274" s="40" t="s">
        <v>165</v>
      </c>
      <c r="C274" s="40" t="s">
        <v>1786</v>
      </c>
      <c r="D274">
        <v>10</v>
      </c>
      <c r="E274">
        <v>178.20000000000002</v>
      </c>
      <c r="F274">
        <v>330</v>
      </c>
      <c r="G274">
        <v>211.20000000000002</v>
      </c>
      <c r="H274">
        <v>1</v>
      </c>
      <c r="I274">
        <v>1</v>
      </c>
    </row>
    <row r="275" spans="1:9" x14ac:dyDescent="0.25">
      <c r="A275">
        <v>274</v>
      </c>
      <c r="B275" s="40" t="s">
        <v>165</v>
      </c>
      <c r="C275" s="40" t="s">
        <v>1787</v>
      </c>
      <c r="D275">
        <v>10</v>
      </c>
      <c r="E275">
        <v>164.64000000000001</v>
      </c>
      <c r="F275">
        <v>294</v>
      </c>
      <c r="G275">
        <v>194.04000000000002</v>
      </c>
      <c r="H275">
        <v>1</v>
      </c>
      <c r="I275">
        <v>1</v>
      </c>
    </row>
    <row r="276" spans="1:9" x14ac:dyDescent="0.25">
      <c r="A276">
        <v>275</v>
      </c>
      <c r="B276" s="40" t="s">
        <v>165</v>
      </c>
      <c r="C276" s="40" t="s">
        <v>1788</v>
      </c>
      <c r="D276">
        <v>10</v>
      </c>
      <c r="E276">
        <v>189.39</v>
      </c>
      <c r="F276">
        <v>321</v>
      </c>
      <c r="G276">
        <v>221.48999999999998</v>
      </c>
      <c r="H276">
        <v>1</v>
      </c>
      <c r="I276">
        <v>1</v>
      </c>
    </row>
    <row r="277" spans="1:9" x14ac:dyDescent="0.25">
      <c r="A277">
        <v>276</v>
      </c>
      <c r="B277" s="40" t="s">
        <v>211</v>
      </c>
      <c r="C277" s="40" t="s">
        <v>212</v>
      </c>
      <c r="D277">
        <v>10</v>
      </c>
      <c r="E277">
        <v>64.8</v>
      </c>
      <c r="F277">
        <v>144</v>
      </c>
      <c r="G277">
        <v>79.2</v>
      </c>
      <c r="H277">
        <v>1</v>
      </c>
      <c r="I277">
        <v>1</v>
      </c>
    </row>
    <row r="278" spans="1:9" x14ac:dyDescent="0.25">
      <c r="A278">
        <v>277</v>
      </c>
      <c r="B278" s="40" t="s">
        <v>211</v>
      </c>
      <c r="C278" s="40" t="s">
        <v>213</v>
      </c>
      <c r="D278">
        <v>10</v>
      </c>
      <c r="E278">
        <v>85.05</v>
      </c>
      <c r="F278">
        <v>189</v>
      </c>
      <c r="G278">
        <v>103.95</v>
      </c>
      <c r="H278">
        <v>1</v>
      </c>
      <c r="I278">
        <v>1</v>
      </c>
    </row>
    <row r="279" spans="1:9" x14ac:dyDescent="0.25">
      <c r="A279">
        <v>278</v>
      </c>
      <c r="B279" s="40" t="s">
        <v>211</v>
      </c>
      <c r="C279" s="40" t="s">
        <v>214</v>
      </c>
      <c r="D279">
        <v>10</v>
      </c>
      <c r="E279">
        <v>62.1</v>
      </c>
      <c r="F279">
        <v>138</v>
      </c>
      <c r="G279">
        <v>75.900000000000006</v>
      </c>
      <c r="H279">
        <v>1</v>
      </c>
      <c r="I279">
        <v>1</v>
      </c>
    </row>
    <row r="280" spans="1:9" x14ac:dyDescent="0.25">
      <c r="A280">
        <v>279</v>
      </c>
      <c r="B280" s="40" t="s">
        <v>211</v>
      </c>
      <c r="C280" s="40" t="s">
        <v>215</v>
      </c>
      <c r="D280">
        <v>10</v>
      </c>
      <c r="E280">
        <v>51.75</v>
      </c>
      <c r="F280">
        <v>115</v>
      </c>
      <c r="G280">
        <v>63.250000000000007</v>
      </c>
      <c r="H280">
        <v>1</v>
      </c>
      <c r="I280">
        <v>1</v>
      </c>
    </row>
    <row r="281" spans="1:9" x14ac:dyDescent="0.25">
      <c r="A281">
        <v>280</v>
      </c>
      <c r="B281" s="40" t="s">
        <v>211</v>
      </c>
      <c r="C281" s="40" t="s">
        <v>216</v>
      </c>
      <c r="D281">
        <v>10</v>
      </c>
      <c r="E281">
        <v>124.65</v>
      </c>
      <c r="F281">
        <v>277</v>
      </c>
      <c r="G281">
        <v>152.35000000000002</v>
      </c>
      <c r="H281">
        <v>1</v>
      </c>
      <c r="I281">
        <v>1</v>
      </c>
    </row>
    <row r="282" spans="1:9" x14ac:dyDescent="0.25">
      <c r="A282">
        <v>281</v>
      </c>
      <c r="B282" s="40" t="s">
        <v>211</v>
      </c>
      <c r="C282" s="40" t="s">
        <v>217</v>
      </c>
      <c r="D282">
        <v>10</v>
      </c>
      <c r="E282">
        <v>83.25</v>
      </c>
      <c r="F282">
        <v>185</v>
      </c>
      <c r="G282">
        <v>101.75000000000001</v>
      </c>
      <c r="H282">
        <v>1</v>
      </c>
      <c r="I282">
        <v>1</v>
      </c>
    </row>
    <row r="283" spans="1:9" x14ac:dyDescent="0.25">
      <c r="A283">
        <v>282</v>
      </c>
      <c r="B283" s="40" t="s">
        <v>211</v>
      </c>
      <c r="C283" s="40" t="s">
        <v>218</v>
      </c>
      <c r="D283">
        <v>10</v>
      </c>
      <c r="E283">
        <v>155.25</v>
      </c>
      <c r="F283">
        <v>345</v>
      </c>
      <c r="G283">
        <v>189.75000000000003</v>
      </c>
      <c r="H283">
        <v>1</v>
      </c>
      <c r="I283">
        <v>1</v>
      </c>
    </row>
    <row r="284" spans="1:9" x14ac:dyDescent="0.25">
      <c r="A284">
        <v>283</v>
      </c>
      <c r="B284" s="40" t="s">
        <v>211</v>
      </c>
      <c r="C284" s="40" t="s">
        <v>219</v>
      </c>
      <c r="D284">
        <v>10</v>
      </c>
      <c r="E284">
        <v>265.95</v>
      </c>
      <c r="F284">
        <v>591</v>
      </c>
      <c r="G284">
        <v>325.05</v>
      </c>
      <c r="H284">
        <v>1</v>
      </c>
      <c r="I284">
        <v>1</v>
      </c>
    </row>
    <row r="285" spans="1:9" x14ac:dyDescent="0.25">
      <c r="A285">
        <v>284</v>
      </c>
      <c r="B285" s="40" t="s">
        <v>211</v>
      </c>
      <c r="C285" s="40" t="s">
        <v>220</v>
      </c>
      <c r="D285">
        <v>10</v>
      </c>
      <c r="E285">
        <v>66.150000000000006</v>
      </c>
      <c r="F285">
        <v>147</v>
      </c>
      <c r="G285">
        <v>80.850000000000009</v>
      </c>
      <c r="H285">
        <v>1</v>
      </c>
      <c r="I285">
        <v>1</v>
      </c>
    </row>
    <row r="286" spans="1:9" x14ac:dyDescent="0.25">
      <c r="A286">
        <v>285</v>
      </c>
      <c r="B286" s="40" t="s">
        <v>211</v>
      </c>
      <c r="C286" s="40" t="s">
        <v>221</v>
      </c>
      <c r="D286">
        <v>10</v>
      </c>
      <c r="E286">
        <v>180</v>
      </c>
      <c r="F286">
        <v>400</v>
      </c>
      <c r="G286">
        <v>220.00000000000003</v>
      </c>
      <c r="H286">
        <v>1</v>
      </c>
      <c r="I286">
        <v>1</v>
      </c>
    </row>
    <row r="287" spans="1:9" x14ac:dyDescent="0.25">
      <c r="A287">
        <v>286</v>
      </c>
      <c r="B287" s="40" t="s">
        <v>211</v>
      </c>
      <c r="C287" s="40" t="s">
        <v>222</v>
      </c>
      <c r="D287">
        <v>10</v>
      </c>
      <c r="E287">
        <v>328.95</v>
      </c>
      <c r="F287">
        <v>731</v>
      </c>
      <c r="G287">
        <v>402.05</v>
      </c>
      <c r="H287">
        <v>1</v>
      </c>
      <c r="I287">
        <v>1</v>
      </c>
    </row>
    <row r="288" spans="1:9" x14ac:dyDescent="0.25">
      <c r="A288">
        <v>287</v>
      </c>
      <c r="B288" s="40" t="s">
        <v>223</v>
      </c>
      <c r="C288" s="40" t="s">
        <v>225</v>
      </c>
      <c r="D288">
        <v>10</v>
      </c>
      <c r="E288">
        <v>90.820000000000007</v>
      </c>
      <c r="F288">
        <v>239</v>
      </c>
      <c r="G288">
        <v>126.67</v>
      </c>
      <c r="H288">
        <v>1</v>
      </c>
      <c r="I288">
        <v>1</v>
      </c>
    </row>
    <row r="289" spans="1:9" x14ac:dyDescent="0.25">
      <c r="A289">
        <v>288</v>
      </c>
      <c r="B289" s="40" t="s">
        <v>223</v>
      </c>
      <c r="C289" s="40" t="s">
        <v>1354</v>
      </c>
      <c r="D289">
        <v>10</v>
      </c>
      <c r="E289">
        <v>69.540000000000006</v>
      </c>
      <c r="F289">
        <v>183</v>
      </c>
      <c r="G289">
        <v>96.990000000000009</v>
      </c>
      <c r="H289">
        <v>1</v>
      </c>
      <c r="I289">
        <v>1</v>
      </c>
    </row>
    <row r="290" spans="1:9" x14ac:dyDescent="0.25">
      <c r="A290">
        <v>289</v>
      </c>
      <c r="B290" s="40" t="s">
        <v>223</v>
      </c>
      <c r="C290" s="40" t="s">
        <v>226</v>
      </c>
      <c r="D290">
        <v>10</v>
      </c>
      <c r="E290">
        <v>102.6</v>
      </c>
      <c r="F290">
        <v>270</v>
      </c>
      <c r="G290">
        <v>143.1</v>
      </c>
      <c r="H290">
        <v>1</v>
      </c>
      <c r="I290">
        <v>1</v>
      </c>
    </row>
    <row r="291" spans="1:9" x14ac:dyDescent="0.25">
      <c r="A291">
        <v>290</v>
      </c>
      <c r="B291" s="40" t="s">
        <v>223</v>
      </c>
      <c r="C291" s="40" t="s">
        <v>227</v>
      </c>
      <c r="D291">
        <v>10</v>
      </c>
      <c r="E291">
        <v>204.82</v>
      </c>
      <c r="F291">
        <v>539</v>
      </c>
      <c r="G291">
        <v>285.67</v>
      </c>
      <c r="H291">
        <v>1</v>
      </c>
      <c r="I291">
        <v>1</v>
      </c>
    </row>
    <row r="292" spans="1:9" x14ac:dyDescent="0.25">
      <c r="A292">
        <v>291</v>
      </c>
      <c r="B292" s="40" t="s">
        <v>223</v>
      </c>
      <c r="C292" s="40" t="s">
        <v>1357</v>
      </c>
      <c r="D292">
        <v>10</v>
      </c>
      <c r="E292">
        <v>36.480000000000004</v>
      </c>
      <c r="F292">
        <v>96</v>
      </c>
      <c r="G292">
        <v>50.88</v>
      </c>
      <c r="H292">
        <v>1</v>
      </c>
      <c r="I292">
        <v>1</v>
      </c>
    </row>
    <row r="293" spans="1:9" x14ac:dyDescent="0.25">
      <c r="A293">
        <v>292</v>
      </c>
      <c r="B293" s="40" t="s">
        <v>223</v>
      </c>
      <c r="C293" s="40" t="s">
        <v>228</v>
      </c>
      <c r="D293">
        <v>10</v>
      </c>
      <c r="E293">
        <v>86.64</v>
      </c>
      <c r="F293">
        <v>228</v>
      </c>
      <c r="G293">
        <v>120.84</v>
      </c>
      <c r="H293">
        <v>1</v>
      </c>
      <c r="I293">
        <v>1</v>
      </c>
    </row>
    <row r="294" spans="1:9" x14ac:dyDescent="0.25">
      <c r="A294">
        <v>293</v>
      </c>
      <c r="B294" s="40" t="s">
        <v>223</v>
      </c>
      <c r="C294" s="40" t="s">
        <v>229</v>
      </c>
      <c r="D294">
        <v>10</v>
      </c>
      <c r="E294">
        <v>157.69999999999999</v>
      </c>
      <c r="F294">
        <v>415</v>
      </c>
      <c r="G294">
        <v>219.95000000000002</v>
      </c>
      <c r="H294">
        <v>1</v>
      </c>
      <c r="I294">
        <v>1</v>
      </c>
    </row>
    <row r="295" spans="1:9" x14ac:dyDescent="0.25">
      <c r="A295">
        <v>294</v>
      </c>
      <c r="B295" s="40" t="s">
        <v>223</v>
      </c>
      <c r="C295" s="40" t="s">
        <v>230</v>
      </c>
      <c r="D295">
        <v>10</v>
      </c>
      <c r="E295">
        <v>234.08</v>
      </c>
      <c r="F295">
        <v>616</v>
      </c>
      <c r="G295">
        <v>326.48</v>
      </c>
      <c r="H295">
        <v>1</v>
      </c>
      <c r="I295">
        <v>1</v>
      </c>
    </row>
    <row r="296" spans="1:9" x14ac:dyDescent="0.25">
      <c r="A296">
        <v>295</v>
      </c>
      <c r="B296" s="40" t="s">
        <v>223</v>
      </c>
      <c r="C296" s="40" t="s">
        <v>231</v>
      </c>
      <c r="D296">
        <v>10</v>
      </c>
      <c r="E296">
        <v>154.66</v>
      </c>
      <c r="F296">
        <v>407</v>
      </c>
      <c r="G296">
        <v>215.71</v>
      </c>
      <c r="H296">
        <v>1</v>
      </c>
      <c r="I296">
        <v>1</v>
      </c>
    </row>
    <row r="297" spans="1:9" x14ac:dyDescent="0.25">
      <c r="A297">
        <v>296</v>
      </c>
      <c r="B297" s="40" t="s">
        <v>223</v>
      </c>
      <c r="C297" s="40" t="s">
        <v>232</v>
      </c>
      <c r="D297">
        <v>10</v>
      </c>
      <c r="E297">
        <v>253.84</v>
      </c>
      <c r="F297">
        <v>668</v>
      </c>
      <c r="G297">
        <v>354.04</v>
      </c>
      <c r="H297">
        <v>1</v>
      </c>
      <c r="I297">
        <v>1</v>
      </c>
    </row>
    <row r="298" spans="1:9" x14ac:dyDescent="0.25">
      <c r="A298">
        <v>297</v>
      </c>
      <c r="B298" s="40" t="s">
        <v>223</v>
      </c>
      <c r="C298" s="40" t="s">
        <v>233</v>
      </c>
      <c r="D298">
        <v>10</v>
      </c>
      <c r="E298">
        <v>413.06</v>
      </c>
      <c r="F298">
        <v>1087</v>
      </c>
      <c r="G298">
        <v>576.11</v>
      </c>
      <c r="H298">
        <v>1</v>
      </c>
      <c r="I298">
        <v>1</v>
      </c>
    </row>
    <row r="299" spans="1:9" x14ac:dyDescent="0.25">
      <c r="A299">
        <v>298</v>
      </c>
      <c r="B299" s="40" t="s">
        <v>223</v>
      </c>
      <c r="C299" s="40" t="s">
        <v>1830</v>
      </c>
      <c r="D299">
        <v>10</v>
      </c>
      <c r="E299">
        <v>45.22</v>
      </c>
      <c r="F299">
        <v>119</v>
      </c>
      <c r="G299">
        <v>63.07</v>
      </c>
      <c r="H299">
        <v>1</v>
      </c>
      <c r="I299">
        <v>1</v>
      </c>
    </row>
    <row r="300" spans="1:9" x14ac:dyDescent="0.25">
      <c r="A300">
        <v>299</v>
      </c>
      <c r="B300" s="40" t="s">
        <v>223</v>
      </c>
      <c r="C300" s="40" t="s">
        <v>1829</v>
      </c>
      <c r="D300">
        <v>10</v>
      </c>
      <c r="E300">
        <v>65.739999999999995</v>
      </c>
      <c r="F300">
        <v>173</v>
      </c>
      <c r="G300">
        <v>91.69</v>
      </c>
      <c r="H300">
        <v>1</v>
      </c>
      <c r="I300">
        <v>1</v>
      </c>
    </row>
    <row r="301" spans="1:9" x14ac:dyDescent="0.25">
      <c r="A301">
        <v>300</v>
      </c>
      <c r="B301" s="40" t="s">
        <v>223</v>
      </c>
      <c r="C301" s="40" t="s">
        <v>1828</v>
      </c>
      <c r="D301">
        <v>10</v>
      </c>
      <c r="E301">
        <v>127.68</v>
      </c>
      <c r="F301">
        <v>336</v>
      </c>
      <c r="G301">
        <v>178.08</v>
      </c>
      <c r="H301">
        <v>1</v>
      </c>
      <c r="I301">
        <v>1</v>
      </c>
    </row>
    <row r="302" spans="1:9" x14ac:dyDescent="0.25">
      <c r="A302">
        <v>301</v>
      </c>
      <c r="B302" s="40" t="s">
        <v>223</v>
      </c>
      <c r="C302" s="40" t="s">
        <v>1358</v>
      </c>
      <c r="D302">
        <v>10</v>
      </c>
      <c r="E302">
        <v>44.84</v>
      </c>
      <c r="F302">
        <v>118</v>
      </c>
      <c r="G302">
        <v>62.540000000000006</v>
      </c>
      <c r="H302">
        <v>1</v>
      </c>
      <c r="I302">
        <v>1</v>
      </c>
    </row>
    <row r="303" spans="1:9" x14ac:dyDescent="0.25">
      <c r="A303">
        <v>302</v>
      </c>
      <c r="B303" s="40" t="s">
        <v>223</v>
      </c>
      <c r="C303" s="40" t="s">
        <v>1359</v>
      </c>
      <c r="D303">
        <v>10</v>
      </c>
      <c r="E303">
        <v>28.5</v>
      </c>
      <c r="F303">
        <v>75</v>
      </c>
      <c r="G303">
        <v>39.75</v>
      </c>
      <c r="H303">
        <v>1</v>
      </c>
      <c r="I303">
        <v>1</v>
      </c>
    </row>
    <row r="304" spans="1:9" x14ac:dyDescent="0.25">
      <c r="A304">
        <v>303</v>
      </c>
      <c r="B304" s="40" t="s">
        <v>223</v>
      </c>
      <c r="C304" s="40" t="s">
        <v>1356</v>
      </c>
      <c r="D304">
        <v>10</v>
      </c>
      <c r="E304">
        <v>110.96000000000001</v>
      </c>
      <c r="F304">
        <v>292</v>
      </c>
      <c r="G304">
        <v>154.76000000000002</v>
      </c>
      <c r="H304">
        <v>1</v>
      </c>
      <c r="I304">
        <v>1</v>
      </c>
    </row>
    <row r="305" spans="1:9" x14ac:dyDescent="0.25">
      <c r="A305">
        <v>304</v>
      </c>
      <c r="B305" s="40" t="s">
        <v>223</v>
      </c>
      <c r="C305" s="40" t="s">
        <v>1360</v>
      </c>
      <c r="D305">
        <v>10</v>
      </c>
      <c r="E305">
        <v>273.60000000000002</v>
      </c>
      <c r="F305">
        <v>720</v>
      </c>
      <c r="G305">
        <v>381.6</v>
      </c>
      <c r="H305">
        <v>1</v>
      </c>
      <c r="I305">
        <v>1</v>
      </c>
    </row>
    <row r="306" spans="1:9" x14ac:dyDescent="0.25">
      <c r="A306">
        <v>305</v>
      </c>
      <c r="B306" s="40" t="s">
        <v>223</v>
      </c>
      <c r="C306" s="40" t="s">
        <v>1826</v>
      </c>
      <c r="D306">
        <v>10</v>
      </c>
      <c r="E306">
        <v>28.88</v>
      </c>
      <c r="F306">
        <v>76</v>
      </c>
      <c r="G306">
        <v>40.28</v>
      </c>
      <c r="H306">
        <v>1</v>
      </c>
      <c r="I306">
        <v>1</v>
      </c>
    </row>
    <row r="307" spans="1:9" x14ac:dyDescent="0.25">
      <c r="A307">
        <v>306</v>
      </c>
      <c r="B307" s="40" t="s">
        <v>223</v>
      </c>
      <c r="C307" s="40" t="s">
        <v>234</v>
      </c>
      <c r="D307">
        <v>10</v>
      </c>
      <c r="E307">
        <v>57.05</v>
      </c>
      <c r="F307">
        <v>163</v>
      </c>
      <c r="G307">
        <v>81.5</v>
      </c>
      <c r="H307">
        <v>1</v>
      </c>
      <c r="I307">
        <v>1</v>
      </c>
    </row>
    <row r="308" spans="1:9" x14ac:dyDescent="0.25">
      <c r="A308">
        <v>307</v>
      </c>
      <c r="B308" s="40" t="s">
        <v>223</v>
      </c>
      <c r="C308" s="40" t="s">
        <v>235</v>
      </c>
      <c r="D308">
        <v>10</v>
      </c>
      <c r="E308">
        <v>158.89999999999998</v>
      </c>
      <c r="F308">
        <v>454</v>
      </c>
      <c r="G308">
        <v>227</v>
      </c>
      <c r="H308">
        <v>1</v>
      </c>
      <c r="I308">
        <v>1</v>
      </c>
    </row>
    <row r="309" spans="1:9" x14ac:dyDescent="0.25">
      <c r="A309">
        <v>308</v>
      </c>
      <c r="B309" s="40" t="s">
        <v>223</v>
      </c>
      <c r="C309" s="40" t="s">
        <v>236</v>
      </c>
      <c r="D309">
        <v>10</v>
      </c>
      <c r="E309">
        <v>112.1</v>
      </c>
      <c r="F309">
        <v>295</v>
      </c>
      <c r="G309">
        <v>156.35</v>
      </c>
      <c r="H309">
        <v>1</v>
      </c>
      <c r="I309">
        <v>1</v>
      </c>
    </row>
    <row r="310" spans="1:9" x14ac:dyDescent="0.25">
      <c r="A310">
        <v>309</v>
      </c>
      <c r="B310" s="40" t="s">
        <v>223</v>
      </c>
      <c r="C310" s="40" t="s">
        <v>237</v>
      </c>
      <c r="D310">
        <v>10</v>
      </c>
      <c r="E310">
        <v>49.4</v>
      </c>
      <c r="F310">
        <v>130</v>
      </c>
      <c r="G310">
        <v>68.900000000000006</v>
      </c>
      <c r="H310">
        <v>1</v>
      </c>
      <c r="I310">
        <v>1</v>
      </c>
    </row>
    <row r="311" spans="1:9" x14ac:dyDescent="0.25">
      <c r="A311">
        <v>310</v>
      </c>
      <c r="B311" s="40" t="s">
        <v>223</v>
      </c>
      <c r="C311" s="40" t="s">
        <v>238</v>
      </c>
      <c r="D311">
        <v>10</v>
      </c>
      <c r="E311">
        <v>57.38</v>
      </c>
      <c r="F311">
        <v>151</v>
      </c>
      <c r="G311">
        <v>80.03</v>
      </c>
      <c r="H311">
        <v>1</v>
      </c>
      <c r="I311">
        <v>1</v>
      </c>
    </row>
    <row r="312" spans="1:9" x14ac:dyDescent="0.25">
      <c r="A312">
        <v>311</v>
      </c>
      <c r="B312" s="40" t="s">
        <v>223</v>
      </c>
      <c r="C312" s="40" t="s">
        <v>239</v>
      </c>
      <c r="D312">
        <v>10</v>
      </c>
      <c r="E312">
        <v>59.660000000000004</v>
      </c>
      <c r="F312">
        <v>157</v>
      </c>
      <c r="G312">
        <v>83.210000000000008</v>
      </c>
      <c r="H312">
        <v>1</v>
      </c>
      <c r="I312">
        <v>1</v>
      </c>
    </row>
    <row r="313" spans="1:9" x14ac:dyDescent="0.25">
      <c r="A313">
        <v>312</v>
      </c>
      <c r="B313" s="40" t="s">
        <v>223</v>
      </c>
      <c r="C313" s="40" t="s">
        <v>240</v>
      </c>
      <c r="D313">
        <v>10</v>
      </c>
      <c r="E313">
        <v>55.1</v>
      </c>
      <c r="F313">
        <v>145</v>
      </c>
      <c r="G313">
        <v>76.850000000000009</v>
      </c>
      <c r="H313">
        <v>1</v>
      </c>
      <c r="I313">
        <v>1</v>
      </c>
    </row>
    <row r="314" spans="1:9" x14ac:dyDescent="0.25">
      <c r="A314">
        <v>313</v>
      </c>
      <c r="B314" s="40" t="s">
        <v>223</v>
      </c>
      <c r="C314" s="40" t="s">
        <v>241</v>
      </c>
      <c r="D314">
        <v>10</v>
      </c>
      <c r="E314">
        <v>23.18</v>
      </c>
      <c r="F314">
        <v>61</v>
      </c>
      <c r="G314">
        <v>32.33</v>
      </c>
      <c r="H314">
        <v>1</v>
      </c>
      <c r="I314">
        <v>1</v>
      </c>
    </row>
    <row r="315" spans="1:9" x14ac:dyDescent="0.25">
      <c r="A315">
        <v>314</v>
      </c>
      <c r="B315" s="40" t="s">
        <v>223</v>
      </c>
      <c r="C315" s="40" t="s">
        <v>1355</v>
      </c>
      <c r="D315">
        <v>10</v>
      </c>
      <c r="E315">
        <v>57</v>
      </c>
      <c r="F315">
        <v>150</v>
      </c>
      <c r="G315">
        <v>79.5</v>
      </c>
      <c r="H315">
        <v>1</v>
      </c>
      <c r="I315">
        <v>1</v>
      </c>
    </row>
    <row r="316" spans="1:9" x14ac:dyDescent="0.25">
      <c r="A316">
        <v>315</v>
      </c>
      <c r="B316" s="40" t="s">
        <v>223</v>
      </c>
      <c r="C316" s="40" t="s">
        <v>242</v>
      </c>
      <c r="D316">
        <v>10</v>
      </c>
      <c r="E316">
        <v>87.4</v>
      </c>
      <c r="F316">
        <v>230</v>
      </c>
      <c r="G316">
        <v>121.9</v>
      </c>
      <c r="H316">
        <v>1</v>
      </c>
      <c r="I316">
        <v>1</v>
      </c>
    </row>
    <row r="317" spans="1:9" x14ac:dyDescent="0.25">
      <c r="A317">
        <v>316</v>
      </c>
      <c r="B317" s="40" t="s">
        <v>223</v>
      </c>
      <c r="C317" s="40" t="s">
        <v>243</v>
      </c>
      <c r="D317">
        <v>10</v>
      </c>
      <c r="E317">
        <v>173.28</v>
      </c>
      <c r="F317">
        <v>456</v>
      </c>
      <c r="G317">
        <v>241.68</v>
      </c>
      <c r="H317">
        <v>1</v>
      </c>
      <c r="I317">
        <v>1</v>
      </c>
    </row>
    <row r="318" spans="1:9" x14ac:dyDescent="0.25">
      <c r="A318">
        <v>317</v>
      </c>
      <c r="B318" s="40" t="s">
        <v>223</v>
      </c>
      <c r="C318" s="40" t="s">
        <v>244</v>
      </c>
      <c r="D318">
        <v>10</v>
      </c>
      <c r="E318">
        <v>58.9</v>
      </c>
      <c r="F318">
        <v>155</v>
      </c>
      <c r="G318">
        <v>82.15</v>
      </c>
      <c r="H318">
        <v>1</v>
      </c>
      <c r="I318">
        <v>1</v>
      </c>
    </row>
    <row r="319" spans="1:9" x14ac:dyDescent="0.25">
      <c r="A319">
        <v>318</v>
      </c>
      <c r="B319" s="40" t="s">
        <v>223</v>
      </c>
      <c r="C319" s="40" t="s">
        <v>1352</v>
      </c>
      <c r="D319">
        <v>10</v>
      </c>
      <c r="E319">
        <v>85.5</v>
      </c>
      <c r="F319">
        <v>225</v>
      </c>
      <c r="G319">
        <v>119.25</v>
      </c>
      <c r="H319">
        <v>1</v>
      </c>
      <c r="I319">
        <v>1</v>
      </c>
    </row>
    <row r="320" spans="1:9" x14ac:dyDescent="0.25">
      <c r="A320">
        <v>319</v>
      </c>
      <c r="B320" s="40" t="s">
        <v>223</v>
      </c>
      <c r="C320" s="40" t="s">
        <v>1353</v>
      </c>
      <c r="D320">
        <v>10</v>
      </c>
      <c r="E320">
        <v>55.1</v>
      </c>
      <c r="F320">
        <v>145</v>
      </c>
      <c r="G320">
        <v>76.850000000000009</v>
      </c>
      <c r="H320">
        <v>1</v>
      </c>
      <c r="I320">
        <v>1</v>
      </c>
    </row>
    <row r="321" spans="1:9" x14ac:dyDescent="0.25">
      <c r="A321">
        <v>320</v>
      </c>
      <c r="B321" s="40" t="s">
        <v>223</v>
      </c>
      <c r="C321" s="40" t="s">
        <v>245</v>
      </c>
      <c r="D321">
        <v>10</v>
      </c>
      <c r="E321">
        <v>82.460000000000008</v>
      </c>
      <c r="F321">
        <v>217</v>
      </c>
      <c r="G321">
        <v>115.01</v>
      </c>
      <c r="H321">
        <v>1</v>
      </c>
      <c r="I321">
        <v>1</v>
      </c>
    </row>
    <row r="322" spans="1:9" x14ac:dyDescent="0.25">
      <c r="A322">
        <v>321</v>
      </c>
      <c r="B322" s="40" t="s">
        <v>223</v>
      </c>
      <c r="C322" s="40" t="s">
        <v>246</v>
      </c>
      <c r="D322">
        <v>10</v>
      </c>
      <c r="E322">
        <v>201.02</v>
      </c>
      <c r="F322">
        <v>529</v>
      </c>
      <c r="G322">
        <v>280.37</v>
      </c>
      <c r="H322">
        <v>1</v>
      </c>
      <c r="I322">
        <v>1</v>
      </c>
    </row>
    <row r="323" spans="1:9" x14ac:dyDescent="0.25">
      <c r="A323">
        <v>322</v>
      </c>
      <c r="B323" s="40" t="s">
        <v>223</v>
      </c>
      <c r="C323" s="40" t="s">
        <v>247</v>
      </c>
      <c r="D323">
        <v>10</v>
      </c>
      <c r="E323">
        <v>18.794800000000002</v>
      </c>
      <c r="F323">
        <v>49.46</v>
      </c>
      <c r="G323">
        <v>26.213800000000003</v>
      </c>
      <c r="H323">
        <v>1</v>
      </c>
      <c r="I323">
        <v>1</v>
      </c>
    </row>
    <row r="324" spans="1:9" x14ac:dyDescent="0.25">
      <c r="A324">
        <v>323</v>
      </c>
      <c r="B324" s="40" t="s">
        <v>223</v>
      </c>
      <c r="C324" s="40" t="s">
        <v>248</v>
      </c>
      <c r="D324">
        <v>10</v>
      </c>
      <c r="E324">
        <v>103.36</v>
      </c>
      <c r="F324">
        <v>272</v>
      </c>
      <c r="G324">
        <v>144.16</v>
      </c>
      <c r="H324">
        <v>1</v>
      </c>
      <c r="I324">
        <v>1</v>
      </c>
    </row>
    <row r="325" spans="1:9" x14ac:dyDescent="0.25">
      <c r="A325">
        <v>324</v>
      </c>
      <c r="B325" s="40" t="s">
        <v>223</v>
      </c>
      <c r="C325" s="40" t="s">
        <v>249</v>
      </c>
      <c r="D325">
        <v>10</v>
      </c>
      <c r="E325">
        <v>174.8</v>
      </c>
      <c r="F325">
        <v>460</v>
      </c>
      <c r="G325">
        <v>243.8</v>
      </c>
      <c r="H325">
        <v>1</v>
      </c>
      <c r="I325">
        <v>1</v>
      </c>
    </row>
    <row r="326" spans="1:9" x14ac:dyDescent="0.25">
      <c r="A326">
        <v>325</v>
      </c>
      <c r="B326" s="40" t="s">
        <v>223</v>
      </c>
      <c r="C326" s="40" t="s">
        <v>250</v>
      </c>
      <c r="D326">
        <v>10</v>
      </c>
      <c r="E326">
        <v>18.7074</v>
      </c>
      <c r="F326">
        <v>49.23</v>
      </c>
      <c r="G326">
        <v>26.091899999999999</v>
      </c>
      <c r="H326">
        <v>1</v>
      </c>
      <c r="I326">
        <v>1</v>
      </c>
    </row>
    <row r="327" spans="1:9" x14ac:dyDescent="0.25">
      <c r="A327">
        <v>326</v>
      </c>
      <c r="B327" s="40" t="s">
        <v>223</v>
      </c>
      <c r="C327" s="40" t="s">
        <v>251</v>
      </c>
      <c r="D327">
        <v>10</v>
      </c>
      <c r="E327">
        <v>56.62</v>
      </c>
      <c r="F327">
        <v>149</v>
      </c>
      <c r="G327">
        <v>78.97</v>
      </c>
      <c r="H327">
        <v>1</v>
      </c>
      <c r="I327">
        <v>1</v>
      </c>
    </row>
    <row r="328" spans="1:9" x14ac:dyDescent="0.25">
      <c r="A328">
        <v>327</v>
      </c>
      <c r="B328" s="40" t="s">
        <v>223</v>
      </c>
      <c r="C328" s="40" t="s">
        <v>252</v>
      </c>
      <c r="D328">
        <v>10</v>
      </c>
      <c r="E328">
        <v>208.24</v>
      </c>
      <c r="F328">
        <v>548</v>
      </c>
      <c r="G328">
        <v>290.44</v>
      </c>
      <c r="H328">
        <v>1</v>
      </c>
      <c r="I328">
        <v>1</v>
      </c>
    </row>
    <row r="329" spans="1:9" x14ac:dyDescent="0.25">
      <c r="A329">
        <v>328</v>
      </c>
      <c r="B329" s="40" t="s">
        <v>223</v>
      </c>
      <c r="C329" s="40" t="s">
        <v>253</v>
      </c>
      <c r="D329">
        <v>10</v>
      </c>
      <c r="E329">
        <v>428.64</v>
      </c>
      <c r="F329">
        <v>1128</v>
      </c>
      <c r="G329">
        <v>597.84</v>
      </c>
      <c r="H329">
        <v>1</v>
      </c>
      <c r="I329">
        <v>1</v>
      </c>
    </row>
    <row r="330" spans="1:9" x14ac:dyDescent="0.25">
      <c r="A330">
        <v>329</v>
      </c>
      <c r="B330" s="40" t="s">
        <v>1820</v>
      </c>
      <c r="C330" s="40" t="s">
        <v>254</v>
      </c>
      <c r="D330">
        <v>10</v>
      </c>
      <c r="E330">
        <v>70.680000000000007</v>
      </c>
      <c r="F330">
        <v>186</v>
      </c>
      <c r="G330">
        <v>98.58</v>
      </c>
      <c r="H330">
        <v>1</v>
      </c>
      <c r="I330">
        <v>1</v>
      </c>
    </row>
    <row r="331" spans="1:9" x14ac:dyDescent="0.25">
      <c r="A331">
        <v>330</v>
      </c>
      <c r="B331" s="40" t="s">
        <v>1820</v>
      </c>
      <c r="C331" s="40" t="s">
        <v>255</v>
      </c>
      <c r="D331">
        <v>10</v>
      </c>
      <c r="E331">
        <v>90.06</v>
      </c>
      <c r="F331">
        <v>237</v>
      </c>
      <c r="G331">
        <v>125.61</v>
      </c>
      <c r="H331">
        <v>1</v>
      </c>
      <c r="I331">
        <v>1</v>
      </c>
    </row>
    <row r="332" spans="1:9" x14ac:dyDescent="0.25">
      <c r="A332">
        <v>331</v>
      </c>
      <c r="B332" s="40" t="s">
        <v>1820</v>
      </c>
      <c r="C332" s="40" t="s">
        <v>257</v>
      </c>
      <c r="D332">
        <v>10</v>
      </c>
      <c r="E332">
        <v>90.44</v>
      </c>
      <c r="F332">
        <v>238</v>
      </c>
      <c r="G332">
        <v>126.14</v>
      </c>
      <c r="H332">
        <v>1</v>
      </c>
      <c r="I332">
        <v>1</v>
      </c>
    </row>
    <row r="333" spans="1:9" x14ac:dyDescent="0.25">
      <c r="A333">
        <v>332</v>
      </c>
      <c r="B333" s="40" t="s">
        <v>1820</v>
      </c>
      <c r="C333" s="40" t="s">
        <v>258</v>
      </c>
      <c r="D333">
        <v>10</v>
      </c>
      <c r="E333">
        <v>87.4</v>
      </c>
      <c r="F333">
        <v>230</v>
      </c>
      <c r="G333">
        <v>121.9</v>
      </c>
      <c r="H333">
        <v>1</v>
      </c>
      <c r="I333">
        <v>1</v>
      </c>
    </row>
    <row r="334" spans="1:9" x14ac:dyDescent="0.25">
      <c r="A334">
        <v>333</v>
      </c>
      <c r="B334" s="40" t="s">
        <v>1820</v>
      </c>
      <c r="C334" s="40" t="s">
        <v>259</v>
      </c>
      <c r="D334">
        <v>10</v>
      </c>
      <c r="E334">
        <v>60.8</v>
      </c>
      <c r="F334">
        <v>160</v>
      </c>
      <c r="G334">
        <v>84.800000000000011</v>
      </c>
      <c r="H334">
        <v>1</v>
      </c>
      <c r="I334">
        <v>1</v>
      </c>
    </row>
    <row r="335" spans="1:9" x14ac:dyDescent="0.25">
      <c r="A335">
        <v>334</v>
      </c>
      <c r="B335" s="40" t="s">
        <v>266</v>
      </c>
      <c r="C335" s="40" t="s">
        <v>260</v>
      </c>
      <c r="D335">
        <v>10</v>
      </c>
      <c r="E335">
        <v>0</v>
      </c>
      <c r="F335">
        <v>0</v>
      </c>
      <c r="G335">
        <v>0</v>
      </c>
      <c r="H335">
        <v>1</v>
      </c>
      <c r="I335">
        <v>1</v>
      </c>
    </row>
    <row r="336" spans="1:9" x14ac:dyDescent="0.25">
      <c r="A336">
        <v>335</v>
      </c>
      <c r="B336" s="40" t="s">
        <v>1820</v>
      </c>
      <c r="C336" s="40" t="s">
        <v>1350</v>
      </c>
      <c r="D336">
        <v>10</v>
      </c>
      <c r="E336">
        <v>68.400000000000006</v>
      </c>
      <c r="F336">
        <v>180</v>
      </c>
      <c r="G336">
        <v>95.4</v>
      </c>
      <c r="H336">
        <v>1</v>
      </c>
      <c r="I336">
        <v>1</v>
      </c>
    </row>
    <row r="337" spans="1:9" x14ac:dyDescent="0.25">
      <c r="A337">
        <v>336</v>
      </c>
      <c r="B337" s="40" t="s">
        <v>1820</v>
      </c>
      <c r="C337" s="40" t="s">
        <v>1349</v>
      </c>
      <c r="D337">
        <v>10</v>
      </c>
      <c r="E337">
        <v>30.78</v>
      </c>
      <c r="F337">
        <v>81</v>
      </c>
      <c r="G337">
        <v>42.93</v>
      </c>
      <c r="H337">
        <v>1</v>
      </c>
      <c r="I337">
        <v>1</v>
      </c>
    </row>
    <row r="338" spans="1:9" x14ac:dyDescent="0.25">
      <c r="A338">
        <v>337</v>
      </c>
      <c r="B338" s="40" t="s">
        <v>1820</v>
      </c>
      <c r="C338" s="40" t="s">
        <v>1351</v>
      </c>
      <c r="D338">
        <v>10</v>
      </c>
      <c r="E338">
        <v>89.3</v>
      </c>
      <c r="F338">
        <v>235</v>
      </c>
      <c r="G338">
        <v>124.55000000000001</v>
      </c>
      <c r="H338">
        <v>1</v>
      </c>
      <c r="I338">
        <v>1</v>
      </c>
    </row>
    <row r="339" spans="1:9" x14ac:dyDescent="0.25">
      <c r="A339">
        <v>338</v>
      </c>
      <c r="B339" s="40" t="s">
        <v>1820</v>
      </c>
      <c r="C339" s="40" t="s">
        <v>261</v>
      </c>
      <c r="D339">
        <v>10</v>
      </c>
      <c r="E339">
        <v>127.68</v>
      </c>
      <c r="F339">
        <v>336</v>
      </c>
      <c r="G339">
        <v>178.08</v>
      </c>
      <c r="H339">
        <v>1</v>
      </c>
      <c r="I339">
        <v>1</v>
      </c>
    </row>
    <row r="340" spans="1:9" x14ac:dyDescent="0.25">
      <c r="A340">
        <v>339</v>
      </c>
      <c r="B340" s="40" t="s">
        <v>1820</v>
      </c>
      <c r="C340" s="40" t="s">
        <v>262</v>
      </c>
      <c r="D340">
        <v>10</v>
      </c>
      <c r="E340">
        <v>170.24</v>
      </c>
      <c r="F340">
        <v>448</v>
      </c>
      <c r="G340">
        <v>237.44</v>
      </c>
      <c r="H340">
        <v>1</v>
      </c>
      <c r="I340">
        <v>1</v>
      </c>
    </row>
    <row r="341" spans="1:9" x14ac:dyDescent="0.25">
      <c r="A341">
        <v>340</v>
      </c>
      <c r="B341" s="40" t="s">
        <v>1820</v>
      </c>
      <c r="C341" s="40" t="s">
        <v>1827</v>
      </c>
      <c r="D341">
        <v>10</v>
      </c>
      <c r="E341">
        <v>154.28</v>
      </c>
      <c r="F341">
        <v>406</v>
      </c>
      <c r="G341">
        <v>215.18</v>
      </c>
      <c r="H341">
        <v>1</v>
      </c>
      <c r="I341">
        <v>1</v>
      </c>
    </row>
    <row r="342" spans="1:9" x14ac:dyDescent="0.25">
      <c r="A342">
        <v>341</v>
      </c>
      <c r="B342" s="40" t="s">
        <v>1820</v>
      </c>
      <c r="C342" s="40" t="s">
        <v>263</v>
      </c>
      <c r="D342">
        <v>10</v>
      </c>
      <c r="E342">
        <v>69.16</v>
      </c>
      <c r="F342">
        <v>182</v>
      </c>
      <c r="G342">
        <v>96.460000000000008</v>
      </c>
      <c r="H342">
        <v>1</v>
      </c>
      <c r="I342">
        <v>1</v>
      </c>
    </row>
    <row r="343" spans="1:9" x14ac:dyDescent="0.25">
      <c r="A343">
        <v>342</v>
      </c>
      <c r="B343" s="40" t="s">
        <v>1820</v>
      </c>
      <c r="C343" s="40" t="s">
        <v>264</v>
      </c>
      <c r="D343">
        <v>10</v>
      </c>
      <c r="E343">
        <v>123.5</v>
      </c>
      <c r="F343">
        <v>325</v>
      </c>
      <c r="G343">
        <v>172.25</v>
      </c>
      <c r="H343">
        <v>1</v>
      </c>
      <c r="I343">
        <v>1</v>
      </c>
    </row>
    <row r="344" spans="1:9" x14ac:dyDescent="0.25">
      <c r="A344">
        <v>343</v>
      </c>
      <c r="B344" s="40" t="s">
        <v>1820</v>
      </c>
      <c r="C344" s="42" t="s">
        <v>265</v>
      </c>
      <c r="D344">
        <v>10</v>
      </c>
      <c r="E344">
        <v>10.488000000000001</v>
      </c>
      <c r="F344">
        <v>27.6</v>
      </c>
      <c r="G344">
        <v>14.628000000000002</v>
      </c>
      <c r="H344">
        <v>1</v>
      </c>
      <c r="I344">
        <v>1</v>
      </c>
    </row>
    <row r="345" spans="1:9" x14ac:dyDescent="0.25">
      <c r="A345">
        <v>344</v>
      </c>
      <c r="B345" s="40" t="s">
        <v>1820</v>
      </c>
      <c r="C345" s="42" t="s">
        <v>1821</v>
      </c>
      <c r="D345">
        <v>10</v>
      </c>
      <c r="E345">
        <v>9.120000000000001</v>
      </c>
      <c r="F345">
        <v>24</v>
      </c>
      <c r="G345">
        <v>12.72</v>
      </c>
      <c r="H345">
        <v>1</v>
      </c>
      <c r="I345">
        <v>1</v>
      </c>
    </row>
    <row r="346" spans="1:9" x14ac:dyDescent="0.25">
      <c r="A346">
        <v>345</v>
      </c>
      <c r="B346" s="40" t="s">
        <v>1820</v>
      </c>
      <c r="C346" s="42" t="s">
        <v>1822</v>
      </c>
      <c r="D346">
        <v>10</v>
      </c>
      <c r="E346">
        <v>98.8</v>
      </c>
      <c r="F346">
        <v>260</v>
      </c>
      <c r="G346">
        <v>137.80000000000001</v>
      </c>
      <c r="H346">
        <v>1</v>
      </c>
      <c r="I346">
        <v>1</v>
      </c>
    </row>
    <row r="347" spans="1:9" x14ac:dyDescent="0.25">
      <c r="A347">
        <v>346</v>
      </c>
      <c r="B347" s="40" t="s">
        <v>1820</v>
      </c>
      <c r="C347" s="42" t="s">
        <v>1823</v>
      </c>
      <c r="D347">
        <v>10</v>
      </c>
      <c r="E347">
        <v>31.855399999999999</v>
      </c>
      <c r="F347">
        <v>83.83</v>
      </c>
      <c r="G347">
        <v>44.429900000000004</v>
      </c>
      <c r="H347">
        <v>1</v>
      </c>
      <c r="I347">
        <v>1</v>
      </c>
    </row>
    <row r="348" spans="1:9" x14ac:dyDescent="0.25">
      <c r="A348">
        <v>347</v>
      </c>
      <c r="B348" s="40" t="s">
        <v>1820</v>
      </c>
      <c r="C348" s="42" t="s">
        <v>1824</v>
      </c>
      <c r="D348">
        <v>10</v>
      </c>
      <c r="E348">
        <v>49.9358</v>
      </c>
      <c r="F348">
        <v>131.41</v>
      </c>
      <c r="G348">
        <v>69.647300000000001</v>
      </c>
      <c r="H348">
        <v>1</v>
      </c>
      <c r="I348">
        <v>1</v>
      </c>
    </row>
    <row r="349" spans="1:9" x14ac:dyDescent="0.25">
      <c r="A349">
        <v>348</v>
      </c>
      <c r="B349" s="40" t="s">
        <v>1820</v>
      </c>
      <c r="C349" s="42" t="s">
        <v>1825</v>
      </c>
      <c r="D349">
        <v>10</v>
      </c>
      <c r="E349">
        <v>38</v>
      </c>
      <c r="F349">
        <v>100</v>
      </c>
      <c r="G349">
        <v>53</v>
      </c>
      <c r="H349">
        <v>1</v>
      </c>
      <c r="I349">
        <v>1</v>
      </c>
    </row>
    <row r="350" spans="1:9" x14ac:dyDescent="0.25">
      <c r="A350">
        <v>349</v>
      </c>
      <c r="B350" s="40" t="s">
        <v>266</v>
      </c>
      <c r="C350" s="40" t="s">
        <v>267</v>
      </c>
      <c r="D350">
        <v>10</v>
      </c>
      <c r="E350">
        <v>28.88</v>
      </c>
      <c r="F350">
        <v>76</v>
      </c>
      <c r="G350">
        <v>40.28</v>
      </c>
      <c r="H350">
        <v>1</v>
      </c>
      <c r="I350">
        <v>1</v>
      </c>
    </row>
    <row r="351" spans="1:9" x14ac:dyDescent="0.25">
      <c r="A351">
        <v>350</v>
      </c>
      <c r="B351" s="40" t="s">
        <v>266</v>
      </c>
      <c r="C351" s="40" t="s">
        <v>268</v>
      </c>
      <c r="D351">
        <v>10</v>
      </c>
      <c r="E351">
        <v>24.7</v>
      </c>
      <c r="F351">
        <v>65</v>
      </c>
      <c r="G351">
        <v>34.450000000000003</v>
      </c>
      <c r="H351">
        <v>1</v>
      </c>
      <c r="I351">
        <v>1</v>
      </c>
    </row>
    <row r="352" spans="1:9" x14ac:dyDescent="0.25">
      <c r="A352">
        <v>351</v>
      </c>
      <c r="B352" s="40" t="s">
        <v>266</v>
      </c>
      <c r="C352" s="40" t="s">
        <v>269</v>
      </c>
      <c r="D352">
        <v>10</v>
      </c>
      <c r="E352">
        <v>26.6</v>
      </c>
      <c r="F352">
        <v>70</v>
      </c>
      <c r="G352">
        <v>37.1</v>
      </c>
      <c r="H352">
        <v>1</v>
      </c>
      <c r="I352">
        <v>1</v>
      </c>
    </row>
    <row r="353" spans="1:9" x14ac:dyDescent="0.25">
      <c r="A353">
        <v>352</v>
      </c>
      <c r="B353" s="40" t="s">
        <v>266</v>
      </c>
      <c r="C353" s="40" t="s">
        <v>273</v>
      </c>
      <c r="D353">
        <v>10</v>
      </c>
      <c r="E353">
        <v>64.599999999999994</v>
      </c>
      <c r="F353">
        <v>170</v>
      </c>
      <c r="G353">
        <v>90.100000000000009</v>
      </c>
      <c r="H353">
        <v>1</v>
      </c>
      <c r="I353">
        <v>1</v>
      </c>
    </row>
    <row r="354" spans="1:9" x14ac:dyDescent="0.25">
      <c r="A354">
        <v>353</v>
      </c>
      <c r="B354" s="40" t="s">
        <v>266</v>
      </c>
      <c r="C354" s="40" t="s">
        <v>274</v>
      </c>
      <c r="D354">
        <v>10</v>
      </c>
      <c r="E354">
        <v>34.96</v>
      </c>
      <c r="F354">
        <v>92</v>
      </c>
      <c r="G354">
        <v>48.760000000000005</v>
      </c>
      <c r="H354">
        <v>1</v>
      </c>
      <c r="I354">
        <v>1</v>
      </c>
    </row>
    <row r="355" spans="1:9" x14ac:dyDescent="0.25">
      <c r="A355">
        <v>354</v>
      </c>
      <c r="B355" s="40" t="s">
        <v>266</v>
      </c>
      <c r="C355" s="40" t="s">
        <v>275</v>
      </c>
      <c r="D355">
        <v>10</v>
      </c>
      <c r="E355">
        <v>50.54</v>
      </c>
      <c r="F355">
        <v>133</v>
      </c>
      <c r="G355">
        <v>70.490000000000009</v>
      </c>
      <c r="H355">
        <v>1</v>
      </c>
      <c r="I355">
        <v>1</v>
      </c>
    </row>
    <row r="356" spans="1:9" x14ac:dyDescent="0.25">
      <c r="A356">
        <v>355</v>
      </c>
      <c r="B356" s="40" t="s">
        <v>266</v>
      </c>
      <c r="C356" s="40" t="s">
        <v>276</v>
      </c>
      <c r="D356">
        <v>10</v>
      </c>
      <c r="E356">
        <v>33.06</v>
      </c>
      <c r="F356">
        <v>87</v>
      </c>
      <c r="G356">
        <v>46.11</v>
      </c>
      <c r="H356">
        <v>1</v>
      </c>
      <c r="I356">
        <v>1</v>
      </c>
    </row>
    <row r="357" spans="1:9" x14ac:dyDescent="0.25">
      <c r="A357">
        <v>356</v>
      </c>
      <c r="B357" s="40" t="s">
        <v>266</v>
      </c>
      <c r="C357" s="40" t="s">
        <v>277</v>
      </c>
      <c r="D357">
        <v>10</v>
      </c>
      <c r="E357">
        <v>37.619999999999997</v>
      </c>
      <c r="F357">
        <v>99</v>
      </c>
      <c r="G357">
        <v>52.470000000000006</v>
      </c>
      <c r="H357">
        <v>1</v>
      </c>
      <c r="I357">
        <v>1</v>
      </c>
    </row>
    <row r="358" spans="1:9" x14ac:dyDescent="0.25">
      <c r="A358">
        <v>357</v>
      </c>
      <c r="B358" s="40" t="s">
        <v>1680</v>
      </c>
      <c r="C358" s="42" t="s">
        <v>278</v>
      </c>
      <c r="D358">
        <v>10</v>
      </c>
      <c r="E358">
        <v>208.07999999999998</v>
      </c>
      <c r="F358">
        <v>289</v>
      </c>
      <c r="G358">
        <v>236.98</v>
      </c>
      <c r="H358">
        <v>1</v>
      </c>
      <c r="I358">
        <v>1</v>
      </c>
    </row>
    <row r="359" spans="1:9" x14ac:dyDescent="0.25">
      <c r="A359">
        <v>358</v>
      </c>
      <c r="B359" s="40" t="s">
        <v>1680</v>
      </c>
      <c r="C359" s="40" t="s">
        <v>279</v>
      </c>
      <c r="D359">
        <v>10</v>
      </c>
      <c r="E359">
        <v>113.03999999999999</v>
      </c>
      <c r="F359">
        <v>157</v>
      </c>
      <c r="G359">
        <v>128.73999999999998</v>
      </c>
      <c r="H359">
        <v>1</v>
      </c>
      <c r="I359">
        <v>1</v>
      </c>
    </row>
    <row r="360" spans="1:9" x14ac:dyDescent="0.25">
      <c r="A360">
        <v>359</v>
      </c>
      <c r="B360" s="40" t="s">
        <v>1680</v>
      </c>
      <c r="C360" s="40" t="s">
        <v>283</v>
      </c>
      <c r="D360">
        <v>10</v>
      </c>
      <c r="E360">
        <v>104.39999999999999</v>
      </c>
      <c r="F360">
        <v>145</v>
      </c>
      <c r="G360">
        <v>118.89999999999999</v>
      </c>
      <c r="H360">
        <v>1</v>
      </c>
      <c r="I360">
        <v>1</v>
      </c>
    </row>
    <row r="361" spans="1:9" x14ac:dyDescent="0.25">
      <c r="A361">
        <v>360</v>
      </c>
      <c r="B361" s="40" t="s">
        <v>1680</v>
      </c>
      <c r="C361" s="40" t="s">
        <v>1682</v>
      </c>
      <c r="D361">
        <v>10</v>
      </c>
      <c r="E361">
        <v>630</v>
      </c>
      <c r="F361">
        <v>875</v>
      </c>
      <c r="G361">
        <v>717.5</v>
      </c>
      <c r="H361">
        <v>1</v>
      </c>
      <c r="I361">
        <v>1</v>
      </c>
    </row>
    <row r="362" spans="1:9" x14ac:dyDescent="0.25">
      <c r="A362">
        <v>361</v>
      </c>
      <c r="B362" s="40" t="s">
        <v>1680</v>
      </c>
      <c r="C362" s="40" t="s">
        <v>284</v>
      </c>
      <c r="D362">
        <v>10</v>
      </c>
      <c r="E362">
        <v>207.35999999999999</v>
      </c>
      <c r="F362">
        <v>288</v>
      </c>
      <c r="G362">
        <v>236.16</v>
      </c>
      <c r="H362">
        <v>1</v>
      </c>
      <c r="I362">
        <v>1</v>
      </c>
    </row>
    <row r="363" spans="1:9" x14ac:dyDescent="0.25">
      <c r="A363">
        <v>362</v>
      </c>
      <c r="B363" s="40" t="s">
        <v>1680</v>
      </c>
      <c r="C363" s="40" t="s">
        <v>1683</v>
      </c>
      <c r="D363">
        <v>10</v>
      </c>
      <c r="E363">
        <v>437.76</v>
      </c>
      <c r="F363">
        <v>608</v>
      </c>
      <c r="G363">
        <v>498.55999999999995</v>
      </c>
      <c r="H363">
        <v>1</v>
      </c>
      <c r="I363">
        <v>1</v>
      </c>
    </row>
    <row r="364" spans="1:9" x14ac:dyDescent="0.25">
      <c r="A364">
        <v>363</v>
      </c>
      <c r="B364" s="40" t="s">
        <v>1680</v>
      </c>
      <c r="C364" s="40" t="s">
        <v>1684</v>
      </c>
      <c r="D364">
        <v>10</v>
      </c>
      <c r="E364">
        <v>1056.24</v>
      </c>
      <c r="F364">
        <v>1467</v>
      </c>
      <c r="G364">
        <v>1202.9399999999998</v>
      </c>
      <c r="H364">
        <v>1</v>
      </c>
      <c r="I364">
        <v>1</v>
      </c>
    </row>
    <row r="365" spans="1:9" x14ac:dyDescent="0.25">
      <c r="A365">
        <v>364</v>
      </c>
      <c r="B365" s="40" t="s">
        <v>1680</v>
      </c>
      <c r="C365" s="40" t="s">
        <v>285</v>
      </c>
      <c r="D365">
        <v>10</v>
      </c>
      <c r="E365">
        <v>606.95999999999992</v>
      </c>
      <c r="F365">
        <v>843</v>
      </c>
      <c r="G365">
        <v>691.26</v>
      </c>
      <c r="H365">
        <v>1</v>
      </c>
      <c r="I365">
        <v>1</v>
      </c>
    </row>
    <row r="366" spans="1:9" x14ac:dyDescent="0.25">
      <c r="A366">
        <v>365</v>
      </c>
      <c r="B366" s="40" t="s">
        <v>288</v>
      </c>
      <c r="C366" s="40" t="s">
        <v>1564</v>
      </c>
      <c r="D366">
        <v>10</v>
      </c>
      <c r="E366">
        <v>364.1</v>
      </c>
      <c r="F366">
        <v>662</v>
      </c>
      <c r="G366">
        <v>430.3</v>
      </c>
      <c r="H366">
        <v>1</v>
      </c>
      <c r="I366">
        <v>1</v>
      </c>
    </row>
    <row r="367" spans="1:9" x14ac:dyDescent="0.25">
      <c r="A367">
        <v>366</v>
      </c>
      <c r="B367" s="40" t="s">
        <v>288</v>
      </c>
      <c r="C367" s="40" t="s">
        <v>1863</v>
      </c>
      <c r="D367">
        <v>10</v>
      </c>
      <c r="E367">
        <v>501.6</v>
      </c>
      <c r="F367">
        <v>912</v>
      </c>
      <c r="G367">
        <v>592.80000000000007</v>
      </c>
      <c r="H367">
        <v>1</v>
      </c>
      <c r="I367">
        <v>1</v>
      </c>
    </row>
    <row r="368" spans="1:9" x14ac:dyDescent="0.25">
      <c r="A368">
        <v>367</v>
      </c>
      <c r="B368" s="40" t="s">
        <v>288</v>
      </c>
      <c r="C368" s="40" t="s">
        <v>1864</v>
      </c>
      <c r="D368">
        <v>10</v>
      </c>
      <c r="E368">
        <v>607.20000000000005</v>
      </c>
      <c r="F368">
        <v>1104</v>
      </c>
      <c r="G368">
        <v>717.6</v>
      </c>
      <c r="H368">
        <v>1</v>
      </c>
      <c r="I368">
        <v>1</v>
      </c>
    </row>
    <row r="369" spans="1:9" x14ac:dyDescent="0.25">
      <c r="A369">
        <v>368</v>
      </c>
      <c r="B369" s="40" t="s">
        <v>288</v>
      </c>
      <c r="C369" s="40" t="s">
        <v>1565</v>
      </c>
      <c r="D369">
        <v>10</v>
      </c>
      <c r="E369">
        <v>489.50000000000006</v>
      </c>
      <c r="F369">
        <v>890</v>
      </c>
      <c r="G369">
        <v>578.5</v>
      </c>
      <c r="H369">
        <v>1</v>
      </c>
      <c r="I369">
        <v>1</v>
      </c>
    </row>
    <row r="370" spans="1:9" x14ac:dyDescent="0.25">
      <c r="A370">
        <v>369</v>
      </c>
      <c r="B370" s="40" t="s">
        <v>288</v>
      </c>
      <c r="C370" s="40" t="s">
        <v>1569</v>
      </c>
      <c r="D370">
        <v>10</v>
      </c>
      <c r="E370">
        <v>426.25000000000006</v>
      </c>
      <c r="F370">
        <v>775</v>
      </c>
      <c r="G370">
        <v>503.75</v>
      </c>
      <c r="H370">
        <v>1</v>
      </c>
      <c r="I370">
        <v>1</v>
      </c>
    </row>
    <row r="371" spans="1:9" x14ac:dyDescent="0.25">
      <c r="A371">
        <v>370</v>
      </c>
      <c r="B371" s="40" t="s">
        <v>288</v>
      </c>
      <c r="C371" s="40" t="s">
        <v>1570</v>
      </c>
      <c r="D371">
        <v>10</v>
      </c>
      <c r="E371">
        <v>387.75000000000006</v>
      </c>
      <c r="F371">
        <v>705</v>
      </c>
      <c r="G371">
        <v>458.25</v>
      </c>
      <c r="H371">
        <v>1</v>
      </c>
      <c r="I371">
        <v>1</v>
      </c>
    </row>
    <row r="372" spans="1:9" x14ac:dyDescent="0.25">
      <c r="A372">
        <v>371</v>
      </c>
      <c r="B372" s="40" t="s">
        <v>288</v>
      </c>
      <c r="C372" s="40" t="s">
        <v>1571</v>
      </c>
      <c r="D372">
        <v>10</v>
      </c>
      <c r="E372">
        <v>343.20000000000005</v>
      </c>
      <c r="F372">
        <v>624</v>
      </c>
      <c r="G372">
        <v>405.6</v>
      </c>
      <c r="H372">
        <v>1</v>
      </c>
      <c r="I372">
        <v>1</v>
      </c>
    </row>
    <row r="373" spans="1:9" x14ac:dyDescent="0.25">
      <c r="A373">
        <v>372</v>
      </c>
      <c r="B373" s="40" t="s">
        <v>288</v>
      </c>
      <c r="C373" s="40" t="s">
        <v>289</v>
      </c>
      <c r="D373">
        <v>10</v>
      </c>
      <c r="E373">
        <v>34.65</v>
      </c>
      <c r="F373">
        <v>77</v>
      </c>
      <c r="G373">
        <v>42.35</v>
      </c>
      <c r="H373">
        <v>1</v>
      </c>
      <c r="I373">
        <v>1</v>
      </c>
    </row>
    <row r="374" spans="1:9" x14ac:dyDescent="0.25">
      <c r="A374">
        <v>373</v>
      </c>
      <c r="B374" s="40" t="s">
        <v>288</v>
      </c>
      <c r="C374" s="40" t="s">
        <v>290</v>
      </c>
      <c r="D374">
        <v>10</v>
      </c>
      <c r="E374">
        <v>94.76</v>
      </c>
      <c r="F374">
        <v>206</v>
      </c>
      <c r="G374">
        <v>115.36000000000001</v>
      </c>
      <c r="H374">
        <v>1</v>
      </c>
      <c r="I374">
        <v>1</v>
      </c>
    </row>
    <row r="375" spans="1:9" x14ac:dyDescent="0.25">
      <c r="A375">
        <v>374</v>
      </c>
      <c r="B375" s="40" t="s">
        <v>288</v>
      </c>
      <c r="C375" s="40" t="s">
        <v>291</v>
      </c>
      <c r="D375">
        <v>10</v>
      </c>
      <c r="E375">
        <v>60.720000000000006</v>
      </c>
      <c r="F375">
        <v>132</v>
      </c>
      <c r="G375">
        <v>73.92</v>
      </c>
      <c r="H375">
        <v>1</v>
      </c>
      <c r="I375">
        <v>1</v>
      </c>
    </row>
    <row r="376" spans="1:9" x14ac:dyDescent="0.25">
      <c r="A376">
        <v>375</v>
      </c>
      <c r="B376" s="40" t="s">
        <v>288</v>
      </c>
      <c r="C376" s="40" t="s">
        <v>1546</v>
      </c>
      <c r="D376">
        <v>10</v>
      </c>
      <c r="E376">
        <v>40.480000000000004</v>
      </c>
      <c r="F376">
        <v>88</v>
      </c>
      <c r="G376">
        <v>49.28</v>
      </c>
      <c r="H376">
        <v>1</v>
      </c>
      <c r="I376">
        <v>1</v>
      </c>
    </row>
    <row r="377" spans="1:9" x14ac:dyDescent="0.25">
      <c r="A377">
        <v>376</v>
      </c>
      <c r="B377" s="40" t="s">
        <v>288</v>
      </c>
      <c r="C377" s="40" t="s">
        <v>1547</v>
      </c>
      <c r="D377">
        <v>10</v>
      </c>
      <c r="E377">
        <v>53.36</v>
      </c>
      <c r="F377">
        <v>116</v>
      </c>
      <c r="G377">
        <v>64.960000000000008</v>
      </c>
      <c r="H377">
        <v>1</v>
      </c>
      <c r="I377">
        <v>1</v>
      </c>
    </row>
    <row r="378" spans="1:9" x14ac:dyDescent="0.25">
      <c r="A378">
        <v>377</v>
      </c>
      <c r="B378" s="40" t="s">
        <v>288</v>
      </c>
      <c r="C378" s="40" t="s">
        <v>1548</v>
      </c>
      <c r="D378">
        <v>10</v>
      </c>
      <c r="E378">
        <v>69.92</v>
      </c>
      <c r="F378">
        <v>152</v>
      </c>
      <c r="G378">
        <v>85.12</v>
      </c>
      <c r="H378">
        <v>1</v>
      </c>
      <c r="I378">
        <v>1</v>
      </c>
    </row>
    <row r="379" spans="1:9" x14ac:dyDescent="0.25">
      <c r="A379">
        <v>378</v>
      </c>
      <c r="B379" s="40" t="s">
        <v>288</v>
      </c>
      <c r="C379" s="40" t="s">
        <v>1568</v>
      </c>
      <c r="D379">
        <v>10</v>
      </c>
      <c r="E379">
        <v>114.08</v>
      </c>
      <c r="F379">
        <v>248</v>
      </c>
      <c r="G379">
        <v>138.88000000000002</v>
      </c>
      <c r="H379">
        <v>1</v>
      </c>
      <c r="I379">
        <v>1</v>
      </c>
    </row>
    <row r="380" spans="1:9" x14ac:dyDescent="0.25">
      <c r="A380">
        <v>379</v>
      </c>
      <c r="B380" s="40" t="s">
        <v>288</v>
      </c>
      <c r="C380" s="40" t="s">
        <v>292</v>
      </c>
      <c r="D380">
        <v>10</v>
      </c>
      <c r="E380">
        <v>57.5</v>
      </c>
      <c r="F380">
        <v>125</v>
      </c>
      <c r="G380">
        <v>70</v>
      </c>
      <c r="H380">
        <v>1</v>
      </c>
      <c r="I380">
        <v>1</v>
      </c>
    </row>
    <row r="381" spans="1:9" x14ac:dyDescent="0.25">
      <c r="A381">
        <v>380</v>
      </c>
      <c r="B381" s="40" t="s">
        <v>288</v>
      </c>
      <c r="C381" s="40" t="s">
        <v>293</v>
      </c>
      <c r="D381">
        <v>10</v>
      </c>
      <c r="E381">
        <v>99.36</v>
      </c>
      <c r="F381">
        <v>216</v>
      </c>
      <c r="G381">
        <v>120.96000000000001</v>
      </c>
      <c r="H381">
        <v>1</v>
      </c>
      <c r="I381">
        <v>1</v>
      </c>
    </row>
    <row r="382" spans="1:9" x14ac:dyDescent="0.25">
      <c r="A382">
        <v>381</v>
      </c>
      <c r="B382" s="40" t="s">
        <v>288</v>
      </c>
      <c r="C382" s="40" t="s">
        <v>1549</v>
      </c>
      <c r="D382">
        <v>10</v>
      </c>
      <c r="E382">
        <v>114.08</v>
      </c>
      <c r="F382">
        <v>248</v>
      </c>
      <c r="G382">
        <v>138.88000000000002</v>
      </c>
      <c r="H382">
        <v>1</v>
      </c>
      <c r="I382">
        <v>1</v>
      </c>
    </row>
    <row r="383" spans="1:9" x14ac:dyDescent="0.25">
      <c r="A383">
        <v>382</v>
      </c>
      <c r="B383" s="40" t="s">
        <v>288</v>
      </c>
      <c r="C383" s="40" t="s">
        <v>1550</v>
      </c>
      <c r="D383">
        <v>10</v>
      </c>
      <c r="E383">
        <v>193.20000000000002</v>
      </c>
      <c r="F383">
        <v>420</v>
      </c>
      <c r="G383">
        <v>235.20000000000002</v>
      </c>
      <c r="H383">
        <v>1</v>
      </c>
      <c r="I383">
        <v>1</v>
      </c>
    </row>
    <row r="384" spans="1:9" x14ac:dyDescent="0.25">
      <c r="A384">
        <v>383</v>
      </c>
      <c r="B384" s="40" t="s">
        <v>288</v>
      </c>
      <c r="C384" s="40" t="s">
        <v>294</v>
      </c>
      <c r="D384">
        <v>10</v>
      </c>
      <c r="E384">
        <v>101.2</v>
      </c>
      <c r="F384">
        <v>220</v>
      </c>
      <c r="G384">
        <v>123.20000000000002</v>
      </c>
      <c r="H384">
        <v>1</v>
      </c>
      <c r="I384">
        <v>1</v>
      </c>
    </row>
    <row r="385" spans="1:9" x14ac:dyDescent="0.25">
      <c r="A385">
        <v>384</v>
      </c>
      <c r="B385" s="40" t="s">
        <v>288</v>
      </c>
      <c r="C385" s="40" t="s">
        <v>295</v>
      </c>
      <c r="D385">
        <v>10</v>
      </c>
      <c r="E385">
        <v>5.6672000000000002</v>
      </c>
      <c r="F385">
        <v>12.32</v>
      </c>
      <c r="G385">
        <v>6.8992000000000004</v>
      </c>
      <c r="H385">
        <v>1</v>
      </c>
      <c r="I385">
        <v>1</v>
      </c>
    </row>
    <row r="386" spans="1:9" x14ac:dyDescent="0.25">
      <c r="A386">
        <v>385</v>
      </c>
      <c r="B386" s="40" t="s">
        <v>288</v>
      </c>
      <c r="C386" s="40" t="s">
        <v>1551</v>
      </c>
      <c r="D386">
        <v>10</v>
      </c>
      <c r="E386">
        <v>131.56</v>
      </c>
      <c r="F386">
        <v>286</v>
      </c>
      <c r="G386">
        <v>160.16000000000003</v>
      </c>
      <c r="H386">
        <v>1</v>
      </c>
      <c r="I386">
        <v>1</v>
      </c>
    </row>
    <row r="387" spans="1:9" x14ac:dyDescent="0.25">
      <c r="A387">
        <v>386</v>
      </c>
      <c r="B387" s="40" t="s">
        <v>288</v>
      </c>
      <c r="C387" s="40" t="s">
        <v>1552</v>
      </c>
      <c r="D387">
        <v>10</v>
      </c>
      <c r="E387">
        <v>644</v>
      </c>
      <c r="F387">
        <v>1400</v>
      </c>
      <c r="G387">
        <v>784.00000000000011</v>
      </c>
      <c r="H387">
        <v>1</v>
      </c>
      <c r="I387">
        <v>1</v>
      </c>
    </row>
    <row r="388" spans="1:9" x14ac:dyDescent="0.25">
      <c r="A388">
        <v>387</v>
      </c>
      <c r="B388" s="40" t="s">
        <v>288</v>
      </c>
      <c r="C388" s="40" t="s">
        <v>1861</v>
      </c>
      <c r="D388">
        <v>10</v>
      </c>
      <c r="E388">
        <v>45.54</v>
      </c>
      <c r="F388">
        <v>99</v>
      </c>
      <c r="G388">
        <v>55.440000000000005</v>
      </c>
      <c r="H388">
        <v>1</v>
      </c>
      <c r="I388">
        <v>1</v>
      </c>
    </row>
    <row r="389" spans="1:9" x14ac:dyDescent="0.25">
      <c r="A389">
        <v>388</v>
      </c>
      <c r="B389" s="40" t="s">
        <v>288</v>
      </c>
      <c r="C389" s="40" t="s">
        <v>1862</v>
      </c>
      <c r="D389">
        <v>10</v>
      </c>
      <c r="E389">
        <v>58.88</v>
      </c>
      <c r="F389">
        <v>128</v>
      </c>
      <c r="G389">
        <v>71.680000000000007</v>
      </c>
      <c r="H389">
        <v>1</v>
      </c>
      <c r="I389">
        <v>1</v>
      </c>
    </row>
    <row r="390" spans="1:9" x14ac:dyDescent="0.25">
      <c r="A390">
        <v>389</v>
      </c>
      <c r="B390" s="40" t="s">
        <v>288</v>
      </c>
      <c r="C390" s="40" t="s">
        <v>1553</v>
      </c>
      <c r="D390">
        <v>10</v>
      </c>
      <c r="E390">
        <v>753.94</v>
      </c>
      <c r="F390">
        <v>1639</v>
      </c>
      <c r="G390">
        <v>917.84</v>
      </c>
      <c r="H390">
        <v>1</v>
      </c>
      <c r="I390">
        <v>1</v>
      </c>
    </row>
    <row r="391" spans="1:9" x14ac:dyDescent="0.25">
      <c r="A391">
        <v>390</v>
      </c>
      <c r="B391" s="40" t="s">
        <v>288</v>
      </c>
      <c r="C391" s="40" t="s">
        <v>1554</v>
      </c>
      <c r="D391">
        <v>10</v>
      </c>
      <c r="E391">
        <v>134.32</v>
      </c>
      <c r="F391">
        <v>292</v>
      </c>
      <c r="G391">
        <v>163.52000000000001</v>
      </c>
      <c r="H391">
        <v>1</v>
      </c>
      <c r="I391">
        <v>1</v>
      </c>
    </row>
    <row r="392" spans="1:9" x14ac:dyDescent="0.25">
      <c r="A392">
        <v>391</v>
      </c>
      <c r="B392" s="40" t="s">
        <v>288</v>
      </c>
      <c r="C392" s="40" t="s">
        <v>1567</v>
      </c>
      <c r="D392">
        <v>10</v>
      </c>
      <c r="E392">
        <v>43.7</v>
      </c>
      <c r="F392">
        <v>95</v>
      </c>
      <c r="G392">
        <v>53.2</v>
      </c>
      <c r="H392">
        <v>1</v>
      </c>
      <c r="I392">
        <v>1</v>
      </c>
    </row>
    <row r="393" spans="1:9" x14ac:dyDescent="0.25">
      <c r="A393">
        <v>392</v>
      </c>
      <c r="B393" s="40" t="s">
        <v>288</v>
      </c>
      <c r="C393" s="40" t="s">
        <v>1555</v>
      </c>
      <c r="D393">
        <v>10</v>
      </c>
      <c r="E393">
        <v>68.540000000000006</v>
      </c>
      <c r="F393">
        <v>149</v>
      </c>
      <c r="G393">
        <v>83.440000000000012</v>
      </c>
      <c r="H393">
        <v>1</v>
      </c>
      <c r="I393">
        <v>1</v>
      </c>
    </row>
    <row r="394" spans="1:9" x14ac:dyDescent="0.25">
      <c r="A394">
        <v>393</v>
      </c>
      <c r="B394" s="40" t="s">
        <v>288</v>
      </c>
      <c r="C394" s="40" t="s">
        <v>1556</v>
      </c>
      <c r="D394">
        <v>10</v>
      </c>
      <c r="E394">
        <v>204.24</v>
      </c>
      <c r="F394">
        <v>444</v>
      </c>
      <c r="G394">
        <v>248.64000000000001</v>
      </c>
      <c r="H394">
        <v>1</v>
      </c>
      <c r="I394">
        <v>1</v>
      </c>
    </row>
    <row r="395" spans="1:9" x14ac:dyDescent="0.25">
      <c r="A395">
        <v>394</v>
      </c>
      <c r="B395" s="40" t="s">
        <v>288</v>
      </c>
      <c r="C395" s="40" t="s">
        <v>1557</v>
      </c>
      <c r="D395">
        <v>10</v>
      </c>
      <c r="E395">
        <v>102.12</v>
      </c>
      <c r="F395">
        <v>222</v>
      </c>
      <c r="G395">
        <v>124.32000000000001</v>
      </c>
      <c r="H395">
        <v>1</v>
      </c>
      <c r="I395">
        <v>1</v>
      </c>
    </row>
    <row r="396" spans="1:9" x14ac:dyDescent="0.25">
      <c r="A396">
        <v>395</v>
      </c>
      <c r="B396" s="40" t="s">
        <v>288</v>
      </c>
      <c r="C396" s="40" t="s">
        <v>296</v>
      </c>
      <c r="D396">
        <v>10</v>
      </c>
      <c r="E396">
        <v>1837.7</v>
      </c>
      <c r="F396">
        <v>3995</v>
      </c>
      <c r="G396">
        <v>2237.2000000000003</v>
      </c>
      <c r="H396">
        <v>1</v>
      </c>
      <c r="I396">
        <v>1</v>
      </c>
    </row>
    <row r="397" spans="1:9" x14ac:dyDescent="0.25">
      <c r="A397">
        <v>396</v>
      </c>
      <c r="B397" s="40" t="s">
        <v>288</v>
      </c>
      <c r="C397" s="40" t="s">
        <v>1558</v>
      </c>
      <c r="D397">
        <v>10</v>
      </c>
      <c r="E397">
        <v>34.5</v>
      </c>
      <c r="F397">
        <v>75</v>
      </c>
      <c r="G397">
        <v>42.000000000000007</v>
      </c>
      <c r="H397">
        <v>1</v>
      </c>
      <c r="I397">
        <v>1</v>
      </c>
    </row>
    <row r="398" spans="1:9" x14ac:dyDescent="0.25">
      <c r="A398">
        <v>397</v>
      </c>
      <c r="B398" s="40" t="s">
        <v>288</v>
      </c>
      <c r="C398" s="40" t="s">
        <v>1865</v>
      </c>
      <c r="D398">
        <v>10</v>
      </c>
      <c r="E398">
        <v>40.020000000000003</v>
      </c>
      <c r="F398">
        <v>87</v>
      </c>
      <c r="G398">
        <v>48.720000000000006</v>
      </c>
      <c r="H398">
        <v>1</v>
      </c>
      <c r="I398">
        <v>1</v>
      </c>
    </row>
    <row r="399" spans="1:9" x14ac:dyDescent="0.25">
      <c r="A399">
        <v>398</v>
      </c>
      <c r="B399" s="40" t="s">
        <v>288</v>
      </c>
      <c r="C399" s="40" t="s">
        <v>1866</v>
      </c>
      <c r="D399">
        <v>10</v>
      </c>
      <c r="E399">
        <v>47.38</v>
      </c>
      <c r="F399">
        <v>103</v>
      </c>
      <c r="G399">
        <v>57.680000000000007</v>
      </c>
      <c r="H399">
        <v>1</v>
      </c>
      <c r="I399">
        <v>1</v>
      </c>
    </row>
    <row r="400" spans="1:9" x14ac:dyDescent="0.25">
      <c r="A400">
        <v>399</v>
      </c>
      <c r="B400" s="40" t="s">
        <v>288</v>
      </c>
      <c r="C400" s="40" t="s">
        <v>1559</v>
      </c>
      <c r="D400">
        <v>10</v>
      </c>
      <c r="E400">
        <v>231.38000000000002</v>
      </c>
      <c r="F400">
        <v>503</v>
      </c>
      <c r="G400">
        <v>281.68</v>
      </c>
      <c r="H400">
        <v>1</v>
      </c>
      <c r="I400">
        <v>1</v>
      </c>
    </row>
    <row r="401" spans="1:9" x14ac:dyDescent="0.25">
      <c r="A401">
        <v>400</v>
      </c>
      <c r="B401" s="40" t="s">
        <v>288</v>
      </c>
      <c r="C401" s="40" t="s">
        <v>297</v>
      </c>
      <c r="D401">
        <v>10</v>
      </c>
      <c r="E401">
        <v>215.28</v>
      </c>
      <c r="F401">
        <v>468</v>
      </c>
      <c r="G401">
        <v>262.08000000000004</v>
      </c>
      <c r="H401">
        <v>1</v>
      </c>
      <c r="I401">
        <v>1</v>
      </c>
    </row>
    <row r="402" spans="1:9" x14ac:dyDescent="0.25">
      <c r="A402">
        <v>401</v>
      </c>
      <c r="B402" s="40" t="s">
        <v>288</v>
      </c>
      <c r="C402" s="40" t="s">
        <v>298</v>
      </c>
      <c r="D402">
        <v>10</v>
      </c>
      <c r="E402">
        <v>78.66</v>
      </c>
      <c r="F402">
        <v>171</v>
      </c>
      <c r="G402">
        <v>95.76</v>
      </c>
      <c r="H402">
        <v>1</v>
      </c>
      <c r="I402">
        <v>1</v>
      </c>
    </row>
    <row r="403" spans="1:9" x14ac:dyDescent="0.25">
      <c r="A403">
        <v>402</v>
      </c>
      <c r="B403" s="40" t="s">
        <v>288</v>
      </c>
      <c r="C403" s="40" t="s">
        <v>299</v>
      </c>
      <c r="D403">
        <v>10</v>
      </c>
      <c r="E403">
        <v>684.02</v>
      </c>
      <c r="F403">
        <v>1487</v>
      </c>
      <c r="G403">
        <v>832.72</v>
      </c>
      <c r="H403">
        <v>1</v>
      </c>
      <c r="I403">
        <v>1</v>
      </c>
    </row>
    <row r="404" spans="1:9" x14ac:dyDescent="0.25">
      <c r="A404">
        <v>403</v>
      </c>
      <c r="B404" s="40" t="s">
        <v>288</v>
      </c>
      <c r="C404" s="40" t="s">
        <v>300</v>
      </c>
      <c r="D404">
        <v>10</v>
      </c>
      <c r="E404">
        <v>66.240000000000009</v>
      </c>
      <c r="F404">
        <v>144</v>
      </c>
      <c r="G404">
        <v>80.640000000000015</v>
      </c>
      <c r="H404">
        <v>1</v>
      </c>
      <c r="I404">
        <v>1</v>
      </c>
    </row>
    <row r="405" spans="1:9" x14ac:dyDescent="0.25">
      <c r="A405">
        <v>404</v>
      </c>
      <c r="B405" s="40" t="s">
        <v>288</v>
      </c>
      <c r="C405" s="40" t="s">
        <v>301</v>
      </c>
      <c r="D405">
        <v>10</v>
      </c>
      <c r="E405">
        <v>40.480000000000004</v>
      </c>
      <c r="F405">
        <v>88</v>
      </c>
      <c r="G405">
        <v>49.28</v>
      </c>
      <c r="H405">
        <v>1</v>
      </c>
      <c r="I405">
        <v>1</v>
      </c>
    </row>
    <row r="406" spans="1:9" x14ac:dyDescent="0.25">
      <c r="A406">
        <v>405</v>
      </c>
      <c r="B406" s="40" t="s">
        <v>288</v>
      </c>
      <c r="C406" s="40" t="s">
        <v>302</v>
      </c>
      <c r="D406">
        <v>10</v>
      </c>
      <c r="E406">
        <v>103.5</v>
      </c>
      <c r="F406">
        <v>225</v>
      </c>
      <c r="G406">
        <v>126.00000000000001</v>
      </c>
      <c r="H406">
        <v>1</v>
      </c>
      <c r="I406">
        <v>1</v>
      </c>
    </row>
    <row r="407" spans="1:9" x14ac:dyDescent="0.25">
      <c r="A407">
        <v>406</v>
      </c>
      <c r="B407" s="40" t="s">
        <v>288</v>
      </c>
      <c r="C407" s="40" t="s">
        <v>324</v>
      </c>
      <c r="D407">
        <v>10</v>
      </c>
      <c r="E407">
        <v>249.78</v>
      </c>
      <c r="F407">
        <v>543</v>
      </c>
      <c r="G407">
        <v>304.08000000000004</v>
      </c>
      <c r="H407">
        <v>1</v>
      </c>
      <c r="I407">
        <v>1</v>
      </c>
    </row>
    <row r="408" spans="1:9" x14ac:dyDescent="0.25">
      <c r="A408">
        <v>407</v>
      </c>
      <c r="B408" s="40" t="s">
        <v>288</v>
      </c>
      <c r="C408" s="40" t="s">
        <v>1860</v>
      </c>
      <c r="D408">
        <v>10</v>
      </c>
      <c r="E408">
        <v>71.3</v>
      </c>
      <c r="F408">
        <v>155</v>
      </c>
      <c r="G408">
        <v>86.800000000000011</v>
      </c>
      <c r="H408">
        <v>1</v>
      </c>
      <c r="I408">
        <v>1</v>
      </c>
    </row>
    <row r="409" spans="1:9" x14ac:dyDescent="0.25">
      <c r="A409">
        <v>408</v>
      </c>
      <c r="B409" s="40" t="s">
        <v>288</v>
      </c>
      <c r="C409" s="40" t="s">
        <v>1560</v>
      </c>
      <c r="D409">
        <v>10</v>
      </c>
      <c r="E409">
        <v>68.540000000000006</v>
      </c>
      <c r="F409">
        <v>149</v>
      </c>
      <c r="G409">
        <v>83.440000000000012</v>
      </c>
      <c r="H409">
        <v>1</v>
      </c>
      <c r="I409">
        <v>1</v>
      </c>
    </row>
    <row r="410" spans="1:9" x14ac:dyDescent="0.25">
      <c r="A410">
        <v>409</v>
      </c>
      <c r="B410" s="40" t="s">
        <v>288</v>
      </c>
      <c r="C410" s="40" t="s">
        <v>1561</v>
      </c>
      <c r="D410">
        <v>10</v>
      </c>
      <c r="E410">
        <v>102.12</v>
      </c>
      <c r="F410">
        <v>222</v>
      </c>
      <c r="G410">
        <v>124.32000000000001</v>
      </c>
      <c r="H410">
        <v>1</v>
      </c>
      <c r="I410">
        <v>1</v>
      </c>
    </row>
    <row r="411" spans="1:9" x14ac:dyDescent="0.25">
      <c r="A411">
        <v>410</v>
      </c>
      <c r="B411" s="40" t="s">
        <v>288</v>
      </c>
      <c r="C411" s="40" t="s">
        <v>306</v>
      </c>
      <c r="D411">
        <v>10</v>
      </c>
      <c r="E411">
        <v>42.32</v>
      </c>
      <c r="F411">
        <v>92</v>
      </c>
      <c r="G411">
        <v>51.52</v>
      </c>
      <c r="H411">
        <v>1</v>
      </c>
      <c r="I411">
        <v>1</v>
      </c>
    </row>
    <row r="412" spans="1:9" x14ac:dyDescent="0.25">
      <c r="A412">
        <v>411</v>
      </c>
      <c r="B412" s="40" t="s">
        <v>288</v>
      </c>
      <c r="C412" s="40" t="s">
        <v>307</v>
      </c>
      <c r="D412">
        <v>10</v>
      </c>
      <c r="E412">
        <v>92</v>
      </c>
      <c r="F412">
        <v>200</v>
      </c>
      <c r="G412">
        <v>112.00000000000001</v>
      </c>
      <c r="H412">
        <v>1</v>
      </c>
      <c r="I412">
        <v>1</v>
      </c>
    </row>
    <row r="413" spans="1:9" x14ac:dyDescent="0.25">
      <c r="A413">
        <v>412</v>
      </c>
      <c r="B413" s="40" t="s">
        <v>288</v>
      </c>
      <c r="C413" s="40" t="s">
        <v>309</v>
      </c>
      <c r="D413">
        <v>10</v>
      </c>
      <c r="E413">
        <v>81.88000000000001</v>
      </c>
      <c r="F413">
        <v>178</v>
      </c>
      <c r="G413">
        <v>99.68</v>
      </c>
      <c r="H413">
        <v>1</v>
      </c>
      <c r="I413">
        <v>1</v>
      </c>
    </row>
    <row r="414" spans="1:9" x14ac:dyDescent="0.25">
      <c r="A414">
        <v>413</v>
      </c>
      <c r="B414" s="40" t="s">
        <v>288</v>
      </c>
      <c r="C414" s="40" t="s">
        <v>1562</v>
      </c>
      <c r="D414">
        <v>10</v>
      </c>
      <c r="E414">
        <v>55.660000000000004</v>
      </c>
      <c r="F414">
        <v>121</v>
      </c>
      <c r="G414">
        <v>67.760000000000005</v>
      </c>
      <c r="H414">
        <v>1</v>
      </c>
      <c r="I414">
        <v>1</v>
      </c>
    </row>
    <row r="415" spans="1:9" x14ac:dyDescent="0.25">
      <c r="A415">
        <v>414</v>
      </c>
      <c r="B415" s="40" t="s">
        <v>288</v>
      </c>
      <c r="C415" s="40" t="s">
        <v>311</v>
      </c>
      <c r="D415">
        <v>10</v>
      </c>
      <c r="E415">
        <v>181.70000000000002</v>
      </c>
      <c r="F415">
        <v>395</v>
      </c>
      <c r="G415">
        <v>221.20000000000002</v>
      </c>
      <c r="H415">
        <v>1</v>
      </c>
      <c r="I415">
        <v>1</v>
      </c>
    </row>
    <row r="416" spans="1:9" x14ac:dyDescent="0.25">
      <c r="A416">
        <v>415</v>
      </c>
      <c r="B416" s="40" t="s">
        <v>288</v>
      </c>
      <c r="C416" s="40" t="s">
        <v>312</v>
      </c>
      <c r="D416">
        <v>10</v>
      </c>
      <c r="E416">
        <v>258.06</v>
      </c>
      <c r="F416">
        <v>561</v>
      </c>
      <c r="G416">
        <v>314.16000000000003</v>
      </c>
      <c r="H416">
        <v>1</v>
      </c>
      <c r="I416">
        <v>1</v>
      </c>
    </row>
    <row r="417" spans="1:9" x14ac:dyDescent="0.25">
      <c r="A417">
        <v>416</v>
      </c>
      <c r="B417" s="40" t="s">
        <v>288</v>
      </c>
      <c r="C417" s="40" t="s">
        <v>313</v>
      </c>
      <c r="D417">
        <v>10</v>
      </c>
      <c r="E417">
        <v>97.98</v>
      </c>
      <c r="F417">
        <v>213</v>
      </c>
      <c r="G417">
        <v>119.28000000000002</v>
      </c>
      <c r="H417">
        <v>1</v>
      </c>
      <c r="I417">
        <v>1</v>
      </c>
    </row>
    <row r="418" spans="1:9" x14ac:dyDescent="0.25">
      <c r="A418">
        <v>417</v>
      </c>
      <c r="B418" s="40" t="s">
        <v>288</v>
      </c>
      <c r="C418" s="40" t="s">
        <v>316</v>
      </c>
      <c r="D418">
        <v>10</v>
      </c>
      <c r="E418">
        <v>130.18</v>
      </c>
      <c r="F418">
        <v>283</v>
      </c>
      <c r="G418">
        <v>158.48000000000002</v>
      </c>
      <c r="H418">
        <v>1</v>
      </c>
      <c r="I418">
        <v>1</v>
      </c>
    </row>
    <row r="419" spans="1:9" x14ac:dyDescent="0.25">
      <c r="A419">
        <v>418</v>
      </c>
      <c r="B419" s="40" t="s">
        <v>288</v>
      </c>
      <c r="C419" s="40" t="s">
        <v>317</v>
      </c>
      <c r="D419">
        <v>10</v>
      </c>
      <c r="E419">
        <v>109.94</v>
      </c>
      <c r="F419">
        <v>239</v>
      </c>
      <c r="G419">
        <v>133.84</v>
      </c>
      <c r="H419">
        <v>1</v>
      </c>
      <c r="I419">
        <v>1</v>
      </c>
    </row>
    <row r="420" spans="1:9" x14ac:dyDescent="0.25">
      <c r="A420">
        <v>419</v>
      </c>
      <c r="B420" s="40" t="s">
        <v>288</v>
      </c>
      <c r="C420" s="40" t="s">
        <v>319</v>
      </c>
      <c r="D420">
        <v>10</v>
      </c>
      <c r="E420">
        <v>58.88</v>
      </c>
      <c r="F420">
        <v>128</v>
      </c>
      <c r="G420">
        <v>71.680000000000007</v>
      </c>
      <c r="H420">
        <v>1</v>
      </c>
      <c r="I420">
        <v>1</v>
      </c>
    </row>
    <row r="421" spans="1:9" x14ac:dyDescent="0.25">
      <c r="A421">
        <v>420</v>
      </c>
      <c r="B421" s="40" t="s">
        <v>288</v>
      </c>
      <c r="C421" s="40" t="s">
        <v>1566</v>
      </c>
      <c r="D421">
        <v>10</v>
      </c>
      <c r="E421">
        <v>55.2</v>
      </c>
      <c r="F421">
        <v>120</v>
      </c>
      <c r="G421">
        <v>67.2</v>
      </c>
      <c r="H421">
        <v>1</v>
      </c>
      <c r="I421">
        <v>1</v>
      </c>
    </row>
    <row r="422" spans="1:9" x14ac:dyDescent="0.25">
      <c r="A422">
        <v>421</v>
      </c>
      <c r="B422" s="40" t="s">
        <v>288</v>
      </c>
      <c r="C422" s="40" t="s">
        <v>1563</v>
      </c>
      <c r="D422">
        <v>10</v>
      </c>
      <c r="E422">
        <v>86.94</v>
      </c>
      <c r="F422">
        <v>189</v>
      </c>
      <c r="G422">
        <v>105.84</v>
      </c>
      <c r="H422">
        <v>1</v>
      </c>
      <c r="I422">
        <v>1</v>
      </c>
    </row>
    <row r="423" spans="1:9" x14ac:dyDescent="0.25">
      <c r="A423">
        <v>422</v>
      </c>
      <c r="B423" s="40" t="s">
        <v>288</v>
      </c>
      <c r="C423" s="40" t="s">
        <v>320</v>
      </c>
      <c r="D423">
        <v>10</v>
      </c>
      <c r="E423">
        <v>71.3</v>
      </c>
      <c r="F423">
        <v>155</v>
      </c>
      <c r="G423">
        <v>86.800000000000011</v>
      </c>
      <c r="H423">
        <v>1</v>
      </c>
      <c r="I423">
        <v>1</v>
      </c>
    </row>
    <row r="424" spans="1:9" x14ac:dyDescent="0.25">
      <c r="A424">
        <v>423</v>
      </c>
      <c r="B424" s="40" t="s">
        <v>288</v>
      </c>
      <c r="C424" s="40" t="s">
        <v>321</v>
      </c>
      <c r="D424">
        <v>10</v>
      </c>
      <c r="E424">
        <v>86.94</v>
      </c>
      <c r="F424">
        <v>189</v>
      </c>
      <c r="G424">
        <v>105.84</v>
      </c>
      <c r="H424">
        <v>1</v>
      </c>
      <c r="I424">
        <v>1</v>
      </c>
    </row>
    <row r="425" spans="1:9" x14ac:dyDescent="0.25">
      <c r="A425">
        <v>424</v>
      </c>
      <c r="B425" s="40" t="s">
        <v>288</v>
      </c>
      <c r="C425" s="40" t="s">
        <v>322</v>
      </c>
      <c r="D425">
        <v>10</v>
      </c>
      <c r="E425">
        <v>40.020000000000003</v>
      </c>
      <c r="F425">
        <v>87</v>
      </c>
      <c r="G425">
        <v>48.720000000000006</v>
      </c>
      <c r="H425">
        <v>1</v>
      </c>
      <c r="I425">
        <v>1</v>
      </c>
    </row>
    <row r="426" spans="1:9" x14ac:dyDescent="0.25">
      <c r="A426">
        <v>425</v>
      </c>
      <c r="B426" s="42" t="s">
        <v>325</v>
      </c>
      <c r="C426" s="42" t="s">
        <v>326</v>
      </c>
      <c r="D426">
        <v>10</v>
      </c>
      <c r="E426">
        <v>105</v>
      </c>
      <c r="F426">
        <v>175</v>
      </c>
      <c r="G426">
        <v>122.49999999999999</v>
      </c>
      <c r="H426">
        <v>1</v>
      </c>
      <c r="I426">
        <v>1</v>
      </c>
    </row>
    <row r="427" spans="1:9" x14ac:dyDescent="0.25">
      <c r="A427">
        <v>426</v>
      </c>
      <c r="B427" s="40" t="s">
        <v>325</v>
      </c>
      <c r="C427" s="40" t="s">
        <v>327</v>
      </c>
      <c r="D427">
        <v>10</v>
      </c>
      <c r="E427">
        <v>148.19999999999999</v>
      </c>
      <c r="F427">
        <v>247</v>
      </c>
      <c r="G427">
        <v>172.89999999999998</v>
      </c>
      <c r="H427">
        <v>1</v>
      </c>
      <c r="I427">
        <v>1</v>
      </c>
    </row>
    <row r="428" spans="1:9" x14ac:dyDescent="0.25">
      <c r="A428">
        <v>427</v>
      </c>
      <c r="B428" s="40" t="s">
        <v>325</v>
      </c>
      <c r="C428" s="40" t="s">
        <v>328</v>
      </c>
      <c r="D428">
        <v>10</v>
      </c>
      <c r="E428">
        <v>108</v>
      </c>
      <c r="F428">
        <v>180</v>
      </c>
      <c r="G428">
        <v>125.99999999999999</v>
      </c>
      <c r="H428">
        <v>1</v>
      </c>
      <c r="I428">
        <v>1</v>
      </c>
    </row>
    <row r="429" spans="1:9" x14ac:dyDescent="0.25">
      <c r="A429">
        <v>428</v>
      </c>
      <c r="B429" s="40" t="s">
        <v>329</v>
      </c>
      <c r="C429" s="40" t="s">
        <v>330</v>
      </c>
      <c r="D429">
        <v>10</v>
      </c>
      <c r="E429">
        <v>116</v>
      </c>
      <c r="F429">
        <v>290</v>
      </c>
      <c r="G429">
        <v>145</v>
      </c>
      <c r="H429">
        <v>1</v>
      </c>
      <c r="I429">
        <v>1</v>
      </c>
    </row>
    <row r="430" spans="1:9" x14ac:dyDescent="0.25">
      <c r="A430">
        <v>429</v>
      </c>
      <c r="B430" s="40" t="s">
        <v>329</v>
      </c>
      <c r="C430" s="40" t="s">
        <v>331</v>
      </c>
      <c r="D430">
        <v>10</v>
      </c>
      <c r="E430">
        <v>412</v>
      </c>
      <c r="F430">
        <v>1030</v>
      </c>
      <c r="G430">
        <v>515</v>
      </c>
      <c r="H430">
        <v>1</v>
      </c>
      <c r="I430">
        <v>1</v>
      </c>
    </row>
    <row r="431" spans="1:9" x14ac:dyDescent="0.25">
      <c r="A431">
        <v>430</v>
      </c>
      <c r="B431" s="40" t="s">
        <v>337</v>
      </c>
      <c r="C431" s="40" t="s">
        <v>338</v>
      </c>
      <c r="D431">
        <v>10</v>
      </c>
      <c r="E431">
        <v>302.5</v>
      </c>
      <c r="F431">
        <v>605</v>
      </c>
      <c r="G431">
        <v>363</v>
      </c>
      <c r="H431">
        <v>1</v>
      </c>
      <c r="I431">
        <v>1</v>
      </c>
    </row>
    <row r="432" spans="1:9" x14ac:dyDescent="0.25">
      <c r="A432">
        <v>431</v>
      </c>
      <c r="B432" s="40" t="s">
        <v>337</v>
      </c>
      <c r="C432" s="40" t="s">
        <v>339</v>
      </c>
      <c r="D432">
        <v>10</v>
      </c>
      <c r="E432">
        <v>63</v>
      </c>
      <c r="F432">
        <v>126</v>
      </c>
      <c r="G432">
        <v>75.599999999999994</v>
      </c>
      <c r="H432">
        <v>1</v>
      </c>
      <c r="I432">
        <v>1</v>
      </c>
    </row>
    <row r="433" spans="1:9" x14ac:dyDescent="0.25">
      <c r="A433">
        <v>432</v>
      </c>
      <c r="B433" s="40" t="s">
        <v>337</v>
      </c>
      <c r="C433" s="40" t="s">
        <v>1449</v>
      </c>
      <c r="D433">
        <v>10</v>
      </c>
      <c r="E433">
        <v>34.5</v>
      </c>
      <c r="F433">
        <v>69</v>
      </c>
      <c r="G433">
        <v>41.4</v>
      </c>
      <c r="H433">
        <v>1</v>
      </c>
      <c r="I433">
        <v>1</v>
      </c>
    </row>
    <row r="434" spans="1:9" x14ac:dyDescent="0.25">
      <c r="A434">
        <v>433</v>
      </c>
      <c r="B434" s="40" t="s">
        <v>337</v>
      </c>
      <c r="C434" s="40" t="s">
        <v>1448</v>
      </c>
      <c r="D434">
        <v>10</v>
      </c>
      <c r="E434">
        <v>42</v>
      </c>
      <c r="F434">
        <v>84</v>
      </c>
      <c r="G434">
        <v>50.4</v>
      </c>
      <c r="H434">
        <v>1</v>
      </c>
      <c r="I434">
        <v>1</v>
      </c>
    </row>
    <row r="435" spans="1:9" x14ac:dyDescent="0.25">
      <c r="A435">
        <v>434</v>
      </c>
      <c r="B435" s="40" t="s">
        <v>337</v>
      </c>
      <c r="C435" s="40" t="s">
        <v>1671</v>
      </c>
      <c r="D435">
        <v>10</v>
      </c>
      <c r="E435">
        <v>42</v>
      </c>
      <c r="F435">
        <v>84</v>
      </c>
      <c r="G435">
        <v>50.4</v>
      </c>
      <c r="H435">
        <v>1</v>
      </c>
      <c r="I435">
        <v>1</v>
      </c>
    </row>
    <row r="436" spans="1:9" x14ac:dyDescent="0.25">
      <c r="A436">
        <v>435</v>
      </c>
      <c r="B436" s="40" t="s">
        <v>337</v>
      </c>
      <c r="C436" s="40" t="s">
        <v>1649</v>
      </c>
      <c r="D436">
        <v>10</v>
      </c>
      <c r="E436">
        <v>47</v>
      </c>
      <c r="F436">
        <v>94</v>
      </c>
      <c r="G436">
        <v>56.4</v>
      </c>
      <c r="H436">
        <v>1</v>
      </c>
      <c r="I436">
        <v>1</v>
      </c>
    </row>
    <row r="437" spans="1:9" x14ac:dyDescent="0.25">
      <c r="A437">
        <v>436</v>
      </c>
      <c r="B437" s="40" t="s">
        <v>337</v>
      </c>
      <c r="C437" s="40" t="s">
        <v>1650</v>
      </c>
      <c r="D437">
        <v>10</v>
      </c>
      <c r="E437">
        <v>127.5</v>
      </c>
      <c r="F437">
        <v>255</v>
      </c>
      <c r="G437">
        <v>153</v>
      </c>
      <c r="H437">
        <v>1</v>
      </c>
      <c r="I437">
        <v>1</v>
      </c>
    </row>
    <row r="438" spans="1:9" x14ac:dyDescent="0.25">
      <c r="A438">
        <v>437</v>
      </c>
      <c r="B438" s="40" t="s">
        <v>337</v>
      </c>
      <c r="C438" s="40" t="s">
        <v>1651</v>
      </c>
      <c r="D438">
        <v>10</v>
      </c>
      <c r="E438">
        <v>55.7</v>
      </c>
      <c r="F438">
        <v>111.4</v>
      </c>
      <c r="G438">
        <v>66.84</v>
      </c>
      <c r="H438">
        <v>1</v>
      </c>
      <c r="I438">
        <v>1</v>
      </c>
    </row>
    <row r="439" spans="1:9" x14ac:dyDescent="0.25">
      <c r="A439">
        <v>438</v>
      </c>
      <c r="B439" s="40" t="s">
        <v>337</v>
      </c>
      <c r="C439" s="40" t="s">
        <v>340</v>
      </c>
      <c r="D439">
        <v>10</v>
      </c>
      <c r="E439">
        <v>134.5</v>
      </c>
      <c r="F439">
        <v>269</v>
      </c>
      <c r="G439">
        <v>161.4</v>
      </c>
      <c r="H439">
        <v>1</v>
      </c>
      <c r="I439">
        <v>1</v>
      </c>
    </row>
    <row r="440" spans="1:9" x14ac:dyDescent="0.25">
      <c r="A440">
        <v>439</v>
      </c>
      <c r="B440" s="40" t="s">
        <v>337</v>
      </c>
      <c r="C440" s="40" t="s">
        <v>341</v>
      </c>
      <c r="D440">
        <v>10</v>
      </c>
      <c r="E440">
        <v>499.5</v>
      </c>
      <c r="F440">
        <v>999</v>
      </c>
      <c r="G440">
        <v>599.4</v>
      </c>
      <c r="H440">
        <v>1</v>
      </c>
      <c r="I440">
        <v>1</v>
      </c>
    </row>
    <row r="441" spans="1:9" x14ac:dyDescent="0.25">
      <c r="A441">
        <v>440</v>
      </c>
      <c r="B441" s="40" t="s">
        <v>337</v>
      </c>
      <c r="C441" s="40" t="s">
        <v>342</v>
      </c>
      <c r="D441">
        <v>10</v>
      </c>
      <c r="E441">
        <v>74.5</v>
      </c>
      <c r="F441">
        <v>149</v>
      </c>
      <c r="G441">
        <v>89.399999999999991</v>
      </c>
      <c r="H441">
        <v>1</v>
      </c>
      <c r="I441">
        <v>1</v>
      </c>
    </row>
    <row r="442" spans="1:9" x14ac:dyDescent="0.25">
      <c r="A442">
        <v>441</v>
      </c>
      <c r="B442" s="40" t="s">
        <v>337</v>
      </c>
      <c r="C442" s="40" t="s">
        <v>343</v>
      </c>
      <c r="D442">
        <v>10</v>
      </c>
      <c r="E442">
        <v>306.5</v>
      </c>
      <c r="F442">
        <v>613</v>
      </c>
      <c r="G442">
        <v>367.8</v>
      </c>
      <c r="H442">
        <v>1</v>
      </c>
      <c r="I442">
        <v>1</v>
      </c>
    </row>
    <row r="443" spans="1:9" x14ac:dyDescent="0.25">
      <c r="A443">
        <v>442</v>
      </c>
      <c r="B443" s="40" t="s">
        <v>337</v>
      </c>
      <c r="C443" s="40" t="s">
        <v>344</v>
      </c>
      <c r="D443">
        <v>10</v>
      </c>
      <c r="E443">
        <v>524.5</v>
      </c>
      <c r="F443">
        <v>1049</v>
      </c>
      <c r="G443">
        <v>629.4</v>
      </c>
      <c r="H443">
        <v>1</v>
      </c>
      <c r="I443">
        <v>1</v>
      </c>
    </row>
    <row r="444" spans="1:9" x14ac:dyDescent="0.25">
      <c r="A444">
        <v>443</v>
      </c>
      <c r="B444" s="40" t="s">
        <v>337</v>
      </c>
      <c r="C444" s="40" t="s">
        <v>345</v>
      </c>
      <c r="D444">
        <v>10</v>
      </c>
      <c r="E444">
        <v>169.5</v>
      </c>
      <c r="F444">
        <v>339</v>
      </c>
      <c r="G444">
        <v>203.4</v>
      </c>
      <c r="H444">
        <v>1</v>
      </c>
      <c r="I444">
        <v>1</v>
      </c>
    </row>
    <row r="445" spans="1:9" x14ac:dyDescent="0.25">
      <c r="A445">
        <v>444</v>
      </c>
      <c r="B445" s="40" t="s">
        <v>337</v>
      </c>
      <c r="C445" s="40" t="s">
        <v>1648</v>
      </c>
      <c r="D445">
        <v>10</v>
      </c>
      <c r="E445">
        <v>884.5</v>
      </c>
      <c r="F445">
        <v>1769</v>
      </c>
      <c r="G445">
        <v>1061.3999999999999</v>
      </c>
      <c r="H445">
        <v>1</v>
      </c>
      <c r="I445">
        <v>1</v>
      </c>
    </row>
    <row r="446" spans="1:9" x14ac:dyDescent="0.25">
      <c r="A446">
        <v>445</v>
      </c>
      <c r="B446" s="40" t="s">
        <v>337</v>
      </c>
      <c r="C446" s="40" t="s">
        <v>1163</v>
      </c>
      <c r="D446">
        <v>10</v>
      </c>
      <c r="E446">
        <v>94.5</v>
      </c>
      <c r="F446">
        <v>189</v>
      </c>
      <c r="G446">
        <v>113.39999999999999</v>
      </c>
      <c r="H446">
        <v>1</v>
      </c>
      <c r="I446">
        <v>1</v>
      </c>
    </row>
    <row r="447" spans="1:9" x14ac:dyDescent="0.25">
      <c r="A447">
        <v>446</v>
      </c>
      <c r="B447" s="40" t="s">
        <v>337</v>
      </c>
      <c r="C447" s="40" t="s">
        <v>346</v>
      </c>
      <c r="D447">
        <v>10</v>
      </c>
      <c r="E447">
        <v>264.5</v>
      </c>
      <c r="F447">
        <v>529</v>
      </c>
      <c r="G447">
        <v>317.39999999999998</v>
      </c>
      <c r="H447">
        <v>1</v>
      </c>
      <c r="I447">
        <v>1</v>
      </c>
    </row>
    <row r="448" spans="1:9" x14ac:dyDescent="0.25">
      <c r="A448">
        <v>447</v>
      </c>
      <c r="B448" s="40" t="s">
        <v>337</v>
      </c>
      <c r="C448" s="40" t="s">
        <v>347</v>
      </c>
      <c r="D448">
        <v>10</v>
      </c>
      <c r="E448">
        <v>94.5</v>
      </c>
      <c r="F448">
        <v>189</v>
      </c>
      <c r="G448">
        <v>113.39999999999999</v>
      </c>
      <c r="H448">
        <v>1</v>
      </c>
      <c r="I448">
        <v>1</v>
      </c>
    </row>
    <row r="449" spans="1:9" x14ac:dyDescent="0.25">
      <c r="A449">
        <v>448</v>
      </c>
      <c r="B449" s="40" t="s">
        <v>337</v>
      </c>
      <c r="C449" s="40" t="s">
        <v>348</v>
      </c>
      <c r="D449">
        <v>10</v>
      </c>
      <c r="E449">
        <v>224.5</v>
      </c>
      <c r="F449">
        <v>449</v>
      </c>
      <c r="G449">
        <v>269.39999999999998</v>
      </c>
      <c r="H449">
        <v>1</v>
      </c>
      <c r="I449">
        <v>1</v>
      </c>
    </row>
    <row r="450" spans="1:9" x14ac:dyDescent="0.25">
      <c r="A450">
        <v>449</v>
      </c>
      <c r="B450" s="40" t="s">
        <v>337</v>
      </c>
      <c r="C450" s="40" t="s">
        <v>349</v>
      </c>
      <c r="D450">
        <v>10</v>
      </c>
      <c r="E450">
        <v>79.5</v>
      </c>
      <c r="F450">
        <v>159</v>
      </c>
      <c r="G450">
        <v>95.399999999999991</v>
      </c>
      <c r="H450">
        <v>1</v>
      </c>
      <c r="I450">
        <v>1</v>
      </c>
    </row>
    <row r="451" spans="1:9" x14ac:dyDescent="0.25">
      <c r="A451">
        <v>450</v>
      </c>
      <c r="B451" s="40" t="s">
        <v>337</v>
      </c>
      <c r="C451" s="40" t="s">
        <v>350</v>
      </c>
      <c r="D451">
        <v>10</v>
      </c>
      <c r="E451">
        <v>150.30000000000001</v>
      </c>
      <c r="F451">
        <v>334</v>
      </c>
      <c r="G451">
        <v>183.70000000000002</v>
      </c>
      <c r="H451">
        <v>1</v>
      </c>
      <c r="I451">
        <v>1</v>
      </c>
    </row>
    <row r="452" spans="1:9" x14ac:dyDescent="0.25">
      <c r="A452">
        <v>451</v>
      </c>
      <c r="B452" s="40" t="s">
        <v>337</v>
      </c>
      <c r="C452" s="40" t="s">
        <v>351</v>
      </c>
      <c r="D452">
        <v>10</v>
      </c>
      <c r="E452">
        <v>238.05</v>
      </c>
      <c r="F452">
        <v>529</v>
      </c>
      <c r="G452">
        <v>290.95000000000005</v>
      </c>
      <c r="H452">
        <v>1</v>
      </c>
      <c r="I452">
        <v>1</v>
      </c>
    </row>
    <row r="453" spans="1:9" x14ac:dyDescent="0.25">
      <c r="A453">
        <v>452</v>
      </c>
      <c r="B453" s="40" t="s">
        <v>337</v>
      </c>
      <c r="C453" s="40" t="s">
        <v>352</v>
      </c>
      <c r="D453">
        <v>10</v>
      </c>
      <c r="E453">
        <v>92.25</v>
      </c>
      <c r="F453">
        <v>205</v>
      </c>
      <c r="G453">
        <v>112.75000000000001</v>
      </c>
      <c r="H453">
        <v>1</v>
      </c>
      <c r="I453">
        <v>1</v>
      </c>
    </row>
    <row r="454" spans="1:9" x14ac:dyDescent="0.25">
      <c r="A454">
        <v>453</v>
      </c>
      <c r="B454" s="40" t="s">
        <v>337</v>
      </c>
      <c r="C454" s="40" t="s">
        <v>1450</v>
      </c>
      <c r="D454">
        <v>10</v>
      </c>
      <c r="E454">
        <v>41.4</v>
      </c>
      <c r="F454">
        <v>92</v>
      </c>
      <c r="G454">
        <v>50.6</v>
      </c>
      <c r="H454">
        <v>1</v>
      </c>
      <c r="I454">
        <v>1</v>
      </c>
    </row>
    <row r="455" spans="1:9" x14ac:dyDescent="0.25">
      <c r="A455">
        <v>454</v>
      </c>
      <c r="B455" s="40" t="s">
        <v>337</v>
      </c>
      <c r="C455" s="40" t="s">
        <v>1456</v>
      </c>
      <c r="D455">
        <v>10</v>
      </c>
      <c r="E455">
        <v>154.5</v>
      </c>
      <c r="F455">
        <v>309</v>
      </c>
      <c r="G455">
        <v>185.4</v>
      </c>
      <c r="H455">
        <v>1</v>
      </c>
      <c r="I455">
        <v>1</v>
      </c>
    </row>
    <row r="456" spans="1:9" x14ac:dyDescent="0.25">
      <c r="A456">
        <v>455</v>
      </c>
      <c r="B456" s="40" t="s">
        <v>337</v>
      </c>
      <c r="C456" s="40" t="s">
        <v>1450</v>
      </c>
      <c r="D456">
        <v>10</v>
      </c>
      <c r="E456">
        <v>44.5</v>
      </c>
      <c r="F456">
        <v>89</v>
      </c>
      <c r="G456">
        <v>53.4</v>
      </c>
      <c r="H456">
        <v>1</v>
      </c>
      <c r="I456">
        <v>1</v>
      </c>
    </row>
    <row r="457" spans="1:9" x14ac:dyDescent="0.25">
      <c r="A457">
        <v>456</v>
      </c>
      <c r="B457" s="40" t="s">
        <v>337</v>
      </c>
      <c r="C457" s="40" t="s">
        <v>353</v>
      </c>
      <c r="D457">
        <v>10</v>
      </c>
      <c r="E457">
        <v>212.5</v>
      </c>
      <c r="F457">
        <v>425</v>
      </c>
      <c r="G457">
        <v>255</v>
      </c>
      <c r="H457">
        <v>1</v>
      </c>
      <c r="I457">
        <v>1</v>
      </c>
    </row>
    <row r="458" spans="1:9" x14ac:dyDescent="0.25">
      <c r="A458">
        <v>457</v>
      </c>
      <c r="B458" s="40" t="s">
        <v>337</v>
      </c>
      <c r="C458" s="40" t="s">
        <v>354</v>
      </c>
      <c r="D458">
        <v>10</v>
      </c>
      <c r="E458">
        <v>412</v>
      </c>
      <c r="F458">
        <v>824</v>
      </c>
      <c r="G458">
        <v>494.4</v>
      </c>
      <c r="H458">
        <v>1</v>
      </c>
      <c r="I458">
        <v>1</v>
      </c>
    </row>
    <row r="459" spans="1:9" x14ac:dyDescent="0.25">
      <c r="A459">
        <v>458</v>
      </c>
      <c r="B459" s="40" t="s">
        <v>337</v>
      </c>
      <c r="C459" s="40" t="s">
        <v>355</v>
      </c>
      <c r="D459">
        <v>10</v>
      </c>
      <c r="E459">
        <v>99.5</v>
      </c>
      <c r="F459">
        <v>199</v>
      </c>
      <c r="G459">
        <v>119.39999999999999</v>
      </c>
      <c r="H459">
        <v>1</v>
      </c>
      <c r="I459">
        <v>1</v>
      </c>
    </row>
    <row r="460" spans="1:9" x14ac:dyDescent="0.25">
      <c r="A460">
        <v>459</v>
      </c>
      <c r="B460" s="40" t="s">
        <v>337</v>
      </c>
      <c r="C460" s="40" t="s">
        <v>1446</v>
      </c>
      <c r="D460">
        <v>10</v>
      </c>
      <c r="E460">
        <v>222.5</v>
      </c>
      <c r="F460">
        <v>445</v>
      </c>
      <c r="G460">
        <v>267</v>
      </c>
      <c r="H460">
        <v>1</v>
      </c>
      <c r="I460">
        <v>1</v>
      </c>
    </row>
    <row r="461" spans="1:9" x14ac:dyDescent="0.25">
      <c r="A461">
        <v>460</v>
      </c>
      <c r="B461" s="40" t="s">
        <v>337</v>
      </c>
      <c r="C461" s="40" t="s">
        <v>1452</v>
      </c>
      <c r="D461">
        <v>10</v>
      </c>
      <c r="E461">
        <v>124.5</v>
      </c>
      <c r="F461">
        <v>249</v>
      </c>
      <c r="G461">
        <v>149.4</v>
      </c>
      <c r="H461">
        <v>1</v>
      </c>
      <c r="I461">
        <v>1</v>
      </c>
    </row>
    <row r="462" spans="1:9" x14ac:dyDescent="0.25">
      <c r="A462">
        <v>461</v>
      </c>
      <c r="B462" s="40" t="s">
        <v>337</v>
      </c>
      <c r="C462" s="40" t="s">
        <v>1453</v>
      </c>
      <c r="D462">
        <v>10</v>
      </c>
      <c r="E462">
        <v>79.5</v>
      </c>
      <c r="F462">
        <v>159</v>
      </c>
      <c r="G462">
        <v>95.399999999999991</v>
      </c>
      <c r="H462">
        <v>1</v>
      </c>
      <c r="I462">
        <v>1</v>
      </c>
    </row>
    <row r="463" spans="1:9" x14ac:dyDescent="0.25">
      <c r="A463">
        <v>462</v>
      </c>
      <c r="B463" s="40" t="s">
        <v>337</v>
      </c>
      <c r="C463" s="40" t="s">
        <v>1652</v>
      </c>
      <c r="D463">
        <v>10</v>
      </c>
      <c r="E463">
        <v>169.5</v>
      </c>
      <c r="F463">
        <v>339</v>
      </c>
      <c r="G463">
        <v>203.4</v>
      </c>
      <c r="H463">
        <v>1</v>
      </c>
      <c r="I463">
        <v>1</v>
      </c>
    </row>
    <row r="464" spans="1:9" x14ac:dyDescent="0.25">
      <c r="A464">
        <v>463</v>
      </c>
      <c r="B464" s="40" t="s">
        <v>337</v>
      </c>
      <c r="C464" s="40" t="s">
        <v>1653</v>
      </c>
      <c r="D464">
        <v>10</v>
      </c>
      <c r="E464">
        <v>284.5</v>
      </c>
      <c r="F464">
        <v>569</v>
      </c>
      <c r="G464">
        <v>341.4</v>
      </c>
      <c r="H464">
        <v>1</v>
      </c>
      <c r="I464">
        <v>1</v>
      </c>
    </row>
    <row r="465" spans="1:9" x14ac:dyDescent="0.25">
      <c r="A465">
        <v>464</v>
      </c>
      <c r="B465" s="40" t="s">
        <v>337</v>
      </c>
      <c r="C465" s="40" t="s">
        <v>1654</v>
      </c>
      <c r="D465">
        <v>10</v>
      </c>
      <c r="E465">
        <v>529.5</v>
      </c>
      <c r="F465">
        <v>1059</v>
      </c>
      <c r="G465">
        <v>635.4</v>
      </c>
      <c r="H465">
        <v>1</v>
      </c>
      <c r="I465">
        <v>1</v>
      </c>
    </row>
    <row r="466" spans="1:9" x14ac:dyDescent="0.25">
      <c r="A466">
        <v>465</v>
      </c>
      <c r="B466" s="40" t="s">
        <v>337</v>
      </c>
      <c r="C466" s="40" t="s">
        <v>1451</v>
      </c>
      <c r="D466">
        <v>10</v>
      </c>
      <c r="E466">
        <v>59.5</v>
      </c>
      <c r="F466">
        <v>119</v>
      </c>
      <c r="G466">
        <v>71.399999999999991</v>
      </c>
      <c r="H466">
        <v>1</v>
      </c>
      <c r="I466">
        <v>1</v>
      </c>
    </row>
    <row r="467" spans="1:9" x14ac:dyDescent="0.25">
      <c r="A467">
        <v>466</v>
      </c>
      <c r="B467" s="40" t="s">
        <v>337</v>
      </c>
      <c r="C467" s="40" t="s">
        <v>1867</v>
      </c>
      <c r="D467">
        <v>10</v>
      </c>
      <c r="E467">
        <v>10.5</v>
      </c>
      <c r="F467">
        <v>21</v>
      </c>
      <c r="G467">
        <v>12.6</v>
      </c>
      <c r="H467">
        <v>1</v>
      </c>
      <c r="I467">
        <v>1</v>
      </c>
    </row>
    <row r="468" spans="1:9" x14ac:dyDescent="0.25">
      <c r="A468">
        <v>467</v>
      </c>
      <c r="B468" s="40" t="s">
        <v>337</v>
      </c>
      <c r="C468" s="40" t="s">
        <v>1868</v>
      </c>
      <c r="D468">
        <v>10</v>
      </c>
      <c r="E468">
        <v>19.414999999999999</v>
      </c>
      <c r="F468">
        <v>38.83</v>
      </c>
      <c r="G468">
        <v>23.297999999999998</v>
      </c>
      <c r="H468">
        <v>1</v>
      </c>
      <c r="I468">
        <v>1</v>
      </c>
    </row>
    <row r="469" spans="1:9" x14ac:dyDescent="0.25">
      <c r="A469">
        <v>468</v>
      </c>
      <c r="B469" s="40" t="s">
        <v>337</v>
      </c>
      <c r="C469" s="40" t="s">
        <v>1869</v>
      </c>
      <c r="D469">
        <v>10</v>
      </c>
      <c r="E469">
        <v>38.5</v>
      </c>
      <c r="F469">
        <v>77</v>
      </c>
      <c r="G469">
        <v>46.199999999999996</v>
      </c>
      <c r="H469">
        <v>1</v>
      </c>
      <c r="I469">
        <v>1</v>
      </c>
    </row>
    <row r="470" spans="1:9" x14ac:dyDescent="0.25">
      <c r="A470">
        <v>469</v>
      </c>
      <c r="B470" s="40" t="s">
        <v>337</v>
      </c>
      <c r="C470" s="40" t="s">
        <v>1454</v>
      </c>
      <c r="D470">
        <v>10</v>
      </c>
      <c r="E470">
        <v>102.5</v>
      </c>
      <c r="F470">
        <v>205</v>
      </c>
      <c r="G470">
        <v>123</v>
      </c>
      <c r="H470">
        <v>1</v>
      </c>
      <c r="I470">
        <v>1</v>
      </c>
    </row>
    <row r="471" spans="1:9" x14ac:dyDescent="0.25">
      <c r="A471">
        <v>470</v>
      </c>
      <c r="B471" s="40" t="s">
        <v>337</v>
      </c>
      <c r="C471" s="40" t="s">
        <v>1162</v>
      </c>
      <c r="D471">
        <v>10</v>
      </c>
      <c r="E471">
        <v>83</v>
      </c>
      <c r="F471">
        <v>166</v>
      </c>
      <c r="G471">
        <v>99.6</v>
      </c>
      <c r="H471">
        <v>1</v>
      </c>
      <c r="I471">
        <v>1</v>
      </c>
    </row>
    <row r="472" spans="1:9" x14ac:dyDescent="0.25">
      <c r="A472">
        <v>471</v>
      </c>
      <c r="B472" s="40" t="s">
        <v>337</v>
      </c>
      <c r="C472" s="40" t="s">
        <v>1447</v>
      </c>
      <c r="D472">
        <v>10</v>
      </c>
      <c r="E472">
        <v>77</v>
      </c>
      <c r="F472">
        <v>154</v>
      </c>
      <c r="G472">
        <v>92.399999999999991</v>
      </c>
      <c r="H472">
        <v>1</v>
      </c>
      <c r="I472">
        <v>1</v>
      </c>
    </row>
    <row r="473" spans="1:9" x14ac:dyDescent="0.25">
      <c r="A473">
        <v>472</v>
      </c>
      <c r="B473" s="40" t="s">
        <v>337</v>
      </c>
      <c r="C473" s="40" t="s">
        <v>356</v>
      </c>
      <c r="D473">
        <v>10</v>
      </c>
      <c r="E473">
        <v>27.5</v>
      </c>
      <c r="F473">
        <v>55</v>
      </c>
      <c r="G473">
        <v>33</v>
      </c>
      <c r="H473">
        <v>1</v>
      </c>
      <c r="I473">
        <v>1</v>
      </c>
    </row>
    <row r="474" spans="1:9" x14ac:dyDescent="0.25">
      <c r="A474">
        <v>473</v>
      </c>
      <c r="B474" s="40" t="s">
        <v>337</v>
      </c>
      <c r="C474" s="40" t="s">
        <v>357</v>
      </c>
      <c r="D474">
        <v>10</v>
      </c>
      <c r="E474">
        <v>51</v>
      </c>
      <c r="F474">
        <v>102</v>
      </c>
      <c r="G474">
        <v>61.199999999999996</v>
      </c>
      <c r="H474">
        <v>1</v>
      </c>
      <c r="I474">
        <v>1</v>
      </c>
    </row>
    <row r="475" spans="1:9" x14ac:dyDescent="0.25">
      <c r="A475">
        <v>474</v>
      </c>
      <c r="B475" s="40" t="s">
        <v>337</v>
      </c>
      <c r="C475" s="40" t="s">
        <v>358</v>
      </c>
      <c r="D475">
        <v>10</v>
      </c>
      <c r="E475">
        <v>69.5</v>
      </c>
      <c r="F475">
        <v>139</v>
      </c>
      <c r="G475">
        <v>83.399999999999991</v>
      </c>
      <c r="H475">
        <v>1</v>
      </c>
      <c r="I475">
        <v>1</v>
      </c>
    </row>
    <row r="476" spans="1:9" x14ac:dyDescent="0.25">
      <c r="A476">
        <v>475</v>
      </c>
      <c r="B476" s="40" t="s">
        <v>337</v>
      </c>
      <c r="C476" s="40" t="s">
        <v>359</v>
      </c>
      <c r="D476">
        <v>10</v>
      </c>
      <c r="E476">
        <v>119.5</v>
      </c>
      <c r="F476">
        <v>239</v>
      </c>
      <c r="G476">
        <v>143.4</v>
      </c>
      <c r="H476">
        <v>1</v>
      </c>
      <c r="I476">
        <v>1</v>
      </c>
    </row>
    <row r="477" spans="1:9" x14ac:dyDescent="0.25">
      <c r="A477">
        <v>476</v>
      </c>
      <c r="B477" s="40" t="s">
        <v>337</v>
      </c>
      <c r="C477" s="40" t="s">
        <v>360</v>
      </c>
      <c r="D477">
        <v>10</v>
      </c>
      <c r="E477">
        <v>199.5</v>
      </c>
      <c r="F477">
        <v>399</v>
      </c>
      <c r="G477">
        <v>239.39999999999998</v>
      </c>
      <c r="H477">
        <v>1</v>
      </c>
      <c r="I477">
        <v>1</v>
      </c>
    </row>
    <row r="478" spans="1:9" x14ac:dyDescent="0.25">
      <c r="A478">
        <v>477</v>
      </c>
      <c r="B478" s="40" t="s">
        <v>361</v>
      </c>
      <c r="C478" s="40" t="s">
        <v>362</v>
      </c>
      <c r="D478">
        <v>10</v>
      </c>
      <c r="E478">
        <v>30</v>
      </c>
      <c r="F478">
        <v>60</v>
      </c>
      <c r="G478">
        <v>36</v>
      </c>
      <c r="H478">
        <v>1</v>
      </c>
      <c r="I478">
        <v>1</v>
      </c>
    </row>
    <row r="479" spans="1:9" x14ac:dyDescent="0.25">
      <c r="A479">
        <v>478</v>
      </c>
      <c r="B479" s="42" t="s">
        <v>361</v>
      </c>
      <c r="C479" s="42" t="s">
        <v>364</v>
      </c>
      <c r="D479">
        <v>10</v>
      </c>
      <c r="E479">
        <v>195</v>
      </c>
      <c r="F479">
        <v>390</v>
      </c>
      <c r="G479">
        <v>234</v>
      </c>
      <c r="H479">
        <v>1</v>
      </c>
      <c r="I479">
        <v>1</v>
      </c>
    </row>
    <row r="480" spans="1:9" x14ac:dyDescent="0.25">
      <c r="A480">
        <v>479</v>
      </c>
      <c r="B480" s="42" t="s">
        <v>361</v>
      </c>
      <c r="C480" s="42" t="s">
        <v>365</v>
      </c>
      <c r="D480">
        <v>10</v>
      </c>
      <c r="E480">
        <v>412.5</v>
      </c>
      <c r="F480">
        <v>825</v>
      </c>
      <c r="G480">
        <v>495</v>
      </c>
      <c r="H480">
        <v>1</v>
      </c>
      <c r="I480">
        <v>1</v>
      </c>
    </row>
    <row r="481" spans="1:9" x14ac:dyDescent="0.25">
      <c r="A481">
        <v>480</v>
      </c>
      <c r="B481" s="40" t="s">
        <v>361</v>
      </c>
      <c r="C481" s="40" t="s">
        <v>367</v>
      </c>
      <c r="D481">
        <v>10</v>
      </c>
      <c r="E481">
        <v>162.5</v>
      </c>
      <c r="F481">
        <v>325</v>
      </c>
      <c r="G481">
        <v>195</v>
      </c>
      <c r="H481">
        <v>1</v>
      </c>
      <c r="I481">
        <v>1</v>
      </c>
    </row>
    <row r="482" spans="1:9" x14ac:dyDescent="0.25">
      <c r="A482">
        <v>481</v>
      </c>
      <c r="B482" s="40" t="s">
        <v>361</v>
      </c>
      <c r="C482" s="40" t="s">
        <v>368</v>
      </c>
      <c r="D482">
        <v>10</v>
      </c>
      <c r="E482">
        <v>282</v>
      </c>
      <c r="F482">
        <v>600</v>
      </c>
      <c r="G482">
        <v>341.99999999999994</v>
      </c>
      <c r="H482">
        <v>1</v>
      </c>
      <c r="I482">
        <v>1</v>
      </c>
    </row>
    <row r="483" spans="1:9" x14ac:dyDescent="0.25">
      <c r="A483">
        <v>482</v>
      </c>
      <c r="B483" s="40" t="s">
        <v>361</v>
      </c>
      <c r="C483" s="40" t="s">
        <v>369</v>
      </c>
      <c r="D483">
        <v>10</v>
      </c>
      <c r="E483">
        <v>183.29999999999998</v>
      </c>
      <c r="F483">
        <v>390</v>
      </c>
      <c r="G483">
        <v>222.29999999999998</v>
      </c>
      <c r="H483">
        <v>1</v>
      </c>
      <c r="I483">
        <v>1</v>
      </c>
    </row>
    <row r="484" spans="1:9" x14ac:dyDescent="0.25">
      <c r="A484">
        <v>483</v>
      </c>
      <c r="B484" s="40" t="s">
        <v>361</v>
      </c>
      <c r="C484" s="40" t="s">
        <v>370</v>
      </c>
      <c r="D484">
        <v>10</v>
      </c>
      <c r="E484">
        <v>338.25</v>
      </c>
      <c r="F484">
        <v>825</v>
      </c>
      <c r="G484">
        <v>420.75</v>
      </c>
      <c r="H484">
        <v>1</v>
      </c>
      <c r="I484">
        <v>1</v>
      </c>
    </row>
    <row r="485" spans="1:9" x14ac:dyDescent="0.25">
      <c r="A485">
        <v>484</v>
      </c>
      <c r="B485" s="40" t="s">
        <v>361</v>
      </c>
      <c r="C485" s="40" t="s">
        <v>371</v>
      </c>
      <c r="D485">
        <v>10</v>
      </c>
      <c r="E485">
        <v>529.20000000000005</v>
      </c>
      <c r="F485">
        <v>1080</v>
      </c>
      <c r="G485">
        <v>637.19999999999993</v>
      </c>
      <c r="H485">
        <v>1</v>
      </c>
      <c r="I485">
        <v>1</v>
      </c>
    </row>
    <row r="486" spans="1:9" x14ac:dyDescent="0.25">
      <c r="A486">
        <v>485</v>
      </c>
      <c r="B486" s="40" t="s">
        <v>361</v>
      </c>
      <c r="C486" s="40" t="s">
        <v>372</v>
      </c>
      <c r="D486">
        <v>10</v>
      </c>
      <c r="E486">
        <v>96</v>
      </c>
      <c r="F486">
        <v>160</v>
      </c>
      <c r="G486">
        <v>112</v>
      </c>
      <c r="H486">
        <v>1</v>
      </c>
      <c r="I486">
        <v>1</v>
      </c>
    </row>
    <row r="487" spans="1:9" x14ac:dyDescent="0.25">
      <c r="A487">
        <v>486</v>
      </c>
      <c r="B487" s="40" t="s">
        <v>361</v>
      </c>
      <c r="C487" s="40" t="s">
        <v>373</v>
      </c>
      <c r="D487">
        <v>10</v>
      </c>
      <c r="E487">
        <v>188.5</v>
      </c>
      <c r="F487">
        <v>325</v>
      </c>
      <c r="G487">
        <v>220.99999999999997</v>
      </c>
      <c r="H487">
        <v>1</v>
      </c>
      <c r="I487">
        <v>1</v>
      </c>
    </row>
    <row r="488" spans="1:9" x14ac:dyDescent="0.25">
      <c r="A488">
        <v>487</v>
      </c>
      <c r="B488" s="42" t="s">
        <v>361</v>
      </c>
      <c r="C488" s="42" t="s">
        <v>374</v>
      </c>
      <c r="D488">
        <v>10</v>
      </c>
      <c r="E488">
        <v>29.4</v>
      </c>
      <c r="F488">
        <v>60</v>
      </c>
      <c r="G488">
        <v>35.4</v>
      </c>
      <c r="H488">
        <v>1</v>
      </c>
      <c r="I488">
        <v>1</v>
      </c>
    </row>
    <row r="489" spans="1:9" x14ac:dyDescent="0.25">
      <c r="A489">
        <v>488</v>
      </c>
      <c r="B489" s="42" t="s">
        <v>375</v>
      </c>
      <c r="C489" s="42" t="s">
        <v>376</v>
      </c>
      <c r="D489">
        <v>10</v>
      </c>
      <c r="E489">
        <v>22.8</v>
      </c>
      <c r="F489">
        <v>38</v>
      </c>
      <c r="G489">
        <v>26.599999999999998</v>
      </c>
      <c r="H489">
        <v>1</v>
      </c>
      <c r="I489">
        <v>1</v>
      </c>
    </row>
    <row r="490" spans="1:9" x14ac:dyDescent="0.25">
      <c r="A490">
        <v>489</v>
      </c>
      <c r="B490" s="40" t="s">
        <v>375</v>
      </c>
      <c r="C490" s="40" t="s">
        <v>377</v>
      </c>
      <c r="D490">
        <v>10</v>
      </c>
      <c r="E490">
        <v>26</v>
      </c>
      <c r="F490">
        <v>40</v>
      </c>
      <c r="G490">
        <v>30</v>
      </c>
      <c r="H490">
        <v>1</v>
      </c>
      <c r="I490">
        <v>1</v>
      </c>
    </row>
    <row r="491" spans="1:9" x14ac:dyDescent="0.25">
      <c r="A491">
        <v>490</v>
      </c>
      <c r="B491" s="40" t="s">
        <v>375</v>
      </c>
      <c r="C491" s="40" t="s">
        <v>378</v>
      </c>
      <c r="D491">
        <v>10</v>
      </c>
      <c r="E491">
        <v>42.9</v>
      </c>
      <c r="F491">
        <v>66</v>
      </c>
      <c r="G491">
        <v>49.5</v>
      </c>
      <c r="H491">
        <v>1</v>
      </c>
      <c r="I491">
        <v>1</v>
      </c>
    </row>
    <row r="492" spans="1:9" x14ac:dyDescent="0.25">
      <c r="A492">
        <v>491</v>
      </c>
      <c r="B492" s="40" t="s">
        <v>375</v>
      </c>
      <c r="C492" s="40" t="s">
        <v>379</v>
      </c>
      <c r="D492">
        <v>10</v>
      </c>
      <c r="E492">
        <v>3.25</v>
      </c>
      <c r="F492">
        <v>5</v>
      </c>
      <c r="G492">
        <v>3.75</v>
      </c>
      <c r="H492">
        <v>1</v>
      </c>
      <c r="I492">
        <v>1</v>
      </c>
    </row>
    <row r="493" spans="1:9" x14ac:dyDescent="0.25">
      <c r="A493">
        <v>492</v>
      </c>
      <c r="B493" s="40" t="s">
        <v>375</v>
      </c>
      <c r="C493" s="40" t="s">
        <v>380</v>
      </c>
      <c r="D493">
        <v>10</v>
      </c>
      <c r="E493">
        <v>25.2</v>
      </c>
      <c r="F493">
        <v>42</v>
      </c>
      <c r="G493">
        <v>29.4</v>
      </c>
      <c r="H493">
        <v>1</v>
      </c>
      <c r="I493">
        <v>1</v>
      </c>
    </row>
    <row r="494" spans="1:9" x14ac:dyDescent="0.25">
      <c r="A494">
        <v>493</v>
      </c>
      <c r="B494" s="40" t="s">
        <v>386</v>
      </c>
      <c r="C494" s="40" t="s">
        <v>387</v>
      </c>
      <c r="D494">
        <v>10</v>
      </c>
      <c r="E494">
        <v>180</v>
      </c>
      <c r="F494">
        <v>400</v>
      </c>
      <c r="G494">
        <v>220.00000000000003</v>
      </c>
      <c r="H494">
        <v>1</v>
      </c>
      <c r="I494">
        <v>1</v>
      </c>
    </row>
    <row r="495" spans="1:9" x14ac:dyDescent="0.25">
      <c r="A495">
        <v>494</v>
      </c>
      <c r="B495" s="40" t="s">
        <v>386</v>
      </c>
      <c r="C495" s="40" t="s">
        <v>388</v>
      </c>
      <c r="D495">
        <v>10</v>
      </c>
      <c r="E495">
        <v>328.5</v>
      </c>
      <c r="F495">
        <v>730</v>
      </c>
      <c r="G495">
        <v>401.50000000000006</v>
      </c>
      <c r="H495">
        <v>1</v>
      </c>
      <c r="I495">
        <v>1</v>
      </c>
    </row>
    <row r="496" spans="1:9" x14ac:dyDescent="0.25">
      <c r="A496">
        <v>495</v>
      </c>
      <c r="B496" s="40" t="s">
        <v>386</v>
      </c>
      <c r="C496" s="40" t="s">
        <v>389</v>
      </c>
      <c r="D496">
        <v>10</v>
      </c>
      <c r="E496">
        <v>256.5</v>
      </c>
      <c r="F496">
        <v>570</v>
      </c>
      <c r="G496">
        <v>313.5</v>
      </c>
      <c r="H496">
        <v>1</v>
      </c>
      <c r="I496">
        <v>1</v>
      </c>
    </row>
    <row r="497" spans="1:9" x14ac:dyDescent="0.25">
      <c r="A497">
        <v>496</v>
      </c>
      <c r="B497" s="40" t="s">
        <v>386</v>
      </c>
      <c r="C497" s="40" t="s">
        <v>390</v>
      </c>
      <c r="D497">
        <v>10</v>
      </c>
      <c r="E497">
        <v>517.5</v>
      </c>
      <c r="F497">
        <v>1150</v>
      </c>
      <c r="G497">
        <v>632.5</v>
      </c>
      <c r="H497">
        <v>1</v>
      </c>
      <c r="I497">
        <v>1</v>
      </c>
    </row>
    <row r="498" spans="1:9" x14ac:dyDescent="0.25">
      <c r="A498">
        <v>497</v>
      </c>
      <c r="B498" s="40" t="s">
        <v>386</v>
      </c>
      <c r="C498" s="40" t="s">
        <v>1169</v>
      </c>
      <c r="D498">
        <v>10</v>
      </c>
      <c r="E498">
        <v>94.5</v>
      </c>
      <c r="F498">
        <v>210</v>
      </c>
      <c r="G498">
        <v>115.50000000000001</v>
      </c>
      <c r="H498">
        <v>1</v>
      </c>
      <c r="I498">
        <v>1</v>
      </c>
    </row>
    <row r="499" spans="1:9" x14ac:dyDescent="0.25">
      <c r="A499">
        <v>498</v>
      </c>
      <c r="B499" s="40" t="s">
        <v>386</v>
      </c>
      <c r="C499" s="40" t="s">
        <v>1170</v>
      </c>
      <c r="D499">
        <v>10</v>
      </c>
      <c r="E499">
        <v>198</v>
      </c>
      <c r="F499">
        <v>440</v>
      </c>
      <c r="G499">
        <v>242.00000000000003</v>
      </c>
      <c r="H499">
        <v>1</v>
      </c>
      <c r="I499">
        <v>1</v>
      </c>
    </row>
    <row r="500" spans="1:9" x14ac:dyDescent="0.25">
      <c r="A500">
        <v>499</v>
      </c>
      <c r="B500" s="40" t="s">
        <v>386</v>
      </c>
      <c r="C500" s="40" t="s">
        <v>1181</v>
      </c>
      <c r="D500">
        <v>10</v>
      </c>
      <c r="E500">
        <v>85.5</v>
      </c>
      <c r="F500">
        <v>190</v>
      </c>
      <c r="G500">
        <v>104.50000000000001</v>
      </c>
      <c r="H500">
        <v>1</v>
      </c>
      <c r="I500">
        <v>1</v>
      </c>
    </row>
    <row r="501" spans="1:9" x14ac:dyDescent="0.25">
      <c r="A501">
        <v>500</v>
      </c>
      <c r="B501" s="40" t="s">
        <v>386</v>
      </c>
      <c r="C501" s="40" t="s">
        <v>1180</v>
      </c>
      <c r="D501">
        <v>10</v>
      </c>
      <c r="E501">
        <v>157.5</v>
      </c>
      <c r="F501">
        <v>350</v>
      </c>
      <c r="G501">
        <v>192.50000000000003</v>
      </c>
      <c r="H501">
        <v>1</v>
      </c>
      <c r="I501">
        <v>1</v>
      </c>
    </row>
    <row r="502" spans="1:9" x14ac:dyDescent="0.25">
      <c r="A502">
        <v>501</v>
      </c>
      <c r="B502" s="40" t="s">
        <v>386</v>
      </c>
      <c r="C502" s="40" t="s">
        <v>1173</v>
      </c>
      <c r="D502">
        <v>10</v>
      </c>
      <c r="E502">
        <v>81</v>
      </c>
      <c r="F502">
        <v>180</v>
      </c>
      <c r="G502">
        <v>99.000000000000014</v>
      </c>
      <c r="H502">
        <v>1</v>
      </c>
      <c r="I502">
        <v>1</v>
      </c>
    </row>
    <row r="503" spans="1:9" x14ac:dyDescent="0.25">
      <c r="A503">
        <v>502</v>
      </c>
      <c r="B503" s="40" t="s">
        <v>386</v>
      </c>
      <c r="C503" s="40" t="s">
        <v>1174</v>
      </c>
      <c r="D503">
        <v>10</v>
      </c>
      <c r="E503">
        <v>139.5</v>
      </c>
      <c r="F503">
        <v>310</v>
      </c>
      <c r="G503">
        <v>170.5</v>
      </c>
      <c r="H503">
        <v>1</v>
      </c>
      <c r="I503">
        <v>1</v>
      </c>
    </row>
    <row r="504" spans="1:9" x14ac:dyDescent="0.25">
      <c r="A504">
        <v>503</v>
      </c>
      <c r="B504" s="40" t="s">
        <v>386</v>
      </c>
      <c r="C504" s="40" t="s">
        <v>1172</v>
      </c>
      <c r="D504">
        <v>10</v>
      </c>
      <c r="E504">
        <v>13.5</v>
      </c>
      <c r="F504">
        <v>30</v>
      </c>
      <c r="G504">
        <v>16.5</v>
      </c>
      <c r="H504">
        <v>1</v>
      </c>
      <c r="I504">
        <v>1</v>
      </c>
    </row>
    <row r="505" spans="1:9" x14ac:dyDescent="0.25">
      <c r="A505">
        <v>504</v>
      </c>
      <c r="B505" s="40" t="s">
        <v>386</v>
      </c>
      <c r="C505" s="40" t="s">
        <v>1171</v>
      </c>
      <c r="D505">
        <v>10</v>
      </c>
      <c r="E505">
        <v>26.1</v>
      </c>
      <c r="F505">
        <v>58</v>
      </c>
      <c r="G505">
        <v>31.900000000000002</v>
      </c>
      <c r="H505">
        <v>1</v>
      </c>
      <c r="I505">
        <v>1</v>
      </c>
    </row>
    <row r="506" spans="1:9" x14ac:dyDescent="0.25">
      <c r="A506">
        <v>505</v>
      </c>
      <c r="B506" s="40" t="s">
        <v>386</v>
      </c>
      <c r="C506" s="40" t="s">
        <v>1177</v>
      </c>
      <c r="D506">
        <v>10</v>
      </c>
      <c r="E506">
        <v>90</v>
      </c>
      <c r="F506">
        <v>200</v>
      </c>
      <c r="G506">
        <v>110.00000000000001</v>
      </c>
      <c r="H506">
        <v>1</v>
      </c>
      <c r="I506">
        <v>1</v>
      </c>
    </row>
    <row r="507" spans="1:9" x14ac:dyDescent="0.25">
      <c r="A507">
        <v>506</v>
      </c>
      <c r="B507" s="40" t="s">
        <v>386</v>
      </c>
      <c r="C507" s="40" t="s">
        <v>1178</v>
      </c>
      <c r="D507">
        <v>10</v>
      </c>
      <c r="E507">
        <v>175.5</v>
      </c>
      <c r="F507">
        <v>390</v>
      </c>
      <c r="G507">
        <v>214.50000000000003</v>
      </c>
      <c r="H507">
        <v>1</v>
      </c>
      <c r="I507">
        <v>1</v>
      </c>
    </row>
    <row r="508" spans="1:9" x14ac:dyDescent="0.25">
      <c r="A508">
        <v>507</v>
      </c>
      <c r="B508" s="40" t="s">
        <v>386</v>
      </c>
      <c r="C508" s="40" t="s">
        <v>1179</v>
      </c>
      <c r="D508">
        <v>10</v>
      </c>
      <c r="E508">
        <v>63</v>
      </c>
      <c r="F508">
        <v>140</v>
      </c>
      <c r="G508">
        <v>77</v>
      </c>
      <c r="H508">
        <v>1</v>
      </c>
      <c r="I508">
        <v>1</v>
      </c>
    </row>
    <row r="509" spans="1:9" x14ac:dyDescent="0.25">
      <c r="A509">
        <v>508</v>
      </c>
      <c r="B509" s="40" t="s">
        <v>386</v>
      </c>
      <c r="C509" s="40" t="s">
        <v>394</v>
      </c>
      <c r="D509">
        <v>10</v>
      </c>
      <c r="E509">
        <v>21.6</v>
      </c>
      <c r="F509">
        <v>48</v>
      </c>
      <c r="G509">
        <v>26.400000000000002</v>
      </c>
      <c r="H509">
        <v>1</v>
      </c>
      <c r="I509">
        <v>1</v>
      </c>
    </row>
    <row r="510" spans="1:9" x14ac:dyDescent="0.25">
      <c r="A510">
        <v>509</v>
      </c>
      <c r="B510" s="40" t="s">
        <v>386</v>
      </c>
      <c r="C510" s="40" t="s">
        <v>395</v>
      </c>
      <c r="D510">
        <v>10</v>
      </c>
      <c r="E510">
        <v>63</v>
      </c>
      <c r="F510">
        <v>140</v>
      </c>
      <c r="G510">
        <v>77</v>
      </c>
      <c r="H510">
        <v>1</v>
      </c>
      <c r="I510">
        <v>1</v>
      </c>
    </row>
    <row r="511" spans="1:9" x14ac:dyDescent="0.25">
      <c r="A511">
        <v>510</v>
      </c>
      <c r="B511" s="40" t="s">
        <v>386</v>
      </c>
      <c r="C511" s="40" t="s">
        <v>396</v>
      </c>
      <c r="D511">
        <v>10</v>
      </c>
      <c r="E511">
        <v>99</v>
      </c>
      <c r="F511">
        <v>220</v>
      </c>
      <c r="G511">
        <v>121.00000000000001</v>
      </c>
      <c r="H511">
        <v>1</v>
      </c>
      <c r="I511">
        <v>1</v>
      </c>
    </row>
    <row r="512" spans="1:9" x14ac:dyDescent="0.25">
      <c r="A512">
        <v>511</v>
      </c>
      <c r="B512" s="40" t="s">
        <v>386</v>
      </c>
      <c r="C512" s="40" t="s">
        <v>397</v>
      </c>
      <c r="D512">
        <v>10</v>
      </c>
      <c r="E512">
        <v>90</v>
      </c>
      <c r="F512">
        <v>200</v>
      </c>
      <c r="G512">
        <v>110.00000000000001</v>
      </c>
      <c r="H512">
        <v>1</v>
      </c>
      <c r="I512">
        <v>1</v>
      </c>
    </row>
    <row r="513" spans="1:9" x14ac:dyDescent="0.25">
      <c r="A513">
        <v>512</v>
      </c>
      <c r="B513" s="40" t="s">
        <v>386</v>
      </c>
      <c r="C513" s="40" t="s">
        <v>398</v>
      </c>
      <c r="D513">
        <v>10</v>
      </c>
      <c r="E513">
        <v>157.5</v>
      </c>
      <c r="F513">
        <v>350</v>
      </c>
      <c r="G513">
        <v>192.50000000000003</v>
      </c>
      <c r="H513">
        <v>1</v>
      </c>
      <c r="I513">
        <v>1</v>
      </c>
    </row>
    <row r="514" spans="1:9" x14ac:dyDescent="0.25">
      <c r="A514">
        <v>513</v>
      </c>
      <c r="B514" s="40" t="s">
        <v>386</v>
      </c>
      <c r="C514" s="40" t="s">
        <v>1175</v>
      </c>
      <c r="D514">
        <v>10</v>
      </c>
      <c r="E514">
        <v>22.05</v>
      </c>
      <c r="F514">
        <v>49</v>
      </c>
      <c r="G514">
        <v>26.950000000000003</v>
      </c>
      <c r="H514">
        <v>1</v>
      </c>
      <c r="I514">
        <v>1</v>
      </c>
    </row>
    <row r="515" spans="1:9" x14ac:dyDescent="0.25">
      <c r="A515">
        <v>514</v>
      </c>
      <c r="B515" s="40" t="s">
        <v>386</v>
      </c>
      <c r="C515" s="40" t="s">
        <v>1176</v>
      </c>
      <c r="D515">
        <v>10</v>
      </c>
      <c r="E515">
        <v>108</v>
      </c>
      <c r="F515">
        <v>240</v>
      </c>
      <c r="G515">
        <v>132</v>
      </c>
      <c r="H515">
        <v>1</v>
      </c>
      <c r="I515">
        <v>1</v>
      </c>
    </row>
    <row r="516" spans="1:9" x14ac:dyDescent="0.25">
      <c r="A516">
        <v>515</v>
      </c>
      <c r="B516" s="40" t="s">
        <v>386</v>
      </c>
      <c r="C516" s="40" t="s">
        <v>391</v>
      </c>
      <c r="D516">
        <v>10</v>
      </c>
      <c r="E516">
        <v>90</v>
      </c>
      <c r="F516">
        <v>200</v>
      </c>
      <c r="G516">
        <v>110.00000000000001</v>
      </c>
      <c r="H516">
        <v>1</v>
      </c>
      <c r="I516">
        <v>1</v>
      </c>
    </row>
    <row r="517" spans="1:9" x14ac:dyDescent="0.25">
      <c r="A517">
        <v>516</v>
      </c>
      <c r="B517" s="40" t="s">
        <v>386</v>
      </c>
      <c r="C517" s="40" t="s">
        <v>392</v>
      </c>
      <c r="D517">
        <v>10</v>
      </c>
      <c r="E517">
        <v>495</v>
      </c>
      <c r="F517">
        <v>1100</v>
      </c>
      <c r="G517">
        <v>605</v>
      </c>
      <c r="H517">
        <v>1</v>
      </c>
      <c r="I517">
        <v>1</v>
      </c>
    </row>
    <row r="518" spans="1:9" x14ac:dyDescent="0.25">
      <c r="A518">
        <v>517</v>
      </c>
      <c r="B518" s="40" t="s">
        <v>386</v>
      </c>
      <c r="C518" s="40" t="s">
        <v>393</v>
      </c>
      <c r="D518">
        <v>10</v>
      </c>
      <c r="E518">
        <v>216</v>
      </c>
      <c r="F518">
        <v>480</v>
      </c>
      <c r="G518">
        <v>264</v>
      </c>
      <c r="H518">
        <v>1</v>
      </c>
      <c r="I518">
        <v>1</v>
      </c>
    </row>
    <row r="519" spans="1:9" x14ac:dyDescent="0.25">
      <c r="A519">
        <v>518</v>
      </c>
      <c r="B519" s="40" t="s">
        <v>402</v>
      </c>
      <c r="C519" s="40" t="s">
        <v>403</v>
      </c>
      <c r="D519">
        <v>10</v>
      </c>
      <c r="E519">
        <v>45</v>
      </c>
      <c r="F519">
        <v>90</v>
      </c>
      <c r="G519">
        <v>54</v>
      </c>
      <c r="H519">
        <v>1</v>
      </c>
      <c r="I519">
        <v>1</v>
      </c>
    </row>
    <row r="520" spans="1:9" x14ac:dyDescent="0.25">
      <c r="A520">
        <v>519</v>
      </c>
      <c r="B520" s="40" t="s">
        <v>404</v>
      </c>
      <c r="C520" s="40" t="s">
        <v>405</v>
      </c>
      <c r="D520">
        <v>10</v>
      </c>
      <c r="E520">
        <v>110</v>
      </c>
      <c r="F520">
        <v>220</v>
      </c>
      <c r="G520">
        <v>132</v>
      </c>
      <c r="H520">
        <v>1</v>
      </c>
      <c r="I520">
        <v>1</v>
      </c>
    </row>
    <row r="521" spans="1:9" x14ac:dyDescent="0.25">
      <c r="A521">
        <v>520</v>
      </c>
      <c r="B521" s="40" t="s">
        <v>404</v>
      </c>
      <c r="C521" s="40" t="s">
        <v>406</v>
      </c>
      <c r="D521">
        <v>10</v>
      </c>
      <c r="E521">
        <v>225</v>
      </c>
      <c r="F521">
        <v>450</v>
      </c>
      <c r="G521">
        <v>270</v>
      </c>
      <c r="H521">
        <v>1</v>
      </c>
      <c r="I521">
        <v>1</v>
      </c>
    </row>
    <row r="522" spans="1:9" x14ac:dyDescent="0.25">
      <c r="A522">
        <v>521</v>
      </c>
      <c r="B522" s="40" t="s">
        <v>404</v>
      </c>
      <c r="C522" s="40" t="s">
        <v>407</v>
      </c>
      <c r="D522">
        <v>10</v>
      </c>
      <c r="E522">
        <v>52</v>
      </c>
      <c r="F522">
        <v>104</v>
      </c>
      <c r="G522">
        <v>62.4</v>
      </c>
      <c r="H522">
        <v>1</v>
      </c>
      <c r="I522">
        <v>1</v>
      </c>
    </row>
    <row r="523" spans="1:9" x14ac:dyDescent="0.25">
      <c r="A523">
        <v>522</v>
      </c>
      <c r="B523" s="40" t="s">
        <v>408</v>
      </c>
      <c r="C523" s="40" t="s">
        <v>409</v>
      </c>
      <c r="D523">
        <v>10</v>
      </c>
      <c r="E523">
        <v>243.75</v>
      </c>
      <c r="F523">
        <v>487.5</v>
      </c>
      <c r="G523">
        <v>292.5</v>
      </c>
      <c r="H523">
        <v>1</v>
      </c>
      <c r="I523">
        <v>1</v>
      </c>
    </row>
    <row r="524" spans="1:9" x14ac:dyDescent="0.25">
      <c r="A524">
        <v>523</v>
      </c>
      <c r="B524" s="40" t="s">
        <v>408</v>
      </c>
      <c r="C524" s="40" t="s">
        <v>410</v>
      </c>
      <c r="D524">
        <v>10</v>
      </c>
      <c r="E524">
        <v>125</v>
      </c>
      <c r="F524">
        <v>250</v>
      </c>
      <c r="G524">
        <v>150</v>
      </c>
      <c r="H524">
        <v>1</v>
      </c>
      <c r="I524">
        <v>1</v>
      </c>
    </row>
    <row r="525" spans="1:9" x14ac:dyDescent="0.25">
      <c r="A525">
        <v>524</v>
      </c>
      <c r="B525" s="40" t="s">
        <v>408</v>
      </c>
      <c r="C525" s="40" t="s">
        <v>411</v>
      </c>
      <c r="D525">
        <v>10</v>
      </c>
      <c r="E525">
        <v>44.5</v>
      </c>
      <c r="F525">
        <v>89</v>
      </c>
      <c r="G525">
        <v>53.4</v>
      </c>
      <c r="H525">
        <v>1</v>
      </c>
      <c r="I525">
        <v>1</v>
      </c>
    </row>
    <row r="526" spans="1:9" x14ac:dyDescent="0.25">
      <c r="A526">
        <v>525</v>
      </c>
      <c r="B526" s="40" t="s">
        <v>408</v>
      </c>
      <c r="C526" s="40" t="s">
        <v>412</v>
      </c>
      <c r="D526">
        <v>10</v>
      </c>
      <c r="E526">
        <v>57.25</v>
      </c>
      <c r="F526">
        <v>114.5</v>
      </c>
      <c r="G526">
        <v>68.7</v>
      </c>
      <c r="H526">
        <v>1</v>
      </c>
      <c r="I526">
        <v>1</v>
      </c>
    </row>
    <row r="527" spans="1:9" x14ac:dyDescent="0.25">
      <c r="A527">
        <v>526</v>
      </c>
      <c r="B527" s="40" t="s">
        <v>408</v>
      </c>
      <c r="C527" s="40" t="s">
        <v>413</v>
      </c>
      <c r="D527">
        <v>10</v>
      </c>
      <c r="E527">
        <v>95.25</v>
      </c>
      <c r="F527">
        <v>190.5</v>
      </c>
      <c r="G527">
        <v>114.3</v>
      </c>
      <c r="H527">
        <v>1</v>
      </c>
      <c r="I527">
        <v>1</v>
      </c>
    </row>
    <row r="528" spans="1:9" x14ac:dyDescent="0.25">
      <c r="A528">
        <v>527</v>
      </c>
      <c r="B528" s="40" t="s">
        <v>408</v>
      </c>
      <c r="C528" s="40" t="s">
        <v>414</v>
      </c>
      <c r="D528">
        <v>10</v>
      </c>
      <c r="E528">
        <v>336.25</v>
      </c>
      <c r="F528">
        <v>672.5</v>
      </c>
      <c r="G528">
        <v>403.5</v>
      </c>
      <c r="H528">
        <v>1</v>
      </c>
      <c r="I528">
        <v>1</v>
      </c>
    </row>
    <row r="529" spans="1:9" x14ac:dyDescent="0.25">
      <c r="A529">
        <v>528</v>
      </c>
      <c r="B529" s="40" t="s">
        <v>408</v>
      </c>
      <c r="C529" s="40" t="s">
        <v>415</v>
      </c>
      <c r="D529">
        <v>10</v>
      </c>
      <c r="E529">
        <v>58.5</v>
      </c>
      <c r="F529">
        <v>117</v>
      </c>
      <c r="G529">
        <v>70.2</v>
      </c>
      <c r="H529">
        <v>1</v>
      </c>
      <c r="I529">
        <v>1</v>
      </c>
    </row>
    <row r="530" spans="1:9" x14ac:dyDescent="0.25">
      <c r="A530">
        <v>529</v>
      </c>
      <c r="B530" s="40" t="s">
        <v>416</v>
      </c>
      <c r="C530" s="40" t="s">
        <v>417</v>
      </c>
      <c r="D530">
        <v>10</v>
      </c>
      <c r="E530">
        <v>60</v>
      </c>
      <c r="F530">
        <v>120</v>
      </c>
      <c r="G530">
        <v>72</v>
      </c>
      <c r="H530">
        <v>1</v>
      </c>
      <c r="I530">
        <v>1</v>
      </c>
    </row>
    <row r="531" spans="1:9" x14ac:dyDescent="0.25">
      <c r="A531">
        <v>530</v>
      </c>
      <c r="B531" s="40" t="s">
        <v>420</v>
      </c>
      <c r="C531" s="40" t="s">
        <v>421</v>
      </c>
      <c r="D531">
        <v>10</v>
      </c>
      <c r="E531">
        <v>26.88</v>
      </c>
      <c r="F531">
        <v>84</v>
      </c>
      <c r="G531">
        <v>35.28</v>
      </c>
      <c r="H531">
        <v>1</v>
      </c>
      <c r="I531">
        <v>1</v>
      </c>
    </row>
    <row r="532" spans="1:9" x14ac:dyDescent="0.25">
      <c r="A532">
        <v>531</v>
      </c>
      <c r="B532" s="40" t="s">
        <v>420</v>
      </c>
      <c r="C532" s="40" t="s">
        <v>1545</v>
      </c>
      <c r="D532">
        <v>10</v>
      </c>
      <c r="E532">
        <v>57.92</v>
      </c>
      <c r="F532">
        <v>181</v>
      </c>
      <c r="G532">
        <v>76.02000000000001</v>
      </c>
      <c r="H532">
        <v>1</v>
      </c>
      <c r="I532">
        <v>1</v>
      </c>
    </row>
    <row r="533" spans="1:9" x14ac:dyDescent="0.25">
      <c r="A533">
        <v>532</v>
      </c>
      <c r="B533" s="40" t="s">
        <v>420</v>
      </c>
      <c r="C533" s="40" t="s">
        <v>1529</v>
      </c>
      <c r="D533">
        <v>10</v>
      </c>
      <c r="E533">
        <v>40.364800000000002</v>
      </c>
      <c r="F533">
        <v>126.14</v>
      </c>
      <c r="G533">
        <v>52.978800000000007</v>
      </c>
      <c r="H533">
        <v>1</v>
      </c>
      <c r="I533">
        <v>1</v>
      </c>
    </row>
    <row r="534" spans="1:9" x14ac:dyDescent="0.25">
      <c r="A534">
        <v>533</v>
      </c>
      <c r="B534" s="40" t="s">
        <v>420</v>
      </c>
      <c r="C534" s="40" t="s">
        <v>423</v>
      </c>
      <c r="D534">
        <v>10</v>
      </c>
      <c r="E534">
        <v>49.516800000000003</v>
      </c>
      <c r="F534">
        <v>154.74</v>
      </c>
      <c r="G534">
        <v>64.990800000000007</v>
      </c>
      <c r="H534">
        <v>1</v>
      </c>
      <c r="I534">
        <v>1</v>
      </c>
    </row>
    <row r="535" spans="1:9" x14ac:dyDescent="0.25">
      <c r="A535">
        <v>534</v>
      </c>
      <c r="B535" s="40" t="s">
        <v>420</v>
      </c>
      <c r="C535" s="40" t="s">
        <v>1526</v>
      </c>
      <c r="D535">
        <v>10</v>
      </c>
      <c r="E535">
        <v>33.92</v>
      </c>
      <c r="F535">
        <v>106</v>
      </c>
      <c r="G535">
        <v>44.52</v>
      </c>
      <c r="H535">
        <v>1</v>
      </c>
      <c r="I535">
        <v>1</v>
      </c>
    </row>
    <row r="536" spans="1:9" x14ac:dyDescent="0.25">
      <c r="A536">
        <v>535</v>
      </c>
      <c r="B536" s="40" t="s">
        <v>420</v>
      </c>
      <c r="C536" s="40" t="s">
        <v>1527</v>
      </c>
      <c r="D536">
        <v>10</v>
      </c>
      <c r="E536">
        <v>66.473600000000005</v>
      </c>
      <c r="F536">
        <v>207.73</v>
      </c>
      <c r="G536">
        <v>87.246600000000001</v>
      </c>
      <c r="H536">
        <v>1</v>
      </c>
      <c r="I536">
        <v>1</v>
      </c>
    </row>
    <row r="537" spans="1:9" x14ac:dyDescent="0.25">
      <c r="A537">
        <v>536</v>
      </c>
      <c r="B537" s="40" t="s">
        <v>420</v>
      </c>
      <c r="C537" s="43" t="s">
        <v>1528</v>
      </c>
      <c r="D537">
        <v>10</v>
      </c>
      <c r="E537">
        <v>115.32799999999999</v>
      </c>
      <c r="F537">
        <v>360.4</v>
      </c>
      <c r="G537">
        <v>151.36799999999999</v>
      </c>
      <c r="H537">
        <v>1</v>
      </c>
      <c r="I537">
        <v>1</v>
      </c>
    </row>
    <row r="538" spans="1:9" x14ac:dyDescent="0.25">
      <c r="A538">
        <v>537</v>
      </c>
      <c r="B538" s="40" t="s">
        <v>420</v>
      </c>
      <c r="C538" s="43" t="s">
        <v>422</v>
      </c>
      <c r="D538">
        <v>10</v>
      </c>
      <c r="E538">
        <v>209.9648</v>
      </c>
      <c r="F538">
        <v>656.14</v>
      </c>
      <c r="G538">
        <v>275.5788</v>
      </c>
      <c r="H538">
        <v>1</v>
      </c>
      <c r="I538">
        <v>1</v>
      </c>
    </row>
    <row r="539" spans="1:9" x14ac:dyDescent="0.25">
      <c r="A539">
        <v>538</v>
      </c>
      <c r="B539" s="40" t="s">
        <v>420</v>
      </c>
      <c r="C539" s="43" t="s">
        <v>1530</v>
      </c>
      <c r="D539">
        <v>10</v>
      </c>
      <c r="E539">
        <v>36.160000000000004</v>
      </c>
      <c r="F539">
        <v>113</v>
      </c>
      <c r="G539">
        <v>47.460000000000008</v>
      </c>
      <c r="H539">
        <v>1</v>
      </c>
      <c r="I539">
        <v>1</v>
      </c>
    </row>
    <row r="540" spans="1:9" x14ac:dyDescent="0.25">
      <c r="A540">
        <v>539</v>
      </c>
      <c r="B540" s="40" t="s">
        <v>420</v>
      </c>
      <c r="C540" s="43" t="s">
        <v>1543</v>
      </c>
      <c r="D540">
        <v>10</v>
      </c>
      <c r="E540">
        <v>66.88</v>
      </c>
      <c r="F540">
        <v>209</v>
      </c>
      <c r="G540">
        <v>87.780000000000015</v>
      </c>
      <c r="H540">
        <v>1</v>
      </c>
      <c r="I540">
        <v>1</v>
      </c>
    </row>
    <row r="541" spans="1:9" x14ac:dyDescent="0.25">
      <c r="A541">
        <v>540</v>
      </c>
      <c r="B541" s="40" t="s">
        <v>420</v>
      </c>
      <c r="C541" s="43" t="s">
        <v>1531</v>
      </c>
      <c r="D541">
        <v>10</v>
      </c>
      <c r="E541">
        <v>316.48</v>
      </c>
      <c r="F541">
        <v>989</v>
      </c>
      <c r="G541">
        <v>415.38000000000005</v>
      </c>
      <c r="H541">
        <v>1</v>
      </c>
      <c r="I541">
        <v>1</v>
      </c>
    </row>
    <row r="542" spans="1:9" x14ac:dyDescent="0.25">
      <c r="A542">
        <v>541</v>
      </c>
      <c r="B542" s="40" t="s">
        <v>420</v>
      </c>
      <c r="C542" s="43" t="s">
        <v>1532</v>
      </c>
      <c r="D542">
        <v>10</v>
      </c>
      <c r="E542">
        <v>133.76</v>
      </c>
      <c r="F542">
        <v>418</v>
      </c>
      <c r="G542">
        <v>175.56000000000003</v>
      </c>
      <c r="H542">
        <v>1</v>
      </c>
      <c r="I542">
        <v>1</v>
      </c>
    </row>
    <row r="543" spans="1:9" x14ac:dyDescent="0.25">
      <c r="A543">
        <v>542</v>
      </c>
      <c r="B543" s="40" t="s">
        <v>420</v>
      </c>
      <c r="C543" s="43" t="s">
        <v>1535</v>
      </c>
      <c r="D543">
        <v>10</v>
      </c>
      <c r="E543">
        <v>9.6</v>
      </c>
      <c r="F543">
        <v>30</v>
      </c>
      <c r="G543">
        <v>12.600000000000001</v>
      </c>
      <c r="H543">
        <v>1</v>
      </c>
      <c r="I543">
        <v>1</v>
      </c>
    </row>
    <row r="544" spans="1:9" x14ac:dyDescent="0.25">
      <c r="A544">
        <v>543</v>
      </c>
      <c r="B544" s="40" t="s">
        <v>420</v>
      </c>
      <c r="C544" s="43" t="s">
        <v>1533</v>
      </c>
      <c r="D544">
        <v>10</v>
      </c>
      <c r="E544">
        <v>20.16</v>
      </c>
      <c r="F544">
        <v>63</v>
      </c>
      <c r="G544">
        <v>26.46</v>
      </c>
      <c r="H544">
        <v>1</v>
      </c>
      <c r="I544">
        <v>1</v>
      </c>
    </row>
    <row r="545" spans="1:9" x14ac:dyDescent="0.25">
      <c r="A545">
        <v>544</v>
      </c>
      <c r="B545" s="40" t="s">
        <v>420</v>
      </c>
      <c r="C545" s="43" t="s">
        <v>1534</v>
      </c>
      <c r="D545">
        <v>10</v>
      </c>
      <c r="E545">
        <v>64.64</v>
      </c>
      <c r="F545">
        <v>202</v>
      </c>
      <c r="G545">
        <v>84.84</v>
      </c>
      <c r="H545">
        <v>1</v>
      </c>
      <c r="I545">
        <v>1</v>
      </c>
    </row>
    <row r="546" spans="1:9" x14ac:dyDescent="0.25">
      <c r="A546">
        <v>545</v>
      </c>
      <c r="B546" s="40" t="s">
        <v>420</v>
      </c>
      <c r="C546" s="43" t="s">
        <v>424</v>
      </c>
      <c r="D546">
        <v>10</v>
      </c>
      <c r="E546">
        <v>76.48</v>
      </c>
      <c r="F546">
        <v>239</v>
      </c>
      <c r="G546">
        <v>100.38000000000001</v>
      </c>
      <c r="H546">
        <v>1</v>
      </c>
      <c r="I546">
        <v>1</v>
      </c>
    </row>
    <row r="547" spans="1:9" x14ac:dyDescent="0.25">
      <c r="A547">
        <v>546</v>
      </c>
      <c r="B547" s="40" t="s">
        <v>420</v>
      </c>
      <c r="C547" s="43" t="s">
        <v>1536</v>
      </c>
      <c r="D547">
        <v>10</v>
      </c>
      <c r="E547">
        <v>61.120000000000005</v>
      </c>
      <c r="F547">
        <v>191</v>
      </c>
      <c r="G547">
        <v>80.220000000000013</v>
      </c>
      <c r="H547">
        <v>1</v>
      </c>
      <c r="I547">
        <v>1</v>
      </c>
    </row>
    <row r="548" spans="1:9" x14ac:dyDescent="0.25">
      <c r="A548">
        <v>547</v>
      </c>
      <c r="B548" s="40" t="s">
        <v>420</v>
      </c>
      <c r="C548" s="43" t="s">
        <v>425</v>
      </c>
      <c r="D548">
        <v>10</v>
      </c>
      <c r="E548">
        <v>46.08</v>
      </c>
      <c r="F548">
        <v>144</v>
      </c>
      <c r="G548">
        <v>60.480000000000004</v>
      </c>
      <c r="H548">
        <v>1</v>
      </c>
      <c r="I548">
        <v>1</v>
      </c>
    </row>
    <row r="549" spans="1:9" x14ac:dyDescent="0.25">
      <c r="A549">
        <v>548</v>
      </c>
      <c r="B549" s="40" t="s">
        <v>420</v>
      </c>
      <c r="C549" s="43" t="s">
        <v>426</v>
      </c>
      <c r="D549">
        <v>10</v>
      </c>
      <c r="E549">
        <v>46.72</v>
      </c>
      <c r="F549">
        <v>146</v>
      </c>
      <c r="G549">
        <v>61.320000000000007</v>
      </c>
      <c r="H549">
        <v>1</v>
      </c>
      <c r="I549">
        <v>1</v>
      </c>
    </row>
    <row r="550" spans="1:9" x14ac:dyDescent="0.25">
      <c r="A550">
        <v>549</v>
      </c>
      <c r="B550" s="40" t="s">
        <v>420</v>
      </c>
      <c r="C550" s="43" t="s">
        <v>1537</v>
      </c>
      <c r="D550">
        <v>10</v>
      </c>
      <c r="E550">
        <v>55.36</v>
      </c>
      <c r="F550">
        <v>173</v>
      </c>
      <c r="G550">
        <v>72.660000000000011</v>
      </c>
      <c r="H550">
        <v>1</v>
      </c>
      <c r="I550">
        <v>1</v>
      </c>
    </row>
    <row r="551" spans="1:9" x14ac:dyDescent="0.25">
      <c r="A551">
        <v>550</v>
      </c>
      <c r="B551" s="40" t="s">
        <v>420</v>
      </c>
      <c r="C551" s="43" t="s">
        <v>1544</v>
      </c>
      <c r="D551">
        <v>10</v>
      </c>
      <c r="E551">
        <v>74.56</v>
      </c>
      <c r="F551">
        <v>233</v>
      </c>
      <c r="G551">
        <v>97.860000000000014</v>
      </c>
      <c r="H551">
        <v>1</v>
      </c>
      <c r="I551">
        <v>1</v>
      </c>
    </row>
    <row r="552" spans="1:9" x14ac:dyDescent="0.25">
      <c r="A552">
        <v>551</v>
      </c>
      <c r="B552" s="40" t="s">
        <v>420</v>
      </c>
      <c r="C552" s="43" t="s">
        <v>1539</v>
      </c>
      <c r="D552">
        <v>10</v>
      </c>
      <c r="E552">
        <v>20.16</v>
      </c>
      <c r="F552">
        <v>63</v>
      </c>
      <c r="G552">
        <v>26.46</v>
      </c>
      <c r="H552">
        <v>1</v>
      </c>
      <c r="I552">
        <v>1</v>
      </c>
    </row>
    <row r="553" spans="1:9" x14ac:dyDescent="0.25">
      <c r="A553">
        <v>552</v>
      </c>
      <c r="B553" s="40" t="s">
        <v>420</v>
      </c>
      <c r="C553" s="44" t="s">
        <v>427</v>
      </c>
      <c r="D553">
        <v>10</v>
      </c>
      <c r="E553">
        <v>29.44</v>
      </c>
      <c r="F553">
        <v>92</v>
      </c>
      <c r="G553">
        <v>38.64</v>
      </c>
      <c r="H553">
        <v>1</v>
      </c>
      <c r="I553">
        <v>1</v>
      </c>
    </row>
    <row r="554" spans="1:9" x14ac:dyDescent="0.25">
      <c r="A554">
        <v>553</v>
      </c>
      <c r="B554" s="45" t="s">
        <v>420</v>
      </c>
      <c r="C554" s="44" t="s">
        <v>428</v>
      </c>
      <c r="D554">
        <v>10</v>
      </c>
      <c r="E554">
        <v>46.08</v>
      </c>
      <c r="F554">
        <v>144</v>
      </c>
      <c r="G554">
        <v>60.480000000000004</v>
      </c>
      <c r="H554">
        <v>1</v>
      </c>
      <c r="I554">
        <v>1</v>
      </c>
    </row>
    <row r="555" spans="1:9" x14ac:dyDescent="0.25">
      <c r="A555">
        <v>554</v>
      </c>
      <c r="B555" s="40" t="s">
        <v>420</v>
      </c>
      <c r="C555" s="44" t="s">
        <v>429</v>
      </c>
      <c r="D555">
        <v>10</v>
      </c>
      <c r="E555">
        <v>119.04</v>
      </c>
      <c r="F555">
        <v>372</v>
      </c>
      <c r="G555">
        <v>156.24</v>
      </c>
      <c r="H555">
        <v>1</v>
      </c>
      <c r="I555">
        <v>1</v>
      </c>
    </row>
    <row r="556" spans="1:9" x14ac:dyDescent="0.25">
      <c r="A556">
        <v>555</v>
      </c>
      <c r="B556" s="40" t="s">
        <v>420</v>
      </c>
      <c r="C556" s="44" t="s">
        <v>1540</v>
      </c>
      <c r="D556">
        <v>10</v>
      </c>
      <c r="E556">
        <v>46.08</v>
      </c>
      <c r="F556">
        <v>144</v>
      </c>
      <c r="G556">
        <v>60.480000000000004</v>
      </c>
      <c r="H556">
        <v>1</v>
      </c>
      <c r="I556">
        <v>1</v>
      </c>
    </row>
    <row r="557" spans="1:9" x14ac:dyDescent="0.25">
      <c r="A557">
        <v>556</v>
      </c>
      <c r="B557" s="40" t="s">
        <v>420</v>
      </c>
      <c r="C557" s="44" t="s">
        <v>1541</v>
      </c>
      <c r="D557">
        <v>10</v>
      </c>
      <c r="E557">
        <v>69.44</v>
      </c>
      <c r="F557">
        <v>217</v>
      </c>
      <c r="G557">
        <v>91.140000000000015</v>
      </c>
      <c r="H557">
        <v>1</v>
      </c>
      <c r="I557">
        <v>1</v>
      </c>
    </row>
    <row r="558" spans="1:9" x14ac:dyDescent="0.25">
      <c r="A558">
        <v>557</v>
      </c>
      <c r="B558" s="40" t="s">
        <v>420</v>
      </c>
      <c r="C558" s="44" t="s">
        <v>1542</v>
      </c>
      <c r="D558">
        <v>10</v>
      </c>
      <c r="E558">
        <v>85.76</v>
      </c>
      <c r="F558">
        <v>268</v>
      </c>
      <c r="G558">
        <v>112.56000000000002</v>
      </c>
      <c r="H558">
        <v>1</v>
      </c>
      <c r="I558">
        <v>1</v>
      </c>
    </row>
    <row r="559" spans="1:9" x14ac:dyDescent="0.25">
      <c r="A559">
        <v>558</v>
      </c>
      <c r="B559" s="40" t="s">
        <v>451</v>
      </c>
      <c r="C559" s="40" t="s">
        <v>452</v>
      </c>
      <c r="D559">
        <v>10</v>
      </c>
      <c r="E559">
        <v>89.44</v>
      </c>
      <c r="F559">
        <v>172</v>
      </c>
      <c r="G559">
        <v>106.64</v>
      </c>
      <c r="H559">
        <v>1</v>
      </c>
      <c r="I559">
        <v>1</v>
      </c>
    </row>
    <row r="560" spans="1:9" x14ac:dyDescent="0.25">
      <c r="A560">
        <v>559</v>
      </c>
      <c r="B560" s="40" t="s">
        <v>451</v>
      </c>
      <c r="C560" s="40" t="s">
        <v>453</v>
      </c>
      <c r="D560">
        <v>10</v>
      </c>
      <c r="E560">
        <v>188.76000000000002</v>
      </c>
      <c r="F560">
        <v>363</v>
      </c>
      <c r="G560">
        <v>225.06</v>
      </c>
      <c r="H560">
        <v>1</v>
      </c>
      <c r="I560">
        <v>1</v>
      </c>
    </row>
    <row r="561" spans="1:9" x14ac:dyDescent="0.25">
      <c r="A561">
        <v>560</v>
      </c>
      <c r="B561" s="40" t="s">
        <v>451</v>
      </c>
      <c r="C561" s="40" t="s">
        <v>454</v>
      </c>
      <c r="D561">
        <v>10</v>
      </c>
      <c r="E561">
        <v>70.72</v>
      </c>
      <c r="F561">
        <v>136</v>
      </c>
      <c r="G561">
        <v>84.32</v>
      </c>
      <c r="H561">
        <v>1</v>
      </c>
      <c r="I561">
        <v>1</v>
      </c>
    </row>
    <row r="562" spans="1:9" x14ac:dyDescent="0.25">
      <c r="A562">
        <v>561</v>
      </c>
      <c r="B562" s="40" t="s">
        <v>451</v>
      </c>
      <c r="C562" s="40" t="s">
        <v>455</v>
      </c>
      <c r="D562">
        <v>10</v>
      </c>
      <c r="E562">
        <v>94.64</v>
      </c>
      <c r="F562">
        <v>182</v>
      </c>
      <c r="G562">
        <v>112.84</v>
      </c>
      <c r="H562">
        <v>1</v>
      </c>
      <c r="I562">
        <v>1</v>
      </c>
    </row>
    <row r="563" spans="1:9" x14ac:dyDescent="0.25">
      <c r="A563">
        <v>562</v>
      </c>
      <c r="B563" s="40" t="s">
        <v>451</v>
      </c>
      <c r="C563" s="40" t="s">
        <v>456</v>
      </c>
      <c r="D563">
        <v>10</v>
      </c>
      <c r="E563">
        <v>218.4</v>
      </c>
      <c r="F563">
        <v>420</v>
      </c>
      <c r="G563">
        <v>260.39999999999998</v>
      </c>
      <c r="H563">
        <v>1</v>
      </c>
      <c r="I563">
        <v>1</v>
      </c>
    </row>
    <row r="564" spans="1:9" x14ac:dyDescent="0.25">
      <c r="A564">
        <v>563</v>
      </c>
      <c r="B564" s="40" t="s">
        <v>451</v>
      </c>
      <c r="C564" s="40" t="s">
        <v>457</v>
      </c>
      <c r="D564">
        <v>10</v>
      </c>
      <c r="E564">
        <v>58.24</v>
      </c>
      <c r="F564">
        <v>112</v>
      </c>
      <c r="G564">
        <v>69.44</v>
      </c>
      <c r="H564">
        <v>1</v>
      </c>
      <c r="I564">
        <v>1</v>
      </c>
    </row>
    <row r="565" spans="1:9" x14ac:dyDescent="0.25">
      <c r="A565">
        <v>564</v>
      </c>
      <c r="B565" s="40" t="s">
        <v>1658</v>
      </c>
      <c r="C565" s="40" t="s">
        <v>1276</v>
      </c>
      <c r="D565">
        <v>10</v>
      </c>
      <c r="E565">
        <v>120.45</v>
      </c>
      <c r="F565">
        <v>240.9</v>
      </c>
      <c r="G565">
        <v>144.54</v>
      </c>
      <c r="H565">
        <v>1</v>
      </c>
      <c r="I565">
        <v>1</v>
      </c>
    </row>
    <row r="566" spans="1:9" x14ac:dyDescent="0.25">
      <c r="A566">
        <v>565</v>
      </c>
      <c r="B566" s="40" t="s">
        <v>1658</v>
      </c>
      <c r="C566" s="40" t="s">
        <v>1278</v>
      </c>
      <c r="D566">
        <v>10</v>
      </c>
      <c r="E566">
        <v>203.5</v>
      </c>
      <c r="F566">
        <v>407</v>
      </c>
      <c r="G566">
        <v>244.2</v>
      </c>
      <c r="H566">
        <v>1</v>
      </c>
      <c r="I566">
        <v>1</v>
      </c>
    </row>
    <row r="567" spans="1:9" x14ac:dyDescent="0.25">
      <c r="A567">
        <v>566</v>
      </c>
      <c r="B567" s="40" t="s">
        <v>1658</v>
      </c>
      <c r="C567" s="40" t="s">
        <v>1277</v>
      </c>
      <c r="D567">
        <v>10</v>
      </c>
      <c r="E567">
        <v>120.49</v>
      </c>
      <c r="F567">
        <v>240.98</v>
      </c>
      <c r="G567">
        <v>144.58799999999999</v>
      </c>
      <c r="H567">
        <v>1</v>
      </c>
      <c r="I567">
        <v>1</v>
      </c>
    </row>
    <row r="568" spans="1:9" x14ac:dyDescent="0.25">
      <c r="A568">
        <v>567</v>
      </c>
      <c r="B568" s="40" t="s">
        <v>1658</v>
      </c>
      <c r="C568" s="40" t="s">
        <v>1659</v>
      </c>
      <c r="D568">
        <v>10</v>
      </c>
      <c r="E568">
        <v>147.94999999999999</v>
      </c>
      <c r="F568">
        <v>295.89999999999998</v>
      </c>
      <c r="G568">
        <v>177.54</v>
      </c>
      <c r="H568">
        <v>1</v>
      </c>
      <c r="I568">
        <v>1</v>
      </c>
    </row>
    <row r="569" spans="1:9" x14ac:dyDescent="0.25">
      <c r="A569">
        <v>568</v>
      </c>
      <c r="B569" s="40" t="s">
        <v>1658</v>
      </c>
      <c r="C569" s="40" t="s">
        <v>1523</v>
      </c>
      <c r="D569">
        <v>10</v>
      </c>
      <c r="E569">
        <v>102.3</v>
      </c>
      <c r="F569">
        <v>204.6</v>
      </c>
      <c r="G569">
        <v>122.75999999999999</v>
      </c>
      <c r="H569">
        <v>1</v>
      </c>
      <c r="I569">
        <v>1</v>
      </c>
    </row>
    <row r="570" spans="1:9" x14ac:dyDescent="0.25">
      <c r="A570">
        <v>569</v>
      </c>
      <c r="B570" s="40" t="s">
        <v>1658</v>
      </c>
      <c r="C570" s="40" t="s">
        <v>1522</v>
      </c>
      <c r="D570">
        <v>10</v>
      </c>
      <c r="E570">
        <v>132.5</v>
      </c>
      <c r="F570">
        <v>265</v>
      </c>
      <c r="G570">
        <v>159</v>
      </c>
      <c r="H570">
        <v>1</v>
      </c>
      <c r="I570">
        <v>1</v>
      </c>
    </row>
    <row r="571" spans="1:9" x14ac:dyDescent="0.25">
      <c r="A571">
        <v>570</v>
      </c>
      <c r="B571" s="40" t="s">
        <v>1658</v>
      </c>
      <c r="C571" s="40" t="s">
        <v>1660</v>
      </c>
      <c r="D571">
        <v>10</v>
      </c>
      <c r="E571">
        <v>257.95</v>
      </c>
      <c r="F571">
        <v>515.9</v>
      </c>
      <c r="G571">
        <v>309.53999999999996</v>
      </c>
      <c r="H571">
        <v>1</v>
      </c>
      <c r="I571">
        <v>1</v>
      </c>
    </row>
    <row r="572" spans="1:9" x14ac:dyDescent="0.25">
      <c r="A572">
        <v>571</v>
      </c>
      <c r="B572" s="40" t="s">
        <v>1658</v>
      </c>
      <c r="C572" s="40" t="s">
        <v>1661</v>
      </c>
      <c r="D572">
        <v>10</v>
      </c>
      <c r="E572">
        <v>133.84</v>
      </c>
      <c r="F572">
        <v>267.68</v>
      </c>
      <c r="G572">
        <v>160.608</v>
      </c>
      <c r="H572">
        <v>1</v>
      </c>
      <c r="I572">
        <v>1</v>
      </c>
    </row>
    <row r="573" spans="1:9" x14ac:dyDescent="0.25">
      <c r="A573">
        <v>572</v>
      </c>
      <c r="B573" s="40" t="s">
        <v>1658</v>
      </c>
      <c r="C573" s="40" t="s">
        <v>1662</v>
      </c>
      <c r="D573">
        <v>10</v>
      </c>
      <c r="E573">
        <v>150.63999999999999</v>
      </c>
      <c r="F573">
        <v>301.27999999999997</v>
      </c>
      <c r="G573">
        <v>180.76799999999997</v>
      </c>
      <c r="H573">
        <v>1</v>
      </c>
      <c r="I573">
        <v>1</v>
      </c>
    </row>
    <row r="574" spans="1:9" x14ac:dyDescent="0.25">
      <c r="A574">
        <v>573</v>
      </c>
      <c r="B574" s="40" t="s">
        <v>1658</v>
      </c>
      <c r="C574" s="40" t="s">
        <v>1663</v>
      </c>
      <c r="D574">
        <v>10</v>
      </c>
      <c r="E574">
        <v>120.45</v>
      </c>
      <c r="F574">
        <v>240.9</v>
      </c>
      <c r="G574">
        <v>144.54</v>
      </c>
      <c r="H574">
        <v>1</v>
      </c>
      <c r="I574">
        <v>1</v>
      </c>
    </row>
    <row r="575" spans="1:9" x14ac:dyDescent="0.25">
      <c r="A575">
        <v>574</v>
      </c>
      <c r="B575" s="40" t="s">
        <v>1658</v>
      </c>
      <c r="C575" s="40" t="s">
        <v>1524</v>
      </c>
      <c r="D575">
        <v>10</v>
      </c>
      <c r="E575">
        <v>175.45</v>
      </c>
      <c r="F575">
        <v>350.9</v>
      </c>
      <c r="G575">
        <v>210.54</v>
      </c>
      <c r="H575">
        <v>1</v>
      </c>
      <c r="I575">
        <v>1</v>
      </c>
    </row>
    <row r="576" spans="1:9" x14ac:dyDescent="0.25">
      <c r="A576">
        <v>575</v>
      </c>
      <c r="B576" s="40" t="s">
        <v>1658</v>
      </c>
      <c r="C576" s="40" t="s">
        <v>1525</v>
      </c>
      <c r="D576">
        <v>10</v>
      </c>
      <c r="E576">
        <v>577.5</v>
      </c>
      <c r="F576">
        <v>1155</v>
      </c>
      <c r="G576">
        <v>693</v>
      </c>
      <c r="H576">
        <v>1</v>
      </c>
      <c r="I576">
        <v>1</v>
      </c>
    </row>
    <row r="577" spans="1:9" x14ac:dyDescent="0.25">
      <c r="A577">
        <v>576</v>
      </c>
      <c r="B577" s="40" t="s">
        <v>458</v>
      </c>
      <c r="C577" s="40" t="s">
        <v>459</v>
      </c>
      <c r="D577">
        <v>10</v>
      </c>
      <c r="E577">
        <v>78</v>
      </c>
      <c r="F577">
        <v>195</v>
      </c>
      <c r="G577">
        <v>97.5</v>
      </c>
      <c r="H577">
        <v>1</v>
      </c>
      <c r="I577">
        <v>1</v>
      </c>
    </row>
    <row r="578" spans="1:9" x14ac:dyDescent="0.25">
      <c r="A578">
        <v>577</v>
      </c>
      <c r="B578" s="40" t="s">
        <v>458</v>
      </c>
      <c r="C578" s="40" t="s">
        <v>460</v>
      </c>
      <c r="D578">
        <v>10</v>
      </c>
      <c r="E578">
        <v>140.16400000000002</v>
      </c>
      <c r="F578">
        <v>350.41</v>
      </c>
      <c r="G578">
        <v>175.20500000000001</v>
      </c>
      <c r="H578">
        <v>1</v>
      </c>
      <c r="I578">
        <v>1</v>
      </c>
    </row>
    <row r="579" spans="1:9" x14ac:dyDescent="0.25">
      <c r="A579">
        <v>578</v>
      </c>
      <c r="B579" s="40" t="s">
        <v>458</v>
      </c>
      <c r="C579" s="40" t="s">
        <v>461</v>
      </c>
      <c r="D579">
        <v>10</v>
      </c>
      <c r="E579">
        <v>99.4</v>
      </c>
      <c r="F579">
        <v>248.5</v>
      </c>
      <c r="G579">
        <v>124.25</v>
      </c>
      <c r="H579">
        <v>1</v>
      </c>
      <c r="I579">
        <v>1</v>
      </c>
    </row>
    <row r="580" spans="1:9" x14ac:dyDescent="0.25">
      <c r="A580">
        <v>579</v>
      </c>
      <c r="B580" s="40" t="s">
        <v>458</v>
      </c>
      <c r="C580" s="40" t="s">
        <v>462</v>
      </c>
      <c r="D580">
        <v>10</v>
      </c>
      <c r="E580">
        <v>345.6</v>
      </c>
      <c r="F580">
        <v>864</v>
      </c>
      <c r="G580">
        <v>432</v>
      </c>
      <c r="H580">
        <v>1</v>
      </c>
      <c r="I580">
        <v>1</v>
      </c>
    </row>
    <row r="581" spans="1:9" x14ac:dyDescent="0.25">
      <c r="A581">
        <v>580</v>
      </c>
      <c r="B581" s="40" t="s">
        <v>458</v>
      </c>
      <c r="C581" s="40" t="s">
        <v>463</v>
      </c>
      <c r="D581">
        <v>10</v>
      </c>
      <c r="E581">
        <v>0.4</v>
      </c>
      <c r="F581">
        <v>1</v>
      </c>
      <c r="G581">
        <v>0.5</v>
      </c>
      <c r="H581">
        <v>1</v>
      </c>
      <c r="I581">
        <v>1</v>
      </c>
    </row>
    <row r="582" spans="1:9" x14ac:dyDescent="0.25">
      <c r="A582">
        <v>581</v>
      </c>
      <c r="B582" s="40" t="s">
        <v>458</v>
      </c>
      <c r="C582" s="40" t="s">
        <v>464</v>
      </c>
      <c r="D582">
        <v>10</v>
      </c>
      <c r="E582">
        <v>38.876000000000005</v>
      </c>
      <c r="F582">
        <v>97.19</v>
      </c>
      <c r="G582">
        <v>48.594999999999999</v>
      </c>
      <c r="H582">
        <v>1</v>
      </c>
      <c r="I582">
        <v>1</v>
      </c>
    </row>
    <row r="583" spans="1:9" x14ac:dyDescent="0.25">
      <c r="A583">
        <v>582</v>
      </c>
      <c r="B583" s="40" t="s">
        <v>458</v>
      </c>
      <c r="C583" s="40" t="s">
        <v>465</v>
      </c>
      <c r="D583">
        <v>10</v>
      </c>
      <c r="E583">
        <v>103.01600000000002</v>
      </c>
      <c r="F583">
        <v>257.54000000000002</v>
      </c>
      <c r="G583">
        <v>128.77000000000001</v>
      </c>
      <c r="H583">
        <v>1</v>
      </c>
      <c r="I583">
        <v>1</v>
      </c>
    </row>
    <row r="584" spans="1:9" x14ac:dyDescent="0.25">
      <c r="A584">
        <v>583</v>
      </c>
      <c r="B584" s="40" t="s">
        <v>458</v>
      </c>
      <c r="C584" s="40" t="s">
        <v>466</v>
      </c>
      <c r="D584">
        <v>10</v>
      </c>
      <c r="E584">
        <v>395.56</v>
      </c>
      <c r="F584">
        <v>988.9</v>
      </c>
      <c r="G584">
        <v>494.45</v>
      </c>
      <c r="H584">
        <v>1</v>
      </c>
      <c r="I584">
        <v>1</v>
      </c>
    </row>
    <row r="585" spans="1:9" x14ac:dyDescent="0.25">
      <c r="A585">
        <v>584</v>
      </c>
      <c r="B585" s="40" t="s">
        <v>458</v>
      </c>
      <c r="C585" s="40" t="s">
        <v>467</v>
      </c>
      <c r="D585">
        <v>10</v>
      </c>
      <c r="E585">
        <v>149.20000000000002</v>
      </c>
      <c r="F585">
        <v>373</v>
      </c>
      <c r="G585">
        <v>186.5</v>
      </c>
      <c r="H585">
        <v>1</v>
      </c>
      <c r="I585">
        <v>1</v>
      </c>
    </row>
    <row r="586" spans="1:9" x14ac:dyDescent="0.25">
      <c r="A586">
        <v>585</v>
      </c>
      <c r="B586" s="40" t="s">
        <v>458</v>
      </c>
      <c r="C586" s="40" t="s">
        <v>468</v>
      </c>
      <c r="D586">
        <v>10</v>
      </c>
      <c r="E586">
        <v>6.3360000000000003</v>
      </c>
      <c r="F586">
        <v>15.84</v>
      </c>
      <c r="G586">
        <v>7.92</v>
      </c>
      <c r="H586">
        <v>1</v>
      </c>
      <c r="I586">
        <v>1</v>
      </c>
    </row>
    <row r="587" spans="1:9" x14ac:dyDescent="0.25">
      <c r="A587">
        <v>586</v>
      </c>
      <c r="B587" s="40" t="s">
        <v>458</v>
      </c>
      <c r="C587" s="40" t="s">
        <v>1655</v>
      </c>
      <c r="D587">
        <v>10</v>
      </c>
      <c r="E587">
        <v>98.927999999999997</v>
      </c>
      <c r="F587">
        <v>247.32</v>
      </c>
      <c r="G587">
        <v>123.66</v>
      </c>
      <c r="H587">
        <v>1</v>
      </c>
      <c r="I587">
        <v>1</v>
      </c>
    </row>
    <row r="588" spans="1:9" x14ac:dyDescent="0.25">
      <c r="A588">
        <v>587</v>
      </c>
      <c r="B588" s="40" t="s">
        <v>458</v>
      </c>
      <c r="C588" s="40" t="s">
        <v>1657</v>
      </c>
      <c r="D588">
        <v>10</v>
      </c>
      <c r="E588">
        <v>321.60000000000002</v>
      </c>
      <c r="F588">
        <v>804</v>
      </c>
      <c r="G588">
        <v>402</v>
      </c>
      <c r="H588">
        <v>1</v>
      </c>
      <c r="I588">
        <v>1</v>
      </c>
    </row>
    <row r="589" spans="1:9" x14ac:dyDescent="0.25">
      <c r="A589">
        <v>588</v>
      </c>
      <c r="B589" s="40" t="s">
        <v>458</v>
      </c>
      <c r="C589" s="40" t="s">
        <v>469</v>
      </c>
      <c r="D589">
        <v>10</v>
      </c>
      <c r="E589">
        <v>119.60000000000001</v>
      </c>
      <c r="F589">
        <v>299</v>
      </c>
      <c r="G589">
        <v>149.5</v>
      </c>
      <c r="H589">
        <v>1</v>
      </c>
      <c r="I589">
        <v>1</v>
      </c>
    </row>
    <row r="590" spans="1:9" x14ac:dyDescent="0.25">
      <c r="A590">
        <v>589</v>
      </c>
      <c r="B590" s="40" t="s">
        <v>458</v>
      </c>
      <c r="C590" s="40" t="s">
        <v>470</v>
      </c>
      <c r="D590">
        <v>10</v>
      </c>
      <c r="E590">
        <v>184</v>
      </c>
      <c r="F590">
        <v>460</v>
      </c>
      <c r="G590">
        <v>230</v>
      </c>
      <c r="H590">
        <v>1</v>
      </c>
      <c r="I590">
        <v>1</v>
      </c>
    </row>
    <row r="591" spans="1:9" x14ac:dyDescent="0.25">
      <c r="A591">
        <v>590</v>
      </c>
      <c r="B591" s="40" t="s">
        <v>458</v>
      </c>
      <c r="C591" s="40" t="s">
        <v>471</v>
      </c>
      <c r="D591">
        <v>10</v>
      </c>
      <c r="E591">
        <v>21.056000000000001</v>
      </c>
      <c r="F591">
        <v>52.64</v>
      </c>
      <c r="G591">
        <v>26.32</v>
      </c>
      <c r="H591">
        <v>1</v>
      </c>
      <c r="I591">
        <v>1</v>
      </c>
    </row>
    <row r="592" spans="1:9" x14ac:dyDescent="0.25">
      <c r="A592">
        <v>591</v>
      </c>
      <c r="B592" s="40" t="s">
        <v>458</v>
      </c>
      <c r="C592" s="40" t="s">
        <v>1161</v>
      </c>
      <c r="D592">
        <v>10</v>
      </c>
      <c r="E592">
        <v>122</v>
      </c>
      <c r="F592">
        <v>305</v>
      </c>
      <c r="G592">
        <v>152.5</v>
      </c>
      <c r="H592">
        <v>1</v>
      </c>
      <c r="I592">
        <v>1</v>
      </c>
    </row>
    <row r="593" spans="1:9" x14ac:dyDescent="0.25">
      <c r="A593">
        <v>592</v>
      </c>
      <c r="B593" s="40" t="s">
        <v>458</v>
      </c>
      <c r="C593" s="40" t="s">
        <v>1128</v>
      </c>
      <c r="D593">
        <v>10</v>
      </c>
      <c r="E593">
        <v>240</v>
      </c>
      <c r="F593">
        <v>600</v>
      </c>
      <c r="G593">
        <v>300</v>
      </c>
      <c r="H593">
        <v>1</v>
      </c>
      <c r="I593">
        <v>1</v>
      </c>
    </row>
    <row r="594" spans="1:9" x14ac:dyDescent="0.25">
      <c r="A594">
        <v>593</v>
      </c>
      <c r="B594" s="40" t="s">
        <v>458</v>
      </c>
      <c r="C594" s="40" t="s">
        <v>472</v>
      </c>
      <c r="D594">
        <v>10</v>
      </c>
      <c r="E594">
        <v>158.4</v>
      </c>
      <c r="F594">
        <v>396</v>
      </c>
      <c r="G594">
        <v>198</v>
      </c>
      <c r="H594">
        <v>1</v>
      </c>
      <c r="I594">
        <v>1</v>
      </c>
    </row>
    <row r="595" spans="1:9" x14ac:dyDescent="0.25">
      <c r="A595">
        <v>594</v>
      </c>
      <c r="B595" s="40" t="s">
        <v>458</v>
      </c>
      <c r="C595" s="40" t="s">
        <v>473</v>
      </c>
      <c r="D595">
        <v>10</v>
      </c>
      <c r="E595">
        <v>23.788</v>
      </c>
      <c r="F595">
        <v>59.47</v>
      </c>
      <c r="G595">
        <v>29.734999999999999</v>
      </c>
      <c r="H595">
        <v>1</v>
      </c>
      <c r="I595">
        <v>1</v>
      </c>
    </row>
    <row r="596" spans="1:9" x14ac:dyDescent="0.25">
      <c r="A596">
        <v>595</v>
      </c>
      <c r="B596" s="40" t="s">
        <v>458</v>
      </c>
      <c r="C596" s="40" t="s">
        <v>474</v>
      </c>
      <c r="D596">
        <v>10</v>
      </c>
      <c r="E596">
        <v>40.200000000000003</v>
      </c>
      <c r="F596">
        <v>100.5</v>
      </c>
      <c r="G596">
        <v>50.25</v>
      </c>
      <c r="H596">
        <v>1</v>
      </c>
      <c r="I596">
        <v>1</v>
      </c>
    </row>
    <row r="597" spans="1:9" x14ac:dyDescent="0.25">
      <c r="A597">
        <v>596</v>
      </c>
      <c r="B597" s="40" t="s">
        <v>458</v>
      </c>
      <c r="C597" s="40" t="s">
        <v>475</v>
      </c>
      <c r="D597">
        <v>10</v>
      </c>
      <c r="E597">
        <v>202.8</v>
      </c>
      <c r="F597">
        <v>507</v>
      </c>
      <c r="G597">
        <v>253.5</v>
      </c>
      <c r="H597">
        <v>1</v>
      </c>
      <c r="I597">
        <v>1</v>
      </c>
    </row>
    <row r="598" spans="1:9" x14ac:dyDescent="0.25">
      <c r="A598">
        <v>597</v>
      </c>
      <c r="B598" s="40" t="s">
        <v>458</v>
      </c>
      <c r="C598" s="40" t="s">
        <v>476</v>
      </c>
      <c r="D598">
        <v>10</v>
      </c>
      <c r="E598">
        <v>132.24800000000002</v>
      </c>
      <c r="F598">
        <v>330.62</v>
      </c>
      <c r="G598">
        <v>165.31</v>
      </c>
      <c r="H598">
        <v>1</v>
      </c>
      <c r="I598">
        <v>1</v>
      </c>
    </row>
    <row r="599" spans="1:9" x14ac:dyDescent="0.25">
      <c r="A599">
        <v>598</v>
      </c>
      <c r="B599" s="40" t="s">
        <v>458</v>
      </c>
      <c r="C599" s="40" t="s">
        <v>477</v>
      </c>
      <c r="D599">
        <v>10</v>
      </c>
      <c r="E599">
        <v>56.155999999999999</v>
      </c>
      <c r="F599">
        <v>140.38999999999999</v>
      </c>
      <c r="G599">
        <v>70.194999999999993</v>
      </c>
      <c r="H599">
        <v>1</v>
      </c>
      <c r="I599">
        <v>1</v>
      </c>
    </row>
    <row r="600" spans="1:9" x14ac:dyDescent="0.25">
      <c r="A600">
        <v>599</v>
      </c>
      <c r="B600" s="40" t="s">
        <v>458</v>
      </c>
      <c r="C600" s="40" t="s">
        <v>478</v>
      </c>
      <c r="D600">
        <v>10</v>
      </c>
      <c r="E600">
        <v>174.65200000000002</v>
      </c>
      <c r="F600">
        <v>436.63</v>
      </c>
      <c r="G600">
        <v>218.315</v>
      </c>
      <c r="H600">
        <v>1</v>
      </c>
      <c r="I600">
        <v>1</v>
      </c>
    </row>
    <row r="601" spans="1:9" x14ac:dyDescent="0.25">
      <c r="A601">
        <v>600</v>
      </c>
      <c r="B601" s="40" t="s">
        <v>458</v>
      </c>
      <c r="C601" s="40" t="s">
        <v>1274</v>
      </c>
      <c r="D601">
        <v>10</v>
      </c>
      <c r="E601">
        <v>119.60000000000001</v>
      </c>
      <c r="F601">
        <v>299</v>
      </c>
      <c r="G601">
        <v>149.5</v>
      </c>
      <c r="H601">
        <v>1</v>
      </c>
      <c r="I601">
        <v>1</v>
      </c>
    </row>
    <row r="602" spans="1:9" x14ac:dyDescent="0.25">
      <c r="A602">
        <v>601</v>
      </c>
      <c r="B602" s="40" t="s">
        <v>458</v>
      </c>
      <c r="C602" s="40" t="s">
        <v>1656</v>
      </c>
      <c r="D602">
        <v>10</v>
      </c>
      <c r="E602">
        <v>355.28000000000003</v>
      </c>
      <c r="F602">
        <v>888.2</v>
      </c>
      <c r="G602">
        <v>444.1</v>
      </c>
      <c r="H602">
        <v>1</v>
      </c>
      <c r="I602">
        <v>1</v>
      </c>
    </row>
    <row r="603" spans="1:9" x14ac:dyDescent="0.25">
      <c r="A603">
        <v>602</v>
      </c>
      <c r="B603" s="40" t="s">
        <v>458</v>
      </c>
      <c r="C603" s="40" t="s">
        <v>1275</v>
      </c>
      <c r="D603">
        <v>10</v>
      </c>
      <c r="E603">
        <v>193.20000000000002</v>
      </c>
      <c r="F603">
        <v>483</v>
      </c>
      <c r="G603">
        <v>241.5</v>
      </c>
      <c r="H603">
        <v>1</v>
      </c>
      <c r="I603">
        <v>1</v>
      </c>
    </row>
    <row r="604" spans="1:9" x14ac:dyDescent="0.25">
      <c r="A604">
        <v>603</v>
      </c>
      <c r="B604" s="40" t="s">
        <v>479</v>
      </c>
      <c r="C604" s="40" t="s">
        <v>480</v>
      </c>
      <c r="D604">
        <v>10</v>
      </c>
      <c r="E604">
        <v>351.72500000000002</v>
      </c>
      <c r="F604">
        <v>639.5</v>
      </c>
      <c r="G604">
        <v>415.67500000000001</v>
      </c>
      <c r="H604">
        <v>1</v>
      </c>
      <c r="I604">
        <v>1</v>
      </c>
    </row>
    <row r="605" spans="1:9" x14ac:dyDescent="0.25">
      <c r="A605">
        <v>604</v>
      </c>
      <c r="B605" s="40" t="s">
        <v>479</v>
      </c>
      <c r="C605" s="40" t="s">
        <v>481</v>
      </c>
      <c r="D605">
        <v>10</v>
      </c>
      <c r="E605">
        <v>165</v>
      </c>
      <c r="F605">
        <v>300</v>
      </c>
      <c r="G605">
        <v>195</v>
      </c>
      <c r="H605">
        <v>1</v>
      </c>
      <c r="I605">
        <v>1</v>
      </c>
    </row>
    <row r="606" spans="1:9" x14ac:dyDescent="0.25">
      <c r="A606">
        <v>605</v>
      </c>
      <c r="B606" s="40" t="s">
        <v>479</v>
      </c>
      <c r="C606" s="40" t="s">
        <v>482</v>
      </c>
      <c r="D606">
        <v>10</v>
      </c>
      <c r="E606">
        <v>20.900000000000002</v>
      </c>
      <c r="F606">
        <v>38</v>
      </c>
      <c r="G606">
        <v>24.7</v>
      </c>
      <c r="H606">
        <v>1</v>
      </c>
      <c r="I606">
        <v>1</v>
      </c>
    </row>
    <row r="607" spans="1:9" x14ac:dyDescent="0.25">
      <c r="A607">
        <v>606</v>
      </c>
      <c r="B607" s="40" t="s">
        <v>479</v>
      </c>
      <c r="C607" s="40" t="s">
        <v>483</v>
      </c>
      <c r="D607">
        <v>10</v>
      </c>
      <c r="E607">
        <v>370.15000000000003</v>
      </c>
      <c r="F607">
        <v>673</v>
      </c>
      <c r="G607">
        <v>437.45</v>
      </c>
      <c r="H607">
        <v>1</v>
      </c>
      <c r="I607">
        <v>1</v>
      </c>
    </row>
    <row r="608" spans="1:9" x14ac:dyDescent="0.25">
      <c r="A608">
        <v>607</v>
      </c>
      <c r="B608" s="40" t="s">
        <v>479</v>
      </c>
      <c r="C608" s="40" t="s">
        <v>484</v>
      </c>
      <c r="D608">
        <v>10</v>
      </c>
      <c r="E608">
        <v>110.00000000000001</v>
      </c>
      <c r="F608">
        <v>200</v>
      </c>
      <c r="G608">
        <v>130</v>
      </c>
      <c r="H608">
        <v>1</v>
      </c>
      <c r="I608">
        <v>1</v>
      </c>
    </row>
    <row r="609" spans="1:9" x14ac:dyDescent="0.25">
      <c r="A609">
        <v>608</v>
      </c>
      <c r="B609" s="40" t="s">
        <v>479</v>
      </c>
      <c r="C609" s="40" t="s">
        <v>485</v>
      </c>
      <c r="D609">
        <v>10</v>
      </c>
      <c r="E609">
        <v>90.2</v>
      </c>
      <c r="F609">
        <v>164</v>
      </c>
      <c r="G609">
        <v>106.60000000000001</v>
      </c>
      <c r="H609">
        <v>1</v>
      </c>
      <c r="I609">
        <v>1</v>
      </c>
    </row>
    <row r="610" spans="1:9" x14ac:dyDescent="0.25">
      <c r="A610">
        <v>609</v>
      </c>
      <c r="B610" s="40" t="s">
        <v>479</v>
      </c>
      <c r="C610" s="40" t="s">
        <v>486</v>
      </c>
      <c r="D610">
        <v>10</v>
      </c>
      <c r="E610">
        <v>46.750000000000007</v>
      </c>
      <c r="F610">
        <v>85</v>
      </c>
      <c r="G610">
        <v>55.25</v>
      </c>
      <c r="H610">
        <v>1</v>
      </c>
      <c r="I610">
        <v>1</v>
      </c>
    </row>
    <row r="611" spans="1:9" x14ac:dyDescent="0.25">
      <c r="A611">
        <v>610</v>
      </c>
      <c r="B611" s="40" t="s">
        <v>479</v>
      </c>
      <c r="C611" s="40" t="s">
        <v>487</v>
      </c>
      <c r="D611">
        <v>10</v>
      </c>
      <c r="E611">
        <v>21.450000000000003</v>
      </c>
      <c r="F611">
        <v>39</v>
      </c>
      <c r="G611">
        <v>25.35</v>
      </c>
      <c r="H611">
        <v>1</v>
      </c>
      <c r="I611">
        <v>1</v>
      </c>
    </row>
    <row r="612" spans="1:9" x14ac:dyDescent="0.25">
      <c r="A612">
        <v>611</v>
      </c>
      <c r="B612" s="40" t="s">
        <v>479</v>
      </c>
      <c r="C612" s="40" t="s">
        <v>488</v>
      </c>
      <c r="D612">
        <v>10</v>
      </c>
      <c r="E612">
        <v>23.650000000000002</v>
      </c>
      <c r="F612">
        <v>43</v>
      </c>
      <c r="G612">
        <v>27.95</v>
      </c>
      <c r="H612">
        <v>1</v>
      </c>
      <c r="I612">
        <v>1</v>
      </c>
    </row>
    <row r="613" spans="1:9" x14ac:dyDescent="0.25">
      <c r="A613">
        <v>612</v>
      </c>
      <c r="B613" s="40" t="s">
        <v>479</v>
      </c>
      <c r="C613" s="40" t="s">
        <v>489</v>
      </c>
      <c r="D613">
        <v>10</v>
      </c>
      <c r="E613">
        <v>26.400000000000002</v>
      </c>
      <c r="F613">
        <v>48</v>
      </c>
      <c r="G613">
        <v>31.200000000000003</v>
      </c>
      <c r="H613">
        <v>1</v>
      </c>
      <c r="I613">
        <v>1</v>
      </c>
    </row>
    <row r="614" spans="1:9" x14ac:dyDescent="0.25">
      <c r="A614">
        <v>613</v>
      </c>
      <c r="B614" s="40" t="s">
        <v>479</v>
      </c>
      <c r="C614" s="40" t="s">
        <v>490</v>
      </c>
      <c r="D614">
        <v>10</v>
      </c>
      <c r="E614">
        <v>34.1</v>
      </c>
      <c r="F614">
        <v>62</v>
      </c>
      <c r="G614">
        <v>40.300000000000004</v>
      </c>
      <c r="H614">
        <v>1</v>
      </c>
      <c r="I614">
        <v>1</v>
      </c>
    </row>
    <row r="615" spans="1:9" x14ac:dyDescent="0.25">
      <c r="A615">
        <v>614</v>
      </c>
      <c r="B615" s="40" t="s">
        <v>479</v>
      </c>
      <c r="C615" s="40" t="s">
        <v>491</v>
      </c>
      <c r="D615">
        <v>10</v>
      </c>
      <c r="E615">
        <v>37.400000000000006</v>
      </c>
      <c r="F615">
        <v>68</v>
      </c>
      <c r="G615">
        <v>44.2</v>
      </c>
      <c r="H615">
        <v>1</v>
      </c>
      <c r="I615">
        <v>1</v>
      </c>
    </row>
    <row r="616" spans="1:9" x14ac:dyDescent="0.25">
      <c r="A616">
        <v>615</v>
      </c>
      <c r="B616" s="40" t="s">
        <v>479</v>
      </c>
      <c r="C616" s="40" t="s">
        <v>492</v>
      </c>
      <c r="D616">
        <v>10</v>
      </c>
      <c r="E616">
        <v>705</v>
      </c>
      <c r="F616">
        <v>1175</v>
      </c>
      <c r="G616">
        <v>822.5</v>
      </c>
      <c r="H616">
        <v>1</v>
      </c>
      <c r="I616">
        <v>1</v>
      </c>
    </row>
    <row r="617" spans="1:9" x14ac:dyDescent="0.25">
      <c r="A617">
        <v>616</v>
      </c>
      <c r="B617" s="40" t="s">
        <v>479</v>
      </c>
      <c r="C617" s="40" t="s">
        <v>493</v>
      </c>
      <c r="D617">
        <v>10</v>
      </c>
      <c r="E617">
        <v>48.95</v>
      </c>
      <c r="F617">
        <v>89</v>
      </c>
      <c r="G617">
        <v>57.85</v>
      </c>
      <c r="H617">
        <v>1</v>
      </c>
      <c r="I617">
        <v>1</v>
      </c>
    </row>
    <row r="618" spans="1:9" x14ac:dyDescent="0.25">
      <c r="A618">
        <v>617</v>
      </c>
      <c r="B618" s="40" t="s">
        <v>479</v>
      </c>
      <c r="C618" s="40" t="s">
        <v>494</v>
      </c>
      <c r="D618">
        <v>10</v>
      </c>
      <c r="E618">
        <v>91.850000000000009</v>
      </c>
      <c r="F618">
        <v>167</v>
      </c>
      <c r="G618">
        <v>108.55</v>
      </c>
      <c r="H618">
        <v>1</v>
      </c>
      <c r="I618">
        <v>1</v>
      </c>
    </row>
    <row r="619" spans="1:9" x14ac:dyDescent="0.25">
      <c r="A619">
        <v>618</v>
      </c>
      <c r="B619" s="40" t="s">
        <v>479</v>
      </c>
      <c r="C619" s="40" t="s">
        <v>495</v>
      </c>
      <c r="D619">
        <v>10</v>
      </c>
      <c r="E619">
        <v>19.8</v>
      </c>
      <c r="F619">
        <v>36</v>
      </c>
      <c r="G619">
        <v>23.400000000000002</v>
      </c>
      <c r="H619">
        <v>1</v>
      </c>
      <c r="I619">
        <v>1</v>
      </c>
    </row>
    <row r="620" spans="1:9" x14ac:dyDescent="0.25">
      <c r="A620">
        <v>619</v>
      </c>
      <c r="B620" s="40" t="s">
        <v>1680</v>
      </c>
      <c r="C620" s="40" t="s">
        <v>497</v>
      </c>
      <c r="D620">
        <v>10</v>
      </c>
      <c r="E620">
        <v>123.83999999999999</v>
      </c>
      <c r="F620">
        <v>172</v>
      </c>
      <c r="G620">
        <v>141.04</v>
      </c>
      <c r="H620">
        <v>1</v>
      </c>
      <c r="I620">
        <v>1</v>
      </c>
    </row>
    <row r="621" spans="1:9" x14ac:dyDescent="0.25">
      <c r="A621">
        <v>620</v>
      </c>
      <c r="B621" s="40" t="s">
        <v>1681</v>
      </c>
      <c r="C621" s="40" t="s">
        <v>1673</v>
      </c>
      <c r="D621">
        <v>10</v>
      </c>
      <c r="E621">
        <v>121.46766</v>
      </c>
      <c r="F621">
        <v>279.23599999999999</v>
      </c>
      <c r="G621">
        <v>149.39126000000002</v>
      </c>
      <c r="H621">
        <v>1</v>
      </c>
      <c r="I621">
        <v>1</v>
      </c>
    </row>
    <row r="622" spans="1:9" x14ac:dyDescent="0.25">
      <c r="A622">
        <v>621</v>
      </c>
      <c r="B622" s="40" t="s">
        <v>1681</v>
      </c>
      <c r="C622" s="40" t="s">
        <v>1674</v>
      </c>
      <c r="D622">
        <v>10</v>
      </c>
      <c r="E622">
        <v>130.13894999999999</v>
      </c>
      <c r="F622">
        <v>299.17</v>
      </c>
      <c r="G622">
        <v>160.05595000000002</v>
      </c>
      <c r="H622">
        <v>1</v>
      </c>
      <c r="I622">
        <v>1</v>
      </c>
    </row>
    <row r="623" spans="1:9" x14ac:dyDescent="0.25">
      <c r="A623">
        <v>622</v>
      </c>
      <c r="B623" s="40" t="s">
        <v>1681</v>
      </c>
      <c r="C623" s="40" t="s">
        <v>502</v>
      </c>
      <c r="D623">
        <v>10</v>
      </c>
      <c r="E623">
        <v>87.117450000000005</v>
      </c>
      <c r="F623">
        <v>200.27</v>
      </c>
      <c r="G623">
        <v>107.14445000000001</v>
      </c>
      <c r="H623">
        <v>1</v>
      </c>
      <c r="I623">
        <v>1</v>
      </c>
    </row>
    <row r="624" spans="1:9" x14ac:dyDescent="0.25">
      <c r="A624">
        <v>623</v>
      </c>
      <c r="B624" s="40" t="s">
        <v>1681</v>
      </c>
      <c r="C624" s="40" t="s">
        <v>503</v>
      </c>
      <c r="D624">
        <v>10</v>
      </c>
      <c r="E624">
        <v>103.24290000000001</v>
      </c>
      <c r="F624">
        <v>237.34</v>
      </c>
      <c r="G624">
        <v>126.97690000000001</v>
      </c>
      <c r="H624">
        <v>1</v>
      </c>
      <c r="I624">
        <v>1</v>
      </c>
    </row>
    <row r="625" spans="1:9" x14ac:dyDescent="0.25">
      <c r="A625">
        <v>624</v>
      </c>
      <c r="B625" s="40" t="s">
        <v>1681</v>
      </c>
      <c r="C625" s="40" t="s">
        <v>498</v>
      </c>
      <c r="D625">
        <v>10</v>
      </c>
      <c r="E625">
        <v>107.30144999999999</v>
      </c>
      <c r="F625">
        <v>246.67</v>
      </c>
      <c r="G625">
        <v>131.96844999999999</v>
      </c>
      <c r="H625">
        <v>1</v>
      </c>
      <c r="I625">
        <v>1</v>
      </c>
    </row>
    <row r="626" spans="1:9" x14ac:dyDescent="0.25">
      <c r="A626">
        <v>625</v>
      </c>
      <c r="B626" s="40" t="s">
        <v>1681</v>
      </c>
      <c r="C626" s="40" t="s">
        <v>499</v>
      </c>
      <c r="D626">
        <v>10</v>
      </c>
      <c r="E626">
        <v>109.3329</v>
      </c>
      <c r="F626">
        <v>251.34</v>
      </c>
      <c r="G626">
        <v>134.46690000000001</v>
      </c>
      <c r="H626">
        <v>1</v>
      </c>
      <c r="I626">
        <v>1</v>
      </c>
    </row>
    <row r="627" spans="1:9" x14ac:dyDescent="0.25">
      <c r="A627">
        <v>626</v>
      </c>
      <c r="B627" s="40" t="s">
        <v>1681</v>
      </c>
      <c r="C627" s="40" t="s">
        <v>500</v>
      </c>
      <c r="D627">
        <v>10</v>
      </c>
      <c r="E627">
        <v>111.795</v>
      </c>
      <c r="F627">
        <v>257</v>
      </c>
      <c r="G627">
        <v>137.495</v>
      </c>
      <c r="H627">
        <v>1</v>
      </c>
      <c r="I627">
        <v>1</v>
      </c>
    </row>
    <row r="628" spans="1:9" x14ac:dyDescent="0.25">
      <c r="A628">
        <v>627</v>
      </c>
      <c r="B628" s="40" t="s">
        <v>1681</v>
      </c>
      <c r="C628" s="40" t="s">
        <v>1388</v>
      </c>
      <c r="D628">
        <v>10</v>
      </c>
      <c r="E628">
        <v>169.3629</v>
      </c>
      <c r="F628">
        <v>389.34</v>
      </c>
      <c r="G628">
        <v>208.29689999999999</v>
      </c>
      <c r="H628">
        <v>1</v>
      </c>
      <c r="I628">
        <v>1</v>
      </c>
    </row>
    <row r="629" spans="1:9" x14ac:dyDescent="0.25">
      <c r="A629">
        <v>628</v>
      </c>
      <c r="B629" s="40" t="s">
        <v>1681</v>
      </c>
      <c r="C629" s="40" t="s">
        <v>501</v>
      </c>
      <c r="D629">
        <v>10</v>
      </c>
      <c r="E629">
        <v>276.01619999999997</v>
      </c>
      <c r="F629">
        <v>634.52</v>
      </c>
      <c r="G629">
        <v>339.46820000000002</v>
      </c>
      <c r="H629">
        <v>1</v>
      </c>
      <c r="I629">
        <v>1</v>
      </c>
    </row>
    <row r="630" spans="1:9" x14ac:dyDescent="0.25">
      <c r="A630">
        <v>629</v>
      </c>
      <c r="B630" s="40" t="s">
        <v>1681</v>
      </c>
      <c r="C630" s="40" t="s">
        <v>1675</v>
      </c>
      <c r="D630">
        <v>10</v>
      </c>
      <c r="E630">
        <v>32.263950000000001</v>
      </c>
      <c r="F630">
        <v>74.17</v>
      </c>
      <c r="G630">
        <v>39.680950000000003</v>
      </c>
      <c r="H630">
        <v>1</v>
      </c>
      <c r="I630">
        <v>1</v>
      </c>
    </row>
    <row r="631" spans="1:9" x14ac:dyDescent="0.25">
      <c r="A631">
        <v>630</v>
      </c>
      <c r="B631" s="40" t="s">
        <v>1681</v>
      </c>
      <c r="C631" s="40" t="s">
        <v>1676</v>
      </c>
      <c r="D631">
        <v>10</v>
      </c>
      <c r="E631">
        <v>37.48395</v>
      </c>
      <c r="F631">
        <v>86.17</v>
      </c>
      <c r="G631">
        <v>46.100950000000005</v>
      </c>
      <c r="H631">
        <v>1</v>
      </c>
      <c r="I631">
        <v>1</v>
      </c>
    </row>
    <row r="632" spans="1:9" x14ac:dyDescent="0.25">
      <c r="A632">
        <v>631</v>
      </c>
      <c r="B632" s="40" t="s">
        <v>1681</v>
      </c>
      <c r="C632" s="40" t="s">
        <v>1677</v>
      </c>
      <c r="D632">
        <v>10</v>
      </c>
      <c r="E632">
        <v>53.857350000000004</v>
      </c>
      <c r="F632">
        <v>123.81</v>
      </c>
      <c r="G632">
        <v>66.238350000000011</v>
      </c>
      <c r="H632">
        <v>1</v>
      </c>
      <c r="I632">
        <v>1</v>
      </c>
    </row>
    <row r="633" spans="1:9" x14ac:dyDescent="0.25">
      <c r="A633">
        <v>632</v>
      </c>
      <c r="B633" s="40" t="s">
        <v>1681</v>
      </c>
      <c r="C633" s="40" t="s">
        <v>1678</v>
      </c>
      <c r="D633">
        <v>10</v>
      </c>
      <c r="E633">
        <v>74.506799999999998</v>
      </c>
      <c r="F633">
        <v>171.28</v>
      </c>
      <c r="G633">
        <v>91.634800000000013</v>
      </c>
      <c r="H633">
        <v>1</v>
      </c>
      <c r="I633">
        <v>1</v>
      </c>
    </row>
    <row r="634" spans="1:9" x14ac:dyDescent="0.25">
      <c r="A634">
        <v>633</v>
      </c>
      <c r="B634" s="40" t="s">
        <v>1681</v>
      </c>
      <c r="C634" s="40" t="s">
        <v>1392</v>
      </c>
      <c r="D634">
        <v>10</v>
      </c>
      <c r="E634">
        <v>78.247799999999998</v>
      </c>
      <c r="F634">
        <v>179.88</v>
      </c>
      <c r="G634">
        <v>96.235799999999998</v>
      </c>
      <c r="H634">
        <v>1</v>
      </c>
      <c r="I634">
        <v>1</v>
      </c>
    </row>
    <row r="635" spans="1:9" x14ac:dyDescent="0.25">
      <c r="A635">
        <v>634</v>
      </c>
      <c r="B635" s="40" t="s">
        <v>1681</v>
      </c>
      <c r="C635" s="40" t="s">
        <v>1393</v>
      </c>
      <c r="D635">
        <v>10</v>
      </c>
      <c r="E635">
        <v>81.519000000000005</v>
      </c>
      <c r="F635">
        <v>187.4</v>
      </c>
      <c r="G635">
        <v>100.25900000000001</v>
      </c>
      <c r="H635">
        <v>1</v>
      </c>
      <c r="I635">
        <v>1</v>
      </c>
    </row>
    <row r="636" spans="1:9" x14ac:dyDescent="0.25">
      <c r="A636">
        <v>635</v>
      </c>
      <c r="B636" s="40" t="s">
        <v>1680</v>
      </c>
      <c r="C636" s="40" t="s">
        <v>1685</v>
      </c>
      <c r="D636">
        <v>10</v>
      </c>
      <c r="E636">
        <v>140.184</v>
      </c>
      <c r="F636">
        <v>194.7</v>
      </c>
      <c r="G636">
        <v>159.65399999999997</v>
      </c>
      <c r="H636">
        <v>1</v>
      </c>
      <c r="I636">
        <v>1</v>
      </c>
    </row>
    <row r="637" spans="1:9" x14ac:dyDescent="0.25">
      <c r="A637">
        <v>636</v>
      </c>
      <c r="B637" s="40" t="s">
        <v>1680</v>
      </c>
      <c r="C637" s="40" t="s">
        <v>1686</v>
      </c>
      <c r="D637">
        <v>10</v>
      </c>
      <c r="E637">
        <v>159.84</v>
      </c>
      <c r="F637">
        <v>222</v>
      </c>
      <c r="G637">
        <v>182.04</v>
      </c>
      <c r="H637">
        <v>1</v>
      </c>
      <c r="I637">
        <v>1</v>
      </c>
    </row>
    <row r="638" spans="1:9" x14ac:dyDescent="0.25">
      <c r="A638">
        <v>637</v>
      </c>
      <c r="B638" s="40" t="s">
        <v>1680</v>
      </c>
      <c r="C638" s="40" t="s">
        <v>1687</v>
      </c>
      <c r="D638">
        <v>10</v>
      </c>
      <c r="E638">
        <v>460.79999999999995</v>
      </c>
      <c r="F638">
        <v>640</v>
      </c>
      <c r="G638">
        <v>524.79999999999995</v>
      </c>
      <c r="H638">
        <v>1</v>
      </c>
      <c r="I638">
        <v>1</v>
      </c>
    </row>
    <row r="639" spans="1:9" x14ac:dyDescent="0.25">
      <c r="A639">
        <v>638</v>
      </c>
      <c r="B639" s="40" t="s">
        <v>1680</v>
      </c>
      <c r="C639" s="40" t="s">
        <v>504</v>
      </c>
      <c r="D639">
        <v>10</v>
      </c>
      <c r="E639">
        <v>805.68</v>
      </c>
      <c r="F639">
        <v>1119</v>
      </c>
      <c r="G639">
        <v>917.57999999999993</v>
      </c>
      <c r="H639">
        <v>1</v>
      </c>
      <c r="I639">
        <v>1</v>
      </c>
    </row>
    <row r="640" spans="1:9" x14ac:dyDescent="0.25">
      <c r="A640">
        <v>639</v>
      </c>
      <c r="B640" s="40" t="s">
        <v>1680</v>
      </c>
      <c r="C640" s="40" t="s">
        <v>506</v>
      </c>
      <c r="D640">
        <v>10</v>
      </c>
      <c r="E640">
        <v>269.27999999999997</v>
      </c>
      <c r="F640">
        <v>374</v>
      </c>
      <c r="G640">
        <v>306.68</v>
      </c>
      <c r="H640">
        <v>1</v>
      </c>
      <c r="I640">
        <v>1</v>
      </c>
    </row>
    <row r="641" spans="1:9" x14ac:dyDescent="0.25">
      <c r="A641">
        <v>640</v>
      </c>
      <c r="B641" s="40" t="s">
        <v>1680</v>
      </c>
      <c r="C641" s="40" t="s">
        <v>505</v>
      </c>
      <c r="D641">
        <v>10</v>
      </c>
      <c r="E641">
        <v>817.92</v>
      </c>
      <c r="F641">
        <v>1136</v>
      </c>
      <c r="G641">
        <v>931.52</v>
      </c>
      <c r="H641">
        <v>1</v>
      </c>
      <c r="I641">
        <v>1</v>
      </c>
    </row>
    <row r="642" spans="1:9" x14ac:dyDescent="0.25">
      <c r="A642">
        <v>641</v>
      </c>
      <c r="B642" s="40" t="s">
        <v>1680</v>
      </c>
      <c r="C642" s="40" t="s">
        <v>507</v>
      </c>
      <c r="D642">
        <v>10</v>
      </c>
      <c r="E642">
        <v>1672.56</v>
      </c>
      <c r="F642">
        <v>2323</v>
      </c>
      <c r="G642">
        <v>1904.86</v>
      </c>
      <c r="H642">
        <v>1</v>
      </c>
      <c r="I642">
        <v>1</v>
      </c>
    </row>
    <row r="643" spans="1:9" x14ac:dyDescent="0.25">
      <c r="A643">
        <v>642</v>
      </c>
      <c r="B643" s="40" t="s">
        <v>1681</v>
      </c>
      <c r="C643" s="40" t="s">
        <v>1679</v>
      </c>
      <c r="D643">
        <v>10</v>
      </c>
      <c r="E643">
        <v>211.96244999999999</v>
      </c>
      <c r="F643">
        <v>487.27</v>
      </c>
      <c r="G643">
        <v>260.68945000000002</v>
      </c>
      <c r="H643">
        <v>1</v>
      </c>
      <c r="I643">
        <v>1</v>
      </c>
    </row>
    <row r="644" spans="1:9" x14ac:dyDescent="0.25">
      <c r="A644">
        <v>643</v>
      </c>
      <c r="B644" s="40" t="s">
        <v>1681</v>
      </c>
      <c r="C644" s="40" t="s">
        <v>1383</v>
      </c>
      <c r="D644">
        <v>10</v>
      </c>
      <c r="E644">
        <v>114.26145000000001</v>
      </c>
      <c r="F644">
        <v>262.67</v>
      </c>
      <c r="G644">
        <v>140.52845000000002</v>
      </c>
      <c r="H644">
        <v>1</v>
      </c>
      <c r="I644">
        <v>1</v>
      </c>
    </row>
    <row r="645" spans="1:9" x14ac:dyDescent="0.25">
      <c r="A645">
        <v>644</v>
      </c>
      <c r="B645" s="40" t="s">
        <v>1681</v>
      </c>
      <c r="C645" s="40" t="s">
        <v>1384</v>
      </c>
      <c r="D645">
        <v>10</v>
      </c>
      <c r="E645">
        <v>120.92999999999999</v>
      </c>
      <c r="F645">
        <v>278</v>
      </c>
      <c r="G645">
        <v>148.73000000000002</v>
      </c>
      <c r="H645">
        <v>1</v>
      </c>
      <c r="I645">
        <v>1</v>
      </c>
    </row>
    <row r="646" spans="1:9" x14ac:dyDescent="0.25">
      <c r="A646">
        <v>645</v>
      </c>
      <c r="B646" s="40" t="s">
        <v>1681</v>
      </c>
      <c r="C646" s="40" t="s">
        <v>1385</v>
      </c>
      <c r="D646">
        <v>10</v>
      </c>
      <c r="E646">
        <v>129.06449999999998</v>
      </c>
      <c r="F646">
        <v>296.7</v>
      </c>
      <c r="G646">
        <v>158.7345</v>
      </c>
      <c r="H646">
        <v>1</v>
      </c>
      <c r="I646">
        <v>1</v>
      </c>
    </row>
    <row r="647" spans="1:9" x14ac:dyDescent="0.25">
      <c r="A647">
        <v>646</v>
      </c>
      <c r="B647" s="40" t="s">
        <v>1681</v>
      </c>
      <c r="C647" s="40" t="s">
        <v>1387</v>
      </c>
      <c r="D647">
        <v>10</v>
      </c>
      <c r="E647">
        <v>136.30289999999999</v>
      </c>
      <c r="F647">
        <v>313.33999999999997</v>
      </c>
      <c r="G647">
        <v>167.6369</v>
      </c>
      <c r="H647">
        <v>1</v>
      </c>
      <c r="I647">
        <v>1</v>
      </c>
    </row>
    <row r="648" spans="1:9" x14ac:dyDescent="0.25">
      <c r="A648">
        <v>647</v>
      </c>
      <c r="B648" s="40" t="s">
        <v>1681</v>
      </c>
      <c r="C648" s="40" t="s">
        <v>1386</v>
      </c>
      <c r="D648">
        <v>10</v>
      </c>
      <c r="E648">
        <v>157.035</v>
      </c>
      <c r="F648">
        <v>361</v>
      </c>
      <c r="G648">
        <v>193.13500000000002</v>
      </c>
      <c r="H648">
        <v>1</v>
      </c>
      <c r="I648">
        <v>1</v>
      </c>
    </row>
    <row r="649" spans="1:9" x14ac:dyDescent="0.25">
      <c r="A649">
        <v>648</v>
      </c>
      <c r="B649" s="40" t="s">
        <v>1680</v>
      </c>
      <c r="C649" s="40" t="s">
        <v>1688</v>
      </c>
      <c r="D649">
        <v>10</v>
      </c>
      <c r="E649">
        <v>2097.36</v>
      </c>
      <c r="F649">
        <v>2913</v>
      </c>
      <c r="G649">
        <v>2388.66</v>
      </c>
      <c r="H649">
        <v>1</v>
      </c>
      <c r="I649">
        <v>1</v>
      </c>
    </row>
    <row r="650" spans="1:9" x14ac:dyDescent="0.25">
      <c r="A650">
        <v>649</v>
      </c>
      <c r="B650" s="40" t="s">
        <v>1680</v>
      </c>
      <c r="C650" s="40" t="s">
        <v>1693</v>
      </c>
      <c r="D650">
        <v>10</v>
      </c>
      <c r="E650">
        <v>233.28</v>
      </c>
      <c r="F650">
        <v>324</v>
      </c>
      <c r="G650">
        <v>265.68</v>
      </c>
      <c r="H650">
        <v>1</v>
      </c>
      <c r="I650">
        <v>1</v>
      </c>
    </row>
    <row r="651" spans="1:9" x14ac:dyDescent="0.25">
      <c r="A651">
        <v>650</v>
      </c>
      <c r="B651" s="40" t="s">
        <v>1680</v>
      </c>
      <c r="C651" s="40" t="s">
        <v>1855</v>
      </c>
      <c r="D651">
        <v>10</v>
      </c>
      <c r="E651">
        <v>918</v>
      </c>
      <c r="F651">
        <v>1275</v>
      </c>
      <c r="G651">
        <v>1045.5</v>
      </c>
      <c r="H651">
        <v>1</v>
      </c>
      <c r="I651">
        <v>1</v>
      </c>
    </row>
    <row r="652" spans="1:9" x14ac:dyDescent="0.25">
      <c r="A652">
        <v>651</v>
      </c>
      <c r="B652" s="40" t="s">
        <v>1680</v>
      </c>
      <c r="C652" s="40" t="s">
        <v>1690</v>
      </c>
      <c r="D652">
        <v>10</v>
      </c>
      <c r="E652">
        <v>156.23999999999998</v>
      </c>
      <c r="F652">
        <v>217</v>
      </c>
      <c r="G652">
        <v>177.94</v>
      </c>
      <c r="H652">
        <v>1</v>
      </c>
      <c r="I652">
        <v>1</v>
      </c>
    </row>
    <row r="653" spans="1:9" x14ac:dyDescent="0.25">
      <c r="A653">
        <v>652</v>
      </c>
      <c r="B653" s="40" t="s">
        <v>1680</v>
      </c>
      <c r="C653" s="40" t="s">
        <v>509</v>
      </c>
      <c r="D653">
        <v>10</v>
      </c>
      <c r="E653">
        <v>128.16</v>
      </c>
      <c r="F653">
        <v>178</v>
      </c>
      <c r="G653">
        <v>145.95999999999998</v>
      </c>
      <c r="H653">
        <v>1</v>
      </c>
      <c r="I653">
        <v>1</v>
      </c>
    </row>
    <row r="654" spans="1:9" x14ac:dyDescent="0.25">
      <c r="A654">
        <v>653</v>
      </c>
      <c r="B654" s="40" t="s">
        <v>1680</v>
      </c>
      <c r="C654" s="40" t="s">
        <v>1854</v>
      </c>
      <c r="D654">
        <v>10</v>
      </c>
      <c r="E654">
        <v>811.43999999999994</v>
      </c>
      <c r="F654">
        <v>1127</v>
      </c>
      <c r="G654">
        <v>924.14</v>
      </c>
      <c r="H654">
        <v>1</v>
      </c>
      <c r="I654">
        <v>1</v>
      </c>
    </row>
    <row r="655" spans="1:9" x14ac:dyDescent="0.25">
      <c r="A655">
        <v>654</v>
      </c>
      <c r="B655" s="40" t="s">
        <v>1680</v>
      </c>
      <c r="C655" s="40" t="s">
        <v>1691</v>
      </c>
      <c r="D655">
        <v>10</v>
      </c>
      <c r="E655">
        <v>3719.52</v>
      </c>
      <c r="F655">
        <v>5166</v>
      </c>
      <c r="G655">
        <v>4236.12</v>
      </c>
      <c r="H655">
        <v>1</v>
      </c>
      <c r="I655">
        <v>1</v>
      </c>
    </row>
    <row r="656" spans="1:9" x14ac:dyDescent="0.25">
      <c r="A656">
        <v>655</v>
      </c>
      <c r="B656" s="40" t="s">
        <v>1680</v>
      </c>
      <c r="C656" s="40" t="s">
        <v>1692</v>
      </c>
      <c r="D656">
        <v>10</v>
      </c>
      <c r="E656">
        <v>3646.08</v>
      </c>
      <c r="F656">
        <v>5064</v>
      </c>
      <c r="G656">
        <v>4152.4799999999996</v>
      </c>
      <c r="H656">
        <v>1</v>
      </c>
      <c r="I656">
        <v>1</v>
      </c>
    </row>
    <row r="657" spans="1:9" x14ac:dyDescent="0.25">
      <c r="A657">
        <v>656</v>
      </c>
      <c r="B657" s="40" t="s">
        <v>511</v>
      </c>
      <c r="C657" s="40" t="s">
        <v>512</v>
      </c>
      <c r="D657">
        <v>10</v>
      </c>
      <c r="E657">
        <v>73.099999999999994</v>
      </c>
      <c r="F657">
        <v>170</v>
      </c>
      <c r="G657">
        <v>90.100000000000009</v>
      </c>
      <c r="H657">
        <v>1</v>
      </c>
      <c r="I657">
        <v>1</v>
      </c>
    </row>
    <row r="658" spans="1:9" x14ac:dyDescent="0.25">
      <c r="A658">
        <v>657</v>
      </c>
      <c r="B658" s="40" t="s">
        <v>513</v>
      </c>
      <c r="C658" s="40" t="s">
        <v>514</v>
      </c>
      <c r="D658">
        <v>10</v>
      </c>
      <c r="E658">
        <v>152.4</v>
      </c>
      <c r="F658">
        <v>254</v>
      </c>
      <c r="G658">
        <v>177.79999999999998</v>
      </c>
      <c r="H658">
        <v>1</v>
      </c>
      <c r="I658">
        <v>1</v>
      </c>
    </row>
    <row r="659" spans="1:9" x14ac:dyDescent="0.25">
      <c r="A659">
        <v>658</v>
      </c>
      <c r="B659" s="40" t="s">
        <v>513</v>
      </c>
      <c r="C659" s="40" t="s">
        <v>515</v>
      </c>
      <c r="D659">
        <v>10</v>
      </c>
      <c r="E659">
        <v>54</v>
      </c>
      <c r="F659">
        <v>90</v>
      </c>
      <c r="G659">
        <v>62.999999999999993</v>
      </c>
      <c r="H659">
        <v>1</v>
      </c>
      <c r="I659">
        <v>1</v>
      </c>
    </row>
    <row r="660" spans="1:9" x14ac:dyDescent="0.25">
      <c r="A660">
        <v>659</v>
      </c>
      <c r="B660" s="40" t="s">
        <v>513</v>
      </c>
      <c r="C660" s="40" t="s">
        <v>516</v>
      </c>
      <c r="D660">
        <v>10</v>
      </c>
      <c r="E660">
        <v>175.2</v>
      </c>
      <c r="F660">
        <v>292</v>
      </c>
      <c r="G660">
        <v>204.39999999999998</v>
      </c>
      <c r="H660">
        <v>1</v>
      </c>
      <c r="I660">
        <v>1</v>
      </c>
    </row>
    <row r="661" spans="1:9" x14ac:dyDescent="0.25">
      <c r="A661">
        <v>660</v>
      </c>
      <c r="B661" s="40" t="s">
        <v>513</v>
      </c>
      <c r="C661" s="40" t="s">
        <v>517</v>
      </c>
      <c r="D661">
        <v>10</v>
      </c>
      <c r="E661">
        <v>58.199999999999996</v>
      </c>
      <c r="F661">
        <v>97</v>
      </c>
      <c r="G661">
        <v>67.899999999999991</v>
      </c>
      <c r="H661">
        <v>1</v>
      </c>
      <c r="I661">
        <v>1</v>
      </c>
    </row>
    <row r="662" spans="1:9" x14ac:dyDescent="0.25">
      <c r="A662">
        <v>661</v>
      </c>
      <c r="B662" s="40" t="s">
        <v>513</v>
      </c>
      <c r="C662" s="40" t="s">
        <v>518</v>
      </c>
      <c r="D662">
        <v>10</v>
      </c>
      <c r="E662">
        <v>169.2</v>
      </c>
      <c r="F662">
        <v>282</v>
      </c>
      <c r="G662">
        <v>197.39999999999998</v>
      </c>
      <c r="H662">
        <v>1</v>
      </c>
      <c r="I662">
        <v>1</v>
      </c>
    </row>
    <row r="663" spans="1:9" x14ac:dyDescent="0.25">
      <c r="A663">
        <v>662</v>
      </c>
      <c r="B663" s="40" t="s">
        <v>513</v>
      </c>
      <c r="C663" s="40" t="s">
        <v>520</v>
      </c>
      <c r="D663">
        <v>10</v>
      </c>
      <c r="E663">
        <v>59.4</v>
      </c>
      <c r="F663">
        <v>99</v>
      </c>
      <c r="G663">
        <v>69.3</v>
      </c>
      <c r="H663">
        <v>1</v>
      </c>
      <c r="I663">
        <v>1</v>
      </c>
    </row>
    <row r="664" spans="1:9" x14ac:dyDescent="0.25">
      <c r="A664">
        <v>663</v>
      </c>
      <c r="B664" s="40" t="s">
        <v>513</v>
      </c>
      <c r="C664" s="40" t="s">
        <v>521</v>
      </c>
      <c r="D664">
        <v>10</v>
      </c>
      <c r="E664">
        <v>282.59999999999997</v>
      </c>
      <c r="F664">
        <v>471</v>
      </c>
      <c r="G664">
        <v>329.7</v>
      </c>
      <c r="H664">
        <v>1</v>
      </c>
      <c r="I664">
        <v>1</v>
      </c>
    </row>
    <row r="665" spans="1:9" x14ac:dyDescent="0.25">
      <c r="A665">
        <v>664</v>
      </c>
      <c r="B665" s="40" t="s">
        <v>513</v>
      </c>
      <c r="C665" s="40" t="s">
        <v>522</v>
      </c>
      <c r="D665">
        <v>10</v>
      </c>
      <c r="E665">
        <v>136.19999999999999</v>
      </c>
      <c r="F665">
        <v>227</v>
      </c>
      <c r="G665">
        <v>158.89999999999998</v>
      </c>
      <c r="H665">
        <v>1</v>
      </c>
      <c r="I665">
        <v>1</v>
      </c>
    </row>
    <row r="666" spans="1:9" x14ac:dyDescent="0.25">
      <c r="A666">
        <v>665</v>
      </c>
      <c r="B666" s="40" t="s">
        <v>513</v>
      </c>
      <c r="C666" s="40" t="s">
        <v>523</v>
      </c>
      <c r="D666">
        <v>10</v>
      </c>
      <c r="E666">
        <v>112.97000000000001</v>
      </c>
      <c r="F666">
        <v>173.8</v>
      </c>
      <c r="G666">
        <v>130.35000000000002</v>
      </c>
      <c r="H666">
        <v>1</v>
      </c>
      <c r="I666">
        <v>1</v>
      </c>
    </row>
    <row r="667" spans="1:9" x14ac:dyDescent="0.25">
      <c r="A667">
        <v>666</v>
      </c>
      <c r="B667" s="40" t="s">
        <v>513</v>
      </c>
      <c r="C667" s="40" t="s">
        <v>524</v>
      </c>
      <c r="D667">
        <v>10</v>
      </c>
      <c r="E667">
        <v>438</v>
      </c>
      <c r="F667">
        <v>730</v>
      </c>
      <c r="G667">
        <v>510.99999999999994</v>
      </c>
      <c r="H667">
        <v>1</v>
      </c>
      <c r="I667">
        <v>1</v>
      </c>
    </row>
    <row r="668" spans="1:9" x14ac:dyDescent="0.25">
      <c r="A668">
        <v>667</v>
      </c>
      <c r="B668" s="40" t="s">
        <v>513</v>
      </c>
      <c r="C668" s="40" t="s">
        <v>525</v>
      </c>
      <c r="D668">
        <v>10</v>
      </c>
      <c r="E668">
        <v>74.555000000000007</v>
      </c>
      <c r="F668">
        <v>114.7</v>
      </c>
      <c r="G668">
        <v>86.025000000000006</v>
      </c>
      <c r="H668">
        <v>1</v>
      </c>
      <c r="I668">
        <v>1</v>
      </c>
    </row>
    <row r="669" spans="1:9" x14ac:dyDescent="0.25">
      <c r="A669">
        <v>668</v>
      </c>
      <c r="B669" s="40" t="s">
        <v>513</v>
      </c>
      <c r="C669" s="40" t="s">
        <v>526</v>
      </c>
      <c r="D669">
        <v>10</v>
      </c>
      <c r="E669">
        <v>29.562000000000001</v>
      </c>
      <c r="F669">
        <v>49.27</v>
      </c>
      <c r="G669">
        <v>34.488999999999997</v>
      </c>
      <c r="H669">
        <v>1</v>
      </c>
      <c r="I669">
        <v>1</v>
      </c>
    </row>
    <row r="670" spans="1:9" x14ac:dyDescent="0.25">
      <c r="A670">
        <v>669</v>
      </c>
      <c r="B670" s="40" t="s">
        <v>513</v>
      </c>
      <c r="C670" s="40" t="s">
        <v>527</v>
      </c>
      <c r="D670">
        <v>10</v>
      </c>
      <c r="E670">
        <v>121.875</v>
      </c>
      <c r="F670">
        <v>187.5</v>
      </c>
      <c r="G670">
        <v>140.625</v>
      </c>
      <c r="H670">
        <v>1</v>
      </c>
      <c r="I670">
        <v>1</v>
      </c>
    </row>
    <row r="671" spans="1:9" x14ac:dyDescent="0.25">
      <c r="A671">
        <v>670</v>
      </c>
      <c r="B671" s="40" t="s">
        <v>513</v>
      </c>
      <c r="C671" s="40" t="s">
        <v>528</v>
      </c>
      <c r="D671">
        <v>10</v>
      </c>
      <c r="E671">
        <v>145.19999999999999</v>
      </c>
      <c r="F671">
        <v>242</v>
      </c>
      <c r="G671">
        <v>169.39999999999998</v>
      </c>
      <c r="H671">
        <v>1</v>
      </c>
      <c r="I671">
        <v>1</v>
      </c>
    </row>
    <row r="672" spans="1:9" x14ac:dyDescent="0.25">
      <c r="A672">
        <v>671</v>
      </c>
      <c r="B672" s="40" t="s">
        <v>513</v>
      </c>
      <c r="C672" s="40" t="s">
        <v>529</v>
      </c>
      <c r="D672">
        <v>10</v>
      </c>
      <c r="E672">
        <v>50.879999999999995</v>
      </c>
      <c r="F672">
        <v>84.8</v>
      </c>
      <c r="G672">
        <v>59.359999999999992</v>
      </c>
      <c r="H672">
        <v>1</v>
      </c>
      <c r="I672">
        <v>1</v>
      </c>
    </row>
    <row r="673" spans="1:9" x14ac:dyDescent="0.25">
      <c r="A673">
        <v>672</v>
      </c>
      <c r="B673" s="40" t="s">
        <v>513</v>
      </c>
      <c r="C673" s="40" t="s">
        <v>530</v>
      </c>
      <c r="D673">
        <v>10</v>
      </c>
      <c r="E673">
        <v>19.595999999999997</v>
      </c>
      <c r="F673">
        <v>32.659999999999997</v>
      </c>
      <c r="G673">
        <v>22.861999999999995</v>
      </c>
      <c r="H673">
        <v>1</v>
      </c>
      <c r="I673">
        <v>1</v>
      </c>
    </row>
    <row r="674" spans="1:9" x14ac:dyDescent="0.25">
      <c r="A674">
        <v>673</v>
      </c>
      <c r="B674" s="40" t="s">
        <v>513</v>
      </c>
      <c r="C674" s="40" t="s">
        <v>531</v>
      </c>
      <c r="D674">
        <v>10</v>
      </c>
      <c r="E674">
        <v>98.475000000000009</v>
      </c>
      <c r="F674">
        <v>151.5</v>
      </c>
      <c r="G674">
        <v>113.625</v>
      </c>
      <c r="H674">
        <v>1</v>
      </c>
      <c r="I674">
        <v>1</v>
      </c>
    </row>
    <row r="675" spans="1:9" x14ac:dyDescent="0.25">
      <c r="A675">
        <v>674</v>
      </c>
      <c r="B675" s="40" t="s">
        <v>513</v>
      </c>
      <c r="C675" s="40" t="s">
        <v>532</v>
      </c>
      <c r="D675">
        <v>10</v>
      </c>
      <c r="E675">
        <v>85.2</v>
      </c>
      <c r="F675">
        <v>142</v>
      </c>
      <c r="G675">
        <v>99.399999999999991</v>
      </c>
      <c r="H675">
        <v>1</v>
      </c>
      <c r="I675">
        <v>1</v>
      </c>
    </row>
    <row r="676" spans="1:9" x14ac:dyDescent="0.25">
      <c r="A676">
        <v>675</v>
      </c>
      <c r="B676" s="40" t="s">
        <v>513</v>
      </c>
      <c r="C676" s="40" t="s">
        <v>533</v>
      </c>
      <c r="D676">
        <v>10</v>
      </c>
      <c r="E676">
        <v>288.59999999999997</v>
      </c>
      <c r="F676">
        <v>481</v>
      </c>
      <c r="G676">
        <v>336.7</v>
      </c>
      <c r="H676">
        <v>1</v>
      </c>
      <c r="I676">
        <v>1</v>
      </c>
    </row>
    <row r="677" spans="1:9" x14ac:dyDescent="0.25">
      <c r="A677">
        <v>676</v>
      </c>
      <c r="B677" s="40" t="s">
        <v>513</v>
      </c>
      <c r="C677" s="40" t="s">
        <v>534</v>
      </c>
      <c r="D677">
        <v>10</v>
      </c>
      <c r="E677">
        <v>195.45999999999998</v>
      </c>
      <c r="F677">
        <v>337</v>
      </c>
      <c r="G677">
        <v>229.15999999999997</v>
      </c>
      <c r="H677">
        <v>1</v>
      </c>
      <c r="I677">
        <v>1</v>
      </c>
    </row>
    <row r="678" spans="1:9" x14ac:dyDescent="0.25">
      <c r="A678">
        <v>677</v>
      </c>
      <c r="B678" s="40" t="s">
        <v>513</v>
      </c>
      <c r="C678" s="40" t="s">
        <v>535</v>
      </c>
      <c r="D678">
        <v>10</v>
      </c>
      <c r="E678">
        <v>729.06</v>
      </c>
      <c r="F678">
        <v>1257</v>
      </c>
      <c r="G678">
        <v>854.75999999999988</v>
      </c>
      <c r="H678">
        <v>1</v>
      </c>
      <c r="I678">
        <v>1</v>
      </c>
    </row>
    <row r="679" spans="1:9" x14ac:dyDescent="0.25">
      <c r="A679">
        <v>678</v>
      </c>
      <c r="B679" s="40" t="s">
        <v>513</v>
      </c>
      <c r="C679" s="40" t="s">
        <v>536</v>
      </c>
      <c r="D679">
        <v>10</v>
      </c>
      <c r="E679">
        <v>258.68</v>
      </c>
      <c r="F679">
        <v>446</v>
      </c>
      <c r="G679">
        <v>303.27999999999997</v>
      </c>
      <c r="H679">
        <v>1</v>
      </c>
      <c r="I679">
        <v>1</v>
      </c>
    </row>
    <row r="680" spans="1:9" x14ac:dyDescent="0.25">
      <c r="A680">
        <v>679</v>
      </c>
      <c r="B680" s="40" t="s">
        <v>513</v>
      </c>
      <c r="C680" s="40" t="s">
        <v>537</v>
      </c>
      <c r="D680">
        <v>10</v>
      </c>
      <c r="E680">
        <v>161.82</v>
      </c>
      <c r="F680">
        <v>279</v>
      </c>
      <c r="G680">
        <v>189.71999999999997</v>
      </c>
      <c r="H680">
        <v>1</v>
      </c>
      <c r="I680">
        <v>1</v>
      </c>
    </row>
    <row r="681" spans="1:9" x14ac:dyDescent="0.25">
      <c r="A681">
        <v>680</v>
      </c>
      <c r="B681" s="40" t="s">
        <v>513</v>
      </c>
      <c r="C681" s="40" t="s">
        <v>538</v>
      </c>
      <c r="D681">
        <v>10</v>
      </c>
      <c r="E681">
        <v>114.25999999999999</v>
      </c>
      <c r="F681">
        <v>197</v>
      </c>
      <c r="G681">
        <v>133.95999999999998</v>
      </c>
      <c r="H681">
        <v>1</v>
      </c>
      <c r="I681">
        <v>1</v>
      </c>
    </row>
    <row r="682" spans="1:9" x14ac:dyDescent="0.25">
      <c r="A682">
        <v>681</v>
      </c>
      <c r="B682" s="40" t="s">
        <v>513</v>
      </c>
      <c r="C682" s="40" t="s">
        <v>539</v>
      </c>
      <c r="D682">
        <v>10</v>
      </c>
      <c r="E682">
        <v>152.75</v>
      </c>
      <c r="F682">
        <v>235</v>
      </c>
      <c r="G682">
        <v>176.25</v>
      </c>
      <c r="H682">
        <v>1</v>
      </c>
      <c r="I682">
        <v>1</v>
      </c>
    </row>
    <row r="683" spans="1:9" x14ac:dyDescent="0.25">
      <c r="A683">
        <v>682</v>
      </c>
      <c r="B683" s="40" t="s">
        <v>513</v>
      </c>
      <c r="C683" s="40" t="s">
        <v>540</v>
      </c>
      <c r="D683">
        <v>10</v>
      </c>
      <c r="E683">
        <v>16.997999999999998</v>
      </c>
      <c r="F683">
        <v>28.33</v>
      </c>
      <c r="G683">
        <v>19.830999999999996</v>
      </c>
      <c r="H683">
        <v>1</v>
      </c>
      <c r="I683">
        <v>1</v>
      </c>
    </row>
    <row r="684" spans="1:9" x14ac:dyDescent="0.25">
      <c r="A684">
        <v>683</v>
      </c>
      <c r="B684" s="40" t="s">
        <v>513</v>
      </c>
      <c r="C684" s="40" t="s">
        <v>541</v>
      </c>
      <c r="D684">
        <v>10</v>
      </c>
      <c r="E684">
        <v>72.671999999999997</v>
      </c>
      <c r="F684">
        <v>121.12</v>
      </c>
      <c r="G684">
        <v>84.783999999999992</v>
      </c>
      <c r="H684">
        <v>1</v>
      </c>
      <c r="I684">
        <v>1</v>
      </c>
    </row>
    <row r="685" spans="1:9" x14ac:dyDescent="0.25">
      <c r="A685">
        <v>684</v>
      </c>
      <c r="B685" s="40" t="s">
        <v>513</v>
      </c>
      <c r="C685" s="40" t="s">
        <v>542</v>
      </c>
      <c r="D685">
        <v>10</v>
      </c>
      <c r="E685">
        <v>252</v>
      </c>
      <c r="F685">
        <v>420</v>
      </c>
      <c r="G685">
        <v>294</v>
      </c>
      <c r="H685">
        <v>1</v>
      </c>
      <c r="I685">
        <v>1</v>
      </c>
    </row>
    <row r="686" spans="1:9" x14ac:dyDescent="0.25">
      <c r="A686">
        <v>685</v>
      </c>
      <c r="B686" s="40" t="s">
        <v>513</v>
      </c>
      <c r="C686" s="40" t="s">
        <v>543</v>
      </c>
      <c r="D686">
        <v>10</v>
      </c>
      <c r="E686">
        <v>783.6</v>
      </c>
      <c r="F686">
        <v>1306</v>
      </c>
      <c r="G686">
        <v>914.19999999999993</v>
      </c>
      <c r="H686">
        <v>1</v>
      </c>
      <c r="I686">
        <v>1</v>
      </c>
    </row>
    <row r="687" spans="1:9" x14ac:dyDescent="0.25">
      <c r="A687">
        <v>686</v>
      </c>
      <c r="B687" s="40" t="s">
        <v>513</v>
      </c>
      <c r="C687" s="40" t="s">
        <v>544</v>
      </c>
      <c r="D687">
        <v>10</v>
      </c>
      <c r="E687">
        <v>190.79999999999998</v>
      </c>
      <c r="F687">
        <v>318</v>
      </c>
      <c r="G687">
        <v>222.6</v>
      </c>
      <c r="H687">
        <v>1</v>
      </c>
      <c r="I687">
        <v>1</v>
      </c>
    </row>
    <row r="688" spans="1:9" x14ac:dyDescent="0.25">
      <c r="A688">
        <v>687</v>
      </c>
      <c r="B688" s="40" t="s">
        <v>513</v>
      </c>
      <c r="C688" s="40" t="s">
        <v>546</v>
      </c>
      <c r="D688">
        <v>10</v>
      </c>
      <c r="E688">
        <v>417.9</v>
      </c>
      <c r="F688">
        <v>696.5</v>
      </c>
      <c r="G688">
        <v>487.54999999999995</v>
      </c>
      <c r="H688">
        <v>1</v>
      </c>
      <c r="I688">
        <v>1</v>
      </c>
    </row>
    <row r="689" spans="1:9" x14ac:dyDescent="0.25">
      <c r="A689">
        <v>688</v>
      </c>
      <c r="B689" s="40" t="s">
        <v>1182</v>
      </c>
      <c r="C689" s="40" t="s">
        <v>1189</v>
      </c>
      <c r="D689">
        <v>10</v>
      </c>
      <c r="E689">
        <v>16.1172</v>
      </c>
      <c r="F689">
        <v>36.630000000000003</v>
      </c>
      <c r="G689">
        <v>19.780200000000004</v>
      </c>
      <c r="H689">
        <v>1</v>
      </c>
      <c r="I689">
        <v>1</v>
      </c>
    </row>
    <row r="690" spans="1:9" x14ac:dyDescent="0.25">
      <c r="A690">
        <v>689</v>
      </c>
      <c r="B690" s="40" t="s">
        <v>1182</v>
      </c>
      <c r="C690" s="40" t="s">
        <v>1190</v>
      </c>
      <c r="D690">
        <v>10</v>
      </c>
      <c r="E690">
        <v>12.1</v>
      </c>
      <c r="F690">
        <v>27.5</v>
      </c>
      <c r="G690">
        <v>14.850000000000001</v>
      </c>
      <c r="H690">
        <v>1</v>
      </c>
      <c r="I690">
        <v>1</v>
      </c>
    </row>
    <row r="691" spans="1:9" x14ac:dyDescent="0.25">
      <c r="A691">
        <v>690</v>
      </c>
      <c r="B691" s="40" t="s">
        <v>1182</v>
      </c>
      <c r="C691" s="40" t="s">
        <v>1183</v>
      </c>
      <c r="D691">
        <v>10</v>
      </c>
      <c r="E691">
        <v>461.56</v>
      </c>
      <c r="F691">
        <v>1049</v>
      </c>
      <c r="G691">
        <v>566.46</v>
      </c>
      <c r="H691">
        <v>1</v>
      </c>
      <c r="I691">
        <v>1</v>
      </c>
    </row>
    <row r="692" spans="1:9" x14ac:dyDescent="0.25">
      <c r="A692">
        <v>691</v>
      </c>
      <c r="B692" s="40" t="s">
        <v>1182</v>
      </c>
      <c r="C692" s="40" t="s">
        <v>1188</v>
      </c>
      <c r="D692">
        <v>10</v>
      </c>
      <c r="E692">
        <v>188.76</v>
      </c>
      <c r="F692">
        <v>429</v>
      </c>
      <c r="G692">
        <v>231.66000000000003</v>
      </c>
      <c r="H692">
        <v>1</v>
      </c>
      <c r="I692">
        <v>1</v>
      </c>
    </row>
    <row r="693" spans="1:9" x14ac:dyDescent="0.25">
      <c r="A693">
        <v>692</v>
      </c>
      <c r="B693" s="40" t="s">
        <v>1182</v>
      </c>
      <c r="C693" s="40" t="s">
        <v>1187</v>
      </c>
      <c r="D693">
        <v>10</v>
      </c>
      <c r="E693">
        <v>263.56</v>
      </c>
      <c r="F693">
        <v>599</v>
      </c>
      <c r="G693">
        <v>323.46000000000004</v>
      </c>
      <c r="H693">
        <v>1</v>
      </c>
      <c r="I693">
        <v>1</v>
      </c>
    </row>
    <row r="694" spans="1:9" x14ac:dyDescent="0.25">
      <c r="A694">
        <v>693</v>
      </c>
      <c r="B694" s="40" t="s">
        <v>1182</v>
      </c>
      <c r="C694" s="40" t="s">
        <v>1585</v>
      </c>
      <c r="D694">
        <v>10</v>
      </c>
      <c r="E694">
        <v>61.160000000000004</v>
      </c>
      <c r="F694">
        <v>139</v>
      </c>
      <c r="G694">
        <v>75.06</v>
      </c>
      <c r="H694">
        <v>1</v>
      </c>
      <c r="I694">
        <v>1</v>
      </c>
    </row>
    <row r="695" spans="1:9" x14ac:dyDescent="0.25">
      <c r="A695">
        <v>694</v>
      </c>
      <c r="B695" s="40" t="s">
        <v>1182</v>
      </c>
      <c r="C695" s="40" t="s">
        <v>1586</v>
      </c>
      <c r="D695">
        <v>10</v>
      </c>
      <c r="E695">
        <v>91.96</v>
      </c>
      <c r="F695">
        <v>209</v>
      </c>
      <c r="G695">
        <v>112.86000000000001</v>
      </c>
      <c r="H695">
        <v>1</v>
      </c>
      <c r="I695">
        <v>1</v>
      </c>
    </row>
    <row r="696" spans="1:9" x14ac:dyDescent="0.25">
      <c r="A696">
        <v>695</v>
      </c>
      <c r="B696" s="40" t="s">
        <v>1182</v>
      </c>
      <c r="C696" s="40" t="s">
        <v>1184</v>
      </c>
      <c r="D696">
        <v>10</v>
      </c>
      <c r="E696">
        <v>144.76</v>
      </c>
      <c r="F696">
        <v>329</v>
      </c>
      <c r="G696">
        <v>177.66000000000003</v>
      </c>
      <c r="H696">
        <v>1</v>
      </c>
      <c r="I696">
        <v>1</v>
      </c>
    </row>
    <row r="697" spans="1:9" x14ac:dyDescent="0.25">
      <c r="A697">
        <v>696</v>
      </c>
      <c r="B697" s="40" t="s">
        <v>1182</v>
      </c>
      <c r="C697" s="40" t="s">
        <v>1185</v>
      </c>
      <c r="D697">
        <v>10</v>
      </c>
      <c r="E697">
        <v>144.76</v>
      </c>
      <c r="F697">
        <v>329</v>
      </c>
      <c r="G697">
        <v>177.66000000000003</v>
      </c>
      <c r="H697">
        <v>1</v>
      </c>
      <c r="I697">
        <v>1</v>
      </c>
    </row>
    <row r="698" spans="1:9" x14ac:dyDescent="0.25">
      <c r="A698">
        <v>697</v>
      </c>
      <c r="B698" s="40" t="s">
        <v>1182</v>
      </c>
      <c r="C698" s="40" t="s">
        <v>1186</v>
      </c>
      <c r="D698">
        <v>10</v>
      </c>
      <c r="E698">
        <v>250.36</v>
      </c>
      <c r="F698">
        <v>569</v>
      </c>
      <c r="G698">
        <v>307.26000000000005</v>
      </c>
      <c r="H698">
        <v>1</v>
      </c>
      <c r="I698">
        <v>1</v>
      </c>
    </row>
    <row r="699" spans="1:9" x14ac:dyDescent="0.25">
      <c r="A699">
        <v>698</v>
      </c>
      <c r="B699" s="40" t="s">
        <v>1182</v>
      </c>
      <c r="C699" s="40" t="s">
        <v>1191</v>
      </c>
      <c r="D699">
        <v>10</v>
      </c>
      <c r="E699">
        <v>105.16</v>
      </c>
      <c r="F699">
        <v>239</v>
      </c>
      <c r="G699">
        <v>129.06</v>
      </c>
      <c r="H699">
        <v>1</v>
      </c>
      <c r="I699">
        <v>1</v>
      </c>
    </row>
    <row r="700" spans="1:9" x14ac:dyDescent="0.25">
      <c r="A700">
        <v>699</v>
      </c>
      <c r="B700" s="40" t="s">
        <v>1182</v>
      </c>
      <c r="C700" s="40" t="s">
        <v>1587</v>
      </c>
      <c r="D700">
        <v>10</v>
      </c>
      <c r="E700">
        <v>105.16</v>
      </c>
      <c r="F700">
        <v>239</v>
      </c>
      <c r="G700">
        <v>129.06</v>
      </c>
      <c r="H700">
        <v>1</v>
      </c>
      <c r="I700">
        <v>1</v>
      </c>
    </row>
    <row r="701" spans="1:9" x14ac:dyDescent="0.25">
      <c r="A701">
        <v>700</v>
      </c>
      <c r="B701" s="40" t="s">
        <v>1182</v>
      </c>
      <c r="C701" s="40" t="s">
        <v>1577</v>
      </c>
      <c r="D701">
        <v>10</v>
      </c>
      <c r="E701">
        <v>219.56</v>
      </c>
      <c r="F701">
        <v>499</v>
      </c>
      <c r="G701">
        <v>269.46000000000004</v>
      </c>
      <c r="H701">
        <v>1</v>
      </c>
      <c r="I701">
        <v>1</v>
      </c>
    </row>
    <row r="702" spans="1:9" x14ac:dyDescent="0.25">
      <c r="A702">
        <v>701</v>
      </c>
      <c r="B702" s="40" t="s">
        <v>1182</v>
      </c>
      <c r="C702" s="40" t="s">
        <v>1192</v>
      </c>
      <c r="D702">
        <v>10</v>
      </c>
      <c r="E702">
        <v>61.160000000000004</v>
      </c>
      <c r="F702">
        <v>139</v>
      </c>
      <c r="G702">
        <v>75.06</v>
      </c>
      <c r="H702">
        <v>1</v>
      </c>
      <c r="I702">
        <v>1</v>
      </c>
    </row>
    <row r="703" spans="1:9" x14ac:dyDescent="0.25">
      <c r="A703">
        <v>702</v>
      </c>
      <c r="B703" s="40" t="s">
        <v>1182</v>
      </c>
      <c r="C703" s="40" t="s">
        <v>1572</v>
      </c>
      <c r="D703">
        <v>10</v>
      </c>
      <c r="E703">
        <v>109.56</v>
      </c>
      <c r="F703">
        <v>249</v>
      </c>
      <c r="G703">
        <v>134.46</v>
      </c>
      <c r="H703">
        <v>1</v>
      </c>
      <c r="I703">
        <v>1</v>
      </c>
    </row>
    <row r="704" spans="1:9" x14ac:dyDescent="0.25">
      <c r="A704">
        <v>703</v>
      </c>
      <c r="B704" s="40" t="s">
        <v>1182</v>
      </c>
      <c r="C704" s="40" t="s">
        <v>1193</v>
      </c>
      <c r="D704">
        <v>10</v>
      </c>
      <c r="E704">
        <v>105.16</v>
      </c>
      <c r="F704">
        <v>239</v>
      </c>
      <c r="G704">
        <v>129.06</v>
      </c>
      <c r="H704">
        <v>1</v>
      </c>
      <c r="I704">
        <v>1</v>
      </c>
    </row>
    <row r="705" spans="1:9" x14ac:dyDescent="0.25">
      <c r="A705">
        <v>704</v>
      </c>
      <c r="B705" s="40" t="s">
        <v>1182</v>
      </c>
      <c r="C705" s="40" t="s">
        <v>1591</v>
      </c>
      <c r="D705">
        <v>10</v>
      </c>
      <c r="E705">
        <v>193.16</v>
      </c>
      <c r="F705">
        <v>439</v>
      </c>
      <c r="G705">
        <v>237.06</v>
      </c>
      <c r="H705">
        <v>1</v>
      </c>
      <c r="I705">
        <v>1</v>
      </c>
    </row>
    <row r="706" spans="1:9" x14ac:dyDescent="0.25">
      <c r="A706">
        <v>705</v>
      </c>
      <c r="B706" s="40" t="s">
        <v>1182</v>
      </c>
      <c r="C706" s="40" t="s">
        <v>1589</v>
      </c>
      <c r="D706">
        <v>10</v>
      </c>
      <c r="E706">
        <v>179.96</v>
      </c>
      <c r="F706">
        <v>409</v>
      </c>
      <c r="G706">
        <v>220.86</v>
      </c>
      <c r="H706">
        <v>1</v>
      </c>
      <c r="I706">
        <v>1</v>
      </c>
    </row>
    <row r="707" spans="1:9" x14ac:dyDescent="0.25">
      <c r="A707">
        <v>706</v>
      </c>
      <c r="B707" s="40" t="s">
        <v>1182</v>
      </c>
      <c r="C707" s="43" t="s">
        <v>1573</v>
      </c>
      <c r="D707">
        <v>10</v>
      </c>
      <c r="E707">
        <v>100.76</v>
      </c>
      <c r="F707">
        <v>229</v>
      </c>
      <c r="G707">
        <v>123.66000000000001</v>
      </c>
      <c r="H707">
        <v>1</v>
      </c>
      <c r="I707">
        <v>1</v>
      </c>
    </row>
    <row r="708" spans="1:9" x14ac:dyDescent="0.25">
      <c r="A708">
        <v>707</v>
      </c>
      <c r="B708" s="40" t="s">
        <v>1182</v>
      </c>
      <c r="C708" s="40" t="s">
        <v>1194</v>
      </c>
      <c r="D708">
        <v>10</v>
      </c>
      <c r="E708">
        <v>105.16</v>
      </c>
      <c r="F708">
        <v>239</v>
      </c>
      <c r="G708">
        <v>129.06</v>
      </c>
      <c r="H708">
        <v>1</v>
      </c>
      <c r="I708">
        <v>1</v>
      </c>
    </row>
    <row r="709" spans="1:9" x14ac:dyDescent="0.25">
      <c r="A709">
        <v>708</v>
      </c>
      <c r="B709" s="40" t="s">
        <v>1182</v>
      </c>
      <c r="C709" s="40" t="s">
        <v>1195</v>
      </c>
      <c r="D709">
        <v>10</v>
      </c>
      <c r="E709">
        <v>144.76</v>
      </c>
      <c r="F709">
        <v>329</v>
      </c>
      <c r="G709">
        <v>177.66000000000003</v>
      </c>
      <c r="H709">
        <v>1</v>
      </c>
      <c r="I709">
        <v>1</v>
      </c>
    </row>
    <row r="710" spans="1:9" x14ac:dyDescent="0.25">
      <c r="A710">
        <v>709</v>
      </c>
      <c r="B710" s="40" t="s">
        <v>1182</v>
      </c>
      <c r="C710" s="40" t="s">
        <v>1196</v>
      </c>
      <c r="D710">
        <v>10</v>
      </c>
      <c r="E710">
        <v>285.56</v>
      </c>
      <c r="F710">
        <v>649</v>
      </c>
      <c r="G710">
        <v>350.46000000000004</v>
      </c>
      <c r="H710">
        <v>1</v>
      </c>
      <c r="I710">
        <v>1</v>
      </c>
    </row>
    <row r="711" spans="1:9" x14ac:dyDescent="0.25">
      <c r="A711">
        <v>710</v>
      </c>
      <c r="B711" s="40" t="s">
        <v>1182</v>
      </c>
      <c r="C711" s="40" t="s">
        <v>1588</v>
      </c>
      <c r="D711">
        <v>10</v>
      </c>
      <c r="E711">
        <v>56.76</v>
      </c>
      <c r="F711">
        <v>129</v>
      </c>
      <c r="G711">
        <v>69.660000000000011</v>
      </c>
      <c r="H711">
        <v>1</v>
      </c>
      <c r="I711">
        <v>1</v>
      </c>
    </row>
    <row r="712" spans="1:9" x14ac:dyDescent="0.25">
      <c r="A712">
        <v>711</v>
      </c>
      <c r="B712" s="40" t="s">
        <v>1182</v>
      </c>
      <c r="C712" s="40" t="s">
        <v>1197</v>
      </c>
      <c r="D712">
        <v>10</v>
      </c>
      <c r="E712">
        <v>96.36</v>
      </c>
      <c r="F712">
        <v>219</v>
      </c>
      <c r="G712">
        <v>118.26</v>
      </c>
      <c r="H712">
        <v>1</v>
      </c>
      <c r="I712">
        <v>1</v>
      </c>
    </row>
    <row r="713" spans="1:9" x14ac:dyDescent="0.25">
      <c r="A713">
        <v>712</v>
      </c>
      <c r="B713" s="40" t="s">
        <v>1182</v>
      </c>
      <c r="C713" s="43" t="s">
        <v>1574</v>
      </c>
      <c r="D713">
        <v>10</v>
      </c>
      <c r="E713">
        <v>615.56000000000006</v>
      </c>
      <c r="F713">
        <v>1399</v>
      </c>
      <c r="G713">
        <v>755.46</v>
      </c>
      <c r="H713">
        <v>1</v>
      </c>
      <c r="I713">
        <v>1</v>
      </c>
    </row>
    <row r="714" spans="1:9" x14ac:dyDescent="0.25">
      <c r="A714">
        <v>713</v>
      </c>
      <c r="B714" s="40" t="s">
        <v>1182</v>
      </c>
      <c r="C714" s="43" t="s">
        <v>1575</v>
      </c>
      <c r="D714">
        <v>10</v>
      </c>
      <c r="E714">
        <v>281.16000000000003</v>
      </c>
      <c r="F714">
        <v>639</v>
      </c>
      <c r="G714">
        <v>345.06</v>
      </c>
      <c r="H714">
        <v>1</v>
      </c>
      <c r="I714">
        <v>1</v>
      </c>
    </row>
    <row r="715" spans="1:9" x14ac:dyDescent="0.25">
      <c r="A715">
        <v>714</v>
      </c>
      <c r="B715" s="40" t="s">
        <v>1182</v>
      </c>
      <c r="C715" s="43" t="s">
        <v>1595</v>
      </c>
      <c r="D715">
        <v>10</v>
      </c>
      <c r="E715">
        <v>91.96</v>
      </c>
      <c r="F715">
        <v>209</v>
      </c>
      <c r="G715">
        <v>112.86000000000001</v>
      </c>
      <c r="H715">
        <v>1</v>
      </c>
      <c r="I715">
        <v>1</v>
      </c>
    </row>
    <row r="716" spans="1:9" x14ac:dyDescent="0.25">
      <c r="A716">
        <v>715</v>
      </c>
      <c r="B716" s="40" t="s">
        <v>1182</v>
      </c>
      <c r="C716" s="43" t="s">
        <v>1576</v>
      </c>
      <c r="D716">
        <v>10</v>
      </c>
      <c r="E716">
        <v>773.96</v>
      </c>
      <c r="F716">
        <v>1759</v>
      </c>
      <c r="G716">
        <v>949.86</v>
      </c>
      <c r="H716">
        <v>1</v>
      </c>
      <c r="I716">
        <v>1</v>
      </c>
    </row>
    <row r="717" spans="1:9" x14ac:dyDescent="0.25">
      <c r="A717">
        <v>716</v>
      </c>
      <c r="B717" s="40" t="s">
        <v>1182</v>
      </c>
      <c r="C717" s="40" t="s">
        <v>1209</v>
      </c>
      <c r="D717">
        <v>10</v>
      </c>
      <c r="E717">
        <v>21.56</v>
      </c>
      <c r="F717">
        <v>49</v>
      </c>
      <c r="G717">
        <v>26.46</v>
      </c>
      <c r="H717">
        <v>1</v>
      </c>
      <c r="I717">
        <v>1</v>
      </c>
    </row>
    <row r="718" spans="1:9" x14ac:dyDescent="0.25">
      <c r="A718">
        <v>717</v>
      </c>
      <c r="B718" s="40" t="s">
        <v>1182</v>
      </c>
      <c r="C718" s="40" t="s">
        <v>1210</v>
      </c>
      <c r="D718">
        <v>10</v>
      </c>
      <c r="E718">
        <v>74.36</v>
      </c>
      <c r="F718">
        <v>169</v>
      </c>
      <c r="G718">
        <v>91.26</v>
      </c>
      <c r="H718">
        <v>1</v>
      </c>
      <c r="I718">
        <v>1</v>
      </c>
    </row>
    <row r="719" spans="1:9" x14ac:dyDescent="0.25">
      <c r="A719">
        <v>718</v>
      </c>
      <c r="B719" s="40" t="s">
        <v>1182</v>
      </c>
      <c r="C719" s="40" t="s">
        <v>1592</v>
      </c>
      <c r="D719">
        <v>10</v>
      </c>
      <c r="E719">
        <v>39.160000000000004</v>
      </c>
      <c r="F719">
        <v>89</v>
      </c>
      <c r="G719">
        <v>48.06</v>
      </c>
      <c r="H719">
        <v>1</v>
      </c>
      <c r="I719">
        <v>1</v>
      </c>
    </row>
    <row r="720" spans="1:9" x14ac:dyDescent="0.25">
      <c r="A720">
        <v>719</v>
      </c>
      <c r="B720" s="40" t="s">
        <v>1182</v>
      </c>
      <c r="C720" s="40" t="s">
        <v>1578</v>
      </c>
      <c r="D720">
        <v>10</v>
      </c>
      <c r="E720">
        <v>47.96</v>
      </c>
      <c r="F720">
        <v>109</v>
      </c>
      <c r="G720">
        <v>58.860000000000007</v>
      </c>
      <c r="H720">
        <v>1</v>
      </c>
      <c r="I720">
        <v>1</v>
      </c>
    </row>
    <row r="721" spans="1:9" x14ac:dyDescent="0.25">
      <c r="A721">
        <v>720</v>
      </c>
      <c r="B721" s="40" t="s">
        <v>1182</v>
      </c>
      <c r="C721" s="40" t="s">
        <v>1198</v>
      </c>
      <c r="D721">
        <v>10</v>
      </c>
      <c r="E721">
        <v>223.96</v>
      </c>
      <c r="F721">
        <v>509</v>
      </c>
      <c r="G721">
        <v>274.86</v>
      </c>
      <c r="H721">
        <v>1</v>
      </c>
      <c r="I721">
        <v>1</v>
      </c>
    </row>
    <row r="722" spans="1:9" x14ac:dyDescent="0.25">
      <c r="A722">
        <v>721</v>
      </c>
      <c r="B722" s="40" t="s">
        <v>1182</v>
      </c>
      <c r="C722" s="40" t="s">
        <v>1205</v>
      </c>
      <c r="D722">
        <v>10</v>
      </c>
      <c r="E722">
        <v>61.160000000000004</v>
      </c>
      <c r="F722">
        <v>139</v>
      </c>
      <c r="G722">
        <v>75.06</v>
      </c>
      <c r="H722">
        <v>1</v>
      </c>
      <c r="I722">
        <v>1</v>
      </c>
    </row>
    <row r="723" spans="1:9" x14ac:dyDescent="0.25">
      <c r="A723">
        <v>722</v>
      </c>
      <c r="B723" s="40" t="s">
        <v>1182</v>
      </c>
      <c r="C723" s="40" t="s">
        <v>1590</v>
      </c>
      <c r="D723">
        <v>10</v>
      </c>
      <c r="E723">
        <v>47.96</v>
      </c>
      <c r="F723">
        <v>109</v>
      </c>
      <c r="G723">
        <v>58.860000000000007</v>
      </c>
      <c r="H723">
        <v>1</v>
      </c>
      <c r="I723">
        <v>1</v>
      </c>
    </row>
    <row r="724" spans="1:9" x14ac:dyDescent="0.25">
      <c r="A724">
        <v>723</v>
      </c>
      <c r="B724" s="40" t="s">
        <v>1182</v>
      </c>
      <c r="C724" s="40" t="s">
        <v>1199</v>
      </c>
      <c r="D724">
        <v>10</v>
      </c>
      <c r="E724">
        <v>153.56</v>
      </c>
      <c r="F724">
        <v>349</v>
      </c>
      <c r="G724">
        <v>188.46</v>
      </c>
      <c r="H724">
        <v>1</v>
      </c>
      <c r="I724">
        <v>1</v>
      </c>
    </row>
    <row r="725" spans="1:9" x14ac:dyDescent="0.25">
      <c r="A725">
        <v>724</v>
      </c>
      <c r="B725" s="40" t="s">
        <v>1182</v>
      </c>
      <c r="C725" s="40" t="s">
        <v>1579</v>
      </c>
      <c r="D725">
        <v>10</v>
      </c>
      <c r="E725">
        <v>56.76</v>
      </c>
      <c r="F725">
        <v>129</v>
      </c>
      <c r="G725">
        <v>69.660000000000011</v>
      </c>
      <c r="H725">
        <v>1</v>
      </c>
      <c r="I725">
        <v>1</v>
      </c>
    </row>
    <row r="726" spans="1:9" x14ac:dyDescent="0.25">
      <c r="A726">
        <v>725</v>
      </c>
      <c r="B726" s="40" t="s">
        <v>1182</v>
      </c>
      <c r="C726" s="40" t="s">
        <v>1580</v>
      </c>
      <c r="D726">
        <v>10</v>
      </c>
      <c r="E726">
        <v>69.959999999999994</v>
      </c>
      <c r="F726">
        <v>159</v>
      </c>
      <c r="G726">
        <v>85.86</v>
      </c>
      <c r="H726">
        <v>1</v>
      </c>
      <c r="I726">
        <v>1</v>
      </c>
    </row>
    <row r="727" spans="1:9" x14ac:dyDescent="0.25">
      <c r="A727">
        <v>726</v>
      </c>
      <c r="B727" s="40" t="s">
        <v>1182</v>
      </c>
      <c r="C727" s="40" t="s">
        <v>1200</v>
      </c>
      <c r="D727">
        <v>10</v>
      </c>
      <c r="E727">
        <v>153.56</v>
      </c>
      <c r="F727">
        <v>349</v>
      </c>
      <c r="G727">
        <v>188.46</v>
      </c>
      <c r="H727">
        <v>1</v>
      </c>
      <c r="I727">
        <v>1</v>
      </c>
    </row>
    <row r="728" spans="1:9" x14ac:dyDescent="0.25">
      <c r="A728">
        <v>727</v>
      </c>
      <c r="B728" s="40" t="s">
        <v>1182</v>
      </c>
      <c r="C728" s="40" t="s">
        <v>1208</v>
      </c>
      <c r="D728">
        <v>10</v>
      </c>
      <c r="E728">
        <v>109.56</v>
      </c>
      <c r="F728">
        <v>249</v>
      </c>
      <c r="G728">
        <v>134.46</v>
      </c>
      <c r="H728">
        <v>1</v>
      </c>
      <c r="I728">
        <v>1</v>
      </c>
    </row>
    <row r="729" spans="1:9" x14ac:dyDescent="0.25">
      <c r="A729">
        <v>728</v>
      </c>
      <c r="B729" s="40" t="s">
        <v>1182</v>
      </c>
      <c r="C729" s="40" t="s">
        <v>1201</v>
      </c>
      <c r="D729">
        <v>10</v>
      </c>
      <c r="E729">
        <v>127.16</v>
      </c>
      <c r="F729">
        <v>289</v>
      </c>
      <c r="G729">
        <v>156.06</v>
      </c>
      <c r="H729">
        <v>1</v>
      </c>
      <c r="I729">
        <v>1</v>
      </c>
    </row>
    <row r="730" spans="1:9" x14ac:dyDescent="0.25">
      <c r="A730">
        <v>729</v>
      </c>
      <c r="B730" s="40" t="s">
        <v>1182</v>
      </c>
      <c r="C730" s="40" t="s">
        <v>1202</v>
      </c>
      <c r="D730">
        <v>10</v>
      </c>
      <c r="E730">
        <v>184.36</v>
      </c>
      <c r="F730">
        <v>419</v>
      </c>
      <c r="G730">
        <v>226.26000000000002</v>
      </c>
      <c r="H730">
        <v>1</v>
      </c>
      <c r="I730">
        <v>1</v>
      </c>
    </row>
    <row r="731" spans="1:9" x14ac:dyDescent="0.25">
      <c r="A731">
        <v>730</v>
      </c>
      <c r="B731" s="40" t="s">
        <v>1182</v>
      </c>
      <c r="C731" s="40" t="s">
        <v>1206</v>
      </c>
      <c r="D731">
        <v>10</v>
      </c>
      <c r="E731">
        <v>47.96</v>
      </c>
      <c r="F731">
        <v>109</v>
      </c>
      <c r="G731">
        <v>58.860000000000007</v>
      </c>
      <c r="H731">
        <v>1</v>
      </c>
      <c r="I731">
        <v>1</v>
      </c>
    </row>
    <row r="732" spans="1:9" x14ac:dyDescent="0.25">
      <c r="A732">
        <v>731</v>
      </c>
      <c r="B732" s="40" t="s">
        <v>1182</v>
      </c>
      <c r="C732" s="40" t="s">
        <v>1207</v>
      </c>
      <c r="D732">
        <v>10</v>
      </c>
      <c r="E732">
        <v>109.56</v>
      </c>
      <c r="F732">
        <v>249</v>
      </c>
      <c r="G732">
        <v>134.46</v>
      </c>
      <c r="H732">
        <v>1</v>
      </c>
      <c r="I732">
        <v>1</v>
      </c>
    </row>
    <row r="733" spans="1:9" x14ac:dyDescent="0.25">
      <c r="A733">
        <v>732</v>
      </c>
      <c r="B733" s="40" t="s">
        <v>1182</v>
      </c>
      <c r="C733" s="40" t="s">
        <v>1203</v>
      </c>
      <c r="D733">
        <v>10</v>
      </c>
      <c r="E733">
        <v>96.36</v>
      </c>
      <c r="F733">
        <v>219</v>
      </c>
      <c r="G733">
        <v>118.26</v>
      </c>
      <c r="H733">
        <v>1</v>
      </c>
      <c r="I733">
        <v>1</v>
      </c>
    </row>
    <row r="734" spans="1:9" x14ac:dyDescent="0.25">
      <c r="A734">
        <v>733</v>
      </c>
      <c r="B734" s="40" t="s">
        <v>1182</v>
      </c>
      <c r="C734" s="40" t="s">
        <v>1581</v>
      </c>
      <c r="D734">
        <v>10</v>
      </c>
      <c r="E734">
        <v>69.959999999999994</v>
      </c>
      <c r="F734">
        <v>159</v>
      </c>
      <c r="G734">
        <v>85.86</v>
      </c>
      <c r="H734">
        <v>1</v>
      </c>
      <c r="I734">
        <v>1</v>
      </c>
    </row>
    <row r="735" spans="1:9" x14ac:dyDescent="0.25">
      <c r="A735">
        <v>734</v>
      </c>
      <c r="B735" s="40" t="s">
        <v>1182</v>
      </c>
      <c r="C735" s="40" t="s">
        <v>1594</v>
      </c>
      <c r="D735">
        <v>10</v>
      </c>
      <c r="E735">
        <v>96.36</v>
      </c>
      <c r="F735">
        <v>219</v>
      </c>
      <c r="G735">
        <v>118.26</v>
      </c>
      <c r="H735">
        <v>1</v>
      </c>
      <c r="I735">
        <v>1</v>
      </c>
    </row>
    <row r="736" spans="1:9" x14ac:dyDescent="0.25">
      <c r="A736">
        <v>735</v>
      </c>
      <c r="B736" s="40" t="s">
        <v>1182</v>
      </c>
      <c r="C736" s="40" t="s">
        <v>1593</v>
      </c>
      <c r="D736">
        <v>10</v>
      </c>
      <c r="E736">
        <v>175.56</v>
      </c>
      <c r="F736">
        <v>399</v>
      </c>
      <c r="G736">
        <v>215.46</v>
      </c>
      <c r="H736">
        <v>1</v>
      </c>
      <c r="I736">
        <v>1</v>
      </c>
    </row>
    <row r="737" spans="1:9" x14ac:dyDescent="0.25">
      <c r="A737">
        <v>736</v>
      </c>
      <c r="B737" s="40" t="s">
        <v>1182</v>
      </c>
      <c r="C737" s="40" t="s">
        <v>1583</v>
      </c>
      <c r="D737">
        <v>10</v>
      </c>
      <c r="E737">
        <v>52.36</v>
      </c>
      <c r="F737">
        <v>119</v>
      </c>
      <c r="G737">
        <v>64.260000000000005</v>
      </c>
      <c r="H737">
        <v>1</v>
      </c>
      <c r="I737">
        <v>1</v>
      </c>
    </row>
    <row r="738" spans="1:9" x14ac:dyDescent="0.25">
      <c r="A738">
        <v>737</v>
      </c>
      <c r="B738" s="40" t="s">
        <v>1182</v>
      </c>
      <c r="C738" s="40" t="s">
        <v>1204</v>
      </c>
      <c r="D738">
        <v>10</v>
      </c>
      <c r="E738">
        <v>56.76</v>
      </c>
      <c r="F738">
        <v>129</v>
      </c>
      <c r="G738">
        <v>69.660000000000011</v>
      </c>
      <c r="H738">
        <v>1</v>
      </c>
      <c r="I738">
        <v>1</v>
      </c>
    </row>
    <row r="739" spans="1:9" x14ac:dyDescent="0.25">
      <c r="A739">
        <v>738</v>
      </c>
      <c r="B739" s="40" t="s">
        <v>1182</v>
      </c>
      <c r="C739" s="40" t="s">
        <v>1582</v>
      </c>
      <c r="D739">
        <v>10</v>
      </c>
      <c r="E739">
        <v>52.36</v>
      </c>
      <c r="F739">
        <v>119</v>
      </c>
      <c r="G739">
        <v>64.260000000000005</v>
      </c>
      <c r="H739">
        <v>1</v>
      </c>
      <c r="I739">
        <v>1</v>
      </c>
    </row>
    <row r="740" spans="1:9" x14ac:dyDescent="0.25">
      <c r="A740">
        <v>739</v>
      </c>
      <c r="B740" s="40" t="s">
        <v>1182</v>
      </c>
      <c r="C740" s="40" t="s">
        <v>1584</v>
      </c>
      <c r="D740">
        <v>10</v>
      </c>
      <c r="E740">
        <v>30.36</v>
      </c>
      <c r="F740">
        <v>69</v>
      </c>
      <c r="G740">
        <v>37.260000000000005</v>
      </c>
      <c r="H740">
        <v>1</v>
      </c>
      <c r="I740">
        <v>1</v>
      </c>
    </row>
    <row r="741" spans="1:9" x14ac:dyDescent="0.25">
      <c r="A741">
        <v>740</v>
      </c>
      <c r="B741" s="40" t="s">
        <v>547</v>
      </c>
      <c r="C741" s="40" t="s">
        <v>1668</v>
      </c>
      <c r="D741">
        <v>10</v>
      </c>
      <c r="E741">
        <v>53.32</v>
      </c>
      <c r="F741">
        <v>124</v>
      </c>
      <c r="G741">
        <v>65.72</v>
      </c>
      <c r="H741">
        <v>1</v>
      </c>
      <c r="I741">
        <v>1</v>
      </c>
    </row>
    <row r="742" spans="1:9" x14ac:dyDescent="0.25">
      <c r="A742">
        <v>741</v>
      </c>
      <c r="B742" s="40" t="s">
        <v>547</v>
      </c>
      <c r="C742" s="40" t="s">
        <v>1669</v>
      </c>
      <c r="D742">
        <v>10</v>
      </c>
      <c r="E742">
        <v>25.8</v>
      </c>
      <c r="F742">
        <v>60</v>
      </c>
      <c r="G742">
        <v>31.8</v>
      </c>
      <c r="H742">
        <v>1</v>
      </c>
      <c r="I742">
        <v>1</v>
      </c>
    </row>
    <row r="743" spans="1:9" x14ac:dyDescent="0.25">
      <c r="A743">
        <v>742</v>
      </c>
      <c r="B743" s="40" t="s">
        <v>547</v>
      </c>
      <c r="C743" s="40" t="s">
        <v>1670</v>
      </c>
      <c r="D743">
        <v>10</v>
      </c>
      <c r="E743">
        <v>35.26</v>
      </c>
      <c r="F743">
        <v>82</v>
      </c>
      <c r="G743">
        <v>43.46</v>
      </c>
      <c r="H743">
        <v>1</v>
      </c>
      <c r="I743">
        <v>1</v>
      </c>
    </row>
    <row r="744" spans="1:9" x14ac:dyDescent="0.25">
      <c r="A744">
        <v>743</v>
      </c>
      <c r="B744" s="40" t="s">
        <v>547</v>
      </c>
      <c r="C744" s="40" t="s">
        <v>548</v>
      </c>
      <c r="D744">
        <v>10</v>
      </c>
      <c r="E744">
        <v>90.3</v>
      </c>
      <c r="F744">
        <v>210</v>
      </c>
      <c r="G744">
        <v>111.30000000000001</v>
      </c>
      <c r="H744">
        <v>1</v>
      </c>
      <c r="I744">
        <v>1</v>
      </c>
    </row>
    <row r="745" spans="1:9" x14ac:dyDescent="0.25">
      <c r="A745">
        <v>744</v>
      </c>
      <c r="B745" s="40" t="s">
        <v>547</v>
      </c>
      <c r="C745" s="40" t="s">
        <v>549</v>
      </c>
      <c r="D745">
        <v>10</v>
      </c>
      <c r="E745">
        <v>30.831</v>
      </c>
      <c r="F745">
        <v>71.7</v>
      </c>
      <c r="G745">
        <v>38.001000000000005</v>
      </c>
      <c r="H745">
        <v>1</v>
      </c>
      <c r="I745">
        <v>1</v>
      </c>
    </row>
    <row r="746" spans="1:9" x14ac:dyDescent="0.25">
      <c r="A746">
        <v>745</v>
      </c>
      <c r="B746" s="40" t="s">
        <v>547</v>
      </c>
      <c r="C746" s="40" t="s">
        <v>550</v>
      </c>
      <c r="D746">
        <v>10</v>
      </c>
      <c r="E746">
        <v>59.769999999999996</v>
      </c>
      <c r="F746">
        <v>139</v>
      </c>
      <c r="G746">
        <v>73.67</v>
      </c>
      <c r="H746">
        <v>1</v>
      </c>
      <c r="I746">
        <v>1</v>
      </c>
    </row>
    <row r="747" spans="1:9" x14ac:dyDescent="0.25">
      <c r="A747">
        <v>746</v>
      </c>
      <c r="B747" s="40" t="s">
        <v>547</v>
      </c>
      <c r="C747" s="40" t="s">
        <v>551</v>
      </c>
      <c r="D747">
        <v>10</v>
      </c>
      <c r="E747">
        <v>98.47</v>
      </c>
      <c r="F747">
        <v>229</v>
      </c>
      <c r="G747">
        <v>121.37</v>
      </c>
      <c r="H747">
        <v>1</v>
      </c>
      <c r="I747">
        <v>1</v>
      </c>
    </row>
    <row r="748" spans="1:9" x14ac:dyDescent="0.25">
      <c r="A748">
        <v>747</v>
      </c>
      <c r="B748" s="40" t="s">
        <v>1731</v>
      </c>
      <c r="C748" s="40" t="s">
        <v>1625</v>
      </c>
      <c r="D748">
        <v>10</v>
      </c>
      <c r="E748">
        <v>72.849999999999994</v>
      </c>
      <c r="F748">
        <v>155</v>
      </c>
      <c r="G748">
        <v>88.35</v>
      </c>
      <c r="H748">
        <v>1</v>
      </c>
      <c r="I748">
        <v>1</v>
      </c>
    </row>
    <row r="749" spans="1:9" x14ac:dyDescent="0.25">
      <c r="A749">
        <v>748</v>
      </c>
      <c r="B749" s="40" t="s">
        <v>1731</v>
      </c>
      <c r="C749" s="40" t="s">
        <v>1628</v>
      </c>
      <c r="D749">
        <v>10</v>
      </c>
      <c r="E749">
        <v>72.849999999999994</v>
      </c>
      <c r="F749">
        <v>155</v>
      </c>
      <c r="G749">
        <v>88.35</v>
      </c>
      <c r="H749">
        <v>1</v>
      </c>
      <c r="I749">
        <v>1</v>
      </c>
    </row>
    <row r="750" spans="1:9" x14ac:dyDescent="0.25">
      <c r="A750">
        <v>749</v>
      </c>
      <c r="B750" s="40" t="s">
        <v>1732</v>
      </c>
      <c r="C750" s="40" t="s">
        <v>1626</v>
      </c>
      <c r="D750">
        <v>10</v>
      </c>
      <c r="E750">
        <v>72.849999999999994</v>
      </c>
      <c r="F750">
        <v>155</v>
      </c>
      <c r="G750">
        <v>88.35</v>
      </c>
      <c r="H750">
        <v>1</v>
      </c>
      <c r="I750">
        <v>1</v>
      </c>
    </row>
    <row r="751" spans="1:9" x14ac:dyDescent="0.25">
      <c r="A751">
        <v>750</v>
      </c>
      <c r="B751" s="40" t="s">
        <v>552</v>
      </c>
      <c r="C751" s="40" t="s">
        <v>1741</v>
      </c>
      <c r="D751">
        <v>10</v>
      </c>
      <c r="E751">
        <v>539.5</v>
      </c>
      <c r="F751">
        <v>1079</v>
      </c>
      <c r="G751">
        <v>647.4</v>
      </c>
      <c r="H751">
        <v>1</v>
      </c>
      <c r="I751">
        <v>1</v>
      </c>
    </row>
    <row r="752" spans="1:9" x14ac:dyDescent="0.25">
      <c r="A752">
        <v>751</v>
      </c>
      <c r="B752" s="40" t="s">
        <v>552</v>
      </c>
      <c r="C752" s="40" t="s">
        <v>1627</v>
      </c>
      <c r="D752">
        <v>10</v>
      </c>
      <c r="E752">
        <v>1113.2</v>
      </c>
      <c r="F752">
        <v>2024</v>
      </c>
      <c r="G752">
        <v>1315.6000000000001</v>
      </c>
      <c r="H752">
        <v>1</v>
      </c>
      <c r="I752">
        <v>1</v>
      </c>
    </row>
    <row r="753" spans="1:9" x14ac:dyDescent="0.25">
      <c r="A753">
        <v>752</v>
      </c>
      <c r="B753" s="40" t="s">
        <v>552</v>
      </c>
      <c r="C753" s="40" t="s">
        <v>1628</v>
      </c>
      <c r="D753">
        <v>10</v>
      </c>
      <c r="E753">
        <v>24.91</v>
      </c>
      <c r="F753">
        <v>53</v>
      </c>
      <c r="G753">
        <v>30.209999999999997</v>
      </c>
      <c r="H753">
        <v>1</v>
      </c>
      <c r="I753">
        <v>1</v>
      </c>
    </row>
    <row r="754" spans="1:9" x14ac:dyDescent="0.25">
      <c r="A754">
        <v>753</v>
      </c>
      <c r="B754" s="40" t="s">
        <v>1731</v>
      </c>
      <c r="C754" s="40" t="s">
        <v>1734</v>
      </c>
      <c r="D754">
        <v>10</v>
      </c>
      <c r="E754">
        <v>75.199999999999989</v>
      </c>
      <c r="F754">
        <v>160</v>
      </c>
      <c r="G754">
        <v>91.199999999999989</v>
      </c>
      <c r="H754">
        <v>1</v>
      </c>
      <c r="I754">
        <v>1</v>
      </c>
    </row>
    <row r="755" spans="1:9" x14ac:dyDescent="0.25">
      <c r="A755">
        <v>754</v>
      </c>
      <c r="B755" s="40" t="s">
        <v>552</v>
      </c>
      <c r="C755" s="40" t="s">
        <v>1629</v>
      </c>
      <c r="D755">
        <v>10</v>
      </c>
      <c r="E755">
        <v>43.71</v>
      </c>
      <c r="F755">
        <v>93</v>
      </c>
      <c r="G755">
        <v>53.01</v>
      </c>
      <c r="H755">
        <v>1</v>
      </c>
      <c r="I755">
        <v>1</v>
      </c>
    </row>
    <row r="756" spans="1:9" x14ac:dyDescent="0.25">
      <c r="A756">
        <v>755</v>
      </c>
      <c r="B756" s="40" t="s">
        <v>552</v>
      </c>
      <c r="C756" s="40" t="s">
        <v>1630</v>
      </c>
      <c r="D756">
        <v>10</v>
      </c>
      <c r="E756">
        <v>72.849999999999994</v>
      </c>
      <c r="F756">
        <v>155</v>
      </c>
      <c r="G756">
        <v>88.35</v>
      </c>
      <c r="H756">
        <v>1</v>
      </c>
      <c r="I756">
        <v>1</v>
      </c>
    </row>
    <row r="757" spans="1:9" x14ac:dyDescent="0.25">
      <c r="A757">
        <v>756</v>
      </c>
      <c r="B757" s="40" t="s">
        <v>552</v>
      </c>
      <c r="C757" s="40" t="s">
        <v>1635</v>
      </c>
      <c r="D757">
        <v>10</v>
      </c>
      <c r="E757">
        <v>88.36</v>
      </c>
      <c r="F757">
        <v>188</v>
      </c>
      <c r="G757">
        <v>107.16</v>
      </c>
      <c r="H757">
        <v>1</v>
      </c>
      <c r="I757">
        <v>1</v>
      </c>
    </row>
    <row r="758" spans="1:9" x14ac:dyDescent="0.25">
      <c r="A758">
        <v>757</v>
      </c>
      <c r="B758" s="40" t="s">
        <v>552</v>
      </c>
      <c r="C758" s="40" t="s">
        <v>1636</v>
      </c>
      <c r="D758">
        <v>10</v>
      </c>
      <c r="E758">
        <v>125.02</v>
      </c>
      <c r="F758">
        <v>266</v>
      </c>
      <c r="G758">
        <v>151.61999999999998</v>
      </c>
      <c r="H758">
        <v>1</v>
      </c>
      <c r="I758">
        <v>1</v>
      </c>
    </row>
    <row r="759" spans="1:9" x14ac:dyDescent="0.25">
      <c r="A759">
        <v>758</v>
      </c>
      <c r="B759" s="40" t="s">
        <v>552</v>
      </c>
      <c r="C759" s="40" t="s">
        <v>553</v>
      </c>
      <c r="D759">
        <v>10</v>
      </c>
      <c r="E759">
        <v>153.69</v>
      </c>
      <c r="F759">
        <v>327</v>
      </c>
      <c r="G759">
        <v>186.39</v>
      </c>
      <c r="H759">
        <v>1</v>
      </c>
      <c r="I759">
        <v>1</v>
      </c>
    </row>
    <row r="760" spans="1:9" x14ac:dyDescent="0.25">
      <c r="A760">
        <v>759</v>
      </c>
      <c r="B760" s="40" t="s">
        <v>552</v>
      </c>
      <c r="C760" s="40" t="s">
        <v>1634</v>
      </c>
      <c r="D760">
        <v>10</v>
      </c>
      <c r="E760">
        <v>311.60999999999996</v>
      </c>
      <c r="F760">
        <v>663</v>
      </c>
      <c r="G760">
        <v>377.90999999999997</v>
      </c>
      <c r="H760">
        <v>1</v>
      </c>
      <c r="I760">
        <v>1</v>
      </c>
    </row>
    <row r="761" spans="1:9" x14ac:dyDescent="0.25">
      <c r="A761">
        <v>760</v>
      </c>
      <c r="B761" s="40" t="s">
        <v>552</v>
      </c>
      <c r="C761" s="40" t="s">
        <v>1637</v>
      </c>
      <c r="D761">
        <v>10</v>
      </c>
      <c r="E761">
        <v>49.349999999999994</v>
      </c>
      <c r="F761">
        <v>105</v>
      </c>
      <c r="G761">
        <v>59.849999999999994</v>
      </c>
      <c r="H761">
        <v>1</v>
      </c>
      <c r="I761">
        <v>1</v>
      </c>
    </row>
    <row r="762" spans="1:9" x14ac:dyDescent="0.25">
      <c r="A762">
        <v>761</v>
      </c>
      <c r="B762" s="40" t="s">
        <v>552</v>
      </c>
      <c r="C762" s="40" t="s">
        <v>1763</v>
      </c>
      <c r="D762">
        <v>10</v>
      </c>
      <c r="E762">
        <v>47.47</v>
      </c>
      <c r="F762">
        <v>101</v>
      </c>
      <c r="G762">
        <v>57.569999999999993</v>
      </c>
      <c r="H762">
        <v>1</v>
      </c>
      <c r="I762">
        <v>1</v>
      </c>
    </row>
    <row r="763" spans="1:9" x14ac:dyDescent="0.25">
      <c r="A763">
        <v>762</v>
      </c>
      <c r="B763" s="40" t="s">
        <v>552</v>
      </c>
      <c r="C763" s="40" t="s">
        <v>1762</v>
      </c>
      <c r="D763">
        <v>10</v>
      </c>
      <c r="E763">
        <v>66.739999999999995</v>
      </c>
      <c r="F763">
        <v>142</v>
      </c>
      <c r="G763">
        <v>80.94</v>
      </c>
      <c r="H763">
        <v>1</v>
      </c>
      <c r="I763">
        <v>1</v>
      </c>
    </row>
    <row r="764" spans="1:9" x14ac:dyDescent="0.25">
      <c r="A764">
        <v>763</v>
      </c>
      <c r="B764" s="40" t="s">
        <v>552</v>
      </c>
      <c r="C764" s="40" t="s">
        <v>1764</v>
      </c>
      <c r="D764">
        <v>10</v>
      </c>
      <c r="E764">
        <v>219.01999999999998</v>
      </c>
      <c r="F764">
        <v>466</v>
      </c>
      <c r="G764">
        <v>265.62</v>
      </c>
      <c r="H764">
        <v>1</v>
      </c>
      <c r="I764">
        <v>1</v>
      </c>
    </row>
    <row r="765" spans="1:9" x14ac:dyDescent="0.25">
      <c r="A765">
        <v>764</v>
      </c>
      <c r="B765" s="40" t="s">
        <v>552</v>
      </c>
      <c r="C765" s="40" t="s">
        <v>1765</v>
      </c>
      <c r="D765">
        <v>10</v>
      </c>
      <c r="E765">
        <v>173.42999999999998</v>
      </c>
      <c r="F765">
        <v>369</v>
      </c>
      <c r="G765">
        <v>210.32999999999998</v>
      </c>
      <c r="H765">
        <v>1</v>
      </c>
      <c r="I765">
        <v>1</v>
      </c>
    </row>
    <row r="766" spans="1:9" x14ac:dyDescent="0.25">
      <c r="A766">
        <v>765</v>
      </c>
      <c r="B766" s="40" t="s">
        <v>552</v>
      </c>
      <c r="C766" s="40" t="s">
        <v>1766</v>
      </c>
      <c r="D766">
        <v>10</v>
      </c>
      <c r="E766">
        <v>242.04999999999998</v>
      </c>
      <c r="F766">
        <v>515</v>
      </c>
      <c r="G766">
        <v>293.54999999999995</v>
      </c>
      <c r="H766">
        <v>1</v>
      </c>
      <c r="I766">
        <v>1</v>
      </c>
    </row>
    <row r="767" spans="1:9" x14ac:dyDescent="0.25">
      <c r="A767">
        <v>766</v>
      </c>
      <c r="B767" s="40" t="s">
        <v>552</v>
      </c>
      <c r="C767" s="40" t="s">
        <v>1767</v>
      </c>
      <c r="D767">
        <v>10</v>
      </c>
      <c r="E767">
        <v>314.43</v>
      </c>
      <c r="F767">
        <v>669</v>
      </c>
      <c r="G767">
        <v>381.33</v>
      </c>
      <c r="H767">
        <v>1</v>
      </c>
      <c r="I767">
        <v>1</v>
      </c>
    </row>
    <row r="768" spans="1:9" x14ac:dyDescent="0.25">
      <c r="A768">
        <v>767</v>
      </c>
      <c r="B768" s="40" t="s">
        <v>552</v>
      </c>
      <c r="C768" s="40" t="s">
        <v>1768</v>
      </c>
      <c r="D768">
        <v>10</v>
      </c>
      <c r="E768">
        <v>97.759999999999991</v>
      </c>
      <c r="F768">
        <v>208</v>
      </c>
      <c r="G768">
        <v>118.55999999999999</v>
      </c>
      <c r="H768">
        <v>1</v>
      </c>
      <c r="I768">
        <v>1</v>
      </c>
    </row>
    <row r="769" spans="1:9" x14ac:dyDescent="0.25">
      <c r="A769">
        <v>768</v>
      </c>
      <c r="B769" s="40" t="s">
        <v>552</v>
      </c>
      <c r="C769" s="40" t="s">
        <v>1737</v>
      </c>
      <c r="D769">
        <v>10</v>
      </c>
      <c r="E769">
        <v>207.26999999999998</v>
      </c>
      <c r="F769">
        <v>441</v>
      </c>
      <c r="G769">
        <v>251.36999999999998</v>
      </c>
      <c r="H769">
        <v>1</v>
      </c>
      <c r="I769">
        <v>1</v>
      </c>
    </row>
    <row r="770" spans="1:9" x14ac:dyDescent="0.25">
      <c r="A770">
        <v>769</v>
      </c>
      <c r="B770" s="40" t="s">
        <v>552</v>
      </c>
      <c r="C770" s="40" t="s">
        <v>1769</v>
      </c>
      <c r="D770">
        <v>10</v>
      </c>
      <c r="E770">
        <v>336.99</v>
      </c>
      <c r="F770">
        <v>717</v>
      </c>
      <c r="G770">
        <v>408.68999999999994</v>
      </c>
      <c r="H770">
        <v>1</v>
      </c>
      <c r="I770">
        <v>1</v>
      </c>
    </row>
    <row r="771" spans="1:9" x14ac:dyDescent="0.25">
      <c r="A771">
        <v>770</v>
      </c>
      <c r="B771" s="40" t="s">
        <v>552</v>
      </c>
      <c r="C771" s="40" t="s">
        <v>1770</v>
      </c>
      <c r="D771">
        <v>10</v>
      </c>
      <c r="E771">
        <v>186.59</v>
      </c>
      <c r="F771">
        <v>397</v>
      </c>
      <c r="G771">
        <v>226.29</v>
      </c>
      <c r="H771">
        <v>1</v>
      </c>
      <c r="I771">
        <v>1</v>
      </c>
    </row>
    <row r="772" spans="1:9" x14ac:dyDescent="0.25">
      <c r="A772">
        <v>771</v>
      </c>
      <c r="B772" s="40" t="s">
        <v>552</v>
      </c>
      <c r="C772" s="40" t="s">
        <v>1771</v>
      </c>
      <c r="D772">
        <v>10</v>
      </c>
      <c r="E772">
        <v>311.14</v>
      </c>
      <c r="F772">
        <v>662</v>
      </c>
      <c r="G772">
        <v>377.34</v>
      </c>
      <c r="H772">
        <v>1</v>
      </c>
      <c r="I772">
        <v>1</v>
      </c>
    </row>
    <row r="773" spans="1:9" x14ac:dyDescent="0.25">
      <c r="A773">
        <v>772</v>
      </c>
      <c r="B773" s="40" t="s">
        <v>552</v>
      </c>
      <c r="C773" s="40" t="s">
        <v>1739</v>
      </c>
      <c r="D773">
        <v>10</v>
      </c>
      <c r="E773">
        <v>131.6</v>
      </c>
      <c r="F773">
        <v>280</v>
      </c>
      <c r="G773">
        <v>159.6</v>
      </c>
      <c r="H773">
        <v>1</v>
      </c>
      <c r="I773">
        <v>1</v>
      </c>
    </row>
    <row r="774" spans="1:9" x14ac:dyDescent="0.25">
      <c r="A774">
        <v>773</v>
      </c>
      <c r="B774" s="40" t="s">
        <v>552</v>
      </c>
      <c r="C774" s="40" t="s">
        <v>1740</v>
      </c>
      <c r="D774">
        <v>10</v>
      </c>
      <c r="E774">
        <v>208.67999999999998</v>
      </c>
      <c r="F774">
        <v>444</v>
      </c>
      <c r="G774">
        <v>253.07999999999998</v>
      </c>
      <c r="H774">
        <v>1</v>
      </c>
      <c r="I774">
        <v>1</v>
      </c>
    </row>
    <row r="775" spans="1:9" x14ac:dyDescent="0.25">
      <c r="A775">
        <v>774</v>
      </c>
      <c r="B775" s="40" t="s">
        <v>552</v>
      </c>
      <c r="C775" s="40" t="s">
        <v>1738</v>
      </c>
      <c r="D775">
        <v>10</v>
      </c>
      <c r="E775">
        <v>329.46999999999997</v>
      </c>
      <c r="F775">
        <v>701</v>
      </c>
      <c r="G775">
        <v>399.57</v>
      </c>
      <c r="H775">
        <v>1</v>
      </c>
      <c r="I775">
        <v>1</v>
      </c>
    </row>
    <row r="776" spans="1:9" x14ac:dyDescent="0.25">
      <c r="A776">
        <v>775</v>
      </c>
      <c r="B776" s="40" t="s">
        <v>552</v>
      </c>
      <c r="C776" s="40" t="s">
        <v>1742</v>
      </c>
      <c r="D776">
        <v>10</v>
      </c>
      <c r="E776">
        <v>204.92</v>
      </c>
      <c r="F776">
        <v>436</v>
      </c>
      <c r="G776">
        <v>248.51999999999998</v>
      </c>
      <c r="H776">
        <v>1</v>
      </c>
      <c r="I776">
        <v>1</v>
      </c>
    </row>
    <row r="777" spans="1:9" x14ac:dyDescent="0.25">
      <c r="A777">
        <v>776</v>
      </c>
      <c r="B777" s="40" t="s">
        <v>552</v>
      </c>
      <c r="C777" s="40" t="s">
        <v>1743</v>
      </c>
      <c r="D777">
        <v>10</v>
      </c>
      <c r="E777">
        <v>360.96</v>
      </c>
      <c r="F777">
        <v>768</v>
      </c>
      <c r="G777">
        <v>437.76</v>
      </c>
      <c r="H777">
        <v>1</v>
      </c>
      <c r="I777">
        <v>1</v>
      </c>
    </row>
    <row r="778" spans="1:9" x14ac:dyDescent="0.25">
      <c r="A778">
        <v>777</v>
      </c>
      <c r="B778" s="40" t="s">
        <v>552</v>
      </c>
      <c r="C778" s="40" t="s">
        <v>1744</v>
      </c>
      <c r="D778">
        <v>10</v>
      </c>
      <c r="E778">
        <v>173.42999999999998</v>
      </c>
      <c r="F778">
        <v>369</v>
      </c>
      <c r="G778">
        <v>210.32999999999998</v>
      </c>
      <c r="H778">
        <v>1</v>
      </c>
      <c r="I778">
        <v>1</v>
      </c>
    </row>
    <row r="779" spans="1:9" x14ac:dyDescent="0.25">
      <c r="A779">
        <v>778</v>
      </c>
      <c r="B779" s="40" t="s">
        <v>552</v>
      </c>
      <c r="C779" s="40" t="s">
        <v>1745</v>
      </c>
      <c r="D779">
        <v>10</v>
      </c>
      <c r="E779">
        <v>242.04999999999998</v>
      </c>
      <c r="F779">
        <v>515</v>
      </c>
      <c r="G779">
        <v>293.54999999999995</v>
      </c>
      <c r="H779">
        <v>1</v>
      </c>
      <c r="I779">
        <v>1</v>
      </c>
    </row>
    <row r="780" spans="1:9" x14ac:dyDescent="0.25">
      <c r="A780">
        <v>779</v>
      </c>
      <c r="B780" s="40" t="s">
        <v>552</v>
      </c>
      <c r="C780" s="40" t="s">
        <v>1746</v>
      </c>
      <c r="D780">
        <v>10</v>
      </c>
      <c r="E780">
        <v>293.75</v>
      </c>
      <c r="F780">
        <v>625</v>
      </c>
      <c r="G780">
        <v>356.24999999999994</v>
      </c>
      <c r="H780">
        <v>1</v>
      </c>
      <c r="I780">
        <v>1</v>
      </c>
    </row>
    <row r="781" spans="1:9" x14ac:dyDescent="0.25">
      <c r="A781">
        <v>780</v>
      </c>
      <c r="B781" s="40" t="s">
        <v>552</v>
      </c>
      <c r="C781" s="40" t="s">
        <v>1747</v>
      </c>
      <c r="D781">
        <v>10</v>
      </c>
      <c r="E781">
        <v>48.41</v>
      </c>
      <c r="F781">
        <v>103</v>
      </c>
      <c r="G781">
        <v>58.709999999999994</v>
      </c>
      <c r="H781">
        <v>1</v>
      </c>
      <c r="I781">
        <v>1</v>
      </c>
    </row>
    <row r="782" spans="1:9" x14ac:dyDescent="0.25">
      <c r="A782">
        <v>781</v>
      </c>
      <c r="B782" s="40" t="s">
        <v>552</v>
      </c>
      <c r="C782" s="40" t="s">
        <v>1748</v>
      </c>
      <c r="D782">
        <v>10</v>
      </c>
      <c r="E782">
        <v>54.989999999999995</v>
      </c>
      <c r="F782">
        <v>117</v>
      </c>
      <c r="G782">
        <v>66.69</v>
      </c>
      <c r="H782">
        <v>1</v>
      </c>
      <c r="I782">
        <v>1</v>
      </c>
    </row>
    <row r="783" spans="1:9" x14ac:dyDescent="0.25">
      <c r="A783">
        <v>782</v>
      </c>
      <c r="B783" s="40" t="s">
        <v>552</v>
      </c>
      <c r="C783" s="40" t="s">
        <v>1749</v>
      </c>
      <c r="D783">
        <v>10</v>
      </c>
      <c r="E783">
        <v>65.8</v>
      </c>
      <c r="F783">
        <v>140</v>
      </c>
      <c r="G783">
        <v>79.8</v>
      </c>
      <c r="H783">
        <v>1</v>
      </c>
      <c r="I783">
        <v>1</v>
      </c>
    </row>
    <row r="784" spans="1:9" x14ac:dyDescent="0.25">
      <c r="A784">
        <v>783</v>
      </c>
      <c r="B784" s="40" t="s">
        <v>552</v>
      </c>
      <c r="C784" s="40" t="s">
        <v>1750</v>
      </c>
      <c r="D784">
        <v>10</v>
      </c>
      <c r="E784">
        <v>78.959999999999994</v>
      </c>
      <c r="F784">
        <v>168</v>
      </c>
      <c r="G784">
        <v>95.759999999999991</v>
      </c>
      <c r="H784">
        <v>1</v>
      </c>
      <c r="I784">
        <v>1</v>
      </c>
    </row>
    <row r="785" spans="1:9" x14ac:dyDescent="0.25">
      <c r="A785">
        <v>784</v>
      </c>
      <c r="B785" s="40" t="s">
        <v>552</v>
      </c>
      <c r="C785" s="40" t="s">
        <v>1751</v>
      </c>
      <c r="D785">
        <v>10</v>
      </c>
      <c r="E785">
        <v>92.11999999999999</v>
      </c>
      <c r="F785">
        <v>196</v>
      </c>
      <c r="G785">
        <v>111.71999999999998</v>
      </c>
      <c r="H785">
        <v>1</v>
      </c>
      <c r="I785">
        <v>1</v>
      </c>
    </row>
    <row r="786" spans="1:9" x14ac:dyDescent="0.25">
      <c r="A786">
        <v>785</v>
      </c>
      <c r="B786" s="40" t="s">
        <v>552</v>
      </c>
      <c r="C786" s="40" t="s">
        <v>1752</v>
      </c>
      <c r="D786">
        <v>10</v>
      </c>
      <c r="E786">
        <v>138.17999999999998</v>
      </c>
      <c r="F786">
        <v>294</v>
      </c>
      <c r="G786">
        <v>167.57999999999998</v>
      </c>
      <c r="H786">
        <v>1</v>
      </c>
      <c r="I786">
        <v>1</v>
      </c>
    </row>
    <row r="787" spans="1:9" x14ac:dyDescent="0.25">
      <c r="A787">
        <v>786</v>
      </c>
      <c r="B787" s="40" t="s">
        <v>552</v>
      </c>
      <c r="C787" s="40" t="s">
        <v>1753</v>
      </c>
      <c r="D787">
        <v>10</v>
      </c>
      <c r="E787">
        <v>201.16</v>
      </c>
      <c r="F787">
        <v>428</v>
      </c>
      <c r="G787">
        <v>243.95999999999998</v>
      </c>
      <c r="H787">
        <v>1</v>
      </c>
      <c r="I787">
        <v>1</v>
      </c>
    </row>
    <row r="788" spans="1:9" x14ac:dyDescent="0.25">
      <c r="A788">
        <v>787</v>
      </c>
      <c r="B788" s="40" t="s">
        <v>552</v>
      </c>
      <c r="C788" s="40" t="s">
        <v>1633</v>
      </c>
      <c r="D788">
        <v>10</v>
      </c>
      <c r="E788">
        <v>37.129999999999995</v>
      </c>
      <c r="F788">
        <v>79</v>
      </c>
      <c r="G788">
        <v>45.029999999999994</v>
      </c>
      <c r="H788">
        <v>1</v>
      </c>
      <c r="I788">
        <v>1</v>
      </c>
    </row>
    <row r="789" spans="1:9" x14ac:dyDescent="0.25">
      <c r="A789">
        <v>788</v>
      </c>
      <c r="B789" s="40" t="s">
        <v>552</v>
      </c>
      <c r="C789" s="40" t="s">
        <v>1754</v>
      </c>
      <c r="D789">
        <v>10</v>
      </c>
      <c r="E789">
        <v>421.12</v>
      </c>
      <c r="F789">
        <v>896</v>
      </c>
      <c r="G789">
        <v>510.71999999999997</v>
      </c>
      <c r="H789">
        <v>1</v>
      </c>
      <c r="I789">
        <v>1</v>
      </c>
    </row>
    <row r="790" spans="1:9" x14ac:dyDescent="0.25">
      <c r="A790">
        <v>789</v>
      </c>
      <c r="B790" s="40" t="s">
        <v>552</v>
      </c>
      <c r="C790" s="40" t="s">
        <v>1755</v>
      </c>
      <c r="D790">
        <v>10</v>
      </c>
      <c r="E790">
        <v>88.36</v>
      </c>
      <c r="F790">
        <v>188</v>
      </c>
      <c r="G790">
        <v>107.16</v>
      </c>
      <c r="H790">
        <v>1</v>
      </c>
      <c r="I790">
        <v>1</v>
      </c>
    </row>
    <row r="791" spans="1:9" x14ac:dyDescent="0.25">
      <c r="A791">
        <v>790</v>
      </c>
      <c r="B791" s="40" t="s">
        <v>552</v>
      </c>
      <c r="C791" s="40" t="s">
        <v>1756</v>
      </c>
      <c r="D791">
        <v>10</v>
      </c>
      <c r="E791">
        <v>88.36</v>
      </c>
      <c r="F791">
        <v>188</v>
      </c>
      <c r="G791">
        <v>107.16</v>
      </c>
      <c r="H791">
        <v>1</v>
      </c>
      <c r="I791">
        <v>1</v>
      </c>
    </row>
    <row r="792" spans="1:9" x14ac:dyDescent="0.25">
      <c r="A792">
        <v>791</v>
      </c>
      <c r="B792" s="40" t="s">
        <v>552</v>
      </c>
      <c r="C792" s="40" t="s">
        <v>1757</v>
      </c>
      <c r="D792">
        <v>10</v>
      </c>
      <c r="E792">
        <v>115.61999999999999</v>
      </c>
      <c r="F792">
        <v>246</v>
      </c>
      <c r="G792">
        <v>140.22</v>
      </c>
      <c r="H792">
        <v>1</v>
      </c>
      <c r="I792">
        <v>1</v>
      </c>
    </row>
    <row r="793" spans="1:9" x14ac:dyDescent="0.25">
      <c r="A793">
        <v>792</v>
      </c>
      <c r="B793" s="40" t="s">
        <v>552</v>
      </c>
      <c r="C793" s="40" t="s">
        <v>1758</v>
      </c>
      <c r="D793">
        <v>10</v>
      </c>
      <c r="E793">
        <v>69.56</v>
      </c>
      <c r="F793">
        <v>148</v>
      </c>
      <c r="G793">
        <v>84.36</v>
      </c>
      <c r="H793">
        <v>1</v>
      </c>
      <c r="I793">
        <v>1</v>
      </c>
    </row>
    <row r="794" spans="1:9" x14ac:dyDescent="0.25">
      <c r="A794">
        <v>793</v>
      </c>
      <c r="B794" s="40" t="s">
        <v>552</v>
      </c>
      <c r="C794" s="40" t="s">
        <v>1759</v>
      </c>
      <c r="D794">
        <v>10</v>
      </c>
      <c r="E794">
        <v>69.56</v>
      </c>
      <c r="F794">
        <v>148</v>
      </c>
      <c r="G794">
        <v>84.36</v>
      </c>
      <c r="H794">
        <v>1</v>
      </c>
      <c r="I794">
        <v>1</v>
      </c>
    </row>
    <row r="795" spans="1:9" x14ac:dyDescent="0.25">
      <c r="A795">
        <v>794</v>
      </c>
      <c r="B795" s="40" t="s">
        <v>552</v>
      </c>
      <c r="C795" s="40" t="s">
        <v>1760</v>
      </c>
      <c r="D795">
        <v>10</v>
      </c>
      <c r="E795">
        <v>57.809999999999995</v>
      </c>
      <c r="F795">
        <v>123</v>
      </c>
      <c r="G795">
        <v>70.11</v>
      </c>
      <c r="H795">
        <v>1</v>
      </c>
      <c r="I795">
        <v>1</v>
      </c>
    </row>
    <row r="796" spans="1:9" x14ac:dyDescent="0.25">
      <c r="A796">
        <v>795</v>
      </c>
      <c r="B796" s="40" t="s">
        <v>552</v>
      </c>
      <c r="C796" s="40" t="s">
        <v>1761</v>
      </c>
      <c r="D796">
        <v>10</v>
      </c>
      <c r="E796">
        <v>54.989999999999995</v>
      </c>
      <c r="F796">
        <v>117</v>
      </c>
      <c r="G796">
        <v>66.69</v>
      </c>
      <c r="H796">
        <v>1</v>
      </c>
      <c r="I796">
        <v>1</v>
      </c>
    </row>
    <row r="797" spans="1:9" x14ac:dyDescent="0.25">
      <c r="A797">
        <v>796</v>
      </c>
      <c r="B797" s="40" t="s">
        <v>1731</v>
      </c>
      <c r="C797" s="40" t="s">
        <v>1735</v>
      </c>
      <c r="D797">
        <v>10</v>
      </c>
      <c r="E797">
        <v>88.36</v>
      </c>
      <c r="F797">
        <v>188</v>
      </c>
      <c r="G797">
        <v>107.16</v>
      </c>
      <c r="H797">
        <v>1</v>
      </c>
      <c r="I797">
        <v>1</v>
      </c>
    </row>
    <row r="798" spans="1:9" x14ac:dyDescent="0.25">
      <c r="A798">
        <v>797</v>
      </c>
      <c r="B798" s="40" t="s">
        <v>1731</v>
      </c>
      <c r="C798" s="40" t="s">
        <v>1733</v>
      </c>
      <c r="D798">
        <v>10</v>
      </c>
      <c r="E798">
        <v>115.61999999999999</v>
      </c>
      <c r="F798">
        <v>246</v>
      </c>
      <c r="G798">
        <v>140.22</v>
      </c>
      <c r="H798">
        <v>1</v>
      </c>
      <c r="I798">
        <v>1</v>
      </c>
    </row>
    <row r="799" spans="1:9" x14ac:dyDescent="0.25">
      <c r="A799">
        <v>798</v>
      </c>
      <c r="B799" s="40" t="s">
        <v>554</v>
      </c>
      <c r="C799" s="40" t="s">
        <v>555</v>
      </c>
      <c r="D799">
        <v>10</v>
      </c>
      <c r="E799">
        <v>734.80000000000007</v>
      </c>
      <c r="F799">
        <v>1336</v>
      </c>
      <c r="G799">
        <v>868.4</v>
      </c>
      <c r="H799">
        <v>1</v>
      </c>
      <c r="I799">
        <v>1</v>
      </c>
    </row>
    <row r="800" spans="1:9" x14ac:dyDescent="0.25">
      <c r="A800">
        <v>799</v>
      </c>
      <c r="B800" s="40" t="s">
        <v>554</v>
      </c>
      <c r="C800" s="40" t="s">
        <v>556</v>
      </c>
      <c r="D800">
        <v>10</v>
      </c>
      <c r="E800">
        <v>79.75</v>
      </c>
      <c r="F800">
        <v>145</v>
      </c>
      <c r="G800">
        <v>94.25</v>
      </c>
      <c r="H800">
        <v>1</v>
      </c>
      <c r="I800">
        <v>1</v>
      </c>
    </row>
    <row r="801" spans="1:9" x14ac:dyDescent="0.25">
      <c r="A801">
        <v>800</v>
      </c>
      <c r="B801" s="40" t="s">
        <v>554</v>
      </c>
      <c r="C801" s="40" t="s">
        <v>557</v>
      </c>
      <c r="D801">
        <v>10</v>
      </c>
      <c r="E801">
        <v>23.32</v>
      </c>
      <c r="F801">
        <v>42.4</v>
      </c>
      <c r="G801">
        <v>27.56</v>
      </c>
      <c r="H801">
        <v>1</v>
      </c>
      <c r="I801">
        <v>1</v>
      </c>
    </row>
    <row r="802" spans="1:9" x14ac:dyDescent="0.25">
      <c r="A802">
        <v>801</v>
      </c>
      <c r="B802" s="40" t="s">
        <v>554</v>
      </c>
      <c r="C802" s="40" t="s">
        <v>558</v>
      </c>
      <c r="D802">
        <v>10</v>
      </c>
      <c r="E802">
        <v>79.75</v>
      </c>
      <c r="F802">
        <v>145</v>
      </c>
      <c r="G802">
        <v>94.25</v>
      </c>
      <c r="H802">
        <v>1</v>
      </c>
      <c r="I802">
        <v>1</v>
      </c>
    </row>
    <row r="803" spans="1:9" x14ac:dyDescent="0.25">
      <c r="A803">
        <v>802</v>
      </c>
      <c r="B803" s="40" t="s">
        <v>554</v>
      </c>
      <c r="C803" s="40" t="s">
        <v>559</v>
      </c>
      <c r="D803">
        <v>10</v>
      </c>
      <c r="E803">
        <v>152.4</v>
      </c>
      <c r="F803">
        <v>254</v>
      </c>
      <c r="G803">
        <v>177.79999999999998</v>
      </c>
      <c r="H803">
        <v>1</v>
      </c>
      <c r="I803">
        <v>1</v>
      </c>
    </row>
    <row r="804" spans="1:9" x14ac:dyDescent="0.25">
      <c r="A804">
        <v>803</v>
      </c>
      <c r="B804" s="40" t="s">
        <v>554</v>
      </c>
      <c r="C804" s="40" t="s">
        <v>560</v>
      </c>
      <c r="D804">
        <v>10</v>
      </c>
      <c r="E804">
        <v>265.85000000000002</v>
      </c>
      <c r="F804">
        <v>409</v>
      </c>
      <c r="G804">
        <v>306.75</v>
      </c>
      <c r="H804">
        <v>1</v>
      </c>
      <c r="I804">
        <v>1</v>
      </c>
    </row>
    <row r="805" spans="1:9" x14ac:dyDescent="0.25">
      <c r="A805">
        <v>804</v>
      </c>
      <c r="B805" s="40" t="s">
        <v>1894</v>
      </c>
      <c r="C805" s="40" t="s">
        <v>574</v>
      </c>
      <c r="D805">
        <v>10</v>
      </c>
      <c r="E805">
        <v>57.599999999999994</v>
      </c>
      <c r="F805">
        <v>80</v>
      </c>
      <c r="G805">
        <v>65.599999999999994</v>
      </c>
      <c r="H805">
        <v>1</v>
      </c>
      <c r="I805">
        <v>1</v>
      </c>
    </row>
    <row r="806" spans="1:9" x14ac:dyDescent="0.25">
      <c r="A806">
        <v>805</v>
      </c>
      <c r="B806" s="40" t="s">
        <v>1894</v>
      </c>
      <c r="C806" s="40" t="s">
        <v>575</v>
      </c>
      <c r="D806">
        <v>10</v>
      </c>
      <c r="E806">
        <v>162</v>
      </c>
      <c r="F806">
        <v>225</v>
      </c>
      <c r="G806">
        <v>184.5</v>
      </c>
      <c r="H806">
        <v>1</v>
      </c>
      <c r="I806">
        <v>1</v>
      </c>
    </row>
    <row r="807" spans="1:9" x14ac:dyDescent="0.25">
      <c r="A807">
        <v>806</v>
      </c>
      <c r="B807" s="40" t="s">
        <v>1894</v>
      </c>
      <c r="C807" s="40" t="s">
        <v>576</v>
      </c>
      <c r="D807">
        <v>10</v>
      </c>
      <c r="E807">
        <v>97.2</v>
      </c>
      <c r="F807">
        <v>135</v>
      </c>
      <c r="G807">
        <v>110.69999999999999</v>
      </c>
      <c r="H807">
        <v>1</v>
      </c>
      <c r="I807">
        <v>1</v>
      </c>
    </row>
    <row r="808" spans="1:9" x14ac:dyDescent="0.25">
      <c r="A808">
        <v>807</v>
      </c>
      <c r="B808" s="40" t="s">
        <v>577</v>
      </c>
      <c r="C808" s="40" t="s">
        <v>578</v>
      </c>
      <c r="D808">
        <v>10</v>
      </c>
      <c r="E808">
        <v>179</v>
      </c>
      <c r="F808">
        <v>358</v>
      </c>
      <c r="G808">
        <v>214.79999999999998</v>
      </c>
      <c r="H808">
        <v>1</v>
      </c>
      <c r="I808">
        <v>1</v>
      </c>
    </row>
    <row r="809" spans="1:9" x14ac:dyDescent="0.25">
      <c r="A809">
        <v>808</v>
      </c>
      <c r="B809" s="40" t="s">
        <v>577</v>
      </c>
      <c r="C809" s="40" t="s">
        <v>579</v>
      </c>
      <c r="D809">
        <v>10</v>
      </c>
      <c r="E809">
        <v>306.5</v>
      </c>
      <c r="F809">
        <v>613</v>
      </c>
      <c r="G809">
        <v>367.8</v>
      </c>
      <c r="H809">
        <v>1</v>
      </c>
      <c r="I809">
        <v>1</v>
      </c>
    </row>
    <row r="810" spans="1:9" x14ac:dyDescent="0.25">
      <c r="A810">
        <v>809</v>
      </c>
      <c r="B810" s="40" t="s">
        <v>577</v>
      </c>
      <c r="C810" s="40" t="s">
        <v>1664</v>
      </c>
      <c r="D810">
        <v>10</v>
      </c>
      <c r="E810">
        <v>126.14000000000001</v>
      </c>
      <c r="F810">
        <v>371</v>
      </c>
      <c r="G810">
        <v>163.24</v>
      </c>
      <c r="H810">
        <v>1</v>
      </c>
      <c r="I810">
        <v>1</v>
      </c>
    </row>
    <row r="811" spans="1:9" x14ac:dyDescent="0.25">
      <c r="A811">
        <v>810</v>
      </c>
      <c r="B811" s="40" t="s">
        <v>577</v>
      </c>
      <c r="C811" s="40" t="s">
        <v>1665</v>
      </c>
      <c r="D811">
        <v>10</v>
      </c>
      <c r="E811">
        <v>57.120000000000005</v>
      </c>
      <c r="F811">
        <v>168</v>
      </c>
      <c r="G811">
        <v>73.920000000000016</v>
      </c>
      <c r="H811">
        <v>1</v>
      </c>
      <c r="I811">
        <v>1</v>
      </c>
    </row>
    <row r="812" spans="1:9" x14ac:dyDescent="0.25">
      <c r="A812">
        <v>811</v>
      </c>
      <c r="B812" s="40" t="s">
        <v>577</v>
      </c>
      <c r="C812" s="40" t="s">
        <v>1666</v>
      </c>
      <c r="D812">
        <v>10</v>
      </c>
      <c r="E812">
        <v>105.4</v>
      </c>
      <c r="F812">
        <v>310</v>
      </c>
      <c r="G812">
        <v>136.4</v>
      </c>
      <c r="H812">
        <v>1</v>
      </c>
      <c r="I812">
        <v>1</v>
      </c>
    </row>
    <row r="813" spans="1:9" x14ac:dyDescent="0.25">
      <c r="A813">
        <v>812</v>
      </c>
      <c r="B813" s="40" t="s">
        <v>577</v>
      </c>
      <c r="C813" s="40" t="s">
        <v>580</v>
      </c>
      <c r="D813">
        <v>10</v>
      </c>
      <c r="E813">
        <v>144.16</v>
      </c>
      <c r="F813">
        <v>424</v>
      </c>
      <c r="G813">
        <v>186.56000000000003</v>
      </c>
      <c r="H813">
        <v>1</v>
      </c>
      <c r="I813">
        <v>1</v>
      </c>
    </row>
    <row r="814" spans="1:9" x14ac:dyDescent="0.25">
      <c r="A814">
        <v>813</v>
      </c>
      <c r="B814" s="40" t="s">
        <v>577</v>
      </c>
      <c r="C814" s="40" t="s">
        <v>581</v>
      </c>
      <c r="D814">
        <v>10</v>
      </c>
      <c r="E814">
        <v>327.5</v>
      </c>
      <c r="F814">
        <v>655</v>
      </c>
      <c r="G814">
        <v>393</v>
      </c>
      <c r="H814">
        <v>1</v>
      </c>
      <c r="I814">
        <v>1</v>
      </c>
    </row>
    <row r="815" spans="1:9" x14ac:dyDescent="0.25">
      <c r="A815">
        <v>814</v>
      </c>
      <c r="B815" s="40" t="s">
        <v>577</v>
      </c>
      <c r="C815" s="40" t="s">
        <v>582</v>
      </c>
      <c r="D815">
        <v>10</v>
      </c>
      <c r="E815">
        <v>71.674999999999997</v>
      </c>
      <c r="F815">
        <v>143.35</v>
      </c>
      <c r="G815">
        <v>86.009999999999991</v>
      </c>
      <c r="H815">
        <v>1</v>
      </c>
      <c r="I815">
        <v>1</v>
      </c>
    </row>
    <row r="816" spans="1:9" x14ac:dyDescent="0.25">
      <c r="A816">
        <v>815</v>
      </c>
      <c r="B816" s="40" t="s">
        <v>577</v>
      </c>
      <c r="C816" s="40" t="s">
        <v>1165</v>
      </c>
      <c r="D816">
        <v>10</v>
      </c>
      <c r="E816">
        <v>1905</v>
      </c>
      <c r="F816">
        <v>3810</v>
      </c>
      <c r="G816">
        <v>2286</v>
      </c>
      <c r="H816">
        <v>1</v>
      </c>
      <c r="I816">
        <v>1</v>
      </c>
    </row>
    <row r="817" spans="1:9" x14ac:dyDescent="0.25">
      <c r="A817">
        <v>816</v>
      </c>
      <c r="B817" s="40" t="s">
        <v>577</v>
      </c>
      <c r="C817" s="40" t="s">
        <v>583</v>
      </c>
      <c r="D817">
        <v>10</v>
      </c>
      <c r="E817">
        <v>125</v>
      </c>
      <c r="F817">
        <v>250</v>
      </c>
      <c r="G817">
        <v>150</v>
      </c>
      <c r="H817">
        <v>1</v>
      </c>
      <c r="I817">
        <v>1</v>
      </c>
    </row>
    <row r="818" spans="1:9" x14ac:dyDescent="0.25">
      <c r="A818">
        <v>817</v>
      </c>
      <c r="B818" s="40" t="s">
        <v>577</v>
      </c>
      <c r="C818" s="40" t="s">
        <v>1667</v>
      </c>
      <c r="D818">
        <v>10</v>
      </c>
      <c r="E818">
        <v>737</v>
      </c>
      <c r="F818">
        <v>1474</v>
      </c>
      <c r="G818">
        <v>884.4</v>
      </c>
      <c r="H818">
        <v>1</v>
      </c>
      <c r="I818">
        <v>1</v>
      </c>
    </row>
    <row r="819" spans="1:9" x14ac:dyDescent="0.25">
      <c r="A819">
        <v>818</v>
      </c>
      <c r="B819" s="40" t="s">
        <v>584</v>
      </c>
      <c r="C819" s="40" t="s">
        <v>585</v>
      </c>
      <c r="D819">
        <v>10</v>
      </c>
      <c r="E819">
        <v>75.179999999999993</v>
      </c>
      <c r="F819">
        <v>179</v>
      </c>
      <c r="G819">
        <v>93.08</v>
      </c>
      <c r="H819">
        <v>1</v>
      </c>
      <c r="I819">
        <v>1</v>
      </c>
    </row>
    <row r="820" spans="1:9" x14ac:dyDescent="0.25">
      <c r="A820">
        <v>819</v>
      </c>
      <c r="B820" s="40" t="s">
        <v>584</v>
      </c>
      <c r="C820" s="40" t="s">
        <v>586</v>
      </c>
      <c r="D820">
        <v>10</v>
      </c>
      <c r="E820">
        <v>116.33999999999999</v>
      </c>
      <c r="F820">
        <v>277</v>
      </c>
      <c r="G820">
        <v>144.04</v>
      </c>
      <c r="H820">
        <v>1</v>
      </c>
      <c r="I820">
        <v>1</v>
      </c>
    </row>
    <row r="821" spans="1:9" x14ac:dyDescent="0.25">
      <c r="A821">
        <v>820</v>
      </c>
      <c r="B821" s="40" t="s">
        <v>584</v>
      </c>
      <c r="C821" s="40" t="s">
        <v>1505</v>
      </c>
      <c r="D821">
        <v>10</v>
      </c>
      <c r="E821">
        <v>137.76</v>
      </c>
      <c r="F821">
        <v>328</v>
      </c>
      <c r="G821">
        <v>170.56</v>
      </c>
      <c r="H821">
        <v>1</v>
      </c>
      <c r="I821">
        <v>1</v>
      </c>
    </row>
    <row r="822" spans="1:9" x14ac:dyDescent="0.25">
      <c r="A822">
        <v>821</v>
      </c>
      <c r="B822" s="40" t="s">
        <v>584</v>
      </c>
      <c r="C822" s="40" t="s">
        <v>587</v>
      </c>
      <c r="D822">
        <v>10</v>
      </c>
      <c r="E822">
        <v>23.5032</v>
      </c>
      <c r="F822">
        <v>55.96</v>
      </c>
      <c r="G822">
        <v>29.0992</v>
      </c>
      <c r="H822">
        <v>1</v>
      </c>
      <c r="I822">
        <v>1</v>
      </c>
    </row>
    <row r="823" spans="1:9" x14ac:dyDescent="0.25">
      <c r="A823">
        <v>822</v>
      </c>
      <c r="B823" s="40" t="s">
        <v>584</v>
      </c>
      <c r="C823" s="40" t="s">
        <v>588</v>
      </c>
      <c r="D823">
        <v>10</v>
      </c>
      <c r="E823">
        <v>43.68</v>
      </c>
      <c r="F823">
        <v>104</v>
      </c>
      <c r="G823">
        <v>54.08</v>
      </c>
      <c r="H823">
        <v>1</v>
      </c>
      <c r="I823">
        <v>1</v>
      </c>
    </row>
    <row r="824" spans="1:9" x14ac:dyDescent="0.25">
      <c r="A824">
        <v>823</v>
      </c>
      <c r="B824" s="40" t="s">
        <v>584</v>
      </c>
      <c r="C824" s="40" t="s">
        <v>589</v>
      </c>
      <c r="D824">
        <v>10</v>
      </c>
      <c r="E824">
        <v>101.64</v>
      </c>
      <c r="F824">
        <v>242</v>
      </c>
      <c r="G824">
        <v>125.84</v>
      </c>
      <c r="H824">
        <v>1</v>
      </c>
      <c r="I824">
        <v>1</v>
      </c>
    </row>
    <row r="825" spans="1:9" x14ac:dyDescent="0.25">
      <c r="A825">
        <v>824</v>
      </c>
      <c r="B825" s="40" t="s">
        <v>584</v>
      </c>
      <c r="C825" s="40" t="s">
        <v>590</v>
      </c>
      <c r="D825">
        <v>10</v>
      </c>
      <c r="E825">
        <v>59.22</v>
      </c>
      <c r="F825">
        <v>141</v>
      </c>
      <c r="G825">
        <v>73.320000000000007</v>
      </c>
      <c r="H825">
        <v>1</v>
      </c>
      <c r="I825">
        <v>1</v>
      </c>
    </row>
    <row r="826" spans="1:9" x14ac:dyDescent="0.25">
      <c r="A826">
        <v>825</v>
      </c>
      <c r="B826" s="40" t="s">
        <v>584</v>
      </c>
      <c r="C826" s="40" t="s">
        <v>591</v>
      </c>
      <c r="D826">
        <v>10</v>
      </c>
      <c r="E826">
        <v>149.1</v>
      </c>
      <c r="F826">
        <v>355</v>
      </c>
      <c r="G826">
        <v>184.6</v>
      </c>
      <c r="H826">
        <v>1</v>
      </c>
      <c r="I826">
        <v>1</v>
      </c>
    </row>
    <row r="827" spans="1:9" x14ac:dyDescent="0.25">
      <c r="A827">
        <v>826</v>
      </c>
      <c r="B827" s="40" t="s">
        <v>584</v>
      </c>
      <c r="C827" s="40" t="s">
        <v>592</v>
      </c>
      <c r="D827">
        <v>10</v>
      </c>
      <c r="E827">
        <v>16.547999999999998</v>
      </c>
      <c r="F827">
        <v>39.4</v>
      </c>
      <c r="G827">
        <v>20.488</v>
      </c>
      <c r="H827">
        <v>1</v>
      </c>
      <c r="I827">
        <v>1</v>
      </c>
    </row>
    <row r="828" spans="1:9" x14ac:dyDescent="0.25">
      <c r="A828">
        <v>827</v>
      </c>
      <c r="B828" s="40" t="s">
        <v>584</v>
      </c>
      <c r="C828" s="40" t="s">
        <v>593</v>
      </c>
      <c r="D828">
        <v>10</v>
      </c>
      <c r="E828">
        <v>155.4</v>
      </c>
      <c r="F828">
        <v>370</v>
      </c>
      <c r="G828">
        <v>192.4</v>
      </c>
      <c r="H828">
        <v>1</v>
      </c>
      <c r="I828">
        <v>1</v>
      </c>
    </row>
    <row r="829" spans="1:9" x14ac:dyDescent="0.25">
      <c r="A829">
        <v>828</v>
      </c>
      <c r="B829" s="40" t="s">
        <v>584</v>
      </c>
      <c r="C829" s="40" t="s">
        <v>1507</v>
      </c>
      <c r="D829">
        <v>10</v>
      </c>
      <c r="E829">
        <v>252</v>
      </c>
      <c r="F829">
        <v>600</v>
      </c>
      <c r="G829">
        <v>312</v>
      </c>
      <c r="H829">
        <v>1</v>
      </c>
      <c r="I829">
        <v>1</v>
      </c>
    </row>
    <row r="830" spans="1:9" x14ac:dyDescent="0.25">
      <c r="A830">
        <v>829</v>
      </c>
      <c r="B830" s="40" t="s">
        <v>584</v>
      </c>
      <c r="C830" s="40" t="s">
        <v>594</v>
      </c>
      <c r="D830">
        <v>10</v>
      </c>
      <c r="E830">
        <v>388.91999999999996</v>
      </c>
      <c r="F830">
        <v>926</v>
      </c>
      <c r="G830">
        <v>481.52000000000004</v>
      </c>
      <c r="H830">
        <v>1</v>
      </c>
      <c r="I830">
        <v>1</v>
      </c>
    </row>
    <row r="831" spans="1:9" x14ac:dyDescent="0.25">
      <c r="A831">
        <v>830</v>
      </c>
      <c r="B831" s="40" t="s">
        <v>584</v>
      </c>
      <c r="C831" s="40" t="s">
        <v>1506</v>
      </c>
      <c r="D831">
        <v>10</v>
      </c>
      <c r="E831">
        <v>49.14</v>
      </c>
      <c r="F831">
        <v>117</v>
      </c>
      <c r="G831">
        <v>60.84</v>
      </c>
      <c r="H831">
        <v>1</v>
      </c>
      <c r="I831">
        <v>1</v>
      </c>
    </row>
    <row r="832" spans="1:9" x14ac:dyDescent="0.25">
      <c r="A832">
        <v>831</v>
      </c>
      <c r="B832" s="40" t="s">
        <v>584</v>
      </c>
      <c r="C832" s="40" t="s">
        <v>595</v>
      </c>
      <c r="D832">
        <v>10</v>
      </c>
      <c r="E832">
        <v>70.14</v>
      </c>
      <c r="F832">
        <v>167</v>
      </c>
      <c r="G832">
        <v>86.84</v>
      </c>
      <c r="H832">
        <v>1</v>
      </c>
      <c r="I832">
        <v>1</v>
      </c>
    </row>
    <row r="833" spans="1:9" x14ac:dyDescent="0.25">
      <c r="A833">
        <v>832</v>
      </c>
      <c r="B833" s="40" t="s">
        <v>584</v>
      </c>
      <c r="C833" s="40" t="s">
        <v>596</v>
      </c>
      <c r="D833">
        <v>10</v>
      </c>
      <c r="E833">
        <v>44.519999999999996</v>
      </c>
      <c r="F833">
        <v>106</v>
      </c>
      <c r="G833">
        <v>55.120000000000005</v>
      </c>
      <c r="H833">
        <v>1</v>
      </c>
      <c r="I833">
        <v>1</v>
      </c>
    </row>
    <row r="834" spans="1:9" x14ac:dyDescent="0.25">
      <c r="A834">
        <v>833</v>
      </c>
      <c r="B834" s="40" t="s">
        <v>584</v>
      </c>
      <c r="C834" s="40" t="s">
        <v>597</v>
      </c>
      <c r="D834">
        <v>10</v>
      </c>
      <c r="E834">
        <v>60.9</v>
      </c>
      <c r="F834">
        <v>145</v>
      </c>
      <c r="G834">
        <v>75.400000000000006</v>
      </c>
      <c r="H834">
        <v>1</v>
      </c>
      <c r="I834">
        <v>1</v>
      </c>
    </row>
    <row r="835" spans="1:9" x14ac:dyDescent="0.25">
      <c r="A835">
        <v>834</v>
      </c>
      <c r="B835" s="40" t="s">
        <v>584</v>
      </c>
      <c r="C835" s="40" t="s">
        <v>1508</v>
      </c>
      <c r="D835">
        <v>10</v>
      </c>
      <c r="E835">
        <v>132.72</v>
      </c>
      <c r="F835">
        <v>316</v>
      </c>
      <c r="G835">
        <v>164.32</v>
      </c>
      <c r="H835">
        <v>1</v>
      </c>
      <c r="I835">
        <v>1</v>
      </c>
    </row>
    <row r="836" spans="1:9" x14ac:dyDescent="0.25">
      <c r="A836">
        <v>835</v>
      </c>
      <c r="B836" s="40" t="s">
        <v>584</v>
      </c>
      <c r="C836" s="40" t="s">
        <v>1518</v>
      </c>
      <c r="D836">
        <v>10</v>
      </c>
      <c r="E836">
        <v>97.02</v>
      </c>
      <c r="F836">
        <v>231</v>
      </c>
      <c r="G836">
        <v>120.12</v>
      </c>
      <c r="H836">
        <v>1</v>
      </c>
      <c r="I836">
        <v>1</v>
      </c>
    </row>
    <row r="837" spans="1:9" x14ac:dyDescent="0.25">
      <c r="A837">
        <v>836</v>
      </c>
      <c r="B837" s="40" t="s">
        <v>584</v>
      </c>
      <c r="C837" s="40" t="s">
        <v>598</v>
      </c>
      <c r="D837">
        <v>10</v>
      </c>
      <c r="E837">
        <v>105.42</v>
      </c>
      <c r="F837">
        <v>251</v>
      </c>
      <c r="G837">
        <v>130.52000000000001</v>
      </c>
      <c r="H837">
        <v>1</v>
      </c>
      <c r="I837">
        <v>1</v>
      </c>
    </row>
    <row r="838" spans="1:9" x14ac:dyDescent="0.25">
      <c r="A838">
        <v>837</v>
      </c>
      <c r="B838" s="40" t="s">
        <v>584</v>
      </c>
      <c r="C838" s="40" t="s">
        <v>599</v>
      </c>
      <c r="D838">
        <v>10</v>
      </c>
      <c r="E838">
        <v>49.559999999999995</v>
      </c>
      <c r="F838">
        <v>118</v>
      </c>
      <c r="G838">
        <v>61.36</v>
      </c>
      <c r="H838">
        <v>1</v>
      </c>
      <c r="I838">
        <v>1</v>
      </c>
    </row>
    <row r="839" spans="1:9" x14ac:dyDescent="0.25">
      <c r="A839">
        <v>838</v>
      </c>
      <c r="B839" s="40" t="s">
        <v>584</v>
      </c>
      <c r="C839" s="40" t="s">
        <v>600</v>
      </c>
      <c r="D839">
        <v>10</v>
      </c>
      <c r="E839">
        <v>30.344999999999999</v>
      </c>
      <c r="F839">
        <v>72.25</v>
      </c>
      <c r="G839">
        <v>37.57</v>
      </c>
      <c r="H839">
        <v>1</v>
      </c>
      <c r="I839">
        <v>1</v>
      </c>
    </row>
    <row r="840" spans="1:9" x14ac:dyDescent="0.25">
      <c r="A840">
        <v>839</v>
      </c>
      <c r="B840" s="40" t="s">
        <v>584</v>
      </c>
      <c r="C840" s="40" t="s">
        <v>601</v>
      </c>
      <c r="D840">
        <v>10</v>
      </c>
      <c r="E840">
        <v>19.298999999999999</v>
      </c>
      <c r="F840">
        <v>45.95</v>
      </c>
      <c r="G840">
        <v>23.894000000000002</v>
      </c>
      <c r="H840">
        <v>1</v>
      </c>
      <c r="I840">
        <v>1</v>
      </c>
    </row>
    <row r="841" spans="1:9" x14ac:dyDescent="0.25">
      <c r="A841">
        <v>840</v>
      </c>
      <c r="B841" s="40" t="s">
        <v>584</v>
      </c>
      <c r="C841" s="40" t="s">
        <v>602</v>
      </c>
      <c r="D841">
        <v>10</v>
      </c>
      <c r="E841">
        <v>19.698</v>
      </c>
      <c r="F841">
        <v>46.9</v>
      </c>
      <c r="G841">
        <v>24.388000000000002</v>
      </c>
      <c r="H841">
        <v>1</v>
      </c>
      <c r="I841">
        <v>1</v>
      </c>
    </row>
    <row r="842" spans="1:9" x14ac:dyDescent="0.25">
      <c r="A842">
        <v>841</v>
      </c>
      <c r="B842" s="40" t="s">
        <v>584</v>
      </c>
      <c r="C842" s="40" t="s">
        <v>1517</v>
      </c>
      <c r="D842">
        <v>10</v>
      </c>
      <c r="E842">
        <v>179.76</v>
      </c>
      <c r="F842">
        <v>428</v>
      </c>
      <c r="G842">
        <v>222.56</v>
      </c>
      <c r="H842">
        <v>1</v>
      </c>
      <c r="I842">
        <v>1</v>
      </c>
    </row>
    <row r="843" spans="1:9" x14ac:dyDescent="0.25">
      <c r="A843">
        <v>842</v>
      </c>
      <c r="B843" s="40" t="s">
        <v>584</v>
      </c>
      <c r="C843" s="40" t="s">
        <v>603</v>
      </c>
      <c r="D843">
        <v>10</v>
      </c>
      <c r="E843">
        <v>97.02</v>
      </c>
      <c r="F843">
        <v>231</v>
      </c>
      <c r="G843">
        <v>120.12</v>
      </c>
      <c r="H843">
        <v>1</v>
      </c>
      <c r="I843">
        <v>1</v>
      </c>
    </row>
    <row r="844" spans="1:9" x14ac:dyDescent="0.25">
      <c r="A844">
        <v>843</v>
      </c>
      <c r="B844" s="40" t="s">
        <v>584</v>
      </c>
      <c r="C844" s="40" t="s">
        <v>604</v>
      </c>
      <c r="D844">
        <v>10</v>
      </c>
      <c r="E844">
        <v>24.234000000000002</v>
      </c>
      <c r="F844">
        <v>57.7</v>
      </c>
      <c r="G844">
        <v>30.004000000000001</v>
      </c>
      <c r="H844">
        <v>1</v>
      </c>
      <c r="I844">
        <v>1</v>
      </c>
    </row>
    <row r="845" spans="1:9" x14ac:dyDescent="0.25">
      <c r="A845">
        <v>844</v>
      </c>
      <c r="B845" s="40" t="s">
        <v>584</v>
      </c>
      <c r="C845" s="40" t="s">
        <v>607</v>
      </c>
      <c r="D845">
        <v>10</v>
      </c>
      <c r="E845">
        <v>39.6</v>
      </c>
      <c r="F845">
        <v>88</v>
      </c>
      <c r="G845">
        <v>48.400000000000006</v>
      </c>
      <c r="H845">
        <v>1</v>
      </c>
      <c r="I845">
        <v>1</v>
      </c>
    </row>
    <row r="846" spans="1:9" x14ac:dyDescent="0.25">
      <c r="A846">
        <v>845</v>
      </c>
      <c r="B846" s="40" t="s">
        <v>584</v>
      </c>
      <c r="C846" s="40" t="s">
        <v>606</v>
      </c>
      <c r="D846">
        <v>10</v>
      </c>
      <c r="E846">
        <v>154.80000000000001</v>
      </c>
      <c r="F846">
        <v>344</v>
      </c>
      <c r="G846">
        <v>189.20000000000002</v>
      </c>
      <c r="H846">
        <v>1</v>
      </c>
      <c r="I846">
        <v>1</v>
      </c>
    </row>
    <row r="847" spans="1:9" x14ac:dyDescent="0.25">
      <c r="A847">
        <v>846</v>
      </c>
      <c r="B847" s="40" t="s">
        <v>584</v>
      </c>
      <c r="C847" s="40" t="s">
        <v>1509</v>
      </c>
      <c r="D847">
        <v>10</v>
      </c>
      <c r="E847">
        <v>652.05000000000007</v>
      </c>
      <c r="F847">
        <v>1449</v>
      </c>
      <c r="G847">
        <v>796.95</v>
      </c>
      <c r="H847">
        <v>1</v>
      </c>
      <c r="I847">
        <v>1</v>
      </c>
    </row>
    <row r="848" spans="1:9" x14ac:dyDescent="0.25">
      <c r="A848">
        <v>847</v>
      </c>
      <c r="B848" s="40" t="s">
        <v>584</v>
      </c>
      <c r="C848" s="40" t="s">
        <v>605</v>
      </c>
      <c r="D848">
        <v>10</v>
      </c>
      <c r="E848">
        <v>57.54</v>
      </c>
      <c r="F848">
        <v>137</v>
      </c>
      <c r="G848">
        <v>71.240000000000009</v>
      </c>
      <c r="H848">
        <v>1</v>
      </c>
      <c r="I848">
        <v>1</v>
      </c>
    </row>
    <row r="849" spans="1:9" x14ac:dyDescent="0.25">
      <c r="A849">
        <v>848</v>
      </c>
      <c r="B849" s="40" t="s">
        <v>584</v>
      </c>
      <c r="C849" s="40" t="s">
        <v>608</v>
      </c>
      <c r="D849">
        <v>10</v>
      </c>
      <c r="E849">
        <v>96.179999999999993</v>
      </c>
      <c r="F849">
        <v>229</v>
      </c>
      <c r="G849">
        <v>119.08</v>
      </c>
      <c r="H849">
        <v>1</v>
      </c>
      <c r="I849">
        <v>1</v>
      </c>
    </row>
    <row r="850" spans="1:9" x14ac:dyDescent="0.25">
      <c r="A850">
        <v>849</v>
      </c>
      <c r="B850" s="40" t="s">
        <v>584</v>
      </c>
      <c r="C850" s="40" t="s">
        <v>609</v>
      </c>
      <c r="D850">
        <v>10</v>
      </c>
      <c r="E850">
        <v>64.259999999999991</v>
      </c>
      <c r="F850">
        <v>153</v>
      </c>
      <c r="G850">
        <v>79.56</v>
      </c>
      <c r="H850">
        <v>1</v>
      </c>
      <c r="I850">
        <v>1</v>
      </c>
    </row>
    <row r="851" spans="1:9" x14ac:dyDescent="0.25">
      <c r="A851">
        <v>850</v>
      </c>
      <c r="B851" s="40" t="s">
        <v>584</v>
      </c>
      <c r="C851" s="40" t="s">
        <v>610</v>
      </c>
      <c r="D851">
        <v>10</v>
      </c>
      <c r="E851">
        <v>6.0311999999999992</v>
      </c>
      <c r="F851">
        <v>14.36</v>
      </c>
      <c r="G851">
        <v>7.4672000000000001</v>
      </c>
      <c r="H851">
        <v>1</v>
      </c>
      <c r="I851">
        <v>1</v>
      </c>
    </row>
    <row r="852" spans="1:9" x14ac:dyDescent="0.25">
      <c r="A852">
        <v>851</v>
      </c>
      <c r="B852" s="40" t="s">
        <v>584</v>
      </c>
      <c r="C852" s="40" t="s">
        <v>611</v>
      </c>
      <c r="D852">
        <v>10</v>
      </c>
      <c r="E852">
        <v>7.4088000000000003</v>
      </c>
      <c r="F852">
        <v>17.64</v>
      </c>
      <c r="G852">
        <v>9.1728000000000005</v>
      </c>
      <c r="H852">
        <v>1</v>
      </c>
      <c r="I852">
        <v>1</v>
      </c>
    </row>
    <row r="853" spans="1:9" x14ac:dyDescent="0.25">
      <c r="A853">
        <v>852</v>
      </c>
      <c r="B853" s="40" t="s">
        <v>584</v>
      </c>
      <c r="C853" s="40" t="s">
        <v>612</v>
      </c>
      <c r="D853">
        <v>10</v>
      </c>
      <c r="E853">
        <v>24.275999999999996</v>
      </c>
      <c r="F853">
        <v>57.8</v>
      </c>
      <c r="G853">
        <v>30.056000000000001</v>
      </c>
      <c r="H853">
        <v>1</v>
      </c>
      <c r="I853">
        <v>1</v>
      </c>
    </row>
    <row r="854" spans="1:9" x14ac:dyDescent="0.25">
      <c r="A854">
        <v>853</v>
      </c>
      <c r="B854" s="40" t="s">
        <v>584</v>
      </c>
      <c r="C854" s="40" t="s">
        <v>1514</v>
      </c>
      <c r="D854">
        <v>10</v>
      </c>
      <c r="E854">
        <v>31.05</v>
      </c>
      <c r="F854">
        <v>69</v>
      </c>
      <c r="G854">
        <v>37.950000000000003</v>
      </c>
      <c r="H854">
        <v>1</v>
      </c>
      <c r="I854">
        <v>1</v>
      </c>
    </row>
    <row r="855" spans="1:9" x14ac:dyDescent="0.25">
      <c r="A855">
        <v>854</v>
      </c>
      <c r="B855" s="40" t="s">
        <v>584</v>
      </c>
      <c r="C855" s="40" t="s">
        <v>1515</v>
      </c>
      <c r="D855">
        <v>10</v>
      </c>
      <c r="E855">
        <v>127.8</v>
      </c>
      <c r="F855">
        <v>284</v>
      </c>
      <c r="G855">
        <v>156.20000000000002</v>
      </c>
      <c r="H855">
        <v>1</v>
      </c>
      <c r="I855">
        <v>1</v>
      </c>
    </row>
    <row r="856" spans="1:9" x14ac:dyDescent="0.25">
      <c r="A856">
        <v>855</v>
      </c>
      <c r="B856" s="40" t="s">
        <v>584</v>
      </c>
      <c r="C856" s="40" t="s">
        <v>1516</v>
      </c>
      <c r="D856">
        <v>10</v>
      </c>
      <c r="E856">
        <v>501.3</v>
      </c>
      <c r="F856">
        <v>1114</v>
      </c>
      <c r="G856">
        <v>612.70000000000005</v>
      </c>
      <c r="H856">
        <v>1</v>
      </c>
      <c r="I856">
        <v>1</v>
      </c>
    </row>
    <row r="857" spans="1:9" x14ac:dyDescent="0.25">
      <c r="A857">
        <v>856</v>
      </c>
      <c r="B857" s="40" t="s">
        <v>584</v>
      </c>
      <c r="C857" s="40" t="s">
        <v>613</v>
      </c>
      <c r="D857">
        <v>10</v>
      </c>
      <c r="E857">
        <v>5.0985000000000005</v>
      </c>
      <c r="F857">
        <v>11.33</v>
      </c>
      <c r="G857">
        <v>6.2315000000000005</v>
      </c>
      <c r="H857">
        <v>1</v>
      </c>
      <c r="I857">
        <v>1</v>
      </c>
    </row>
    <row r="858" spans="1:9" x14ac:dyDescent="0.25">
      <c r="A858">
        <v>857</v>
      </c>
      <c r="B858" s="40" t="s">
        <v>584</v>
      </c>
      <c r="C858" s="40" t="s">
        <v>614</v>
      </c>
      <c r="D858">
        <v>10</v>
      </c>
      <c r="E858">
        <v>30.330000000000002</v>
      </c>
      <c r="F858">
        <v>67.400000000000006</v>
      </c>
      <c r="G858">
        <v>37.070000000000007</v>
      </c>
      <c r="H858">
        <v>1</v>
      </c>
      <c r="I858">
        <v>1</v>
      </c>
    </row>
    <row r="859" spans="1:9" x14ac:dyDescent="0.25">
      <c r="A859">
        <v>858</v>
      </c>
      <c r="B859" s="40" t="s">
        <v>584</v>
      </c>
      <c r="C859" s="40" t="s">
        <v>615</v>
      </c>
      <c r="D859">
        <v>10</v>
      </c>
      <c r="E859">
        <v>81.30149999999999</v>
      </c>
      <c r="F859">
        <v>180.67</v>
      </c>
      <c r="G859">
        <v>99.368499999999997</v>
      </c>
      <c r="H859">
        <v>1</v>
      </c>
      <c r="I859">
        <v>1</v>
      </c>
    </row>
    <row r="860" spans="1:9" x14ac:dyDescent="0.25">
      <c r="A860">
        <v>859</v>
      </c>
      <c r="B860" s="40" t="s">
        <v>584</v>
      </c>
      <c r="C860" s="40" t="s">
        <v>616</v>
      </c>
      <c r="D860">
        <v>10</v>
      </c>
      <c r="E860">
        <v>160.65</v>
      </c>
      <c r="F860">
        <v>357</v>
      </c>
      <c r="G860">
        <v>196.35000000000002</v>
      </c>
      <c r="H860">
        <v>1</v>
      </c>
      <c r="I860">
        <v>1</v>
      </c>
    </row>
    <row r="861" spans="1:9" x14ac:dyDescent="0.25">
      <c r="A861">
        <v>860</v>
      </c>
      <c r="B861" s="40" t="s">
        <v>584</v>
      </c>
      <c r="C861" s="40" t="s">
        <v>618</v>
      </c>
      <c r="D861">
        <v>10</v>
      </c>
      <c r="E861">
        <v>237.6</v>
      </c>
      <c r="F861">
        <v>528</v>
      </c>
      <c r="G861">
        <v>290.40000000000003</v>
      </c>
      <c r="H861">
        <v>1</v>
      </c>
      <c r="I861">
        <v>1</v>
      </c>
    </row>
    <row r="862" spans="1:9" x14ac:dyDescent="0.25">
      <c r="A862">
        <v>861</v>
      </c>
      <c r="B862" s="40" t="s">
        <v>584</v>
      </c>
      <c r="C862" s="40" t="s">
        <v>619</v>
      </c>
      <c r="D862">
        <v>10</v>
      </c>
      <c r="E862">
        <v>38.430000000000007</v>
      </c>
      <c r="F862">
        <v>85.4</v>
      </c>
      <c r="G862">
        <v>46.970000000000006</v>
      </c>
      <c r="H862">
        <v>1</v>
      </c>
      <c r="I862">
        <v>1</v>
      </c>
    </row>
    <row r="863" spans="1:9" x14ac:dyDescent="0.25">
      <c r="A863">
        <v>862</v>
      </c>
      <c r="B863" s="40" t="s">
        <v>584</v>
      </c>
      <c r="C863" s="40" t="s">
        <v>1510</v>
      </c>
      <c r="D863">
        <v>10</v>
      </c>
      <c r="E863">
        <v>22.275000000000002</v>
      </c>
      <c r="F863">
        <v>49.5</v>
      </c>
      <c r="G863">
        <v>27.225000000000001</v>
      </c>
      <c r="H863">
        <v>1</v>
      </c>
      <c r="I863">
        <v>1</v>
      </c>
    </row>
    <row r="864" spans="1:9" x14ac:dyDescent="0.25">
      <c r="A864">
        <v>863</v>
      </c>
      <c r="B864" s="40" t="s">
        <v>584</v>
      </c>
      <c r="C864" s="40" t="s">
        <v>1511</v>
      </c>
      <c r="D864">
        <v>10</v>
      </c>
      <c r="E864">
        <v>70.456500000000005</v>
      </c>
      <c r="F864">
        <v>156.57</v>
      </c>
      <c r="G864">
        <v>86.113500000000002</v>
      </c>
      <c r="H864">
        <v>1</v>
      </c>
      <c r="I864">
        <v>1</v>
      </c>
    </row>
    <row r="865" spans="1:9" x14ac:dyDescent="0.25">
      <c r="A865">
        <v>864</v>
      </c>
      <c r="B865" s="40" t="s">
        <v>584</v>
      </c>
      <c r="C865" s="40" t="s">
        <v>617</v>
      </c>
      <c r="D865">
        <v>10</v>
      </c>
      <c r="E865">
        <v>3.7755000000000005</v>
      </c>
      <c r="F865">
        <v>8.39</v>
      </c>
      <c r="G865">
        <v>4.6145000000000005</v>
      </c>
      <c r="H865">
        <v>1</v>
      </c>
      <c r="I865">
        <v>1</v>
      </c>
    </row>
    <row r="866" spans="1:9" x14ac:dyDescent="0.25">
      <c r="A866">
        <v>865</v>
      </c>
      <c r="B866" s="40" t="s">
        <v>584</v>
      </c>
      <c r="C866" s="40" t="s">
        <v>1512</v>
      </c>
      <c r="D866">
        <v>10</v>
      </c>
      <c r="E866">
        <v>19.4985</v>
      </c>
      <c r="F866">
        <v>43.33</v>
      </c>
      <c r="G866">
        <v>23.831500000000002</v>
      </c>
      <c r="H866">
        <v>1</v>
      </c>
      <c r="I866">
        <v>1</v>
      </c>
    </row>
    <row r="867" spans="1:9" x14ac:dyDescent="0.25">
      <c r="A867">
        <v>866</v>
      </c>
      <c r="B867" s="40" t="s">
        <v>584</v>
      </c>
      <c r="C867" s="40" t="s">
        <v>1513</v>
      </c>
      <c r="D867">
        <v>10</v>
      </c>
      <c r="E867">
        <v>60.826499999999996</v>
      </c>
      <c r="F867">
        <v>135.16999999999999</v>
      </c>
      <c r="G867">
        <v>74.343500000000006</v>
      </c>
      <c r="H867">
        <v>1</v>
      </c>
      <c r="I867">
        <v>1</v>
      </c>
    </row>
    <row r="868" spans="1:9" x14ac:dyDescent="0.25">
      <c r="A868">
        <v>867</v>
      </c>
      <c r="B868" s="40" t="s">
        <v>623</v>
      </c>
      <c r="C868" s="40" t="s">
        <v>520</v>
      </c>
      <c r="D868">
        <v>10</v>
      </c>
      <c r="E868">
        <v>38.133333333333333</v>
      </c>
      <c r="F868">
        <v>88</v>
      </c>
      <c r="G868">
        <v>44</v>
      </c>
      <c r="H868">
        <v>1</v>
      </c>
      <c r="I868">
        <v>1</v>
      </c>
    </row>
    <row r="869" spans="1:9" x14ac:dyDescent="0.25">
      <c r="A869">
        <v>868</v>
      </c>
      <c r="B869" s="40" t="s">
        <v>623</v>
      </c>
      <c r="C869" s="40" t="s">
        <v>1631</v>
      </c>
      <c r="D869">
        <v>10</v>
      </c>
      <c r="E869">
        <v>64.566666666666677</v>
      </c>
      <c r="F869">
        <v>149</v>
      </c>
      <c r="G869">
        <v>74.5</v>
      </c>
      <c r="H869">
        <v>1</v>
      </c>
      <c r="I869">
        <v>1</v>
      </c>
    </row>
    <row r="870" spans="1:9" x14ac:dyDescent="0.25">
      <c r="A870">
        <v>869</v>
      </c>
      <c r="B870" s="40" t="s">
        <v>623</v>
      </c>
      <c r="C870" s="40" t="s">
        <v>518</v>
      </c>
      <c r="D870">
        <v>10</v>
      </c>
      <c r="E870">
        <v>89.050000000000011</v>
      </c>
      <c r="F870">
        <v>205.5</v>
      </c>
      <c r="G870">
        <v>102.75</v>
      </c>
      <c r="H870">
        <v>1</v>
      </c>
      <c r="I870">
        <v>1</v>
      </c>
    </row>
    <row r="871" spans="1:9" x14ac:dyDescent="0.25">
      <c r="A871">
        <v>870</v>
      </c>
      <c r="B871" s="40" t="s">
        <v>623</v>
      </c>
      <c r="C871" s="40" t="s">
        <v>624</v>
      </c>
      <c r="D871">
        <v>10</v>
      </c>
      <c r="E871">
        <v>57.416666666666664</v>
      </c>
      <c r="F871">
        <v>132.5</v>
      </c>
      <c r="G871">
        <v>66.25</v>
      </c>
      <c r="H871">
        <v>1</v>
      </c>
      <c r="I871">
        <v>1</v>
      </c>
    </row>
    <row r="872" spans="1:9" x14ac:dyDescent="0.25">
      <c r="A872">
        <v>871</v>
      </c>
      <c r="B872" s="40" t="s">
        <v>623</v>
      </c>
      <c r="C872" s="40" t="s">
        <v>1232</v>
      </c>
      <c r="D872">
        <v>10</v>
      </c>
      <c r="E872">
        <v>238.54999999999998</v>
      </c>
      <c r="F872">
        <v>550.5</v>
      </c>
      <c r="G872">
        <v>275.25</v>
      </c>
      <c r="H872">
        <v>1</v>
      </c>
      <c r="I872">
        <v>1</v>
      </c>
    </row>
    <row r="873" spans="1:9" x14ac:dyDescent="0.25">
      <c r="A873">
        <v>872</v>
      </c>
      <c r="B873" s="40" t="s">
        <v>623</v>
      </c>
      <c r="C873" s="40" t="s">
        <v>1233</v>
      </c>
      <c r="D873">
        <v>10</v>
      </c>
      <c r="E873">
        <v>521.08333333333337</v>
      </c>
      <c r="F873">
        <v>1202.5</v>
      </c>
      <c r="G873">
        <v>601.25</v>
      </c>
      <c r="H873">
        <v>1</v>
      </c>
      <c r="I873">
        <v>1</v>
      </c>
    </row>
    <row r="874" spans="1:9" x14ac:dyDescent="0.25">
      <c r="A874">
        <v>873</v>
      </c>
      <c r="B874" s="40" t="s">
        <v>623</v>
      </c>
      <c r="C874" s="40" t="s">
        <v>1234</v>
      </c>
      <c r="D874">
        <v>10</v>
      </c>
      <c r="E874">
        <v>984.75</v>
      </c>
      <c r="F874">
        <v>2272.5</v>
      </c>
      <c r="G874">
        <v>1136.25</v>
      </c>
      <c r="H874">
        <v>1</v>
      </c>
      <c r="I874">
        <v>1</v>
      </c>
    </row>
    <row r="875" spans="1:9" x14ac:dyDescent="0.25">
      <c r="A875">
        <v>874</v>
      </c>
      <c r="B875" s="40" t="s">
        <v>623</v>
      </c>
      <c r="C875" s="40" t="s">
        <v>625</v>
      </c>
      <c r="D875">
        <v>10</v>
      </c>
      <c r="E875">
        <v>49.400000000000006</v>
      </c>
      <c r="F875">
        <v>114</v>
      </c>
      <c r="G875">
        <v>57</v>
      </c>
      <c r="H875">
        <v>1</v>
      </c>
      <c r="I875">
        <v>1</v>
      </c>
    </row>
    <row r="876" spans="1:9" x14ac:dyDescent="0.25">
      <c r="A876">
        <v>875</v>
      </c>
      <c r="B876" s="40" t="s">
        <v>623</v>
      </c>
      <c r="C876" s="40" t="s">
        <v>1231</v>
      </c>
      <c r="D876">
        <v>10</v>
      </c>
      <c r="E876">
        <v>91.433333333333337</v>
      </c>
      <c r="F876">
        <v>211</v>
      </c>
      <c r="G876">
        <v>105.5</v>
      </c>
      <c r="H876">
        <v>1</v>
      </c>
      <c r="I876">
        <v>1</v>
      </c>
    </row>
    <row r="877" spans="1:9" x14ac:dyDescent="0.25">
      <c r="A877">
        <v>876</v>
      </c>
      <c r="B877" s="40" t="s">
        <v>623</v>
      </c>
      <c r="C877" s="40" t="s">
        <v>626</v>
      </c>
      <c r="D877">
        <v>10</v>
      </c>
      <c r="E877">
        <v>195.43333333333337</v>
      </c>
      <c r="F877">
        <v>451</v>
      </c>
      <c r="G877">
        <v>225.5</v>
      </c>
      <c r="H877">
        <v>1</v>
      </c>
      <c r="I877">
        <v>1</v>
      </c>
    </row>
    <row r="878" spans="1:9" x14ac:dyDescent="0.25">
      <c r="A878">
        <v>877</v>
      </c>
      <c r="B878" s="40" t="s">
        <v>623</v>
      </c>
      <c r="C878" s="40" t="s">
        <v>1235</v>
      </c>
      <c r="D878">
        <v>10</v>
      </c>
      <c r="E878">
        <v>137.58333333333334</v>
      </c>
      <c r="F878">
        <v>317.5</v>
      </c>
      <c r="G878">
        <v>158.75</v>
      </c>
      <c r="H878">
        <v>1</v>
      </c>
      <c r="I878">
        <v>1</v>
      </c>
    </row>
    <row r="879" spans="1:9" x14ac:dyDescent="0.25">
      <c r="A879">
        <v>878</v>
      </c>
      <c r="B879" s="40" t="s">
        <v>623</v>
      </c>
      <c r="C879" s="40" t="s">
        <v>1236</v>
      </c>
      <c r="D879">
        <v>10</v>
      </c>
      <c r="E879">
        <v>298.13333333333333</v>
      </c>
      <c r="F879">
        <v>688</v>
      </c>
      <c r="G879">
        <v>344</v>
      </c>
      <c r="H879">
        <v>1</v>
      </c>
      <c r="I879">
        <v>1</v>
      </c>
    </row>
    <row r="880" spans="1:9" x14ac:dyDescent="0.25">
      <c r="A880">
        <v>879</v>
      </c>
      <c r="B880" s="40" t="s">
        <v>623</v>
      </c>
      <c r="C880" s="40" t="s">
        <v>1632</v>
      </c>
      <c r="D880">
        <v>10</v>
      </c>
      <c r="E880">
        <v>156.65</v>
      </c>
      <c r="F880">
        <v>361.5</v>
      </c>
      <c r="G880">
        <v>180.75</v>
      </c>
      <c r="H880">
        <v>1</v>
      </c>
      <c r="I880">
        <v>1</v>
      </c>
    </row>
    <row r="881" spans="1:9" x14ac:dyDescent="0.25">
      <c r="A881">
        <v>880</v>
      </c>
      <c r="B881" s="40" t="s">
        <v>623</v>
      </c>
      <c r="C881" s="40" t="s">
        <v>627</v>
      </c>
      <c r="D881">
        <v>10</v>
      </c>
      <c r="E881">
        <v>125.45</v>
      </c>
      <c r="F881">
        <v>289.5</v>
      </c>
      <c r="G881">
        <v>144.75</v>
      </c>
      <c r="H881">
        <v>1</v>
      </c>
      <c r="I881">
        <v>1</v>
      </c>
    </row>
    <row r="882" spans="1:9" x14ac:dyDescent="0.25">
      <c r="A882">
        <v>881</v>
      </c>
      <c r="B882" s="40" t="s">
        <v>623</v>
      </c>
      <c r="C882" s="40" t="s">
        <v>628</v>
      </c>
      <c r="D882">
        <v>10</v>
      </c>
      <c r="E882">
        <v>241.79999999999998</v>
      </c>
      <c r="F882">
        <v>558</v>
      </c>
      <c r="G882">
        <v>279</v>
      </c>
      <c r="H882">
        <v>1</v>
      </c>
      <c r="I882">
        <v>1</v>
      </c>
    </row>
    <row r="883" spans="1:9" x14ac:dyDescent="0.25">
      <c r="A883">
        <v>882</v>
      </c>
      <c r="B883" s="40" t="s">
        <v>623</v>
      </c>
      <c r="C883" s="40" t="s">
        <v>1237</v>
      </c>
      <c r="D883">
        <v>10</v>
      </c>
      <c r="E883">
        <v>34.016666666666666</v>
      </c>
      <c r="F883">
        <v>78.5</v>
      </c>
      <c r="G883">
        <v>39.25</v>
      </c>
      <c r="H883">
        <v>1</v>
      </c>
      <c r="I883">
        <v>1</v>
      </c>
    </row>
    <row r="884" spans="1:9" x14ac:dyDescent="0.25">
      <c r="A884">
        <v>883</v>
      </c>
      <c r="B884" s="40" t="s">
        <v>623</v>
      </c>
      <c r="C884" s="40" t="s">
        <v>1238</v>
      </c>
      <c r="D884">
        <v>10</v>
      </c>
      <c r="E884">
        <v>95.550000000000011</v>
      </c>
      <c r="F884">
        <v>220.5</v>
      </c>
      <c r="G884">
        <v>110.25</v>
      </c>
      <c r="H884">
        <v>1</v>
      </c>
      <c r="I884">
        <v>1</v>
      </c>
    </row>
    <row r="885" spans="1:9" x14ac:dyDescent="0.25">
      <c r="A885">
        <v>884</v>
      </c>
      <c r="B885" s="40" t="s">
        <v>623</v>
      </c>
      <c r="C885" s="40" t="s">
        <v>1239</v>
      </c>
      <c r="D885">
        <v>10</v>
      </c>
      <c r="E885">
        <v>25.349999999999998</v>
      </c>
      <c r="F885">
        <v>58.5</v>
      </c>
      <c r="G885">
        <v>29.25</v>
      </c>
      <c r="H885">
        <v>1</v>
      </c>
      <c r="I885">
        <v>1</v>
      </c>
    </row>
    <row r="886" spans="1:9" x14ac:dyDescent="0.25">
      <c r="A886">
        <v>885</v>
      </c>
      <c r="B886" s="40" t="s">
        <v>629</v>
      </c>
      <c r="C886" s="40" t="s">
        <v>630</v>
      </c>
      <c r="D886">
        <v>10</v>
      </c>
      <c r="E886">
        <v>180.95999999999998</v>
      </c>
      <c r="F886">
        <v>312</v>
      </c>
      <c r="G886">
        <v>212.15999999999997</v>
      </c>
      <c r="H886">
        <v>1</v>
      </c>
      <c r="I886">
        <v>1</v>
      </c>
    </row>
    <row r="887" spans="1:9" x14ac:dyDescent="0.25">
      <c r="A887">
        <v>886</v>
      </c>
      <c r="B887" s="40" t="s">
        <v>629</v>
      </c>
      <c r="C887" s="40" t="s">
        <v>1407</v>
      </c>
      <c r="D887">
        <v>10</v>
      </c>
      <c r="E887">
        <v>62.3</v>
      </c>
      <c r="F887">
        <v>178</v>
      </c>
      <c r="G887">
        <v>80.099999999999994</v>
      </c>
      <c r="H887">
        <v>1</v>
      </c>
      <c r="I887">
        <v>1</v>
      </c>
    </row>
    <row r="888" spans="1:9" x14ac:dyDescent="0.25">
      <c r="A888">
        <v>887</v>
      </c>
      <c r="B888" s="40" t="s">
        <v>629</v>
      </c>
      <c r="C888" s="40" t="s">
        <v>631</v>
      </c>
      <c r="D888">
        <v>10</v>
      </c>
      <c r="E888">
        <v>80.849999999999994</v>
      </c>
      <c r="F888">
        <v>231</v>
      </c>
      <c r="G888">
        <v>103.94999999999999</v>
      </c>
      <c r="H888">
        <v>1</v>
      </c>
      <c r="I888">
        <v>1</v>
      </c>
    </row>
    <row r="889" spans="1:9" x14ac:dyDescent="0.25">
      <c r="A889">
        <v>888</v>
      </c>
      <c r="B889" s="40" t="s">
        <v>629</v>
      </c>
      <c r="C889" s="40" t="s">
        <v>632</v>
      </c>
      <c r="D889">
        <v>10</v>
      </c>
      <c r="E889">
        <v>149.47999999999999</v>
      </c>
      <c r="F889">
        <v>404</v>
      </c>
      <c r="G889">
        <v>189.88</v>
      </c>
      <c r="H889">
        <v>1</v>
      </c>
      <c r="I889">
        <v>1</v>
      </c>
    </row>
    <row r="890" spans="1:9" x14ac:dyDescent="0.25">
      <c r="A890">
        <v>889</v>
      </c>
      <c r="B890" s="40" t="s">
        <v>1429</v>
      </c>
      <c r="C890" s="40" t="s">
        <v>1819</v>
      </c>
      <c r="D890">
        <v>10</v>
      </c>
      <c r="E890">
        <v>49.72</v>
      </c>
      <c r="F890">
        <v>113</v>
      </c>
      <c r="G890">
        <v>61.02</v>
      </c>
      <c r="H890">
        <v>1</v>
      </c>
      <c r="I890">
        <v>1</v>
      </c>
    </row>
    <row r="891" spans="1:9" x14ac:dyDescent="0.25">
      <c r="A891">
        <v>890</v>
      </c>
      <c r="B891" s="40" t="s">
        <v>1429</v>
      </c>
      <c r="C891" s="40" t="s">
        <v>1377</v>
      </c>
      <c r="D891">
        <v>10</v>
      </c>
      <c r="E891">
        <v>229.35999999999999</v>
      </c>
      <c r="F891">
        <v>488</v>
      </c>
      <c r="G891">
        <v>278.15999999999997</v>
      </c>
      <c r="H891">
        <v>1</v>
      </c>
      <c r="I891">
        <v>1</v>
      </c>
    </row>
    <row r="892" spans="1:9" x14ac:dyDescent="0.25">
      <c r="A892">
        <v>891</v>
      </c>
      <c r="B892" s="40" t="s">
        <v>1429</v>
      </c>
      <c r="C892" s="40" t="s">
        <v>633</v>
      </c>
      <c r="D892">
        <v>10</v>
      </c>
      <c r="E892">
        <v>224.91</v>
      </c>
      <c r="F892">
        <v>459</v>
      </c>
      <c r="G892">
        <v>270.81</v>
      </c>
      <c r="H892">
        <v>1</v>
      </c>
      <c r="I892">
        <v>1</v>
      </c>
    </row>
    <row r="893" spans="1:9" x14ac:dyDescent="0.25">
      <c r="A893">
        <v>892</v>
      </c>
      <c r="B893" s="40" t="s">
        <v>1429</v>
      </c>
      <c r="C893" s="40" t="s">
        <v>1895</v>
      </c>
      <c r="D893">
        <v>10</v>
      </c>
      <c r="E893">
        <v>103.39999999999999</v>
      </c>
      <c r="F893">
        <v>220</v>
      </c>
      <c r="G893">
        <v>125.39999999999999</v>
      </c>
      <c r="H893">
        <v>1</v>
      </c>
      <c r="I893">
        <v>1</v>
      </c>
    </row>
    <row r="894" spans="1:9" x14ac:dyDescent="0.25">
      <c r="A894">
        <v>893</v>
      </c>
      <c r="B894" s="40" t="s">
        <v>629</v>
      </c>
      <c r="C894" s="40" t="s">
        <v>1432</v>
      </c>
      <c r="D894">
        <v>10</v>
      </c>
      <c r="E894">
        <v>233.92</v>
      </c>
      <c r="F894">
        <v>544</v>
      </c>
      <c r="G894">
        <v>288.32</v>
      </c>
      <c r="H894">
        <v>1</v>
      </c>
      <c r="I894">
        <v>1</v>
      </c>
    </row>
    <row r="895" spans="1:9" x14ac:dyDescent="0.25">
      <c r="A895">
        <v>894</v>
      </c>
      <c r="B895" s="40" t="s">
        <v>629</v>
      </c>
      <c r="C895" s="40" t="s">
        <v>1478</v>
      </c>
      <c r="D895">
        <v>10</v>
      </c>
      <c r="E895">
        <v>220.35</v>
      </c>
      <c r="F895">
        <v>565</v>
      </c>
      <c r="G895">
        <v>276.85000000000002</v>
      </c>
      <c r="H895">
        <v>1</v>
      </c>
      <c r="I895">
        <v>1</v>
      </c>
    </row>
    <row r="896" spans="1:9" x14ac:dyDescent="0.25">
      <c r="A896">
        <v>895</v>
      </c>
      <c r="B896" s="40" t="s">
        <v>629</v>
      </c>
      <c r="C896" s="40" t="s">
        <v>634</v>
      </c>
      <c r="D896">
        <v>10</v>
      </c>
      <c r="E896">
        <v>413.1</v>
      </c>
      <c r="F896">
        <v>810</v>
      </c>
      <c r="G896">
        <v>494.09999999999997</v>
      </c>
      <c r="H896">
        <v>1</v>
      </c>
      <c r="I896">
        <v>1</v>
      </c>
    </row>
    <row r="897" spans="1:9" x14ac:dyDescent="0.25">
      <c r="A897">
        <v>896</v>
      </c>
      <c r="B897" s="40" t="s">
        <v>629</v>
      </c>
      <c r="C897" s="40" t="s">
        <v>1158</v>
      </c>
      <c r="D897">
        <v>10</v>
      </c>
      <c r="E897">
        <v>397.41</v>
      </c>
      <c r="F897">
        <v>1019</v>
      </c>
      <c r="G897">
        <v>499.31</v>
      </c>
      <c r="H897">
        <v>1</v>
      </c>
      <c r="I897">
        <v>1</v>
      </c>
    </row>
    <row r="898" spans="1:9" x14ac:dyDescent="0.25">
      <c r="A898">
        <v>897</v>
      </c>
      <c r="B898" s="40" t="s">
        <v>629</v>
      </c>
      <c r="C898" s="40" t="s">
        <v>1129</v>
      </c>
      <c r="D898">
        <v>10</v>
      </c>
      <c r="E898">
        <v>845.42</v>
      </c>
      <c r="F898">
        <v>2062</v>
      </c>
      <c r="G898">
        <v>1051.6200000000001</v>
      </c>
      <c r="H898">
        <v>1</v>
      </c>
      <c r="I898">
        <v>1</v>
      </c>
    </row>
    <row r="899" spans="1:9" x14ac:dyDescent="0.25">
      <c r="A899">
        <v>898</v>
      </c>
      <c r="B899" s="40" t="s">
        <v>629</v>
      </c>
      <c r="C899" s="40" t="s">
        <v>1371</v>
      </c>
      <c r="D899">
        <v>10</v>
      </c>
      <c r="E899">
        <v>130.56</v>
      </c>
      <c r="F899">
        <v>384</v>
      </c>
      <c r="G899">
        <v>168.96000000000004</v>
      </c>
      <c r="H899">
        <v>1</v>
      </c>
      <c r="I899">
        <v>1</v>
      </c>
    </row>
    <row r="900" spans="1:9" x14ac:dyDescent="0.25">
      <c r="A900">
        <v>899</v>
      </c>
      <c r="B900" s="40" t="s">
        <v>1429</v>
      </c>
      <c r="C900" s="40" t="s">
        <v>635</v>
      </c>
      <c r="D900">
        <v>10</v>
      </c>
      <c r="E900">
        <v>126</v>
      </c>
      <c r="F900">
        <v>315</v>
      </c>
      <c r="G900">
        <v>157.5</v>
      </c>
      <c r="H900">
        <v>1</v>
      </c>
      <c r="I900">
        <v>1</v>
      </c>
    </row>
    <row r="901" spans="1:9" x14ac:dyDescent="0.25">
      <c r="A901">
        <v>900</v>
      </c>
      <c r="B901" s="40" t="s">
        <v>629</v>
      </c>
      <c r="C901" s="40" t="s">
        <v>1382</v>
      </c>
      <c r="D901">
        <v>10</v>
      </c>
      <c r="E901">
        <v>97.44</v>
      </c>
      <c r="F901">
        <v>203</v>
      </c>
      <c r="G901">
        <v>117.74</v>
      </c>
      <c r="H901">
        <v>1</v>
      </c>
      <c r="I901">
        <v>1</v>
      </c>
    </row>
    <row r="902" spans="1:9" x14ac:dyDescent="0.25">
      <c r="A902">
        <v>901</v>
      </c>
      <c r="B902" s="40" t="s">
        <v>629</v>
      </c>
      <c r="C902" s="40" t="s">
        <v>636</v>
      </c>
      <c r="D902">
        <v>10</v>
      </c>
      <c r="E902">
        <v>74.567999999999998</v>
      </c>
      <c r="F902">
        <v>155.35</v>
      </c>
      <c r="G902">
        <v>90.102999999999994</v>
      </c>
      <c r="H902">
        <v>1</v>
      </c>
      <c r="I902">
        <v>1</v>
      </c>
    </row>
    <row r="903" spans="1:9" x14ac:dyDescent="0.25">
      <c r="A903">
        <v>902</v>
      </c>
      <c r="B903" s="40" t="s">
        <v>1429</v>
      </c>
      <c r="C903" s="40" t="s">
        <v>1131</v>
      </c>
      <c r="D903">
        <v>10</v>
      </c>
      <c r="E903">
        <v>111.72</v>
      </c>
      <c r="F903">
        <v>294</v>
      </c>
      <c r="G903">
        <v>141.12</v>
      </c>
      <c r="H903">
        <v>1</v>
      </c>
      <c r="I903">
        <v>1</v>
      </c>
    </row>
    <row r="904" spans="1:9" x14ac:dyDescent="0.25">
      <c r="A904">
        <v>903</v>
      </c>
      <c r="B904" s="40" t="s">
        <v>1429</v>
      </c>
      <c r="C904" s="40" t="s">
        <v>637</v>
      </c>
      <c r="D904">
        <v>10</v>
      </c>
      <c r="E904">
        <v>59.216000000000001</v>
      </c>
      <c r="F904">
        <v>148.04</v>
      </c>
      <c r="G904">
        <v>74.02</v>
      </c>
      <c r="H904">
        <v>1</v>
      </c>
      <c r="I904">
        <v>1</v>
      </c>
    </row>
    <row r="905" spans="1:9" x14ac:dyDescent="0.25">
      <c r="A905">
        <v>904</v>
      </c>
      <c r="B905" s="40" t="s">
        <v>629</v>
      </c>
      <c r="C905" s="40" t="s">
        <v>638</v>
      </c>
      <c r="D905">
        <v>10</v>
      </c>
      <c r="E905">
        <v>774.06</v>
      </c>
      <c r="F905">
        <v>1843</v>
      </c>
      <c r="G905">
        <v>958.36</v>
      </c>
      <c r="H905">
        <v>1</v>
      </c>
      <c r="I905">
        <v>1</v>
      </c>
    </row>
    <row r="906" spans="1:9" x14ac:dyDescent="0.25">
      <c r="A906">
        <v>905</v>
      </c>
      <c r="B906" s="40" t="s">
        <v>629</v>
      </c>
      <c r="C906" s="40" t="s">
        <v>639</v>
      </c>
      <c r="D906">
        <v>10</v>
      </c>
      <c r="E906">
        <v>550.62</v>
      </c>
      <c r="F906">
        <v>1311</v>
      </c>
      <c r="G906">
        <v>681.72</v>
      </c>
      <c r="H906">
        <v>1</v>
      </c>
      <c r="I906">
        <v>1</v>
      </c>
    </row>
    <row r="907" spans="1:9" x14ac:dyDescent="0.25">
      <c r="A907">
        <v>906</v>
      </c>
      <c r="B907" s="40" t="s">
        <v>1429</v>
      </c>
      <c r="C907" s="40" t="s">
        <v>1368</v>
      </c>
      <c r="D907">
        <v>10</v>
      </c>
      <c r="E907">
        <v>123.2</v>
      </c>
      <c r="F907">
        <v>280</v>
      </c>
      <c r="G907">
        <v>151.20000000000002</v>
      </c>
      <c r="H907">
        <v>1</v>
      </c>
      <c r="I907">
        <v>1</v>
      </c>
    </row>
    <row r="908" spans="1:9" x14ac:dyDescent="0.25">
      <c r="A908">
        <v>907</v>
      </c>
      <c r="B908" s="40" t="s">
        <v>1429</v>
      </c>
      <c r="C908" s="40" t="s">
        <v>641</v>
      </c>
      <c r="D908">
        <v>10</v>
      </c>
      <c r="E908">
        <v>395.23999999999995</v>
      </c>
      <c r="F908">
        <v>964</v>
      </c>
      <c r="G908">
        <v>491.64</v>
      </c>
      <c r="H908">
        <v>1</v>
      </c>
      <c r="I908">
        <v>1</v>
      </c>
    </row>
    <row r="909" spans="1:9" x14ac:dyDescent="0.25">
      <c r="A909">
        <v>908</v>
      </c>
      <c r="B909" s="40" t="s">
        <v>1429</v>
      </c>
      <c r="C909" s="40" t="s">
        <v>642</v>
      </c>
      <c r="D909">
        <v>10</v>
      </c>
      <c r="E909">
        <v>541.79999999999995</v>
      </c>
      <c r="F909">
        <v>1290</v>
      </c>
      <c r="G909">
        <v>670.80000000000007</v>
      </c>
      <c r="H909">
        <v>1</v>
      </c>
      <c r="I909">
        <v>1</v>
      </c>
    </row>
    <row r="910" spans="1:9" x14ac:dyDescent="0.25">
      <c r="A910">
        <v>909</v>
      </c>
      <c r="B910" s="40" t="s">
        <v>1429</v>
      </c>
      <c r="C910" s="40" t="s">
        <v>643</v>
      </c>
      <c r="D910">
        <v>10</v>
      </c>
      <c r="E910">
        <v>824.80000000000007</v>
      </c>
      <c r="F910">
        <v>2062</v>
      </c>
      <c r="G910">
        <v>1031</v>
      </c>
      <c r="H910">
        <v>1</v>
      </c>
      <c r="I910">
        <v>1</v>
      </c>
    </row>
    <row r="911" spans="1:9" x14ac:dyDescent="0.25">
      <c r="A911">
        <v>910</v>
      </c>
      <c r="B911" s="40" t="s">
        <v>1429</v>
      </c>
      <c r="C911" s="40" t="s">
        <v>1366</v>
      </c>
      <c r="D911">
        <v>10</v>
      </c>
      <c r="E911">
        <v>447.37</v>
      </c>
      <c r="F911">
        <v>913</v>
      </c>
      <c r="G911">
        <v>538.66999999999996</v>
      </c>
      <c r="H911">
        <v>1</v>
      </c>
      <c r="I911">
        <v>1</v>
      </c>
    </row>
    <row r="912" spans="1:9" x14ac:dyDescent="0.25">
      <c r="A912">
        <v>911</v>
      </c>
      <c r="B912" s="40" t="s">
        <v>1429</v>
      </c>
      <c r="C912" s="40" t="s">
        <v>644</v>
      </c>
      <c r="D912">
        <v>10</v>
      </c>
      <c r="E912">
        <v>104.682</v>
      </c>
      <c r="F912">
        <v>219</v>
      </c>
      <c r="G912">
        <v>126.58199999999999</v>
      </c>
      <c r="H912">
        <v>1</v>
      </c>
      <c r="I912">
        <v>1</v>
      </c>
    </row>
    <row r="913" spans="1:9" x14ac:dyDescent="0.25">
      <c r="A913">
        <v>912</v>
      </c>
      <c r="B913" s="40" t="s">
        <v>1429</v>
      </c>
      <c r="C913" s="40" t="s">
        <v>1132</v>
      </c>
      <c r="D913">
        <v>10</v>
      </c>
      <c r="E913">
        <v>79.899999999999991</v>
      </c>
      <c r="F913">
        <v>170</v>
      </c>
      <c r="G913">
        <v>96.899999999999991</v>
      </c>
      <c r="H913">
        <v>1</v>
      </c>
      <c r="I913">
        <v>1</v>
      </c>
    </row>
    <row r="914" spans="1:9" x14ac:dyDescent="0.25">
      <c r="A914">
        <v>913</v>
      </c>
      <c r="B914" s="40" t="s">
        <v>1429</v>
      </c>
      <c r="C914" s="40" t="s">
        <v>1381</v>
      </c>
      <c r="D914">
        <v>10</v>
      </c>
      <c r="E914">
        <v>867.6</v>
      </c>
      <c r="F914">
        <v>2410</v>
      </c>
      <c r="G914">
        <v>1108.5999999999999</v>
      </c>
      <c r="H914">
        <v>1</v>
      </c>
      <c r="I914">
        <v>1</v>
      </c>
    </row>
    <row r="915" spans="1:9" x14ac:dyDescent="0.25">
      <c r="A915">
        <v>914</v>
      </c>
      <c r="B915" s="40" t="s">
        <v>1429</v>
      </c>
      <c r="C915" s="40" t="s">
        <v>1818</v>
      </c>
      <c r="D915">
        <v>10</v>
      </c>
      <c r="E915">
        <v>18.899999999999999</v>
      </c>
      <c r="F915">
        <v>30</v>
      </c>
      <c r="G915">
        <v>21.9</v>
      </c>
      <c r="H915">
        <v>1</v>
      </c>
      <c r="I915">
        <v>1</v>
      </c>
    </row>
    <row r="916" spans="1:9" x14ac:dyDescent="0.25">
      <c r="A916">
        <v>915</v>
      </c>
      <c r="B916" s="40" t="s">
        <v>629</v>
      </c>
      <c r="C916" s="40" t="s">
        <v>1376</v>
      </c>
      <c r="D916">
        <v>10</v>
      </c>
      <c r="E916">
        <v>53</v>
      </c>
      <c r="F916">
        <v>106</v>
      </c>
      <c r="G916">
        <v>63.599999999999994</v>
      </c>
      <c r="H916">
        <v>1</v>
      </c>
      <c r="I916">
        <v>1</v>
      </c>
    </row>
    <row r="917" spans="1:9" x14ac:dyDescent="0.25">
      <c r="A917">
        <v>916</v>
      </c>
      <c r="B917" s="40" t="s">
        <v>629</v>
      </c>
      <c r="C917" s="40" t="s">
        <v>645</v>
      </c>
      <c r="D917">
        <v>10</v>
      </c>
      <c r="E917">
        <v>192.654</v>
      </c>
      <c r="F917">
        <v>458.7</v>
      </c>
      <c r="G917">
        <v>238.524</v>
      </c>
      <c r="H917">
        <v>1</v>
      </c>
      <c r="I917">
        <v>1</v>
      </c>
    </row>
    <row r="918" spans="1:9" x14ac:dyDescent="0.25">
      <c r="A918">
        <v>917</v>
      </c>
      <c r="B918" s="40" t="s">
        <v>1429</v>
      </c>
      <c r="C918" s="40" t="s">
        <v>1378</v>
      </c>
      <c r="D918">
        <v>10</v>
      </c>
      <c r="E918">
        <v>1116.8399999999999</v>
      </c>
      <c r="F918">
        <v>2724</v>
      </c>
      <c r="G918">
        <v>1389.24</v>
      </c>
      <c r="H918">
        <v>1</v>
      </c>
      <c r="I918">
        <v>1</v>
      </c>
    </row>
    <row r="919" spans="1:9" x14ac:dyDescent="0.25">
      <c r="A919">
        <v>918</v>
      </c>
      <c r="B919" s="40" t="s">
        <v>629</v>
      </c>
      <c r="C919" s="40" t="s">
        <v>1381</v>
      </c>
      <c r="D919">
        <v>10</v>
      </c>
      <c r="E919">
        <v>891.7</v>
      </c>
      <c r="F919">
        <v>2410</v>
      </c>
      <c r="G919">
        <v>1132.7</v>
      </c>
      <c r="H919">
        <v>1</v>
      </c>
      <c r="I919">
        <v>1</v>
      </c>
    </row>
    <row r="920" spans="1:9" x14ac:dyDescent="0.25">
      <c r="A920">
        <v>919</v>
      </c>
      <c r="B920" s="40" t="s">
        <v>629</v>
      </c>
      <c r="C920" s="40" t="s">
        <v>646</v>
      </c>
      <c r="D920">
        <v>10</v>
      </c>
      <c r="E920">
        <v>85.60199999999999</v>
      </c>
      <c r="F920">
        <v>285.33999999999997</v>
      </c>
      <c r="G920">
        <v>114.136</v>
      </c>
      <c r="H920">
        <v>1</v>
      </c>
      <c r="I920">
        <v>1</v>
      </c>
    </row>
    <row r="921" spans="1:9" x14ac:dyDescent="0.25">
      <c r="A921">
        <v>920</v>
      </c>
      <c r="B921" s="40" t="s">
        <v>629</v>
      </c>
      <c r="C921" s="40" t="s">
        <v>1479</v>
      </c>
      <c r="D921">
        <v>10</v>
      </c>
      <c r="E921">
        <v>635.44000000000005</v>
      </c>
      <c r="F921">
        <v>1222</v>
      </c>
      <c r="G921">
        <v>757.64</v>
      </c>
      <c r="H921">
        <v>1</v>
      </c>
      <c r="I921">
        <v>1</v>
      </c>
    </row>
    <row r="922" spans="1:9" x14ac:dyDescent="0.25">
      <c r="A922">
        <v>921</v>
      </c>
      <c r="B922" s="40" t="s">
        <v>629</v>
      </c>
      <c r="C922" s="40" t="s">
        <v>1433</v>
      </c>
      <c r="D922">
        <v>10</v>
      </c>
      <c r="E922">
        <v>466.48</v>
      </c>
      <c r="F922">
        <v>1372</v>
      </c>
      <c r="G922">
        <v>603.68000000000006</v>
      </c>
      <c r="H922">
        <v>1</v>
      </c>
      <c r="I922">
        <v>1</v>
      </c>
    </row>
    <row r="923" spans="1:9" x14ac:dyDescent="0.25">
      <c r="A923">
        <v>922</v>
      </c>
      <c r="B923" s="40" t="s">
        <v>629</v>
      </c>
      <c r="C923" s="40" t="s">
        <v>1389</v>
      </c>
      <c r="D923">
        <v>10</v>
      </c>
      <c r="E923">
        <v>791.94999999999993</v>
      </c>
      <c r="F923">
        <v>1685</v>
      </c>
      <c r="G923">
        <v>960.44999999999993</v>
      </c>
      <c r="H923">
        <v>1</v>
      </c>
      <c r="I923">
        <v>1</v>
      </c>
    </row>
    <row r="924" spans="1:9" x14ac:dyDescent="0.25">
      <c r="A924">
        <v>923</v>
      </c>
      <c r="B924" s="40" t="s">
        <v>1429</v>
      </c>
      <c r="C924" s="40" t="s">
        <v>647</v>
      </c>
      <c r="D924">
        <v>10</v>
      </c>
      <c r="E924">
        <v>265.66000000000003</v>
      </c>
      <c r="F924">
        <v>718</v>
      </c>
      <c r="G924">
        <v>337.46</v>
      </c>
      <c r="H924">
        <v>1</v>
      </c>
      <c r="I924">
        <v>1</v>
      </c>
    </row>
    <row r="925" spans="1:9" x14ac:dyDescent="0.25">
      <c r="A925">
        <v>924</v>
      </c>
      <c r="B925" s="40" t="s">
        <v>1429</v>
      </c>
      <c r="C925" s="40" t="s">
        <v>1156</v>
      </c>
      <c r="D925">
        <v>10</v>
      </c>
      <c r="E925">
        <v>102.4</v>
      </c>
      <c r="F925">
        <v>256</v>
      </c>
      <c r="G925">
        <v>128</v>
      </c>
      <c r="H925">
        <v>1</v>
      </c>
      <c r="I925">
        <v>1</v>
      </c>
    </row>
    <row r="926" spans="1:9" x14ac:dyDescent="0.25">
      <c r="A926">
        <v>925</v>
      </c>
      <c r="B926" s="40" t="s">
        <v>629</v>
      </c>
      <c r="C926" s="40" t="s">
        <v>648</v>
      </c>
      <c r="D926">
        <v>10</v>
      </c>
      <c r="E926">
        <v>176</v>
      </c>
      <c r="F926">
        <v>400</v>
      </c>
      <c r="G926">
        <v>216</v>
      </c>
      <c r="H926">
        <v>1</v>
      </c>
      <c r="I926">
        <v>1</v>
      </c>
    </row>
    <row r="927" spans="1:9" x14ac:dyDescent="0.25">
      <c r="A927">
        <v>926</v>
      </c>
      <c r="B927" s="40" t="s">
        <v>1429</v>
      </c>
      <c r="C927" s="40" t="s">
        <v>649</v>
      </c>
      <c r="D927">
        <v>10</v>
      </c>
      <c r="E927">
        <v>170.5</v>
      </c>
      <c r="F927">
        <v>341</v>
      </c>
      <c r="G927">
        <v>204.6</v>
      </c>
      <c r="H927">
        <v>1</v>
      </c>
      <c r="I927">
        <v>1</v>
      </c>
    </row>
    <row r="928" spans="1:9" x14ac:dyDescent="0.25">
      <c r="A928">
        <v>927</v>
      </c>
      <c r="B928" s="40" t="s">
        <v>629</v>
      </c>
      <c r="C928" s="40" t="s">
        <v>1480</v>
      </c>
      <c r="D928">
        <v>10</v>
      </c>
      <c r="E928">
        <v>369.38</v>
      </c>
      <c r="F928">
        <v>803</v>
      </c>
      <c r="G928">
        <v>449.68000000000006</v>
      </c>
      <c r="H928">
        <v>1</v>
      </c>
      <c r="I928">
        <v>1</v>
      </c>
    </row>
    <row r="929" spans="1:9" x14ac:dyDescent="0.25">
      <c r="A929">
        <v>928</v>
      </c>
      <c r="B929" s="40" t="s">
        <v>629</v>
      </c>
      <c r="C929" s="40" t="s">
        <v>652</v>
      </c>
      <c r="D929">
        <v>10</v>
      </c>
      <c r="E929">
        <v>178.14999999999998</v>
      </c>
      <c r="F929">
        <v>509</v>
      </c>
      <c r="G929">
        <v>229.04999999999998</v>
      </c>
      <c r="H929">
        <v>1</v>
      </c>
      <c r="I929">
        <v>1</v>
      </c>
    </row>
    <row r="930" spans="1:9" x14ac:dyDescent="0.25">
      <c r="A930">
        <v>929</v>
      </c>
      <c r="B930" s="40" t="s">
        <v>629</v>
      </c>
      <c r="C930" s="40" t="s">
        <v>1480</v>
      </c>
      <c r="D930">
        <v>10</v>
      </c>
      <c r="E930">
        <v>369.38</v>
      </c>
      <c r="F930">
        <v>803</v>
      </c>
      <c r="G930">
        <v>449.68000000000006</v>
      </c>
      <c r="H930">
        <v>1</v>
      </c>
      <c r="I930">
        <v>1</v>
      </c>
    </row>
    <row r="931" spans="1:9" x14ac:dyDescent="0.25">
      <c r="A931">
        <v>930</v>
      </c>
      <c r="B931" s="40" t="s">
        <v>629</v>
      </c>
      <c r="C931" s="40" t="s">
        <v>653</v>
      </c>
      <c r="D931">
        <v>10</v>
      </c>
      <c r="E931">
        <v>332.28999999999996</v>
      </c>
      <c r="F931">
        <v>707</v>
      </c>
      <c r="G931">
        <v>402.98999999999995</v>
      </c>
      <c r="H931">
        <v>1</v>
      </c>
      <c r="I931">
        <v>1</v>
      </c>
    </row>
    <row r="932" spans="1:9" x14ac:dyDescent="0.25">
      <c r="A932">
        <v>931</v>
      </c>
      <c r="B932" s="40" t="s">
        <v>629</v>
      </c>
      <c r="C932" s="40" t="s">
        <v>1389</v>
      </c>
      <c r="D932">
        <v>10</v>
      </c>
      <c r="E932">
        <v>15.839</v>
      </c>
      <c r="F932">
        <v>33.700000000000003</v>
      </c>
      <c r="G932">
        <v>19.209</v>
      </c>
      <c r="H932">
        <v>1</v>
      </c>
      <c r="I932">
        <v>1</v>
      </c>
    </row>
    <row r="933" spans="1:9" x14ac:dyDescent="0.25">
      <c r="A933">
        <v>932</v>
      </c>
      <c r="B933" s="40" t="s">
        <v>629</v>
      </c>
      <c r="C933" s="40" t="s">
        <v>1372</v>
      </c>
      <c r="D933">
        <v>10</v>
      </c>
      <c r="E933">
        <v>69.66</v>
      </c>
      <c r="F933">
        <v>162</v>
      </c>
      <c r="G933">
        <v>85.86</v>
      </c>
      <c r="H933">
        <v>1</v>
      </c>
      <c r="I933">
        <v>1</v>
      </c>
    </row>
    <row r="934" spans="1:9" x14ac:dyDescent="0.25">
      <c r="A934">
        <v>933</v>
      </c>
      <c r="B934" s="40" t="s">
        <v>629</v>
      </c>
      <c r="C934" s="40" t="s">
        <v>1373</v>
      </c>
      <c r="D934">
        <v>10</v>
      </c>
      <c r="E934">
        <v>173.88</v>
      </c>
      <c r="F934">
        <v>414</v>
      </c>
      <c r="G934">
        <v>215.28</v>
      </c>
      <c r="H934">
        <v>1</v>
      </c>
      <c r="I934">
        <v>1</v>
      </c>
    </row>
    <row r="935" spans="1:9" x14ac:dyDescent="0.25">
      <c r="A935">
        <v>934</v>
      </c>
      <c r="B935" s="40" t="s">
        <v>1429</v>
      </c>
      <c r="C935" s="40" t="s">
        <v>1816</v>
      </c>
      <c r="D935">
        <v>10</v>
      </c>
      <c r="E935">
        <v>622.16</v>
      </c>
      <c r="F935">
        <v>1414</v>
      </c>
      <c r="G935">
        <v>763.56000000000006</v>
      </c>
      <c r="H935">
        <v>1</v>
      </c>
      <c r="I935">
        <v>1</v>
      </c>
    </row>
    <row r="936" spans="1:9" x14ac:dyDescent="0.25">
      <c r="A936">
        <v>935</v>
      </c>
      <c r="B936" s="40" t="s">
        <v>1429</v>
      </c>
      <c r="C936" s="40" t="s">
        <v>1475</v>
      </c>
      <c r="D936">
        <v>10</v>
      </c>
      <c r="E936">
        <v>274.1275</v>
      </c>
      <c r="F936">
        <v>583.25</v>
      </c>
      <c r="G936">
        <v>332.45249999999999</v>
      </c>
      <c r="H936">
        <v>1</v>
      </c>
      <c r="I936">
        <v>1</v>
      </c>
    </row>
    <row r="937" spans="1:9" x14ac:dyDescent="0.25">
      <c r="A937">
        <v>936</v>
      </c>
      <c r="B937" s="40" t="s">
        <v>1429</v>
      </c>
      <c r="C937" s="40" t="s">
        <v>1476</v>
      </c>
      <c r="D937">
        <v>10</v>
      </c>
      <c r="E937">
        <v>313.49</v>
      </c>
      <c r="F937">
        <v>667</v>
      </c>
      <c r="G937">
        <v>380.18999999999994</v>
      </c>
      <c r="H937">
        <v>1</v>
      </c>
      <c r="I937">
        <v>1</v>
      </c>
    </row>
    <row r="938" spans="1:9" x14ac:dyDescent="0.25">
      <c r="A938">
        <v>937</v>
      </c>
      <c r="B938" s="40" t="s">
        <v>1429</v>
      </c>
      <c r="C938" s="40" t="s">
        <v>655</v>
      </c>
      <c r="D938">
        <v>10</v>
      </c>
      <c r="E938">
        <v>54.56</v>
      </c>
      <c r="F938">
        <v>124</v>
      </c>
      <c r="G938">
        <v>66.960000000000008</v>
      </c>
      <c r="H938">
        <v>1</v>
      </c>
      <c r="I938">
        <v>1</v>
      </c>
    </row>
    <row r="939" spans="1:9" x14ac:dyDescent="0.25">
      <c r="A939">
        <v>938</v>
      </c>
      <c r="B939" s="40" t="s">
        <v>1429</v>
      </c>
      <c r="C939" s="40" t="s">
        <v>1430</v>
      </c>
      <c r="D939">
        <v>10</v>
      </c>
      <c r="E939">
        <v>126.36</v>
      </c>
      <c r="F939">
        <v>324</v>
      </c>
      <c r="G939">
        <v>158.76</v>
      </c>
      <c r="H939">
        <v>1</v>
      </c>
      <c r="I939">
        <v>1</v>
      </c>
    </row>
    <row r="940" spans="1:9" x14ac:dyDescent="0.25">
      <c r="A940">
        <v>939</v>
      </c>
      <c r="B940" s="40" t="s">
        <v>629</v>
      </c>
      <c r="C940" s="40" t="s">
        <v>1431</v>
      </c>
      <c r="D940">
        <v>10</v>
      </c>
      <c r="E940">
        <v>178.71</v>
      </c>
      <c r="F940">
        <v>483</v>
      </c>
      <c r="G940">
        <v>227.01</v>
      </c>
      <c r="H940">
        <v>1</v>
      </c>
      <c r="I940">
        <v>1</v>
      </c>
    </row>
    <row r="941" spans="1:9" x14ac:dyDescent="0.25">
      <c r="A941">
        <v>940</v>
      </c>
      <c r="B941" s="40" t="s">
        <v>629</v>
      </c>
      <c r="C941" s="40" t="s">
        <v>656</v>
      </c>
      <c r="D941">
        <v>10</v>
      </c>
      <c r="E941">
        <v>281.82</v>
      </c>
      <c r="F941">
        <v>854</v>
      </c>
      <c r="G941">
        <v>367.22</v>
      </c>
      <c r="H941">
        <v>1</v>
      </c>
      <c r="I941">
        <v>1</v>
      </c>
    </row>
    <row r="942" spans="1:9" x14ac:dyDescent="0.25">
      <c r="A942">
        <v>941</v>
      </c>
      <c r="B942" s="40" t="s">
        <v>1474</v>
      </c>
      <c r="C942" s="40" t="s">
        <v>1473</v>
      </c>
      <c r="D942">
        <v>10</v>
      </c>
      <c r="E942">
        <v>108.78</v>
      </c>
      <c r="F942">
        <v>259</v>
      </c>
      <c r="G942">
        <v>134.68</v>
      </c>
      <c r="H942">
        <v>1</v>
      </c>
      <c r="I942">
        <v>1</v>
      </c>
    </row>
    <row r="943" spans="1:9" x14ac:dyDescent="0.25">
      <c r="A943">
        <v>942</v>
      </c>
      <c r="B943" s="40" t="s">
        <v>629</v>
      </c>
      <c r="C943" s="40" t="s">
        <v>657</v>
      </c>
      <c r="D943">
        <v>10</v>
      </c>
      <c r="E943">
        <v>22.369199999999999</v>
      </c>
      <c r="F943">
        <v>53.26</v>
      </c>
      <c r="G943">
        <v>27.6952</v>
      </c>
      <c r="H943">
        <v>1</v>
      </c>
      <c r="I943">
        <v>1</v>
      </c>
    </row>
    <row r="944" spans="1:9" x14ac:dyDescent="0.25">
      <c r="A944">
        <v>943</v>
      </c>
      <c r="B944" s="40" t="s">
        <v>629</v>
      </c>
      <c r="C944" s="40" t="s">
        <v>658</v>
      </c>
      <c r="D944">
        <v>10</v>
      </c>
      <c r="E944">
        <v>36.013500000000001</v>
      </c>
      <c r="F944">
        <v>67.95</v>
      </c>
      <c r="G944">
        <v>42.808500000000002</v>
      </c>
      <c r="H944">
        <v>1</v>
      </c>
      <c r="I944">
        <v>1</v>
      </c>
    </row>
    <row r="945" spans="1:9" x14ac:dyDescent="0.25">
      <c r="A945">
        <v>944</v>
      </c>
      <c r="B945" s="40" t="s">
        <v>629</v>
      </c>
      <c r="C945" s="40" t="s">
        <v>1811</v>
      </c>
      <c r="D945">
        <v>10</v>
      </c>
      <c r="E945">
        <v>972.80000000000007</v>
      </c>
      <c r="F945">
        <v>2432</v>
      </c>
      <c r="G945">
        <v>1216</v>
      </c>
      <c r="H945">
        <v>1</v>
      </c>
      <c r="I945">
        <v>1</v>
      </c>
    </row>
    <row r="946" spans="1:9" x14ac:dyDescent="0.25">
      <c r="A946">
        <v>945</v>
      </c>
      <c r="B946" s="40" t="s">
        <v>629</v>
      </c>
      <c r="C946" s="40" t="s">
        <v>1374</v>
      </c>
      <c r="D946">
        <v>10</v>
      </c>
      <c r="E946">
        <v>69.48</v>
      </c>
      <c r="F946">
        <v>193</v>
      </c>
      <c r="G946">
        <v>88.779999999999987</v>
      </c>
      <c r="H946">
        <v>1</v>
      </c>
      <c r="I946">
        <v>1</v>
      </c>
    </row>
    <row r="947" spans="1:9" x14ac:dyDescent="0.25">
      <c r="A947">
        <v>946</v>
      </c>
      <c r="B947" s="40" t="s">
        <v>629</v>
      </c>
      <c r="C947" s="40" t="s">
        <v>1375</v>
      </c>
      <c r="D947">
        <v>10</v>
      </c>
      <c r="E947">
        <v>103.97</v>
      </c>
      <c r="F947">
        <v>281</v>
      </c>
      <c r="G947">
        <v>132.07</v>
      </c>
      <c r="H947">
        <v>1</v>
      </c>
      <c r="I947">
        <v>1</v>
      </c>
    </row>
    <row r="948" spans="1:9" x14ac:dyDescent="0.25">
      <c r="A948">
        <v>947</v>
      </c>
      <c r="B948" s="40" t="s">
        <v>629</v>
      </c>
      <c r="C948" s="40" t="s">
        <v>660</v>
      </c>
      <c r="D948">
        <v>10</v>
      </c>
      <c r="E948">
        <v>291.83999999999997</v>
      </c>
      <c r="F948">
        <v>608</v>
      </c>
      <c r="G948">
        <v>352.64</v>
      </c>
      <c r="H948">
        <v>1</v>
      </c>
      <c r="I948">
        <v>1</v>
      </c>
    </row>
    <row r="949" spans="1:9" x14ac:dyDescent="0.25">
      <c r="A949">
        <v>948</v>
      </c>
      <c r="B949" s="40" t="s">
        <v>1429</v>
      </c>
      <c r="C949" s="40" t="s">
        <v>668</v>
      </c>
      <c r="D949">
        <v>10</v>
      </c>
      <c r="E949">
        <v>41.040000000000006</v>
      </c>
      <c r="F949">
        <v>76</v>
      </c>
      <c r="G949">
        <v>48.64</v>
      </c>
      <c r="H949">
        <v>1</v>
      </c>
      <c r="I949">
        <v>1</v>
      </c>
    </row>
    <row r="950" spans="1:9" x14ac:dyDescent="0.25">
      <c r="A950">
        <v>949</v>
      </c>
      <c r="B950" s="40" t="s">
        <v>1429</v>
      </c>
      <c r="C950" s="40" t="s">
        <v>662</v>
      </c>
      <c r="D950">
        <v>10</v>
      </c>
      <c r="E950">
        <v>43.99</v>
      </c>
      <c r="F950">
        <v>83</v>
      </c>
      <c r="G950">
        <v>52.29</v>
      </c>
      <c r="H950">
        <v>1</v>
      </c>
      <c r="I950">
        <v>1</v>
      </c>
    </row>
    <row r="951" spans="1:9" x14ac:dyDescent="0.25">
      <c r="A951">
        <v>950</v>
      </c>
      <c r="B951" s="40" t="s">
        <v>1429</v>
      </c>
      <c r="C951" s="40" t="s">
        <v>1379</v>
      </c>
      <c r="D951">
        <v>10</v>
      </c>
      <c r="E951">
        <v>58.5</v>
      </c>
      <c r="F951">
        <v>150</v>
      </c>
      <c r="G951">
        <v>73.5</v>
      </c>
      <c r="H951">
        <v>1</v>
      </c>
      <c r="I951">
        <v>1</v>
      </c>
    </row>
    <row r="952" spans="1:9" x14ac:dyDescent="0.25">
      <c r="A952">
        <v>951</v>
      </c>
      <c r="B952" s="40" t="s">
        <v>1429</v>
      </c>
      <c r="C952" s="40" t="s">
        <v>1151</v>
      </c>
      <c r="D952">
        <v>10</v>
      </c>
      <c r="E952">
        <v>154.56</v>
      </c>
      <c r="F952">
        <v>276</v>
      </c>
      <c r="G952">
        <v>182.16</v>
      </c>
      <c r="H952">
        <v>1</v>
      </c>
      <c r="I952">
        <v>1</v>
      </c>
    </row>
    <row r="953" spans="1:9" x14ac:dyDescent="0.25">
      <c r="A953">
        <v>952</v>
      </c>
      <c r="B953" s="40" t="s">
        <v>1429</v>
      </c>
      <c r="C953" s="40" t="s">
        <v>1152</v>
      </c>
      <c r="D953">
        <v>10</v>
      </c>
      <c r="E953">
        <v>72.930000000000007</v>
      </c>
      <c r="F953">
        <v>187</v>
      </c>
      <c r="G953">
        <v>91.63</v>
      </c>
      <c r="H953">
        <v>1</v>
      </c>
      <c r="I953">
        <v>1</v>
      </c>
    </row>
    <row r="954" spans="1:9" x14ac:dyDescent="0.25">
      <c r="A954">
        <v>953</v>
      </c>
      <c r="B954" s="40" t="s">
        <v>1429</v>
      </c>
      <c r="C954" s="40" t="s">
        <v>1367</v>
      </c>
      <c r="D954">
        <v>10</v>
      </c>
      <c r="E954">
        <v>65.66</v>
      </c>
      <c r="F954">
        <v>134</v>
      </c>
      <c r="G954">
        <v>79.06</v>
      </c>
      <c r="H954">
        <v>1</v>
      </c>
      <c r="I954">
        <v>1</v>
      </c>
    </row>
    <row r="955" spans="1:9" x14ac:dyDescent="0.25">
      <c r="A955">
        <v>954</v>
      </c>
      <c r="B955" s="40" t="s">
        <v>1429</v>
      </c>
      <c r="C955" s="40" t="s">
        <v>663</v>
      </c>
      <c r="D955">
        <v>10</v>
      </c>
      <c r="E955">
        <v>58.31</v>
      </c>
      <c r="F955">
        <v>119</v>
      </c>
      <c r="G955">
        <v>70.209999999999994</v>
      </c>
      <c r="H955">
        <v>1</v>
      </c>
      <c r="I955">
        <v>1</v>
      </c>
    </row>
    <row r="956" spans="1:9" x14ac:dyDescent="0.25">
      <c r="A956">
        <v>955</v>
      </c>
      <c r="B956" s="40" t="s">
        <v>1429</v>
      </c>
      <c r="C956" s="40" t="s">
        <v>664</v>
      </c>
      <c r="D956">
        <v>10</v>
      </c>
      <c r="E956">
        <v>65.33</v>
      </c>
      <c r="F956">
        <v>139</v>
      </c>
      <c r="G956">
        <v>79.22999999999999</v>
      </c>
      <c r="H956">
        <v>1</v>
      </c>
      <c r="I956">
        <v>1</v>
      </c>
    </row>
    <row r="957" spans="1:9" x14ac:dyDescent="0.25">
      <c r="A957">
        <v>956</v>
      </c>
      <c r="B957" s="40" t="s">
        <v>1429</v>
      </c>
      <c r="C957" s="40" t="s">
        <v>1148</v>
      </c>
      <c r="D957">
        <v>10</v>
      </c>
      <c r="E957">
        <v>125.02</v>
      </c>
      <c r="F957">
        <v>266</v>
      </c>
      <c r="G957">
        <v>151.61999999999998</v>
      </c>
      <c r="H957">
        <v>1</v>
      </c>
      <c r="I957">
        <v>1</v>
      </c>
    </row>
    <row r="958" spans="1:9" x14ac:dyDescent="0.25">
      <c r="A958">
        <v>957</v>
      </c>
      <c r="B958" s="40" t="s">
        <v>1429</v>
      </c>
      <c r="C958" s="40" t="s">
        <v>1149</v>
      </c>
      <c r="D958">
        <v>10</v>
      </c>
      <c r="E958">
        <v>114.4</v>
      </c>
      <c r="F958">
        <v>260</v>
      </c>
      <c r="G958">
        <v>140.4</v>
      </c>
      <c r="H958">
        <v>1</v>
      </c>
      <c r="I958">
        <v>1</v>
      </c>
    </row>
    <row r="959" spans="1:9" x14ac:dyDescent="0.25">
      <c r="A959">
        <v>958</v>
      </c>
      <c r="B959" s="40" t="s">
        <v>1429</v>
      </c>
      <c r="C959" s="40" t="s">
        <v>1150</v>
      </c>
      <c r="D959">
        <v>10</v>
      </c>
      <c r="E959">
        <v>248.4</v>
      </c>
      <c r="F959">
        <v>540</v>
      </c>
      <c r="G959">
        <v>302.40000000000003</v>
      </c>
      <c r="H959">
        <v>1</v>
      </c>
      <c r="I959">
        <v>1</v>
      </c>
    </row>
    <row r="960" spans="1:9" x14ac:dyDescent="0.25">
      <c r="A960">
        <v>959</v>
      </c>
      <c r="B960" s="40" t="s">
        <v>1429</v>
      </c>
      <c r="C960" s="40" t="s">
        <v>1817</v>
      </c>
      <c r="D960">
        <v>10</v>
      </c>
      <c r="E960">
        <v>107.16</v>
      </c>
      <c r="F960">
        <v>282</v>
      </c>
      <c r="G960">
        <v>135.35999999999999</v>
      </c>
      <c r="H960">
        <v>1</v>
      </c>
      <c r="I960">
        <v>1</v>
      </c>
    </row>
    <row r="961" spans="1:9" x14ac:dyDescent="0.25">
      <c r="A961">
        <v>960</v>
      </c>
      <c r="B961" s="40" t="s">
        <v>1429</v>
      </c>
      <c r="C961" s="40" t="s">
        <v>1369</v>
      </c>
      <c r="D961">
        <v>10</v>
      </c>
      <c r="E961">
        <v>4.085</v>
      </c>
      <c r="F961">
        <v>10.75</v>
      </c>
      <c r="G961">
        <v>5.16</v>
      </c>
      <c r="H961">
        <v>1</v>
      </c>
      <c r="I961">
        <v>1</v>
      </c>
    </row>
    <row r="962" spans="1:9" x14ac:dyDescent="0.25">
      <c r="A962">
        <v>961</v>
      </c>
      <c r="B962" s="40" t="s">
        <v>1429</v>
      </c>
      <c r="C962" s="40" t="s">
        <v>665</v>
      </c>
      <c r="D962">
        <v>10</v>
      </c>
      <c r="E962">
        <v>12.521000000000001</v>
      </c>
      <c r="F962">
        <v>32.950000000000003</v>
      </c>
      <c r="G962">
        <v>15.816000000000001</v>
      </c>
      <c r="H962">
        <v>1</v>
      </c>
      <c r="I962">
        <v>1</v>
      </c>
    </row>
    <row r="963" spans="1:9" x14ac:dyDescent="0.25">
      <c r="A963">
        <v>962</v>
      </c>
      <c r="B963" s="40" t="s">
        <v>1429</v>
      </c>
      <c r="C963" s="40" t="s">
        <v>666</v>
      </c>
      <c r="D963">
        <v>10</v>
      </c>
      <c r="E963">
        <v>19.22</v>
      </c>
      <c r="F963">
        <v>48.05</v>
      </c>
      <c r="G963">
        <v>24.024999999999999</v>
      </c>
      <c r="H963">
        <v>1</v>
      </c>
      <c r="I963">
        <v>1</v>
      </c>
    </row>
    <row r="964" spans="1:9" x14ac:dyDescent="0.25">
      <c r="A964">
        <v>963</v>
      </c>
      <c r="B964" s="40" t="s">
        <v>1429</v>
      </c>
      <c r="C964" s="40" t="s">
        <v>1153</v>
      </c>
      <c r="D964">
        <v>10</v>
      </c>
      <c r="E964">
        <v>162.38</v>
      </c>
      <c r="F964">
        <v>353</v>
      </c>
      <c r="G964">
        <v>197.68</v>
      </c>
      <c r="H964">
        <v>1</v>
      </c>
      <c r="I964">
        <v>1</v>
      </c>
    </row>
    <row r="965" spans="1:9" x14ac:dyDescent="0.25">
      <c r="A965">
        <v>964</v>
      </c>
      <c r="B965" s="40" t="s">
        <v>1429</v>
      </c>
      <c r="C965" s="40" t="s">
        <v>1370</v>
      </c>
      <c r="D965">
        <v>10</v>
      </c>
      <c r="E965">
        <v>106.33</v>
      </c>
      <c r="F965">
        <v>217</v>
      </c>
      <c r="G965">
        <v>128.03</v>
      </c>
      <c r="H965">
        <v>1</v>
      </c>
      <c r="I965">
        <v>1</v>
      </c>
    </row>
    <row r="966" spans="1:9" x14ac:dyDescent="0.25">
      <c r="A966">
        <v>965</v>
      </c>
      <c r="B966" s="40" t="s">
        <v>629</v>
      </c>
      <c r="C966" s="40" t="s">
        <v>1472</v>
      </c>
      <c r="D966">
        <v>10</v>
      </c>
      <c r="E966">
        <v>191.78</v>
      </c>
      <c r="F966">
        <v>446</v>
      </c>
      <c r="G966">
        <v>236.38000000000002</v>
      </c>
      <c r="H966">
        <v>1</v>
      </c>
      <c r="I966">
        <v>1</v>
      </c>
    </row>
    <row r="967" spans="1:9" x14ac:dyDescent="0.25">
      <c r="A967">
        <v>966</v>
      </c>
      <c r="B967" s="40" t="s">
        <v>629</v>
      </c>
      <c r="C967" s="40" t="s">
        <v>667</v>
      </c>
      <c r="D967">
        <v>10</v>
      </c>
      <c r="E967">
        <v>196.18</v>
      </c>
      <c r="F967">
        <v>577</v>
      </c>
      <c r="G967">
        <v>253.88000000000002</v>
      </c>
      <c r="H967">
        <v>1</v>
      </c>
      <c r="I967">
        <v>1</v>
      </c>
    </row>
    <row r="968" spans="1:9" x14ac:dyDescent="0.25">
      <c r="A968">
        <v>967</v>
      </c>
      <c r="B968" s="40" t="s">
        <v>1429</v>
      </c>
      <c r="C968" s="40" t="s">
        <v>1160</v>
      </c>
      <c r="D968">
        <v>10</v>
      </c>
      <c r="E968">
        <v>341.88</v>
      </c>
      <c r="F968">
        <v>777</v>
      </c>
      <c r="G968">
        <v>419.58000000000004</v>
      </c>
      <c r="H968">
        <v>1</v>
      </c>
      <c r="I968">
        <v>1</v>
      </c>
    </row>
    <row r="969" spans="1:9" x14ac:dyDescent="0.25">
      <c r="A969">
        <v>968</v>
      </c>
      <c r="B969" s="40" t="s">
        <v>629</v>
      </c>
      <c r="C969" s="40" t="s">
        <v>1130</v>
      </c>
      <c r="D969">
        <v>10</v>
      </c>
      <c r="E969">
        <v>967.2</v>
      </c>
      <c r="F969">
        <v>2418</v>
      </c>
      <c r="G969">
        <v>1209</v>
      </c>
      <c r="H969">
        <v>1</v>
      </c>
      <c r="I969">
        <v>1</v>
      </c>
    </row>
    <row r="970" spans="1:9" x14ac:dyDescent="0.25">
      <c r="A970">
        <v>969</v>
      </c>
      <c r="B970" s="40" t="s">
        <v>629</v>
      </c>
      <c r="C970" s="40" t="s">
        <v>1812</v>
      </c>
      <c r="D970">
        <v>10</v>
      </c>
      <c r="E970">
        <v>591.6</v>
      </c>
      <c r="F970">
        <v>1479</v>
      </c>
      <c r="G970">
        <v>739.5</v>
      </c>
      <c r="H970">
        <v>1</v>
      </c>
      <c r="I970">
        <v>1</v>
      </c>
    </row>
    <row r="971" spans="1:9" x14ac:dyDescent="0.25">
      <c r="A971">
        <v>970</v>
      </c>
      <c r="B971" s="40" t="s">
        <v>1429</v>
      </c>
      <c r="C971" s="40" t="s">
        <v>1159</v>
      </c>
      <c r="D971">
        <v>10</v>
      </c>
      <c r="E971">
        <v>88.04</v>
      </c>
      <c r="F971">
        <v>142</v>
      </c>
      <c r="G971">
        <v>102.24</v>
      </c>
      <c r="H971">
        <v>1</v>
      </c>
      <c r="I971">
        <v>1</v>
      </c>
    </row>
    <row r="972" spans="1:9" x14ac:dyDescent="0.25">
      <c r="A972">
        <v>971</v>
      </c>
      <c r="B972" s="40" t="s">
        <v>1429</v>
      </c>
      <c r="C972" s="40" t="s">
        <v>1477</v>
      </c>
      <c r="D972">
        <v>10</v>
      </c>
      <c r="E972">
        <v>92.02</v>
      </c>
      <c r="F972">
        <v>214</v>
      </c>
      <c r="G972">
        <v>113.42</v>
      </c>
      <c r="H972">
        <v>1</v>
      </c>
      <c r="I972">
        <v>1</v>
      </c>
    </row>
    <row r="973" spans="1:9" x14ac:dyDescent="0.25">
      <c r="A973">
        <v>972</v>
      </c>
      <c r="B973" s="40" t="s">
        <v>1429</v>
      </c>
      <c r="C973" s="40" t="s">
        <v>668</v>
      </c>
      <c r="D973">
        <v>10</v>
      </c>
      <c r="E973">
        <v>40.28</v>
      </c>
      <c r="F973">
        <v>76</v>
      </c>
      <c r="G973">
        <v>47.88</v>
      </c>
      <c r="H973">
        <v>1</v>
      </c>
      <c r="I973">
        <v>1</v>
      </c>
    </row>
    <row r="974" spans="1:9" x14ac:dyDescent="0.25">
      <c r="A974">
        <v>973</v>
      </c>
      <c r="B974" s="40" t="s">
        <v>629</v>
      </c>
      <c r="C974" s="40" t="s">
        <v>1380</v>
      </c>
      <c r="D974">
        <v>10</v>
      </c>
      <c r="E974">
        <v>731.64</v>
      </c>
      <c r="F974">
        <v>1742</v>
      </c>
      <c r="G974">
        <v>905.84</v>
      </c>
      <c r="H974">
        <v>1</v>
      </c>
      <c r="I974">
        <v>1</v>
      </c>
    </row>
    <row r="975" spans="1:9" x14ac:dyDescent="0.25">
      <c r="A975">
        <v>974</v>
      </c>
      <c r="B975" s="40" t="s">
        <v>629</v>
      </c>
      <c r="C975" s="40" t="s">
        <v>1390</v>
      </c>
      <c r="D975">
        <v>10</v>
      </c>
      <c r="E975">
        <v>236.5</v>
      </c>
      <c r="F975">
        <v>473</v>
      </c>
      <c r="G975">
        <v>283.8</v>
      </c>
      <c r="H975">
        <v>1</v>
      </c>
      <c r="I975">
        <v>1</v>
      </c>
    </row>
    <row r="976" spans="1:9" x14ac:dyDescent="0.25">
      <c r="A976">
        <v>975</v>
      </c>
      <c r="B976" s="40" t="s">
        <v>629</v>
      </c>
      <c r="C976" s="40" t="s">
        <v>650</v>
      </c>
      <c r="D976">
        <v>10</v>
      </c>
      <c r="E976">
        <v>101.25</v>
      </c>
      <c r="F976">
        <v>225</v>
      </c>
      <c r="G976">
        <v>123.75000000000001</v>
      </c>
      <c r="H976">
        <v>1</v>
      </c>
      <c r="I976">
        <v>1</v>
      </c>
    </row>
    <row r="977" spans="1:9" x14ac:dyDescent="0.25">
      <c r="A977">
        <v>976</v>
      </c>
      <c r="B977" s="40" t="s">
        <v>629</v>
      </c>
      <c r="C977" s="40" t="s">
        <v>651</v>
      </c>
      <c r="D977">
        <v>10</v>
      </c>
      <c r="E977">
        <v>434.73</v>
      </c>
      <c r="F977">
        <v>1011</v>
      </c>
      <c r="G977">
        <v>535.83000000000004</v>
      </c>
      <c r="H977">
        <v>1</v>
      </c>
      <c r="I977">
        <v>1</v>
      </c>
    </row>
    <row r="978" spans="1:9" x14ac:dyDescent="0.25">
      <c r="A978">
        <v>977</v>
      </c>
      <c r="B978" s="40" t="s">
        <v>1429</v>
      </c>
      <c r="C978" s="40" t="s">
        <v>669</v>
      </c>
      <c r="D978">
        <v>10</v>
      </c>
      <c r="E978">
        <v>84.77</v>
      </c>
      <c r="F978">
        <v>173</v>
      </c>
      <c r="G978">
        <v>102.07</v>
      </c>
      <c r="H978">
        <v>1</v>
      </c>
      <c r="I978">
        <v>1</v>
      </c>
    </row>
    <row r="979" spans="1:9" x14ac:dyDescent="0.25">
      <c r="A979">
        <v>978</v>
      </c>
      <c r="B979" s="40" t="s">
        <v>1429</v>
      </c>
      <c r="C979" s="40" t="s">
        <v>670</v>
      </c>
      <c r="D979">
        <v>10</v>
      </c>
      <c r="E979">
        <v>44.603999999999999</v>
      </c>
      <c r="F979">
        <v>126</v>
      </c>
      <c r="G979">
        <v>57.203999999999994</v>
      </c>
      <c r="H979">
        <v>1</v>
      </c>
      <c r="I979">
        <v>1</v>
      </c>
    </row>
    <row r="980" spans="1:9" x14ac:dyDescent="0.25">
      <c r="A980">
        <v>979</v>
      </c>
      <c r="B980" s="40" t="s">
        <v>629</v>
      </c>
      <c r="C980" s="40" t="s">
        <v>1813</v>
      </c>
      <c r="D980">
        <v>10</v>
      </c>
      <c r="E980">
        <v>27.6</v>
      </c>
      <c r="F980">
        <v>60</v>
      </c>
      <c r="G980">
        <v>33.6</v>
      </c>
      <c r="H980">
        <v>1</v>
      </c>
      <c r="I980">
        <v>1</v>
      </c>
    </row>
    <row r="981" spans="1:9" x14ac:dyDescent="0.25">
      <c r="A981">
        <v>980</v>
      </c>
      <c r="B981" s="40" t="s">
        <v>629</v>
      </c>
      <c r="C981" s="40" t="s">
        <v>1814</v>
      </c>
      <c r="D981">
        <v>10</v>
      </c>
      <c r="E981">
        <v>27.900000000000002</v>
      </c>
      <c r="F981">
        <v>62</v>
      </c>
      <c r="G981">
        <v>34.1</v>
      </c>
      <c r="H981">
        <v>1</v>
      </c>
      <c r="I981">
        <v>1</v>
      </c>
    </row>
    <row r="982" spans="1:9" x14ac:dyDescent="0.25">
      <c r="A982">
        <v>981</v>
      </c>
      <c r="B982" s="40" t="s">
        <v>629</v>
      </c>
      <c r="C982" s="40" t="s">
        <v>672</v>
      </c>
      <c r="D982">
        <v>10</v>
      </c>
      <c r="E982">
        <v>26.5</v>
      </c>
      <c r="F982">
        <v>53</v>
      </c>
      <c r="G982">
        <v>31.799999999999997</v>
      </c>
      <c r="H982">
        <v>1</v>
      </c>
      <c r="I982">
        <v>1</v>
      </c>
    </row>
    <row r="983" spans="1:9" x14ac:dyDescent="0.25">
      <c r="A983">
        <v>982</v>
      </c>
      <c r="B983" s="40" t="s">
        <v>629</v>
      </c>
      <c r="C983" s="40" t="s">
        <v>1815</v>
      </c>
      <c r="D983">
        <v>10</v>
      </c>
      <c r="E983">
        <v>110.7</v>
      </c>
      <c r="F983">
        <v>246</v>
      </c>
      <c r="G983">
        <v>135.30000000000001</v>
      </c>
      <c r="H983">
        <v>1</v>
      </c>
      <c r="I983">
        <v>1</v>
      </c>
    </row>
    <row r="984" spans="1:9" x14ac:dyDescent="0.25">
      <c r="A984">
        <v>983</v>
      </c>
      <c r="B984" s="40" t="s">
        <v>1429</v>
      </c>
      <c r="C984" s="40" t="s">
        <v>673</v>
      </c>
      <c r="D984">
        <v>10</v>
      </c>
      <c r="E984">
        <v>33.344999999999999</v>
      </c>
      <c r="F984">
        <v>74.099999999999994</v>
      </c>
      <c r="G984">
        <v>40.755000000000003</v>
      </c>
      <c r="H984">
        <v>1</v>
      </c>
      <c r="I984">
        <v>1</v>
      </c>
    </row>
    <row r="985" spans="1:9" x14ac:dyDescent="0.25">
      <c r="A985">
        <v>984</v>
      </c>
      <c r="B985" s="40" t="s">
        <v>629</v>
      </c>
      <c r="C985" s="40" t="s">
        <v>674</v>
      </c>
      <c r="D985">
        <v>10</v>
      </c>
      <c r="E985">
        <v>76.495699999999999</v>
      </c>
      <c r="F985">
        <v>181.7</v>
      </c>
      <c r="G985">
        <v>94.665700000000001</v>
      </c>
      <c r="H985">
        <v>1</v>
      </c>
      <c r="I985">
        <v>1</v>
      </c>
    </row>
    <row r="986" spans="1:9" x14ac:dyDescent="0.25">
      <c r="A986">
        <v>985</v>
      </c>
      <c r="B986" s="40" t="s">
        <v>629</v>
      </c>
      <c r="C986" s="40" t="s">
        <v>675</v>
      </c>
      <c r="D986">
        <v>10</v>
      </c>
      <c r="E986">
        <v>590.46</v>
      </c>
      <c r="F986">
        <v>1514</v>
      </c>
      <c r="G986">
        <v>741.86</v>
      </c>
      <c r="H986">
        <v>1</v>
      </c>
      <c r="I986">
        <v>1</v>
      </c>
    </row>
    <row r="987" spans="1:9" x14ac:dyDescent="0.25">
      <c r="A987">
        <v>986</v>
      </c>
      <c r="B987" s="40" t="s">
        <v>629</v>
      </c>
      <c r="C987" s="40" t="s">
        <v>1482</v>
      </c>
      <c r="D987">
        <v>10</v>
      </c>
      <c r="E987">
        <v>7418.375</v>
      </c>
      <c r="F987">
        <v>17455</v>
      </c>
      <c r="G987">
        <v>9163.875</v>
      </c>
      <c r="H987">
        <v>1</v>
      </c>
      <c r="I987">
        <v>1</v>
      </c>
    </row>
    <row r="988" spans="1:9" x14ac:dyDescent="0.25">
      <c r="A988">
        <v>987</v>
      </c>
      <c r="B988" s="40" t="s">
        <v>1429</v>
      </c>
      <c r="C988" s="40" t="s">
        <v>676</v>
      </c>
      <c r="D988">
        <v>10</v>
      </c>
      <c r="E988">
        <v>92.942999999999998</v>
      </c>
      <c r="F988">
        <v>207</v>
      </c>
      <c r="G988">
        <v>113.64300000000001</v>
      </c>
      <c r="H988">
        <v>1</v>
      </c>
      <c r="I988">
        <v>1</v>
      </c>
    </row>
    <row r="989" spans="1:9" x14ac:dyDescent="0.25">
      <c r="A989">
        <v>988</v>
      </c>
      <c r="B989" s="40" t="s">
        <v>629</v>
      </c>
      <c r="C989" s="40" t="s">
        <v>677</v>
      </c>
      <c r="D989">
        <v>10</v>
      </c>
      <c r="E989">
        <v>124.22999999999999</v>
      </c>
      <c r="F989">
        <v>303</v>
      </c>
      <c r="G989">
        <v>154.53</v>
      </c>
      <c r="H989">
        <v>1</v>
      </c>
      <c r="I989">
        <v>1</v>
      </c>
    </row>
    <row r="990" spans="1:9" x14ac:dyDescent="0.25">
      <c r="A990">
        <v>989</v>
      </c>
      <c r="B990" s="40" t="s">
        <v>629</v>
      </c>
      <c r="C990" s="40" t="s">
        <v>1481</v>
      </c>
      <c r="D990">
        <v>10</v>
      </c>
      <c r="E990">
        <v>912.7399999999999</v>
      </c>
      <c r="F990">
        <v>1942</v>
      </c>
      <c r="G990">
        <v>1106.9399999999998</v>
      </c>
      <c r="H990">
        <v>1</v>
      </c>
      <c r="I990">
        <v>1</v>
      </c>
    </row>
    <row r="991" spans="1:9" x14ac:dyDescent="0.25">
      <c r="A991">
        <v>990</v>
      </c>
      <c r="B991" s="40" t="s">
        <v>629</v>
      </c>
      <c r="C991" s="40" t="s">
        <v>678</v>
      </c>
      <c r="D991">
        <v>10</v>
      </c>
      <c r="E991">
        <v>11.5412</v>
      </c>
      <c r="F991">
        <v>26.84</v>
      </c>
      <c r="G991">
        <v>14.225200000000001</v>
      </c>
      <c r="H991">
        <v>1</v>
      </c>
      <c r="I991">
        <v>1</v>
      </c>
    </row>
    <row r="992" spans="1:9" x14ac:dyDescent="0.25">
      <c r="A992">
        <v>991</v>
      </c>
      <c r="B992" s="40" t="s">
        <v>629</v>
      </c>
      <c r="C992" s="40" t="s">
        <v>679</v>
      </c>
      <c r="D992">
        <v>10</v>
      </c>
      <c r="E992">
        <v>624.68000000000006</v>
      </c>
      <c r="F992">
        <v>1358</v>
      </c>
      <c r="G992">
        <v>760.48</v>
      </c>
      <c r="H992">
        <v>1</v>
      </c>
      <c r="I992">
        <v>1</v>
      </c>
    </row>
    <row r="993" spans="1:9" x14ac:dyDescent="0.25">
      <c r="A993">
        <v>992</v>
      </c>
      <c r="B993" s="40" t="s">
        <v>629</v>
      </c>
      <c r="C993" s="40" t="s">
        <v>680</v>
      </c>
      <c r="D993">
        <v>10</v>
      </c>
      <c r="E993">
        <v>229.77500000000001</v>
      </c>
      <c r="F993">
        <v>505</v>
      </c>
      <c r="G993">
        <v>280.27500000000003</v>
      </c>
      <c r="H993">
        <v>1</v>
      </c>
      <c r="I993">
        <v>1</v>
      </c>
    </row>
    <row r="994" spans="1:9" x14ac:dyDescent="0.25">
      <c r="A994">
        <v>993</v>
      </c>
      <c r="B994" s="40" t="s">
        <v>629</v>
      </c>
      <c r="C994" s="40" t="s">
        <v>1434</v>
      </c>
      <c r="D994">
        <v>10</v>
      </c>
      <c r="E994">
        <v>431.29</v>
      </c>
      <c r="F994">
        <v>1003</v>
      </c>
      <c r="G994">
        <v>531.59</v>
      </c>
      <c r="H994">
        <v>1</v>
      </c>
      <c r="I994">
        <v>1</v>
      </c>
    </row>
    <row r="995" spans="1:9" x14ac:dyDescent="0.25">
      <c r="A995">
        <v>994</v>
      </c>
      <c r="B995" s="40" t="s">
        <v>629</v>
      </c>
      <c r="C995" s="40" t="s">
        <v>681</v>
      </c>
      <c r="D995">
        <v>10</v>
      </c>
      <c r="E995">
        <v>87.2</v>
      </c>
      <c r="F995">
        <v>218</v>
      </c>
      <c r="G995">
        <v>109</v>
      </c>
      <c r="H995">
        <v>1</v>
      </c>
      <c r="I995">
        <v>1</v>
      </c>
    </row>
    <row r="996" spans="1:9" x14ac:dyDescent="0.25">
      <c r="A996">
        <v>995</v>
      </c>
      <c r="B996" s="40" t="s">
        <v>629</v>
      </c>
      <c r="C996" s="40" t="s">
        <v>682</v>
      </c>
      <c r="D996">
        <v>10</v>
      </c>
      <c r="E996">
        <v>67.488</v>
      </c>
      <c r="F996">
        <v>152</v>
      </c>
      <c r="G996">
        <v>82.688000000000002</v>
      </c>
      <c r="H996">
        <v>1</v>
      </c>
      <c r="I996">
        <v>1</v>
      </c>
    </row>
    <row r="997" spans="1:9" x14ac:dyDescent="0.25">
      <c r="A997">
        <v>996</v>
      </c>
      <c r="B997" s="40" t="s">
        <v>683</v>
      </c>
      <c r="C997" s="40" t="s">
        <v>684</v>
      </c>
      <c r="D997">
        <v>10</v>
      </c>
      <c r="E997">
        <v>23.1</v>
      </c>
      <c r="F997">
        <v>70</v>
      </c>
      <c r="G997">
        <v>30.100000000000005</v>
      </c>
      <c r="H997">
        <v>1</v>
      </c>
      <c r="I997">
        <v>1</v>
      </c>
    </row>
    <row r="998" spans="1:9" x14ac:dyDescent="0.25">
      <c r="A998">
        <v>997</v>
      </c>
      <c r="B998" s="40" t="s">
        <v>683</v>
      </c>
      <c r="C998" s="40" t="s">
        <v>685</v>
      </c>
      <c r="D998">
        <v>10</v>
      </c>
      <c r="E998">
        <v>125.4</v>
      </c>
      <c r="F998">
        <v>380</v>
      </c>
      <c r="G998">
        <v>163.4</v>
      </c>
      <c r="H998">
        <v>1</v>
      </c>
      <c r="I998">
        <v>1</v>
      </c>
    </row>
    <row r="999" spans="1:9" x14ac:dyDescent="0.25">
      <c r="A999">
        <v>998</v>
      </c>
      <c r="B999" s="40" t="s">
        <v>683</v>
      </c>
      <c r="C999" s="40" t="s">
        <v>687</v>
      </c>
      <c r="D999">
        <v>10</v>
      </c>
      <c r="E999">
        <v>47.85</v>
      </c>
      <c r="F999">
        <v>145</v>
      </c>
      <c r="G999">
        <v>62.350000000000009</v>
      </c>
      <c r="H999">
        <v>1</v>
      </c>
      <c r="I999">
        <v>1</v>
      </c>
    </row>
    <row r="1000" spans="1:9" x14ac:dyDescent="0.25">
      <c r="A1000">
        <v>999</v>
      </c>
      <c r="B1000" s="40" t="s">
        <v>688</v>
      </c>
      <c r="C1000" s="40" t="s">
        <v>689</v>
      </c>
      <c r="D1000">
        <v>10</v>
      </c>
      <c r="E1000">
        <v>19.8</v>
      </c>
      <c r="F1000">
        <v>33</v>
      </c>
      <c r="G1000">
        <v>23.099999999999998</v>
      </c>
      <c r="H1000">
        <v>1</v>
      </c>
      <c r="I1000">
        <v>1</v>
      </c>
    </row>
    <row r="1001" spans="1:9" x14ac:dyDescent="0.25">
      <c r="A1001">
        <v>1000</v>
      </c>
      <c r="B1001" s="40" t="s">
        <v>690</v>
      </c>
      <c r="C1001" s="40" t="s">
        <v>691</v>
      </c>
      <c r="D1001">
        <v>10</v>
      </c>
      <c r="E1001">
        <v>26.5</v>
      </c>
      <c r="F1001">
        <v>53</v>
      </c>
      <c r="G1001">
        <v>30.916666666666664</v>
      </c>
      <c r="H1001">
        <v>1</v>
      </c>
      <c r="I1001">
        <v>1</v>
      </c>
    </row>
    <row r="1002" spans="1:9" x14ac:dyDescent="0.25">
      <c r="A1002">
        <v>1001</v>
      </c>
      <c r="B1002" s="40" t="s">
        <v>704</v>
      </c>
      <c r="C1002" s="40" t="s">
        <v>705</v>
      </c>
      <c r="D1002">
        <v>10</v>
      </c>
      <c r="E1002">
        <v>45.6</v>
      </c>
      <c r="F1002">
        <v>76</v>
      </c>
      <c r="G1002">
        <v>53.199999999999996</v>
      </c>
      <c r="H1002">
        <v>1</v>
      </c>
      <c r="I1002">
        <v>1</v>
      </c>
    </row>
    <row r="1003" spans="1:9" x14ac:dyDescent="0.25">
      <c r="A1003">
        <v>1002</v>
      </c>
      <c r="B1003" s="40" t="s">
        <v>704</v>
      </c>
      <c r="C1003" s="40" t="s">
        <v>710</v>
      </c>
      <c r="D1003">
        <v>10</v>
      </c>
      <c r="E1003">
        <v>88.8</v>
      </c>
      <c r="F1003">
        <v>148</v>
      </c>
      <c r="G1003">
        <v>103.6</v>
      </c>
      <c r="H1003">
        <v>1</v>
      </c>
      <c r="I1003">
        <v>1</v>
      </c>
    </row>
    <row r="1004" spans="1:9" x14ac:dyDescent="0.25">
      <c r="A1004">
        <v>1003</v>
      </c>
      <c r="B1004" s="40" t="s">
        <v>1831</v>
      </c>
      <c r="C1004" s="40" t="s">
        <v>1126</v>
      </c>
      <c r="D1004">
        <v>10</v>
      </c>
      <c r="E1004">
        <v>134.5</v>
      </c>
      <c r="F1004">
        <v>269</v>
      </c>
      <c r="G1004">
        <v>161.4</v>
      </c>
      <c r="H1004">
        <v>1</v>
      </c>
      <c r="I1004">
        <v>1</v>
      </c>
    </row>
    <row r="1005" spans="1:9" x14ac:dyDescent="0.25">
      <c r="A1005">
        <v>1004</v>
      </c>
      <c r="B1005" s="40" t="s">
        <v>1831</v>
      </c>
      <c r="C1005" s="40" t="s">
        <v>1260</v>
      </c>
      <c r="D1005">
        <v>10</v>
      </c>
      <c r="E1005">
        <v>48.248000000000005</v>
      </c>
      <c r="F1005">
        <v>130.4</v>
      </c>
      <c r="G1005">
        <v>61.287999999999997</v>
      </c>
      <c r="H1005">
        <v>1</v>
      </c>
      <c r="I1005">
        <v>1</v>
      </c>
    </row>
    <row r="1006" spans="1:9" x14ac:dyDescent="0.25">
      <c r="A1006">
        <v>1005</v>
      </c>
      <c r="B1006" s="40" t="s">
        <v>1831</v>
      </c>
      <c r="C1006" s="40" t="s">
        <v>1240</v>
      </c>
      <c r="D1006">
        <v>10</v>
      </c>
      <c r="E1006">
        <v>34.408000000000001</v>
      </c>
      <c r="F1006">
        <v>78.2</v>
      </c>
      <c r="G1006">
        <v>42.228000000000002</v>
      </c>
      <c r="H1006">
        <v>1</v>
      </c>
      <c r="I1006">
        <v>1</v>
      </c>
    </row>
    <row r="1007" spans="1:9" x14ac:dyDescent="0.25">
      <c r="A1007">
        <v>1006</v>
      </c>
      <c r="B1007" s="40" t="s">
        <v>1831</v>
      </c>
      <c r="C1007" s="40" t="s">
        <v>1241</v>
      </c>
      <c r="D1007">
        <v>10</v>
      </c>
      <c r="E1007">
        <v>4.6639999999999997</v>
      </c>
      <c r="F1007">
        <v>10.6</v>
      </c>
      <c r="G1007">
        <v>5.7240000000000002</v>
      </c>
      <c r="H1007">
        <v>1</v>
      </c>
      <c r="I1007">
        <v>1</v>
      </c>
    </row>
    <row r="1008" spans="1:9" x14ac:dyDescent="0.25">
      <c r="A1008">
        <v>1007</v>
      </c>
      <c r="B1008" s="40" t="s">
        <v>1831</v>
      </c>
      <c r="C1008" s="40" t="s">
        <v>711</v>
      </c>
      <c r="D1008">
        <v>10</v>
      </c>
      <c r="E1008">
        <v>54.74</v>
      </c>
      <c r="F1008">
        <v>161</v>
      </c>
      <c r="G1008">
        <v>70.84</v>
      </c>
      <c r="H1008">
        <v>1</v>
      </c>
      <c r="I1008">
        <v>1</v>
      </c>
    </row>
    <row r="1009" spans="1:9" x14ac:dyDescent="0.25">
      <c r="A1009">
        <v>1008</v>
      </c>
      <c r="B1009" s="40" t="s">
        <v>1831</v>
      </c>
      <c r="C1009" s="40" t="s">
        <v>1242</v>
      </c>
      <c r="D1009">
        <v>10</v>
      </c>
      <c r="E1009">
        <v>223.41</v>
      </c>
      <c r="F1009">
        <v>677</v>
      </c>
      <c r="G1009">
        <v>291.11</v>
      </c>
      <c r="H1009">
        <v>1</v>
      </c>
      <c r="I1009">
        <v>1</v>
      </c>
    </row>
    <row r="1010" spans="1:9" x14ac:dyDescent="0.25">
      <c r="A1010">
        <v>1009</v>
      </c>
      <c r="B1010" s="40" t="s">
        <v>1831</v>
      </c>
      <c r="C1010" s="40" t="s">
        <v>712</v>
      </c>
      <c r="D1010">
        <v>10</v>
      </c>
      <c r="E1010">
        <v>73.63</v>
      </c>
      <c r="F1010">
        <v>199</v>
      </c>
      <c r="G1010">
        <v>93.53</v>
      </c>
      <c r="H1010">
        <v>1</v>
      </c>
      <c r="I1010">
        <v>1</v>
      </c>
    </row>
    <row r="1011" spans="1:9" x14ac:dyDescent="0.25">
      <c r="A1011">
        <v>1010</v>
      </c>
      <c r="B1011" s="40" t="s">
        <v>1831</v>
      </c>
      <c r="C1011" s="40" t="s">
        <v>1243</v>
      </c>
      <c r="D1011">
        <v>10</v>
      </c>
      <c r="E1011">
        <v>11.952</v>
      </c>
      <c r="F1011">
        <v>29.88</v>
      </c>
      <c r="G1011">
        <v>14.94</v>
      </c>
      <c r="H1011">
        <v>1</v>
      </c>
      <c r="I1011">
        <v>1</v>
      </c>
    </row>
    <row r="1012" spans="1:9" x14ac:dyDescent="0.25">
      <c r="A1012">
        <v>1011</v>
      </c>
      <c r="B1012" s="40" t="s">
        <v>1831</v>
      </c>
      <c r="C1012" s="40" t="s">
        <v>1244</v>
      </c>
      <c r="D1012">
        <v>10</v>
      </c>
      <c r="E1012">
        <v>25.200000000000003</v>
      </c>
      <c r="F1012">
        <v>63</v>
      </c>
      <c r="G1012">
        <v>31.5</v>
      </c>
      <c r="H1012">
        <v>1</v>
      </c>
      <c r="I1012">
        <v>1</v>
      </c>
    </row>
    <row r="1013" spans="1:9" x14ac:dyDescent="0.25">
      <c r="A1013">
        <v>1012</v>
      </c>
      <c r="B1013" s="40" t="s">
        <v>1831</v>
      </c>
      <c r="C1013" s="40" t="s">
        <v>1245</v>
      </c>
      <c r="D1013">
        <v>10</v>
      </c>
      <c r="E1013">
        <v>74.8</v>
      </c>
      <c r="F1013">
        <v>187</v>
      </c>
      <c r="G1013">
        <v>93.5</v>
      </c>
      <c r="H1013">
        <v>1</v>
      </c>
      <c r="I1013">
        <v>1</v>
      </c>
    </row>
    <row r="1014" spans="1:9" x14ac:dyDescent="0.25">
      <c r="A1014">
        <v>1013</v>
      </c>
      <c r="B1014" s="40" t="s">
        <v>1831</v>
      </c>
      <c r="C1014" s="40" t="s">
        <v>1246</v>
      </c>
      <c r="D1014">
        <v>10</v>
      </c>
      <c r="E1014">
        <v>317.02999999999997</v>
      </c>
      <c r="F1014">
        <v>647</v>
      </c>
      <c r="G1014">
        <v>381.72999999999996</v>
      </c>
      <c r="H1014">
        <v>1</v>
      </c>
      <c r="I1014">
        <v>1</v>
      </c>
    </row>
    <row r="1015" spans="1:9" x14ac:dyDescent="0.25">
      <c r="A1015">
        <v>1014</v>
      </c>
      <c r="B1015" s="40" t="s">
        <v>1831</v>
      </c>
      <c r="C1015" s="40" t="s">
        <v>1247</v>
      </c>
      <c r="D1015">
        <v>10</v>
      </c>
      <c r="E1015">
        <v>516.12</v>
      </c>
      <c r="F1015">
        <v>1122</v>
      </c>
      <c r="G1015">
        <v>628.32000000000005</v>
      </c>
      <c r="H1015">
        <v>1</v>
      </c>
      <c r="I1015">
        <v>1</v>
      </c>
    </row>
    <row r="1016" spans="1:9" x14ac:dyDescent="0.25">
      <c r="A1016">
        <v>1015</v>
      </c>
      <c r="B1016" s="40" t="s">
        <v>1831</v>
      </c>
      <c r="C1016" s="40" t="s">
        <v>1248</v>
      </c>
      <c r="D1016">
        <v>10</v>
      </c>
      <c r="E1016">
        <v>1136.2</v>
      </c>
      <c r="F1016">
        <v>2470</v>
      </c>
      <c r="G1016">
        <v>1383.2</v>
      </c>
      <c r="H1016">
        <v>1</v>
      </c>
      <c r="I1016">
        <v>1</v>
      </c>
    </row>
    <row r="1017" spans="1:9" x14ac:dyDescent="0.25">
      <c r="A1017">
        <v>1016</v>
      </c>
      <c r="B1017" s="40" t="s">
        <v>1831</v>
      </c>
      <c r="C1017" s="40" t="s">
        <v>1249</v>
      </c>
      <c r="D1017">
        <v>10</v>
      </c>
      <c r="E1017">
        <v>101.66000000000001</v>
      </c>
      <c r="F1017">
        <v>221</v>
      </c>
      <c r="G1017">
        <v>123.76</v>
      </c>
      <c r="H1017">
        <v>1</v>
      </c>
      <c r="I1017">
        <v>1</v>
      </c>
    </row>
    <row r="1018" spans="1:9" x14ac:dyDescent="0.25">
      <c r="A1018">
        <v>1017</v>
      </c>
      <c r="B1018" s="40" t="s">
        <v>1831</v>
      </c>
      <c r="C1018" s="40" t="s">
        <v>713</v>
      </c>
      <c r="D1018">
        <v>10</v>
      </c>
      <c r="E1018">
        <v>77.55</v>
      </c>
      <c r="F1018">
        <v>235</v>
      </c>
      <c r="G1018">
        <v>101.05000000000001</v>
      </c>
      <c r="H1018">
        <v>1</v>
      </c>
      <c r="I1018">
        <v>1</v>
      </c>
    </row>
    <row r="1019" spans="1:9" x14ac:dyDescent="0.25">
      <c r="A1019">
        <v>1018</v>
      </c>
      <c r="B1019" s="40" t="s">
        <v>1831</v>
      </c>
      <c r="C1019" s="40" t="s">
        <v>714</v>
      </c>
      <c r="D1019">
        <v>10</v>
      </c>
      <c r="E1019">
        <v>494.67</v>
      </c>
      <c r="F1019">
        <v>1499</v>
      </c>
      <c r="G1019">
        <v>644.57000000000005</v>
      </c>
      <c r="H1019">
        <v>1</v>
      </c>
      <c r="I1019">
        <v>1</v>
      </c>
    </row>
    <row r="1020" spans="1:9" x14ac:dyDescent="0.25">
      <c r="A1020">
        <v>1019</v>
      </c>
      <c r="B1020" s="40" t="s">
        <v>716</v>
      </c>
      <c r="C1020" s="40" t="s">
        <v>717</v>
      </c>
      <c r="D1020">
        <v>10</v>
      </c>
      <c r="E1020">
        <v>105</v>
      </c>
      <c r="F1020">
        <v>210</v>
      </c>
      <c r="G1020">
        <v>126</v>
      </c>
      <c r="H1020">
        <v>1</v>
      </c>
      <c r="I1020">
        <v>1</v>
      </c>
    </row>
    <row r="1021" spans="1:9" x14ac:dyDescent="0.25">
      <c r="A1021">
        <v>1020</v>
      </c>
      <c r="B1021" s="40" t="s">
        <v>716</v>
      </c>
      <c r="C1021" s="40" t="s">
        <v>718</v>
      </c>
      <c r="D1021">
        <v>10</v>
      </c>
      <c r="E1021">
        <v>210</v>
      </c>
      <c r="F1021">
        <v>420</v>
      </c>
      <c r="G1021">
        <v>252</v>
      </c>
      <c r="H1021">
        <v>1</v>
      </c>
      <c r="I1021">
        <v>1</v>
      </c>
    </row>
    <row r="1022" spans="1:9" x14ac:dyDescent="0.25">
      <c r="A1022">
        <v>1021</v>
      </c>
      <c r="B1022" s="40" t="s">
        <v>716</v>
      </c>
      <c r="C1022" s="40" t="s">
        <v>719</v>
      </c>
      <c r="D1022">
        <v>10</v>
      </c>
      <c r="E1022">
        <v>345</v>
      </c>
      <c r="F1022">
        <v>690</v>
      </c>
      <c r="G1022">
        <v>414</v>
      </c>
      <c r="H1022">
        <v>1</v>
      </c>
      <c r="I1022">
        <v>1</v>
      </c>
    </row>
    <row r="1023" spans="1:9" x14ac:dyDescent="0.25">
      <c r="A1023">
        <v>1022</v>
      </c>
      <c r="B1023" s="40" t="s">
        <v>720</v>
      </c>
      <c r="C1023" s="40" t="s">
        <v>723</v>
      </c>
      <c r="D1023">
        <v>10</v>
      </c>
      <c r="E1023">
        <v>343.8</v>
      </c>
      <c r="F1023">
        <v>573</v>
      </c>
      <c r="G1023">
        <v>401.09999999999997</v>
      </c>
      <c r="H1023">
        <v>1</v>
      </c>
      <c r="I1023">
        <v>1</v>
      </c>
    </row>
    <row r="1024" spans="1:9" x14ac:dyDescent="0.25">
      <c r="A1024">
        <v>1023</v>
      </c>
      <c r="B1024" s="40" t="s">
        <v>724</v>
      </c>
      <c r="C1024" s="40" t="s">
        <v>725</v>
      </c>
      <c r="D1024">
        <v>10</v>
      </c>
      <c r="E1024">
        <v>210</v>
      </c>
      <c r="F1024">
        <v>420</v>
      </c>
      <c r="G1024">
        <v>252</v>
      </c>
      <c r="H1024">
        <v>1</v>
      </c>
      <c r="I1024">
        <v>1</v>
      </c>
    </row>
    <row r="1025" spans="1:9" x14ac:dyDescent="0.25">
      <c r="A1025">
        <v>1024</v>
      </c>
      <c r="B1025" s="40" t="s">
        <v>724</v>
      </c>
      <c r="C1025" s="40" t="s">
        <v>726</v>
      </c>
      <c r="D1025">
        <v>10</v>
      </c>
      <c r="E1025">
        <v>65</v>
      </c>
      <c r="F1025">
        <v>130</v>
      </c>
      <c r="G1025">
        <v>78</v>
      </c>
      <c r="H1025">
        <v>1</v>
      </c>
      <c r="I1025">
        <v>1</v>
      </c>
    </row>
    <row r="1026" spans="1:9" x14ac:dyDescent="0.25">
      <c r="A1026">
        <v>1025</v>
      </c>
      <c r="B1026" s="40" t="s">
        <v>724</v>
      </c>
      <c r="C1026" s="40" t="s">
        <v>727</v>
      </c>
      <c r="D1026">
        <v>10</v>
      </c>
      <c r="E1026">
        <v>440</v>
      </c>
      <c r="F1026">
        <v>880</v>
      </c>
      <c r="G1026">
        <v>528</v>
      </c>
      <c r="H1026">
        <v>1</v>
      </c>
      <c r="I1026">
        <v>1</v>
      </c>
    </row>
    <row r="1027" spans="1:9" x14ac:dyDescent="0.25">
      <c r="A1027">
        <v>1026</v>
      </c>
      <c r="B1027" s="40" t="s">
        <v>724</v>
      </c>
      <c r="C1027" s="40" t="s">
        <v>728</v>
      </c>
      <c r="D1027">
        <v>10</v>
      </c>
      <c r="E1027">
        <v>120</v>
      </c>
      <c r="F1027">
        <v>240</v>
      </c>
      <c r="G1027">
        <v>144</v>
      </c>
      <c r="H1027">
        <v>1</v>
      </c>
      <c r="I1027">
        <v>1</v>
      </c>
    </row>
    <row r="1028" spans="1:9" x14ac:dyDescent="0.25">
      <c r="A1028">
        <v>1027</v>
      </c>
      <c r="B1028" s="40" t="s">
        <v>724</v>
      </c>
      <c r="C1028" s="40" t="s">
        <v>729</v>
      </c>
      <c r="D1028">
        <v>10</v>
      </c>
      <c r="E1028">
        <v>13.2</v>
      </c>
      <c r="F1028">
        <v>26.4</v>
      </c>
      <c r="G1028">
        <v>15.839999999999998</v>
      </c>
      <c r="H1028">
        <v>1</v>
      </c>
      <c r="I1028">
        <v>1</v>
      </c>
    </row>
    <row r="1029" spans="1:9" x14ac:dyDescent="0.25">
      <c r="A1029">
        <v>1028</v>
      </c>
      <c r="B1029" s="40" t="s">
        <v>724</v>
      </c>
      <c r="C1029" s="40" t="s">
        <v>730</v>
      </c>
      <c r="D1029">
        <v>10</v>
      </c>
      <c r="E1029">
        <v>302</v>
      </c>
      <c r="F1029">
        <v>604</v>
      </c>
      <c r="G1029">
        <v>362.4</v>
      </c>
      <c r="H1029">
        <v>1</v>
      </c>
      <c r="I1029">
        <v>1</v>
      </c>
    </row>
    <row r="1030" spans="1:9" x14ac:dyDescent="0.25">
      <c r="A1030">
        <v>1029</v>
      </c>
      <c r="B1030" s="40" t="s">
        <v>724</v>
      </c>
      <c r="C1030" s="40" t="s">
        <v>731</v>
      </c>
      <c r="D1030">
        <v>10</v>
      </c>
      <c r="E1030">
        <v>95</v>
      </c>
      <c r="F1030">
        <v>190</v>
      </c>
      <c r="G1030">
        <v>114</v>
      </c>
      <c r="H1030">
        <v>1</v>
      </c>
      <c r="I1030">
        <v>1</v>
      </c>
    </row>
    <row r="1031" spans="1:9" x14ac:dyDescent="0.25">
      <c r="A1031">
        <v>1030</v>
      </c>
      <c r="B1031" s="40" t="s">
        <v>724</v>
      </c>
      <c r="C1031" s="40" t="s">
        <v>732</v>
      </c>
      <c r="D1031">
        <v>10</v>
      </c>
      <c r="E1031">
        <v>130</v>
      </c>
      <c r="F1031">
        <v>260</v>
      </c>
      <c r="G1031">
        <v>156</v>
      </c>
      <c r="H1031">
        <v>1</v>
      </c>
      <c r="I1031">
        <v>1</v>
      </c>
    </row>
    <row r="1032" spans="1:9" x14ac:dyDescent="0.25">
      <c r="A1032">
        <v>1031</v>
      </c>
      <c r="B1032" s="40" t="s">
        <v>724</v>
      </c>
      <c r="C1032" s="40" t="s">
        <v>733</v>
      </c>
      <c r="D1032">
        <v>10</v>
      </c>
      <c r="E1032">
        <v>50</v>
      </c>
      <c r="F1032">
        <v>100</v>
      </c>
      <c r="G1032">
        <v>60</v>
      </c>
      <c r="H1032">
        <v>1</v>
      </c>
      <c r="I1032">
        <v>1</v>
      </c>
    </row>
    <row r="1033" spans="1:9" x14ac:dyDescent="0.25">
      <c r="A1033">
        <v>1032</v>
      </c>
      <c r="B1033" s="40" t="s">
        <v>724</v>
      </c>
      <c r="C1033" s="40" t="s">
        <v>734</v>
      </c>
      <c r="D1033">
        <v>10</v>
      </c>
      <c r="E1033">
        <v>80</v>
      </c>
      <c r="F1033">
        <v>160</v>
      </c>
      <c r="G1033">
        <v>96</v>
      </c>
      <c r="H1033">
        <v>1</v>
      </c>
      <c r="I1033">
        <v>1</v>
      </c>
    </row>
    <row r="1034" spans="1:9" x14ac:dyDescent="0.25">
      <c r="A1034">
        <v>1033</v>
      </c>
      <c r="B1034" s="40" t="s">
        <v>724</v>
      </c>
      <c r="C1034" s="40" t="s">
        <v>1597</v>
      </c>
      <c r="D1034">
        <v>10</v>
      </c>
      <c r="E1034">
        <v>165</v>
      </c>
      <c r="F1034">
        <v>330</v>
      </c>
      <c r="G1034">
        <v>198</v>
      </c>
      <c r="H1034">
        <v>1</v>
      </c>
      <c r="I1034">
        <v>1</v>
      </c>
    </row>
    <row r="1035" spans="1:9" x14ac:dyDescent="0.25">
      <c r="A1035">
        <v>1034</v>
      </c>
      <c r="B1035" s="40" t="s">
        <v>724</v>
      </c>
      <c r="C1035" s="40" t="s">
        <v>1598</v>
      </c>
      <c r="D1035">
        <v>10</v>
      </c>
      <c r="E1035">
        <v>1390</v>
      </c>
      <c r="F1035">
        <v>2780</v>
      </c>
      <c r="G1035">
        <v>1668</v>
      </c>
      <c r="H1035">
        <v>1</v>
      </c>
      <c r="I1035">
        <v>1</v>
      </c>
    </row>
    <row r="1036" spans="1:9" x14ac:dyDescent="0.25">
      <c r="A1036">
        <v>1035</v>
      </c>
      <c r="B1036" s="40" t="s">
        <v>724</v>
      </c>
      <c r="C1036" s="40" t="s">
        <v>735</v>
      </c>
      <c r="D1036">
        <v>10</v>
      </c>
      <c r="E1036">
        <v>190</v>
      </c>
      <c r="F1036">
        <v>380</v>
      </c>
      <c r="G1036">
        <v>228</v>
      </c>
      <c r="H1036">
        <v>1</v>
      </c>
      <c r="I1036">
        <v>1</v>
      </c>
    </row>
    <row r="1037" spans="1:9" x14ac:dyDescent="0.25">
      <c r="A1037">
        <v>1036</v>
      </c>
      <c r="B1037" s="40" t="s">
        <v>724</v>
      </c>
      <c r="C1037" s="40" t="s">
        <v>739</v>
      </c>
      <c r="D1037">
        <v>10</v>
      </c>
      <c r="E1037">
        <v>155</v>
      </c>
      <c r="F1037">
        <v>310</v>
      </c>
      <c r="G1037">
        <v>186</v>
      </c>
      <c r="H1037">
        <v>1</v>
      </c>
      <c r="I1037">
        <v>1</v>
      </c>
    </row>
    <row r="1038" spans="1:9" x14ac:dyDescent="0.25">
      <c r="A1038">
        <v>1037</v>
      </c>
      <c r="B1038" s="40" t="s">
        <v>724</v>
      </c>
      <c r="C1038" s="40" t="s">
        <v>740</v>
      </c>
      <c r="D1038">
        <v>10</v>
      </c>
      <c r="E1038">
        <v>115</v>
      </c>
      <c r="F1038">
        <v>230</v>
      </c>
      <c r="G1038">
        <v>138</v>
      </c>
      <c r="H1038">
        <v>1</v>
      </c>
      <c r="I1038">
        <v>1</v>
      </c>
    </row>
    <row r="1039" spans="1:9" x14ac:dyDescent="0.25">
      <c r="A1039">
        <v>1038</v>
      </c>
      <c r="B1039" s="40" t="s">
        <v>724</v>
      </c>
      <c r="C1039" s="40" t="s">
        <v>741</v>
      </c>
      <c r="D1039">
        <v>10</v>
      </c>
      <c r="E1039">
        <v>165</v>
      </c>
      <c r="F1039">
        <v>330</v>
      </c>
      <c r="G1039">
        <v>198</v>
      </c>
      <c r="H1039">
        <v>1</v>
      </c>
      <c r="I1039">
        <v>1</v>
      </c>
    </row>
    <row r="1040" spans="1:9" x14ac:dyDescent="0.25">
      <c r="A1040">
        <v>1039</v>
      </c>
      <c r="B1040" s="40" t="s">
        <v>724</v>
      </c>
      <c r="C1040" s="40" t="s">
        <v>742</v>
      </c>
      <c r="D1040">
        <v>10</v>
      </c>
      <c r="E1040">
        <v>335</v>
      </c>
      <c r="F1040">
        <v>670</v>
      </c>
      <c r="G1040">
        <v>402</v>
      </c>
      <c r="H1040">
        <v>1</v>
      </c>
      <c r="I1040">
        <v>1</v>
      </c>
    </row>
    <row r="1041" spans="1:9" x14ac:dyDescent="0.25">
      <c r="A1041">
        <v>1040</v>
      </c>
      <c r="B1041" s="40" t="s">
        <v>724</v>
      </c>
      <c r="C1041" s="40" t="s">
        <v>743</v>
      </c>
      <c r="D1041">
        <v>10</v>
      </c>
      <c r="E1041">
        <v>71</v>
      </c>
      <c r="F1041">
        <v>142</v>
      </c>
      <c r="G1041">
        <v>85.2</v>
      </c>
      <c r="H1041">
        <v>1</v>
      </c>
      <c r="I1041">
        <v>1</v>
      </c>
    </row>
    <row r="1042" spans="1:9" x14ac:dyDescent="0.25">
      <c r="A1042">
        <v>1041</v>
      </c>
      <c r="B1042" s="40" t="s">
        <v>724</v>
      </c>
      <c r="C1042" s="40" t="s">
        <v>744</v>
      </c>
      <c r="D1042">
        <v>10</v>
      </c>
      <c r="E1042">
        <v>70</v>
      </c>
      <c r="F1042">
        <v>140</v>
      </c>
      <c r="G1042">
        <v>84</v>
      </c>
      <c r="H1042">
        <v>1</v>
      </c>
      <c r="I1042">
        <v>1</v>
      </c>
    </row>
    <row r="1043" spans="1:9" x14ac:dyDescent="0.25">
      <c r="A1043">
        <v>1042</v>
      </c>
      <c r="B1043" s="40" t="s">
        <v>724</v>
      </c>
      <c r="C1043" s="40" t="s">
        <v>745</v>
      </c>
      <c r="D1043">
        <v>10</v>
      </c>
      <c r="E1043">
        <v>300</v>
      </c>
      <c r="F1043">
        <v>600</v>
      </c>
      <c r="G1043">
        <v>360</v>
      </c>
      <c r="H1043">
        <v>1</v>
      </c>
      <c r="I1043">
        <v>1</v>
      </c>
    </row>
    <row r="1044" spans="1:9" x14ac:dyDescent="0.25">
      <c r="A1044">
        <v>1043</v>
      </c>
      <c r="B1044" s="40" t="s">
        <v>724</v>
      </c>
      <c r="C1044" s="40" t="s">
        <v>1348</v>
      </c>
      <c r="D1044">
        <v>10</v>
      </c>
      <c r="E1044">
        <v>390</v>
      </c>
      <c r="F1044">
        <v>780</v>
      </c>
      <c r="G1044">
        <v>468</v>
      </c>
      <c r="H1044">
        <v>1</v>
      </c>
      <c r="I1044">
        <v>1</v>
      </c>
    </row>
    <row r="1045" spans="1:9" x14ac:dyDescent="0.25">
      <c r="A1045">
        <v>1044</v>
      </c>
      <c r="B1045" s="40" t="s">
        <v>724</v>
      </c>
      <c r="C1045" s="40" t="s">
        <v>1599</v>
      </c>
      <c r="D1045">
        <v>10</v>
      </c>
      <c r="E1045">
        <v>78</v>
      </c>
      <c r="F1045">
        <v>156</v>
      </c>
      <c r="G1045">
        <v>93.6</v>
      </c>
      <c r="H1045">
        <v>1</v>
      </c>
      <c r="I1045">
        <v>1</v>
      </c>
    </row>
    <row r="1046" spans="1:9" x14ac:dyDescent="0.25">
      <c r="A1046">
        <v>1045</v>
      </c>
      <c r="B1046" s="40" t="s">
        <v>724</v>
      </c>
      <c r="C1046" s="40" t="s">
        <v>1600</v>
      </c>
      <c r="D1046">
        <v>10</v>
      </c>
      <c r="E1046">
        <v>270</v>
      </c>
      <c r="F1046">
        <v>540</v>
      </c>
      <c r="G1046">
        <v>324</v>
      </c>
      <c r="H1046">
        <v>1</v>
      </c>
      <c r="I1046">
        <v>1</v>
      </c>
    </row>
    <row r="1047" spans="1:9" x14ac:dyDescent="0.25">
      <c r="A1047">
        <v>1046</v>
      </c>
      <c r="B1047" s="40" t="s">
        <v>724</v>
      </c>
      <c r="C1047" s="40" t="s">
        <v>1167</v>
      </c>
      <c r="D1047">
        <v>10</v>
      </c>
      <c r="E1047">
        <v>645</v>
      </c>
      <c r="F1047">
        <v>1290</v>
      </c>
      <c r="G1047">
        <v>774</v>
      </c>
      <c r="H1047">
        <v>1</v>
      </c>
      <c r="I1047">
        <v>1</v>
      </c>
    </row>
    <row r="1048" spans="1:9" x14ac:dyDescent="0.25">
      <c r="A1048">
        <v>1047</v>
      </c>
      <c r="B1048" s="40" t="s">
        <v>724</v>
      </c>
      <c r="C1048" s="40" t="s">
        <v>1596</v>
      </c>
      <c r="D1048">
        <v>10</v>
      </c>
      <c r="E1048">
        <v>560</v>
      </c>
      <c r="F1048">
        <v>1120</v>
      </c>
      <c r="G1048">
        <v>672</v>
      </c>
      <c r="H1048">
        <v>1</v>
      </c>
      <c r="I1048">
        <v>1</v>
      </c>
    </row>
    <row r="1049" spans="1:9" x14ac:dyDescent="0.25">
      <c r="A1049">
        <v>1048</v>
      </c>
      <c r="B1049" s="40" t="s">
        <v>724</v>
      </c>
      <c r="C1049" s="40" t="s">
        <v>746</v>
      </c>
      <c r="D1049">
        <v>10</v>
      </c>
      <c r="E1049">
        <v>145</v>
      </c>
      <c r="F1049">
        <v>290</v>
      </c>
      <c r="G1049">
        <v>174</v>
      </c>
      <c r="H1049">
        <v>1</v>
      </c>
      <c r="I1049">
        <v>1</v>
      </c>
    </row>
    <row r="1050" spans="1:9" x14ac:dyDescent="0.25">
      <c r="A1050">
        <v>1049</v>
      </c>
      <c r="B1050" s="40" t="s">
        <v>724</v>
      </c>
      <c r="C1050" s="40" t="s">
        <v>747</v>
      </c>
      <c r="D1050">
        <v>10</v>
      </c>
      <c r="E1050">
        <v>315</v>
      </c>
      <c r="F1050">
        <v>630</v>
      </c>
      <c r="G1050">
        <v>378</v>
      </c>
      <c r="H1050">
        <v>1</v>
      </c>
      <c r="I1050">
        <v>1</v>
      </c>
    </row>
    <row r="1051" spans="1:9" x14ac:dyDescent="0.25">
      <c r="A1051">
        <v>1050</v>
      </c>
      <c r="B1051" s="40" t="s">
        <v>724</v>
      </c>
      <c r="C1051" s="40" t="s">
        <v>748</v>
      </c>
      <c r="D1051">
        <v>10</v>
      </c>
      <c r="E1051">
        <v>145</v>
      </c>
      <c r="F1051">
        <v>290</v>
      </c>
      <c r="G1051">
        <v>174</v>
      </c>
      <c r="H1051">
        <v>1</v>
      </c>
      <c r="I1051">
        <v>1</v>
      </c>
    </row>
    <row r="1052" spans="1:9" x14ac:dyDescent="0.25">
      <c r="A1052">
        <v>1051</v>
      </c>
      <c r="B1052" s="40" t="s">
        <v>724</v>
      </c>
      <c r="C1052" s="40" t="s">
        <v>749</v>
      </c>
      <c r="D1052">
        <v>10</v>
      </c>
      <c r="E1052">
        <v>315</v>
      </c>
      <c r="F1052">
        <v>630</v>
      </c>
      <c r="G1052">
        <v>378</v>
      </c>
      <c r="H1052">
        <v>1</v>
      </c>
      <c r="I1052">
        <v>1</v>
      </c>
    </row>
    <row r="1053" spans="1:9" x14ac:dyDescent="0.25">
      <c r="A1053">
        <v>1052</v>
      </c>
      <c r="B1053" s="40" t="s">
        <v>750</v>
      </c>
      <c r="C1053" s="40" t="s">
        <v>751</v>
      </c>
      <c r="D1053">
        <v>10</v>
      </c>
      <c r="E1053">
        <v>134.55000000000001</v>
      </c>
      <c r="F1053">
        <v>207</v>
      </c>
      <c r="G1053">
        <v>155.25</v>
      </c>
      <c r="H1053">
        <v>1</v>
      </c>
      <c r="I1053">
        <v>1</v>
      </c>
    </row>
    <row r="1054" spans="1:9" x14ac:dyDescent="0.25">
      <c r="A1054">
        <v>1053</v>
      </c>
      <c r="B1054" s="40" t="s">
        <v>750</v>
      </c>
      <c r="C1054" s="40" t="s">
        <v>752</v>
      </c>
      <c r="D1054">
        <v>10</v>
      </c>
      <c r="E1054">
        <v>423.8</v>
      </c>
      <c r="F1054">
        <v>652</v>
      </c>
      <c r="G1054">
        <v>489</v>
      </c>
      <c r="H1054">
        <v>1</v>
      </c>
      <c r="I1054">
        <v>1</v>
      </c>
    </row>
    <row r="1055" spans="1:9" x14ac:dyDescent="0.25">
      <c r="A1055">
        <v>1054</v>
      </c>
      <c r="B1055" s="40" t="s">
        <v>750</v>
      </c>
      <c r="C1055" s="40" t="s">
        <v>753</v>
      </c>
      <c r="D1055">
        <v>10</v>
      </c>
      <c r="E1055">
        <v>382.2</v>
      </c>
      <c r="F1055">
        <v>588</v>
      </c>
      <c r="G1055">
        <v>441</v>
      </c>
      <c r="H1055">
        <v>1</v>
      </c>
      <c r="I1055">
        <v>1</v>
      </c>
    </row>
    <row r="1056" spans="1:9" x14ac:dyDescent="0.25">
      <c r="A1056">
        <v>1055</v>
      </c>
      <c r="B1056" s="40" t="s">
        <v>754</v>
      </c>
      <c r="C1056" s="40" t="s">
        <v>755</v>
      </c>
      <c r="D1056">
        <v>10</v>
      </c>
      <c r="E1056">
        <v>45.36</v>
      </c>
      <c r="F1056">
        <v>108</v>
      </c>
      <c r="G1056">
        <v>56.160000000000004</v>
      </c>
      <c r="H1056">
        <v>1</v>
      </c>
      <c r="I1056">
        <v>1</v>
      </c>
    </row>
    <row r="1057" spans="1:9" x14ac:dyDescent="0.25">
      <c r="A1057">
        <v>1056</v>
      </c>
      <c r="B1057" s="40" t="s">
        <v>754</v>
      </c>
      <c r="C1057" s="40" t="s">
        <v>756</v>
      </c>
      <c r="D1057">
        <v>10</v>
      </c>
      <c r="E1057">
        <v>187.27200000000002</v>
      </c>
      <c r="F1057">
        <v>520.20000000000005</v>
      </c>
      <c r="G1057">
        <v>239.292</v>
      </c>
      <c r="H1057">
        <v>1</v>
      </c>
      <c r="I1057">
        <v>1</v>
      </c>
    </row>
    <row r="1058" spans="1:9" x14ac:dyDescent="0.25">
      <c r="A1058">
        <v>1057</v>
      </c>
      <c r="B1058" s="40" t="s">
        <v>754</v>
      </c>
      <c r="C1058" s="40" t="s">
        <v>757</v>
      </c>
      <c r="D1058">
        <v>10</v>
      </c>
      <c r="E1058">
        <v>47.711999999999996</v>
      </c>
      <c r="F1058">
        <v>113.6</v>
      </c>
      <c r="G1058">
        <v>59.071999999999996</v>
      </c>
      <c r="H1058">
        <v>1</v>
      </c>
      <c r="I1058">
        <v>1</v>
      </c>
    </row>
    <row r="1059" spans="1:9" x14ac:dyDescent="0.25">
      <c r="A1059">
        <v>1058</v>
      </c>
      <c r="B1059" s="40" t="s">
        <v>754</v>
      </c>
      <c r="C1059" s="40" t="s">
        <v>758</v>
      </c>
      <c r="D1059">
        <v>10</v>
      </c>
      <c r="E1059">
        <v>24.234000000000002</v>
      </c>
      <c r="F1059">
        <v>57.7</v>
      </c>
      <c r="G1059">
        <v>30.004000000000001</v>
      </c>
      <c r="H1059">
        <v>1</v>
      </c>
      <c r="I1059">
        <v>1</v>
      </c>
    </row>
    <row r="1060" spans="1:9" x14ac:dyDescent="0.25">
      <c r="A1060">
        <v>1059</v>
      </c>
      <c r="B1060" s="40" t="s">
        <v>754</v>
      </c>
      <c r="C1060" s="40" t="s">
        <v>759</v>
      </c>
      <c r="D1060">
        <v>10</v>
      </c>
      <c r="E1060">
        <v>166.64700000000002</v>
      </c>
      <c r="F1060">
        <v>427.3</v>
      </c>
      <c r="G1060">
        <v>209.37700000000001</v>
      </c>
      <c r="H1060">
        <v>1</v>
      </c>
      <c r="I1060">
        <v>1</v>
      </c>
    </row>
    <row r="1061" spans="1:9" x14ac:dyDescent="0.25">
      <c r="A1061">
        <v>1060</v>
      </c>
      <c r="B1061" s="40" t="s">
        <v>754</v>
      </c>
      <c r="C1061" s="40" t="s">
        <v>760</v>
      </c>
      <c r="D1061">
        <v>10</v>
      </c>
      <c r="E1061">
        <v>218</v>
      </c>
      <c r="F1061">
        <v>436</v>
      </c>
      <c r="G1061">
        <v>261.59999999999997</v>
      </c>
      <c r="H1061">
        <v>1</v>
      </c>
      <c r="I1061">
        <v>1</v>
      </c>
    </row>
    <row r="1062" spans="1:9" x14ac:dyDescent="0.25">
      <c r="A1062">
        <v>1061</v>
      </c>
      <c r="B1062" s="40" t="s">
        <v>754</v>
      </c>
      <c r="C1062" s="40" t="s">
        <v>1519</v>
      </c>
      <c r="D1062">
        <v>10</v>
      </c>
      <c r="E1062">
        <v>48.971999999999994</v>
      </c>
      <c r="F1062">
        <v>116.6</v>
      </c>
      <c r="G1062">
        <v>60.631999999999998</v>
      </c>
      <c r="H1062">
        <v>1</v>
      </c>
      <c r="I1062">
        <v>1</v>
      </c>
    </row>
    <row r="1063" spans="1:9" x14ac:dyDescent="0.25">
      <c r="A1063">
        <v>1062</v>
      </c>
      <c r="B1063" s="40" t="s">
        <v>754</v>
      </c>
      <c r="C1063" s="40" t="s">
        <v>761</v>
      </c>
      <c r="D1063">
        <v>10</v>
      </c>
      <c r="E1063">
        <v>43.511999999999993</v>
      </c>
      <c r="F1063">
        <v>103.6</v>
      </c>
      <c r="G1063">
        <v>53.872</v>
      </c>
      <c r="H1063">
        <v>1</v>
      </c>
      <c r="I1063">
        <v>1</v>
      </c>
    </row>
    <row r="1064" spans="1:9" x14ac:dyDescent="0.25">
      <c r="A1064">
        <v>1063</v>
      </c>
      <c r="B1064" s="40" t="s">
        <v>754</v>
      </c>
      <c r="C1064" s="40" t="s">
        <v>762</v>
      </c>
      <c r="D1064">
        <v>10</v>
      </c>
      <c r="E1064">
        <v>61.571999999999996</v>
      </c>
      <c r="F1064">
        <v>146.6</v>
      </c>
      <c r="G1064">
        <v>76.231999999999999</v>
      </c>
      <c r="H1064">
        <v>1</v>
      </c>
      <c r="I1064">
        <v>1</v>
      </c>
    </row>
    <row r="1065" spans="1:9" x14ac:dyDescent="0.25">
      <c r="A1065">
        <v>1064</v>
      </c>
      <c r="B1065" s="40" t="s">
        <v>754</v>
      </c>
      <c r="C1065" s="40" t="s">
        <v>763</v>
      </c>
      <c r="D1065">
        <v>10</v>
      </c>
      <c r="E1065">
        <v>98.028000000000006</v>
      </c>
      <c r="F1065">
        <v>233.4</v>
      </c>
      <c r="G1065">
        <v>121.36800000000001</v>
      </c>
      <c r="H1065">
        <v>1</v>
      </c>
      <c r="I1065">
        <v>1</v>
      </c>
    </row>
    <row r="1066" spans="1:9" x14ac:dyDescent="0.25">
      <c r="A1066">
        <v>1065</v>
      </c>
      <c r="B1066" s="40" t="s">
        <v>754</v>
      </c>
      <c r="C1066" s="40" t="s">
        <v>764</v>
      </c>
      <c r="D1066">
        <v>10</v>
      </c>
      <c r="E1066">
        <v>22.931999999999999</v>
      </c>
      <c r="F1066">
        <v>54.6</v>
      </c>
      <c r="G1066">
        <v>28.392000000000003</v>
      </c>
      <c r="H1066">
        <v>1</v>
      </c>
      <c r="I1066">
        <v>1</v>
      </c>
    </row>
    <row r="1067" spans="1:9" x14ac:dyDescent="0.25">
      <c r="A1067">
        <v>1066</v>
      </c>
      <c r="B1067" s="40" t="s">
        <v>754</v>
      </c>
      <c r="C1067" s="40" t="s">
        <v>765</v>
      </c>
      <c r="D1067">
        <v>10</v>
      </c>
      <c r="E1067">
        <v>106.47</v>
      </c>
      <c r="F1067">
        <v>253.5</v>
      </c>
      <c r="G1067">
        <v>131.82</v>
      </c>
      <c r="H1067">
        <v>1</v>
      </c>
      <c r="I1067">
        <v>1</v>
      </c>
    </row>
    <row r="1068" spans="1:9" x14ac:dyDescent="0.25">
      <c r="A1068">
        <v>1067</v>
      </c>
      <c r="B1068" s="40" t="s">
        <v>754</v>
      </c>
      <c r="C1068" s="40" t="s">
        <v>766</v>
      </c>
      <c r="D1068">
        <v>10</v>
      </c>
      <c r="E1068">
        <v>218.69400000000002</v>
      </c>
      <c r="F1068">
        <v>520.70000000000005</v>
      </c>
      <c r="G1068">
        <v>270.76400000000001</v>
      </c>
      <c r="H1068">
        <v>1</v>
      </c>
      <c r="I1068">
        <v>1</v>
      </c>
    </row>
    <row r="1069" spans="1:9" x14ac:dyDescent="0.25">
      <c r="A1069">
        <v>1068</v>
      </c>
      <c r="B1069" s="40" t="s">
        <v>754</v>
      </c>
      <c r="C1069" s="40" t="s">
        <v>767</v>
      </c>
      <c r="D1069">
        <v>10</v>
      </c>
      <c r="E1069">
        <v>51.995999999999995</v>
      </c>
      <c r="F1069">
        <v>123.8</v>
      </c>
      <c r="G1069">
        <v>64.376000000000005</v>
      </c>
      <c r="H1069">
        <v>1</v>
      </c>
      <c r="I1069">
        <v>1</v>
      </c>
    </row>
    <row r="1070" spans="1:9" x14ac:dyDescent="0.25">
      <c r="A1070">
        <v>1069</v>
      </c>
      <c r="B1070" s="40" t="s">
        <v>754</v>
      </c>
      <c r="C1070" s="40" t="s">
        <v>768</v>
      </c>
      <c r="D1070">
        <v>10</v>
      </c>
      <c r="E1070">
        <v>39.396000000000001</v>
      </c>
      <c r="F1070">
        <v>93.8</v>
      </c>
      <c r="G1070">
        <v>48.776000000000003</v>
      </c>
      <c r="H1070">
        <v>1</v>
      </c>
      <c r="I1070">
        <v>1</v>
      </c>
    </row>
    <row r="1071" spans="1:9" x14ac:dyDescent="0.25">
      <c r="A1071">
        <v>1070</v>
      </c>
      <c r="B1071" s="40" t="s">
        <v>754</v>
      </c>
      <c r="C1071" s="40" t="s">
        <v>769</v>
      </c>
      <c r="D1071">
        <v>10</v>
      </c>
      <c r="E1071">
        <v>256.53599999999994</v>
      </c>
      <c r="F1071">
        <v>610.79999999999995</v>
      </c>
      <c r="G1071">
        <v>317.61599999999999</v>
      </c>
      <c r="H1071">
        <v>1</v>
      </c>
      <c r="I1071">
        <v>1</v>
      </c>
    </row>
    <row r="1072" spans="1:9" x14ac:dyDescent="0.25">
      <c r="A1072">
        <v>1071</v>
      </c>
      <c r="B1072" s="40" t="s">
        <v>754</v>
      </c>
      <c r="C1072" s="40" t="s">
        <v>1520</v>
      </c>
      <c r="D1072">
        <v>10</v>
      </c>
      <c r="E1072">
        <v>403.75</v>
      </c>
      <c r="F1072">
        <v>807.5</v>
      </c>
      <c r="G1072">
        <v>484.5</v>
      </c>
      <c r="H1072">
        <v>1</v>
      </c>
      <c r="I1072">
        <v>1</v>
      </c>
    </row>
    <row r="1073" spans="1:9" x14ac:dyDescent="0.25">
      <c r="A1073">
        <v>1072</v>
      </c>
      <c r="B1073" s="40" t="s">
        <v>754</v>
      </c>
      <c r="C1073" s="40" t="s">
        <v>770</v>
      </c>
      <c r="D1073">
        <v>10</v>
      </c>
      <c r="E1073">
        <v>11.92</v>
      </c>
      <c r="F1073">
        <v>23.84</v>
      </c>
      <c r="G1073">
        <v>14.304</v>
      </c>
      <c r="H1073">
        <v>1</v>
      </c>
      <c r="I1073">
        <v>1</v>
      </c>
    </row>
    <row r="1074" spans="1:9" x14ac:dyDescent="0.25">
      <c r="A1074">
        <v>1073</v>
      </c>
      <c r="B1074" s="40" t="s">
        <v>754</v>
      </c>
      <c r="C1074" s="40" t="s">
        <v>771</v>
      </c>
      <c r="D1074">
        <v>10</v>
      </c>
      <c r="E1074">
        <v>21.76</v>
      </c>
      <c r="F1074">
        <v>43.52</v>
      </c>
      <c r="G1074">
        <v>26.112000000000002</v>
      </c>
      <c r="H1074">
        <v>1</v>
      </c>
      <c r="I1074">
        <v>1</v>
      </c>
    </row>
    <row r="1075" spans="1:9" x14ac:dyDescent="0.25">
      <c r="A1075">
        <v>1074</v>
      </c>
      <c r="B1075" s="40" t="s">
        <v>783</v>
      </c>
      <c r="C1075" s="40" t="s">
        <v>1220</v>
      </c>
      <c r="D1075">
        <v>10</v>
      </c>
      <c r="E1075">
        <v>45.080000000000005</v>
      </c>
      <c r="F1075">
        <v>98</v>
      </c>
      <c r="G1075">
        <v>54.88</v>
      </c>
      <c r="H1075">
        <v>1</v>
      </c>
      <c r="I1075">
        <v>1</v>
      </c>
    </row>
    <row r="1076" spans="1:9" x14ac:dyDescent="0.25">
      <c r="A1076">
        <v>1075</v>
      </c>
      <c r="B1076" s="40" t="s">
        <v>783</v>
      </c>
      <c r="C1076" s="40" t="s">
        <v>784</v>
      </c>
      <c r="D1076">
        <v>10</v>
      </c>
      <c r="E1076">
        <v>178.48000000000002</v>
      </c>
      <c r="F1076">
        <v>388</v>
      </c>
      <c r="G1076">
        <v>217.28000000000003</v>
      </c>
      <c r="H1076">
        <v>1</v>
      </c>
      <c r="I1076">
        <v>1</v>
      </c>
    </row>
    <row r="1077" spans="1:9" x14ac:dyDescent="0.25">
      <c r="A1077">
        <v>1076</v>
      </c>
      <c r="B1077" s="40" t="s">
        <v>783</v>
      </c>
      <c r="C1077" s="40" t="s">
        <v>785</v>
      </c>
      <c r="D1077">
        <v>10</v>
      </c>
      <c r="E1077">
        <v>81.42</v>
      </c>
      <c r="F1077">
        <v>177</v>
      </c>
      <c r="G1077">
        <v>99.12</v>
      </c>
      <c r="H1077">
        <v>1</v>
      </c>
      <c r="I1077">
        <v>1</v>
      </c>
    </row>
    <row r="1078" spans="1:9" x14ac:dyDescent="0.25">
      <c r="A1078">
        <v>1077</v>
      </c>
      <c r="B1078" s="40" t="s">
        <v>783</v>
      </c>
      <c r="C1078" s="40" t="s">
        <v>1502</v>
      </c>
      <c r="D1078">
        <v>10</v>
      </c>
      <c r="E1078">
        <v>113.16000000000001</v>
      </c>
      <c r="F1078">
        <v>246</v>
      </c>
      <c r="G1078">
        <v>137.76000000000002</v>
      </c>
      <c r="H1078">
        <v>1</v>
      </c>
      <c r="I1078">
        <v>1</v>
      </c>
    </row>
    <row r="1079" spans="1:9" x14ac:dyDescent="0.25">
      <c r="A1079">
        <v>1078</v>
      </c>
      <c r="B1079" s="40" t="s">
        <v>783</v>
      </c>
      <c r="C1079" s="40" t="s">
        <v>786</v>
      </c>
      <c r="D1079">
        <v>10</v>
      </c>
      <c r="E1079">
        <v>132.94</v>
      </c>
      <c r="F1079">
        <v>289</v>
      </c>
      <c r="G1079">
        <v>161.84</v>
      </c>
      <c r="H1079">
        <v>1</v>
      </c>
      <c r="I1079">
        <v>1</v>
      </c>
    </row>
    <row r="1080" spans="1:9" x14ac:dyDescent="0.25">
      <c r="A1080">
        <v>1079</v>
      </c>
      <c r="B1080" s="40" t="s">
        <v>783</v>
      </c>
      <c r="C1080" s="40" t="s">
        <v>1485</v>
      </c>
      <c r="D1080">
        <v>10</v>
      </c>
      <c r="E1080">
        <v>40.020000000000003</v>
      </c>
      <c r="F1080">
        <v>87</v>
      </c>
      <c r="G1080">
        <v>48.720000000000006</v>
      </c>
      <c r="H1080">
        <v>1</v>
      </c>
      <c r="I1080">
        <v>1</v>
      </c>
    </row>
    <row r="1081" spans="1:9" x14ac:dyDescent="0.25">
      <c r="A1081">
        <v>1080</v>
      </c>
      <c r="B1081" s="40" t="s">
        <v>783</v>
      </c>
      <c r="C1081" s="40" t="s">
        <v>788</v>
      </c>
      <c r="D1081">
        <v>10</v>
      </c>
      <c r="E1081">
        <v>54.74</v>
      </c>
      <c r="F1081">
        <v>119</v>
      </c>
      <c r="G1081">
        <v>66.64</v>
      </c>
      <c r="H1081">
        <v>1</v>
      </c>
      <c r="I1081">
        <v>1</v>
      </c>
    </row>
    <row r="1082" spans="1:9" x14ac:dyDescent="0.25">
      <c r="A1082">
        <v>1081</v>
      </c>
      <c r="B1082" s="40" t="s">
        <v>783</v>
      </c>
      <c r="C1082" s="40" t="s">
        <v>789</v>
      </c>
      <c r="D1082">
        <v>10</v>
      </c>
      <c r="E1082">
        <v>68.540000000000006</v>
      </c>
      <c r="F1082">
        <v>149</v>
      </c>
      <c r="G1082">
        <v>83.440000000000012</v>
      </c>
      <c r="H1082">
        <v>1</v>
      </c>
      <c r="I1082">
        <v>1</v>
      </c>
    </row>
    <row r="1083" spans="1:9" x14ac:dyDescent="0.25">
      <c r="A1083">
        <v>1082</v>
      </c>
      <c r="B1083" s="40" t="s">
        <v>783</v>
      </c>
      <c r="C1083" s="40" t="s">
        <v>787</v>
      </c>
      <c r="D1083">
        <v>10</v>
      </c>
      <c r="E1083">
        <v>89.7</v>
      </c>
      <c r="F1083">
        <v>195</v>
      </c>
      <c r="G1083">
        <v>109.20000000000002</v>
      </c>
      <c r="H1083">
        <v>1</v>
      </c>
      <c r="I1083">
        <v>1</v>
      </c>
    </row>
    <row r="1084" spans="1:9" x14ac:dyDescent="0.25">
      <c r="A1084">
        <v>1083</v>
      </c>
      <c r="B1084" s="40" t="s">
        <v>783</v>
      </c>
      <c r="C1084" s="40" t="s">
        <v>1504</v>
      </c>
      <c r="D1084">
        <v>10</v>
      </c>
      <c r="E1084">
        <v>416.76</v>
      </c>
      <c r="F1084">
        <v>906</v>
      </c>
      <c r="G1084">
        <v>507.36000000000007</v>
      </c>
      <c r="H1084">
        <v>1</v>
      </c>
      <c r="I1084">
        <v>1</v>
      </c>
    </row>
    <row r="1085" spans="1:9" x14ac:dyDescent="0.25">
      <c r="A1085">
        <v>1084</v>
      </c>
      <c r="B1085" s="40" t="s">
        <v>783</v>
      </c>
      <c r="C1085" s="40" t="s">
        <v>790</v>
      </c>
      <c r="D1085">
        <v>10</v>
      </c>
      <c r="E1085">
        <v>115.46000000000001</v>
      </c>
      <c r="F1085">
        <v>251</v>
      </c>
      <c r="G1085">
        <v>140.56</v>
      </c>
      <c r="H1085">
        <v>1</v>
      </c>
      <c r="I1085">
        <v>1</v>
      </c>
    </row>
    <row r="1086" spans="1:9" x14ac:dyDescent="0.25">
      <c r="A1086">
        <v>1085</v>
      </c>
      <c r="B1086" s="40" t="s">
        <v>783</v>
      </c>
      <c r="C1086" s="40" t="s">
        <v>791</v>
      </c>
      <c r="D1086">
        <v>10</v>
      </c>
      <c r="E1086">
        <v>131.1</v>
      </c>
      <c r="F1086">
        <v>285</v>
      </c>
      <c r="G1086">
        <v>159.60000000000002</v>
      </c>
      <c r="H1086">
        <v>1</v>
      </c>
      <c r="I1086">
        <v>1</v>
      </c>
    </row>
    <row r="1087" spans="1:9" x14ac:dyDescent="0.25">
      <c r="A1087">
        <v>1086</v>
      </c>
      <c r="B1087" s="40" t="s">
        <v>783</v>
      </c>
      <c r="C1087" s="40" t="s">
        <v>792</v>
      </c>
      <c r="D1087">
        <v>10</v>
      </c>
      <c r="E1087">
        <v>12.88</v>
      </c>
      <c r="F1087">
        <v>28</v>
      </c>
      <c r="G1087">
        <v>15.680000000000001</v>
      </c>
      <c r="H1087">
        <v>1</v>
      </c>
      <c r="I1087">
        <v>1</v>
      </c>
    </row>
    <row r="1088" spans="1:9" x14ac:dyDescent="0.25">
      <c r="A1088">
        <v>1087</v>
      </c>
      <c r="B1088" s="40" t="s">
        <v>783</v>
      </c>
      <c r="C1088" s="40" t="s">
        <v>793</v>
      </c>
      <c r="D1088">
        <v>10</v>
      </c>
      <c r="E1088">
        <v>93.84</v>
      </c>
      <c r="F1088">
        <v>204</v>
      </c>
      <c r="G1088">
        <v>114.24000000000001</v>
      </c>
      <c r="H1088">
        <v>1</v>
      </c>
      <c r="I1088">
        <v>1</v>
      </c>
    </row>
    <row r="1089" spans="1:9" x14ac:dyDescent="0.25">
      <c r="A1089">
        <v>1088</v>
      </c>
      <c r="B1089" s="40" t="s">
        <v>783</v>
      </c>
      <c r="C1089" s="40" t="s">
        <v>794</v>
      </c>
      <c r="D1089">
        <v>10</v>
      </c>
      <c r="E1089">
        <v>140.76000000000002</v>
      </c>
      <c r="F1089">
        <v>306</v>
      </c>
      <c r="G1089">
        <v>171.36</v>
      </c>
      <c r="H1089">
        <v>1</v>
      </c>
      <c r="I1089">
        <v>1</v>
      </c>
    </row>
    <row r="1090" spans="1:9" x14ac:dyDescent="0.25">
      <c r="A1090">
        <v>1089</v>
      </c>
      <c r="B1090" s="40" t="s">
        <v>783</v>
      </c>
      <c r="C1090" s="40" t="s">
        <v>1147</v>
      </c>
      <c r="D1090">
        <v>10</v>
      </c>
      <c r="E1090">
        <v>336.26</v>
      </c>
      <c r="F1090">
        <v>731</v>
      </c>
      <c r="G1090">
        <v>409.36</v>
      </c>
      <c r="H1090">
        <v>1</v>
      </c>
      <c r="I1090">
        <v>1</v>
      </c>
    </row>
    <row r="1091" spans="1:9" x14ac:dyDescent="0.25">
      <c r="A1091">
        <v>1090</v>
      </c>
      <c r="B1091" s="40" t="s">
        <v>783</v>
      </c>
      <c r="C1091" s="40" t="s">
        <v>1221</v>
      </c>
      <c r="D1091">
        <v>10</v>
      </c>
      <c r="E1091">
        <v>199.64000000000001</v>
      </c>
      <c r="F1091">
        <v>434</v>
      </c>
      <c r="G1091">
        <v>243.04000000000002</v>
      </c>
      <c r="H1091">
        <v>1</v>
      </c>
      <c r="I1091">
        <v>1</v>
      </c>
    </row>
    <row r="1092" spans="1:9" x14ac:dyDescent="0.25">
      <c r="A1092">
        <v>1091</v>
      </c>
      <c r="B1092" s="40" t="s">
        <v>783</v>
      </c>
      <c r="C1092" s="40" t="s">
        <v>1497</v>
      </c>
      <c r="D1092">
        <v>10</v>
      </c>
      <c r="E1092">
        <v>43.24</v>
      </c>
      <c r="F1092">
        <v>94</v>
      </c>
      <c r="G1092">
        <v>52.640000000000008</v>
      </c>
      <c r="H1092">
        <v>1</v>
      </c>
      <c r="I1092">
        <v>1</v>
      </c>
    </row>
    <row r="1093" spans="1:9" x14ac:dyDescent="0.25">
      <c r="A1093">
        <v>1092</v>
      </c>
      <c r="B1093" s="40" t="s">
        <v>783</v>
      </c>
      <c r="C1093" s="40" t="s">
        <v>1499</v>
      </c>
      <c r="D1093">
        <v>10</v>
      </c>
      <c r="E1093">
        <v>73.14</v>
      </c>
      <c r="F1093">
        <v>159</v>
      </c>
      <c r="G1093">
        <v>89.04</v>
      </c>
      <c r="H1093">
        <v>1</v>
      </c>
      <c r="I1093">
        <v>1</v>
      </c>
    </row>
    <row r="1094" spans="1:9" x14ac:dyDescent="0.25">
      <c r="A1094">
        <v>1093</v>
      </c>
      <c r="B1094" s="40" t="s">
        <v>783</v>
      </c>
      <c r="C1094" s="40" t="s">
        <v>1498</v>
      </c>
      <c r="D1094">
        <v>10</v>
      </c>
      <c r="E1094">
        <v>92</v>
      </c>
      <c r="F1094">
        <v>200</v>
      </c>
      <c r="G1094">
        <v>112.00000000000001</v>
      </c>
      <c r="H1094">
        <v>1</v>
      </c>
      <c r="I1094">
        <v>1</v>
      </c>
    </row>
    <row r="1095" spans="1:9" x14ac:dyDescent="0.25">
      <c r="A1095">
        <v>1094</v>
      </c>
      <c r="B1095" s="40" t="s">
        <v>783</v>
      </c>
      <c r="C1095" s="40" t="s">
        <v>1500</v>
      </c>
      <c r="D1095">
        <v>10</v>
      </c>
      <c r="E1095">
        <v>153.64000000000001</v>
      </c>
      <c r="F1095">
        <v>334</v>
      </c>
      <c r="G1095">
        <v>187.04000000000002</v>
      </c>
      <c r="H1095">
        <v>1</v>
      </c>
      <c r="I1095">
        <v>1</v>
      </c>
    </row>
    <row r="1096" spans="1:9" x14ac:dyDescent="0.25">
      <c r="A1096">
        <v>1095</v>
      </c>
      <c r="B1096" s="40" t="s">
        <v>783</v>
      </c>
      <c r="C1096" s="40" t="s">
        <v>1503</v>
      </c>
      <c r="D1096">
        <v>10</v>
      </c>
      <c r="E1096">
        <v>97.98</v>
      </c>
      <c r="F1096">
        <v>213</v>
      </c>
      <c r="G1096">
        <v>119.28000000000002</v>
      </c>
      <c r="H1096">
        <v>1</v>
      </c>
      <c r="I1096">
        <v>1</v>
      </c>
    </row>
    <row r="1097" spans="1:9" x14ac:dyDescent="0.25">
      <c r="A1097">
        <v>1096</v>
      </c>
      <c r="B1097" s="40" t="s">
        <v>783</v>
      </c>
      <c r="C1097" s="40" t="s">
        <v>795</v>
      </c>
      <c r="D1097">
        <v>10</v>
      </c>
      <c r="E1097">
        <v>65.78</v>
      </c>
      <c r="F1097">
        <v>143</v>
      </c>
      <c r="G1097">
        <v>80.080000000000013</v>
      </c>
      <c r="H1097">
        <v>1</v>
      </c>
      <c r="I1097">
        <v>1</v>
      </c>
    </row>
    <row r="1098" spans="1:9" x14ac:dyDescent="0.25">
      <c r="A1098">
        <v>1097</v>
      </c>
      <c r="B1098" s="40" t="s">
        <v>783</v>
      </c>
      <c r="C1098" s="40" t="s">
        <v>796</v>
      </c>
      <c r="D1098">
        <v>10</v>
      </c>
      <c r="E1098">
        <v>290.26</v>
      </c>
      <c r="F1098">
        <v>631</v>
      </c>
      <c r="G1098">
        <v>353.36</v>
      </c>
      <c r="H1098">
        <v>1</v>
      </c>
      <c r="I1098">
        <v>1</v>
      </c>
    </row>
    <row r="1099" spans="1:9" x14ac:dyDescent="0.25">
      <c r="A1099">
        <v>1098</v>
      </c>
      <c r="B1099" s="40" t="s">
        <v>783</v>
      </c>
      <c r="C1099" s="40" t="s">
        <v>797</v>
      </c>
      <c r="D1099">
        <v>10</v>
      </c>
      <c r="E1099">
        <v>1213.94</v>
      </c>
      <c r="F1099">
        <v>2639</v>
      </c>
      <c r="G1099">
        <v>1477.8400000000001</v>
      </c>
      <c r="H1099">
        <v>1</v>
      </c>
      <c r="I1099">
        <v>1</v>
      </c>
    </row>
    <row r="1100" spans="1:9" x14ac:dyDescent="0.25">
      <c r="A1100">
        <v>1099</v>
      </c>
      <c r="B1100" s="40" t="s">
        <v>783</v>
      </c>
      <c r="C1100" s="40" t="s">
        <v>798</v>
      </c>
      <c r="D1100">
        <v>10</v>
      </c>
      <c r="E1100">
        <v>841.34</v>
      </c>
      <c r="F1100">
        <v>1829</v>
      </c>
      <c r="G1100">
        <v>1024.24</v>
      </c>
      <c r="H1100">
        <v>1</v>
      </c>
      <c r="I1100">
        <v>1</v>
      </c>
    </row>
    <row r="1101" spans="1:9" x14ac:dyDescent="0.25">
      <c r="A1101">
        <v>1100</v>
      </c>
      <c r="B1101" s="40" t="s">
        <v>783</v>
      </c>
      <c r="C1101" s="40" t="s">
        <v>1486</v>
      </c>
      <c r="D1101">
        <v>10</v>
      </c>
      <c r="E1101">
        <v>2600.38</v>
      </c>
      <c r="F1101">
        <v>5653</v>
      </c>
      <c r="G1101">
        <v>3165.6800000000003</v>
      </c>
      <c r="H1101">
        <v>1</v>
      </c>
      <c r="I1101">
        <v>1</v>
      </c>
    </row>
    <row r="1102" spans="1:9" x14ac:dyDescent="0.25">
      <c r="A1102">
        <v>1101</v>
      </c>
      <c r="B1102" s="40" t="s">
        <v>783</v>
      </c>
      <c r="C1102" s="40" t="s">
        <v>799</v>
      </c>
      <c r="D1102">
        <v>10</v>
      </c>
      <c r="E1102">
        <v>40.940000000000005</v>
      </c>
      <c r="F1102">
        <v>89</v>
      </c>
      <c r="G1102">
        <v>49.84</v>
      </c>
      <c r="H1102">
        <v>1</v>
      </c>
      <c r="I1102">
        <v>1</v>
      </c>
    </row>
    <row r="1103" spans="1:9" x14ac:dyDescent="0.25">
      <c r="A1103">
        <v>1102</v>
      </c>
      <c r="B1103" s="40" t="s">
        <v>783</v>
      </c>
      <c r="C1103" s="40" t="s">
        <v>800</v>
      </c>
      <c r="D1103">
        <v>10</v>
      </c>
      <c r="E1103">
        <v>161</v>
      </c>
      <c r="F1103">
        <v>350</v>
      </c>
      <c r="G1103">
        <v>196.00000000000003</v>
      </c>
      <c r="H1103">
        <v>1</v>
      </c>
      <c r="I1103">
        <v>1</v>
      </c>
    </row>
    <row r="1104" spans="1:9" x14ac:dyDescent="0.25">
      <c r="A1104">
        <v>1103</v>
      </c>
      <c r="B1104" s="40" t="s">
        <v>783</v>
      </c>
      <c r="C1104" s="40" t="s">
        <v>801</v>
      </c>
      <c r="D1104">
        <v>10</v>
      </c>
      <c r="E1104">
        <v>59.800000000000004</v>
      </c>
      <c r="F1104">
        <v>130</v>
      </c>
      <c r="G1104">
        <v>72.800000000000011</v>
      </c>
      <c r="H1104">
        <v>1</v>
      </c>
      <c r="I1104">
        <v>1</v>
      </c>
    </row>
    <row r="1105" spans="1:9" x14ac:dyDescent="0.25">
      <c r="A1105">
        <v>1104</v>
      </c>
      <c r="B1105" s="40" t="s">
        <v>783</v>
      </c>
      <c r="C1105" s="40" t="s">
        <v>802</v>
      </c>
      <c r="D1105">
        <v>10</v>
      </c>
      <c r="E1105">
        <v>171.12</v>
      </c>
      <c r="F1105">
        <v>372</v>
      </c>
      <c r="G1105">
        <v>208.32000000000002</v>
      </c>
      <c r="H1105">
        <v>1</v>
      </c>
      <c r="I1105">
        <v>1</v>
      </c>
    </row>
    <row r="1106" spans="1:9" x14ac:dyDescent="0.25">
      <c r="A1106">
        <v>1105</v>
      </c>
      <c r="B1106" s="40" t="s">
        <v>783</v>
      </c>
      <c r="C1106" s="40" t="s">
        <v>1487</v>
      </c>
      <c r="D1106">
        <v>10</v>
      </c>
      <c r="E1106">
        <v>268.64</v>
      </c>
      <c r="F1106">
        <v>584</v>
      </c>
      <c r="G1106">
        <v>327.04000000000002</v>
      </c>
      <c r="H1106">
        <v>1</v>
      </c>
      <c r="I1106">
        <v>1</v>
      </c>
    </row>
    <row r="1107" spans="1:9" x14ac:dyDescent="0.25">
      <c r="A1107">
        <v>1106</v>
      </c>
      <c r="B1107" s="40" t="s">
        <v>783</v>
      </c>
      <c r="C1107" s="40" t="s">
        <v>1488</v>
      </c>
      <c r="D1107">
        <v>10</v>
      </c>
      <c r="E1107">
        <v>241.5</v>
      </c>
      <c r="F1107">
        <v>86</v>
      </c>
      <c r="G1107">
        <v>294</v>
      </c>
      <c r="H1107">
        <v>1</v>
      </c>
      <c r="I1107">
        <v>1</v>
      </c>
    </row>
    <row r="1108" spans="1:9" x14ac:dyDescent="0.25">
      <c r="A1108">
        <v>1107</v>
      </c>
      <c r="B1108" s="40" t="s">
        <v>783</v>
      </c>
      <c r="C1108" s="40" t="s">
        <v>803</v>
      </c>
      <c r="D1108">
        <v>10</v>
      </c>
      <c r="E1108">
        <v>158.70000000000002</v>
      </c>
      <c r="F1108">
        <v>345</v>
      </c>
      <c r="G1108">
        <v>193.20000000000002</v>
      </c>
      <c r="H1108">
        <v>1</v>
      </c>
      <c r="I1108">
        <v>1</v>
      </c>
    </row>
    <row r="1109" spans="1:9" x14ac:dyDescent="0.25">
      <c r="A1109">
        <v>1108</v>
      </c>
      <c r="B1109" s="40" t="s">
        <v>783</v>
      </c>
      <c r="C1109" s="40" t="s">
        <v>804</v>
      </c>
      <c r="D1109">
        <v>10</v>
      </c>
      <c r="E1109">
        <v>325.22000000000003</v>
      </c>
      <c r="F1109">
        <v>707</v>
      </c>
      <c r="G1109">
        <v>395.92</v>
      </c>
      <c r="H1109">
        <v>1</v>
      </c>
      <c r="I1109">
        <v>1</v>
      </c>
    </row>
    <row r="1110" spans="1:9" x14ac:dyDescent="0.25">
      <c r="A1110">
        <v>1109</v>
      </c>
      <c r="B1110" s="40" t="s">
        <v>783</v>
      </c>
      <c r="C1110" s="40" t="s">
        <v>805</v>
      </c>
      <c r="D1110">
        <v>10</v>
      </c>
      <c r="E1110">
        <v>499.56</v>
      </c>
      <c r="F1110">
        <v>1086</v>
      </c>
      <c r="G1110">
        <v>608.16000000000008</v>
      </c>
      <c r="H1110">
        <v>1</v>
      </c>
      <c r="I1110">
        <v>1</v>
      </c>
    </row>
    <row r="1111" spans="1:9" x14ac:dyDescent="0.25">
      <c r="A1111">
        <v>1110</v>
      </c>
      <c r="B1111" s="40" t="s">
        <v>783</v>
      </c>
      <c r="C1111" s="40" t="s">
        <v>807</v>
      </c>
      <c r="D1111">
        <v>10</v>
      </c>
      <c r="E1111">
        <v>242.88000000000002</v>
      </c>
      <c r="F1111">
        <v>528</v>
      </c>
      <c r="G1111">
        <v>295.68</v>
      </c>
      <c r="H1111">
        <v>1</v>
      </c>
      <c r="I1111">
        <v>1</v>
      </c>
    </row>
    <row r="1112" spans="1:9" x14ac:dyDescent="0.25">
      <c r="A1112">
        <v>1111</v>
      </c>
      <c r="B1112" s="40" t="s">
        <v>783</v>
      </c>
      <c r="C1112" s="40" t="s">
        <v>808</v>
      </c>
      <c r="D1112">
        <v>10</v>
      </c>
      <c r="E1112">
        <v>21.16</v>
      </c>
      <c r="F1112">
        <v>46</v>
      </c>
      <c r="G1112">
        <v>25.76</v>
      </c>
      <c r="H1112">
        <v>1</v>
      </c>
      <c r="I1112">
        <v>1</v>
      </c>
    </row>
    <row r="1113" spans="1:9" x14ac:dyDescent="0.25">
      <c r="A1113">
        <v>1112</v>
      </c>
      <c r="B1113" s="40" t="s">
        <v>783</v>
      </c>
      <c r="C1113" s="40" t="s">
        <v>809</v>
      </c>
      <c r="D1113">
        <v>10</v>
      </c>
      <c r="E1113">
        <v>108.10000000000001</v>
      </c>
      <c r="F1113">
        <v>235</v>
      </c>
      <c r="G1113">
        <v>131.60000000000002</v>
      </c>
      <c r="H1113">
        <v>1</v>
      </c>
      <c r="I1113">
        <v>1</v>
      </c>
    </row>
    <row r="1114" spans="1:9" x14ac:dyDescent="0.25">
      <c r="A1114">
        <v>1113</v>
      </c>
      <c r="B1114" s="40" t="s">
        <v>783</v>
      </c>
      <c r="C1114" s="40" t="s">
        <v>1501</v>
      </c>
      <c r="D1114">
        <v>10</v>
      </c>
      <c r="E1114">
        <v>89.7</v>
      </c>
      <c r="F1114">
        <v>195</v>
      </c>
      <c r="G1114">
        <v>109.20000000000002</v>
      </c>
      <c r="H1114">
        <v>1</v>
      </c>
      <c r="I1114">
        <v>1</v>
      </c>
    </row>
    <row r="1115" spans="1:9" x14ac:dyDescent="0.25">
      <c r="A1115">
        <v>1114</v>
      </c>
      <c r="B1115" s="40" t="s">
        <v>783</v>
      </c>
      <c r="C1115" s="40" t="s">
        <v>810</v>
      </c>
      <c r="D1115">
        <v>10</v>
      </c>
      <c r="E1115">
        <v>172.96</v>
      </c>
      <c r="F1115">
        <v>376</v>
      </c>
      <c r="G1115">
        <v>210.56000000000003</v>
      </c>
      <c r="H1115">
        <v>1</v>
      </c>
      <c r="I1115">
        <v>1</v>
      </c>
    </row>
    <row r="1116" spans="1:9" x14ac:dyDescent="0.25">
      <c r="A1116">
        <v>1115</v>
      </c>
      <c r="B1116" s="40" t="s">
        <v>783</v>
      </c>
      <c r="C1116" s="40" t="s">
        <v>811</v>
      </c>
      <c r="D1116">
        <v>10</v>
      </c>
      <c r="E1116">
        <v>663.32</v>
      </c>
      <c r="F1116">
        <v>1442</v>
      </c>
      <c r="G1116">
        <v>807.5200000000001</v>
      </c>
      <c r="H1116">
        <v>1</v>
      </c>
      <c r="I1116">
        <v>1</v>
      </c>
    </row>
    <row r="1117" spans="1:9" x14ac:dyDescent="0.25">
      <c r="A1117">
        <v>1116</v>
      </c>
      <c r="B1117" s="40" t="s">
        <v>783</v>
      </c>
      <c r="C1117" s="40" t="s">
        <v>1222</v>
      </c>
      <c r="D1117">
        <v>10</v>
      </c>
      <c r="E1117">
        <v>35.880000000000003</v>
      </c>
      <c r="F1117">
        <v>78</v>
      </c>
      <c r="G1117">
        <v>43.680000000000007</v>
      </c>
      <c r="H1117">
        <v>1</v>
      </c>
      <c r="I1117">
        <v>1</v>
      </c>
    </row>
    <row r="1118" spans="1:9" x14ac:dyDescent="0.25">
      <c r="A1118">
        <v>1117</v>
      </c>
      <c r="B1118" s="40" t="s">
        <v>783</v>
      </c>
      <c r="C1118" s="40" t="s">
        <v>812</v>
      </c>
      <c r="D1118">
        <v>10</v>
      </c>
      <c r="E1118">
        <v>138.46</v>
      </c>
      <c r="F1118">
        <v>301</v>
      </c>
      <c r="G1118">
        <v>168.56</v>
      </c>
      <c r="H1118">
        <v>1</v>
      </c>
      <c r="I1118">
        <v>1</v>
      </c>
    </row>
    <row r="1119" spans="1:9" x14ac:dyDescent="0.25">
      <c r="A1119">
        <v>1118</v>
      </c>
      <c r="B1119" s="40" t="s">
        <v>783</v>
      </c>
      <c r="C1119" s="40" t="s">
        <v>813</v>
      </c>
      <c r="D1119">
        <v>10</v>
      </c>
      <c r="E1119">
        <v>261.28000000000003</v>
      </c>
      <c r="F1119">
        <v>568</v>
      </c>
      <c r="G1119">
        <v>318.08000000000004</v>
      </c>
      <c r="H1119">
        <v>1</v>
      </c>
      <c r="I1119">
        <v>1</v>
      </c>
    </row>
    <row r="1120" spans="1:9" x14ac:dyDescent="0.25">
      <c r="A1120">
        <v>1119</v>
      </c>
      <c r="B1120" s="40" t="s">
        <v>783</v>
      </c>
      <c r="C1120" s="40" t="s">
        <v>1264</v>
      </c>
      <c r="D1120">
        <v>10</v>
      </c>
      <c r="E1120">
        <v>344.08000000000004</v>
      </c>
      <c r="F1120">
        <v>748</v>
      </c>
      <c r="G1120">
        <v>418.88000000000005</v>
      </c>
      <c r="H1120">
        <v>1</v>
      </c>
      <c r="I1120">
        <v>1</v>
      </c>
    </row>
    <row r="1121" spans="1:9" x14ac:dyDescent="0.25">
      <c r="A1121">
        <v>1120</v>
      </c>
      <c r="B1121" s="40" t="s">
        <v>783</v>
      </c>
      <c r="C1121" s="40" t="s">
        <v>814</v>
      </c>
      <c r="D1121">
        <v>10</v>
      </c>
      <c r="E1121">
        <v>70.38000000000001</v>
      </c>
      <c r="F1121">
        <v>153</v>
      </c>
      <c r="G1121">
        <v>85.68</v>
      </c>
      <c r="H1121">
        <v>1</v>
      </c>
      <c r="I1121">
        <v>1</v>
      </c>
    </row>
    <row r="1122" spans="1:9" x14ac:dyDescent="0.25">
      <c r="A1122">
        <v>1121</v>
      </c>
      <c r="B1122" s="40" t="s">
        <v>783</v>
      </c>
      <c r="C1122" s="40" t="s">
        <v>815</v>
      </c>
      <c r="D1122">
        <v>10</v>
      </c>
      <c r="E1122">
        <v>112.7</v>
      </c>
      <c r="F1122">
        <v>245</v>
      </c>
      <c r="G1122">
        <v>137.20000000000002</v>
      </c>
      <c r="H1122">
        <v>1</v>
      </c>
      <c r="I1122">
        <v>1</v>
      </c>
    </row>
    <row r="1123" spans="1:9" x14ac:dyDescent="0.25">
      <c r="A1123">
        <v>1122</v>
      </c>
      <c r="B1123" s="40" t="s">
        <v>783</v>
      </c>
      <c r="C1123" s="40" t="s">
        <v>816</v>
      </c>
      <c r="D1123">
        <v>10</v>
      </c>
      <c r="E1123">
        <v>202.4</v>
      </c>
      <c r="F1123">
        <v>440</v>
      </c>
      <c r="G1123">
        <v>246.40000000000003</v>
      </c>
      <c r="H1123">
        <v>1</v>
      </c>
      <c r="I1123">
        <v>1</v>
      </c>
    </row>
    <row r="1124" spans="1:9" x14ac:dyDescent="0.25">
      <c r="A1124">
        <v>1123</v>
      </c>
      <c r="B1124" s="40" t="s">
        <v>783</v>
      </c>
      <c r="C1124" s="40" t="s">
        <v>1262</v>
      </c>
      <c r="D1124">
        <v>10</v>
      </c>
      <c r="E1124">
        <v>246.10000000000002</v>
      </c>
      <c r="F1124">
        <v>535</v>
      </c>
      <c r="G1124">
        <v>299.60000000000002</v>
      </c>
      <c r="H1124">
        <v>1</v>
      </c>
      <c r="I1124">
        <v>1</v>
      </c>
    </row>
    <row r="1125" spans="1:9" x14ac:dyDescent="0.25">
      <c r="A1125">
        <v>1124</v>
      </c>
      <c r="B1125" s="40" t="s">
        <v>783</v>
      </c>
      <c r="C1125" s="40" t="s">
        <v>1263</v>
      </c>
      <c r="D1125">
        <v>10</v>
      </c>
      <c r="E1125">
        <v>114.08</v>
      </c>
      <c r="F1125">
        <v>248</v>
      </c>
      <c r="G1125">
        <v>138.88000000000002</v>
      </c>
      <c r="H1125">
        <v>1</v>
      </c>
      <c r="I1125">
        <v>1</v>
      </c>
    </row>
    <row r="1126" spans="1:9" x14ac:dyDescent="0.25">
      <c r="A1126">
        <v>1125</v>
      </c>
      <c r="B1126" s="40" t="s">
        <v>783</v>
      </c>
      <c r="C1126" s="40" t="s">
        <v>817</v>
      </c>
      <c r="D1126">
        <v>10</v>
      </c>
      <c r="E1126">
        <v>154.56</v>
      </c>
      <c r="F1126">
        <v>336</v>
      </c>
      <c r="G1126">
        <v>188.16000000000003</v>
      </c>
      <c r="H1126">
        <v>1</v>
      </c>
      <c r="I1126">
        <v>1</v>
      </c>
    </row>
    <row r="1127" spans="1:9" x14ac:dyDescent="0.25">
      <c r="A1127">
        <v>1126</v>
      </c>
      <c r="B1127" s="40" t="s">
        <v>783</v>
      </c>
      <c r="C1127" s="40" t="s">
        <v>818</v>
      </c>
      <c r="D1127">
        <v>10</v>
      </c>
      <c r="E1127">
        <v>146.74</v>
      </c>
      <c r="F1127">
        <v>319</v>
      </c>
      <c r="G1127">
        <v>178.64000000000001</v>
      </c>
      <c r="H1127">
        <v>1</v>
      </c>
      <c r="I1127">
        <v>1</v>
      </c>
    </row>
    <row r="1128" spans="1:9" x14ac:dyDescent="0.25">
      <c r="A1128">
        <v>1127</v>
      </c>
      <c r="B1128" s="40" t="s">
        <v>783</v>
      </c>
      <c r="C1128" s="40" t="s">
        <v>820</v>
      </c>
      <c r="D1128">
        <v>10</v>
      </c>
      <c r="E1128">
        <v>57.5</v>
      </c>
      <c r="F1128">
        <v>125</v>
      </c>
      <c r="G1128">
        <v>70</v>
      </c>
      <c r="H1128">
        <v>1</v>
      </c>
      <c r="I1128">
        <v>1</v>
      </c>
    </row>
    <row r="1129" spans="1:9" x14ac:dyDescent="0.25">
      <c r="A1129">
        <v>1128</v>
      </c>
      <c r="B1129" s="40" t="s">
        <v>783</v>
      </c>
      <c r="C1129" s="40" t="s">
        <v>821</v>
      </c>
      <c r="D1129">
        <v>10</v>
      </c>
      <c r="E1129">
        <v>178.48000000000002</v>
      </c>
      <c r="F1129">
        <v>388</v>
      </c>
      <c r="G1129">
        <v>217.28000000000003</v>
      </c>
      <c r="H1129">
        <v>1</v>
      </c>
      <c r="I1129">
        <v>1</v>
      </c>
    </row>
    <row r="1130" spans="1:9" x14ac:dyDescent="0.25">
      <c r="A1130">
        <v>1129</v>
      </c>
      <c r="B1130" s="40" t="s">
        <v>783</v>
      </c>
      <c r="C1130" s="40" t="s">
        <v>822</v>
      </c>
      <c r="D1130">
        <v>10</v>
      </c>
      <c r="E1130">
        <v>132.94</v>
      </c>
      <c r="F1130">
        <v>289</v>
      </c>
      <c r="G1130">
        <v>161.84</v>
      </c>
      <c r="H1130">
        <v>1</v>
      </c>
      <c r="I1130">
        <v>1</v>
      </c>
    </row>
    <row r="1131" spans="1:9" x14ac:dyDescent="0.25">
      <c r="A1131">
        <v>1130</v>
      </c>
      <c r="B1131" s="40" t="s">
        <v>783</v>
      </c>
      <c r="C1131" s="40" t="s">
        <v>823</v>
      </c>
      <c r="D1131">
        <v>10</v>
      </c>
      <c r="E1131">
        <v>69.92</v>
      </c>
      <c r="F1131">
        <v>152</v>
      </c>
      <c r="G1131">
        <v>85.12</v>
      </c>
      <c r="H1131">
        <v>1</v>
      </c>
      <c r="I1131">
        <v>1</v>
      </c>
    </row>
    <row r="1132" spans="1:9" x14ac:dyDescent="0.25">
      <c r="A1132">
        <v>1131</v>
      </c>
      <c r="B1132" s="40" t="s">
        <v>783</v>
      </c>
      <c r="C1132" s="40" t="s">
        <v>824</v>
      </c>
      <c r="D1132">
        <v>10</v>
      </c>
      <c r="E1132">
        <v>87.4</v>
      </c>
      <c r="F1132">
        <v>190</v>
      </c>
      <c r="G1132">
        <v>106.4</v>
      </c>
      <c r="H1132">
        <v>1</v>
      </c>
      <c r="I1132">
        <v>1</v>
      </c>
    </row>
    <row r="1133" spans="1:9" x14ac:dyDescent="0.25">
      <c r="A1133">
        <v>1132</v>
      </c>
      <c r="B1133" s="40" t="s">
        <v>783</v>
      </c>
      <c r="C1133" s="40" t="s">
        <v>825</v>
      </c>
      <c r="D1133">
        <v>10</v>
      </c>
      <c r="E1133">
        <v>104.42</v>
      </c>
      <c r="F1133">
        <v>227</v>
      </c>
      <c r="G1133">
        <v>127.12000000000002</v>
      </c>
      <c r="H1133">
        <v>1</v>
      </c>
      <c r="I1133">
        <v>1</v>
      </c>
    </row>
    <row r="1134" spans="1:9" x14ac:dyDescent="0.25">
      <c r="A1134">
        <v>1133</v>
      </c>
      <c r="B1134" s="40" t="s">
        <v>783</v>
      </c>
      <c r="C1134" s="40" t="s">
        <v>1489</v>
      </c>
      <c r="D1134">
        <v>10</v>
      </c>
      <c r="E1134">
        <v>68.540000000000006</v>
      </c>
      <c r="F1134">
        <v>149</v>
      </c>
      <c r="G1134">
        <v>83.440000000000012</v>
      </c>
      <c r="H1134">
        <v>1</v>
      </c>
      <c r="I1134">
        <v>1</v>
      </c>
    </row>
    <row r="1135" spans="1:9" x14ac:dyDescent="0.25">
      <c r="A1135">
        <v>1134</v>
      </c>
      <c r="B1135" s="40" t="s">
        <v>783</v>
      </c>
      <c r="C1135" s="40" t="s">
        <v>827</v>
      </c>
      <c r="D1135">
        <v>10</v>
      </c>
      <c r="E1135">
        <v>228.16</v>
      </c>
      <c r="F1135">
        <v>496</v>
      </c>
      <c r="G1135">
        <v>277.76000000000005</v>
      </c>
      <c r="H1135">
        <v>1</v>
      </c>
      <c r="I1135">
        <v>1</v>
      </c>
    </row>
    <row r="1136" spans="1:9" x14ac:dyDescent="0.25">
      <c r="A1136">
        <v>1135</v>
      </c>
      <c r="B1136" s="40" t="s">
        <v>783</v>
      </c>
      <c r="C1136" s="40" t="s">
        <v>826</v>
      </c>
      <c r="D1136">
        <v>10</v>
      </c>
      <c r="E1136">
        <v>368</v>
      </c>
      <c r="F1136">
        <v>800</v>
      </c>
      <c r="G1136">
        <v>448.00000000000006</v>
      </c>
      <c r="H1136">
        <v>1</v>
      </c>
      <c r="I1136">
        <v>1</v>
      </c>
    </row>
    <row r="1137" spans="1:9" x14ac:dyDescent="0.25">
      <c r="A1137">
        <v>1136</v>
      </c>
      <c r="B1137" s="40" t="s">
        <v>783</v>
      </c>
      <c r="C1137" s="40" t="s">
        <v>1491</v>
      </c>
      <c r="D1137">
        <v>10</v>
      </c>
      <c r="E1137">
        <v>655.04000000000008</v>
      </c>
      <c r="F1137">
        <v>1424</v>
      </c>
      <c r="G1137">
        <v>797.44</v>
      </c>
      <c r="H1137">
        <v>1</v>
      </c>
      <c r="I1137">
        <v>1</v>
      </c>
    </row>
    <row r="1138" spans="1:9" x14ac:dyDescent="0.25">
      <c r="A1138">
        <v>1137</v>
      </c>
      <c r="B1138" s="40" t="s">
        <v>783</v>
      </c>
      <c r="C1138" s="40" t="s">
        <v>1490</v>
      </c>
      <c r="D1138">
        <v>10</v>
      </c>
      <c r="E1138">
        <v>670.22</v>
      </c>
      <c r="F1138">
        <v>1457</v>
      </c>
      <c r="G1138">
        <v>815.92000000000007</v>
      </c>
      <c r="H1138">
        <v>1</v>
      </c>
      <c r="I1138">
        <v>1</v>
      </c>
    </row>
    <row r="1139" spans="1:9" x14ac:dyDescent="0.25">
      <c r="A1139">
        <v>1138</v>
      </c>
      <c r="B1139" s="40" t="s">
        <v>783</v>
      </c>
      <c r="C1139" s="40" t="s">
        <v>1492</v>
      </c>
      <c r="D1139">
        <v>10</v>
      </c>
      <c r="E1139">
        <v>284.28000000000003</v>
      </c>
      <c r="F1139">
        <v>618</v>
      </c>
      <c r="G1139">
        <v>346.08000000000004</v>
      </c>
      <c r="H1139">
        <v>1</v>
      </c>
      <c r="I1139">
        <v>1</v>
      </c>
    </row>
    <row r="1140" spans="1:9" x14ac:dyDescent="0.25">
      <c r="A1140">
        <v>1139</v>
      </c>
      <c r="B1140" s="40" t="s">
        <v>783</v>
      </c>
      <c r="C1140" s="40" t="s">
        <v>1493</v>
      </c>
      <c r="D1140">
        <v>10</v>
      </c>
      <c r="E1140">
        <v>293.48</v>
      </c>
      <c r="F1140">
        <v>638</v>
      </c>
      <c r="G1140">
        <v>357.28000000000003</v>
      </c>
      <c r="H1140">
        <v>1</v>
      </c>
      <c r="I1140">
        <v>1</v>
      </c>
    </row>
    <row r="1141" spans="1:9" x14ac:dyDescent="0.25">
      <c r="A1141">
        <v>1140</v>
      </c>
      <c r="B1141" s="40" t="s">
        <v>783</v>
      </c>
      <c r="C1141" s="40" t="s">
        <v>1494</v>
      </c>
      <c r="D1141">
        <v>10</v>
      </c>
      <c r="E1141">
        <v>119.60000000000001</v>
      </c>
      <c r="F1141">
        <v>260</v>
      </c>
      <c r="G1141">
        <v>145.60000000000002</v>
      </c>
      <c r="H1141">
        <v>1</v>
      </c>
      <c r="I1141">
        <v>1</v>
      </c>
    </row>
    <row r="1142" spans="1:9" x14ac:dyDescent="0.25">
      <c r="A1142">
        <v>1141</v>
      </c>
      <c r="B1142" s="40" t="s">
        <v>783</v>
      </c>
      <c r="C1142" s="40" t="s">
        <v>1495</v>
      </c>
      <c r="D1142">
        <v>10</v>
      </c>
      <c r="E1142">
        <v>162.84</v>
      </c>
      <c r="F1142">
        <v>354</v>
      </c>
      <c r="G1142">
        <v>198.24</v>
      </c>
      <c r="H1142">
        <v>1</v>
      </c>
      <c r="I1142">
        <v>1</v>
      </c>
    </row>
    <row r="1143" spans="1:9" x14ac:dyDescent="0.25">
      <c r="A1143">
        <v>1142</v>
      </c>
      <c r="B1143" s="40" t="s">
        <v>783</v>
      </c>
      <c r="C1143" s="40" t="s">
        <v>1496</v>
      </c>
      <c r="D1143">
        <v>10</v>
      </c>
      <c r="E1143">
        <v>325.68</v>
      </c>
      <c r="F1143">
        <v>708</v>
      </c>
      <c r="G1143">
        <v>396.48</v>
      </c>
      <c r="H1143">
        <v>1</v>
      </c>
      <c r="I1143">
        <v>1</v>
      </c>
    </row>
    <row r="1144" spans="1:9" x14ac:dyDescent="0.25">
      <c r="A1144">
        <v>1143</v>
      </c>
      <c r="B1144" s="40" t="s">
        <v>783</v>
      </c>
      <c r="C1144" s="40" t="s">
        <v>828</v>
      </c>
      <c r="D1144">
        <v>10</v>
      </c>
      <c r="E1144">
        <v>372.14000000000004</v>
      </c>
      <c r="F1144">
        <v>809</v>
      </c>
      <c r="G1144">
        <v>453.04</v>
      </c>
      <c r="H1144">
        <v>1</v>
      </c>
      <c r="I1144">
        <v>1</v>
      </c>
    </row>
    <row r="1145" spans="1:9" x14ac:dyDescent="0.25">
      <c r="A1145">
        <v>1144</v>
      </c>
      <c r="B1145" s="40" t="s">
        <v>783</v>
      </c>
      <c r="C1145" s="40" t="s">
        <v>829</v>
      </c>
      <c r="D1145">
        <v>10</v>
      </c>
      <c r="E1145">
        <v>155.48000000000002</v>
      </c>
      <c r="F1145">
        <v>338</v>
      </c>
      <c r="G1145">
        <v>189.28000000000003</v>
      </c>
      <c r="H1145">
        <v>1</v>
      </c>
      <c r="I1145">
        <v>1</v>
      </c>
    </row>
    <row r="1146" spans="1:9" x14ac:dyDescent="0.25">
      <c r="A1146">
        <v>1145</v>
      </c>
      <c r="B1146" s="40" t="s">
        <v>783</v>
      </c>
      <c r="C1146" s="40" t="s">
        <v>831</v>
      </c>
      <c r="D1146">
        <v>10</v>
      </c>
      <c r="E1146">
        <v>92.460000000000008</v>
      </c>
      <c r="F1146">
        <v>201</v>
      </c>
      <c r="G1146">
        <v>112.56000000000002</v>
      </c>
      <c r="H1146">
        <v>1</v>
      </c>
      <c r="I1146">
        <v>1</v>
      </c>
    </row>
    <row r="1147" spans="1:9" x14ac:dyDescent="0.25">
      <c r="A1147">
        <v>1146</v>
      </c>
      <c r="B1147" s="40" t="s">
        <v>783</v>
      </c>
      <c r="C1147" s="40" t="s">
        <v>832</v>
      </c>
      <c r="D1147">
        <v>10</v>
      </c>
      <c r="E1147">
        <v>180.32000000000002</v>
      </c>
      <c r="F1147">
        <v>392</v>
      </c>
      <c r="G1147">
        <v>219.52</v>
      </c>
      <c r="H1147">
        <v>1</v>
      </c>
      <c r="I1147">
        <v>1</v>
      </c>
    </row>
    <row r="1148" spans="1:9" x14ac:dyDescent="0.25">
      <c r="A1148">
        <v>1147</v>
      </c>
      <c r="B1148" s="40" t="s">
        <v>783</v>
      </c>
      <c r="C1148" s="40" t="s">
        <v>833</v>
      </c>
      <c r="D1148">
        <v>10</v>
      </c>
      <c r="E1148">
        <v>216.66</v>
      </c>
      <c r="F1148">
        <v>471</v>
      </c>
      <c r="G1148">
        <v>263.76000000000005</v>
      </c>
      <c r="H1148">
        <v>1</v>
      </c>
      <c r="I1148">
        <v>1</v>
      </c>
    </row>
    <row r="1149" spans="1:9" x14ac:dyDescent="0.25">
      <c r="A1149">
        <v>1148</v>
      </c>
      <c r="B1149" s="40" t="s">
        <v>837</v>
      </c>
      <c r="C1149" s="40" t="s">
        <v>838</v>
      </c>
      <c r="D1149">
        <v>10</v>
      </c>
      <c r="E1149">
        <v>26.55</v>
      </c>
      <c r="F1149">
        <v>59</v>
      </c>
      <c r="G1149">
        <v>32.450000000000003</v>
      </c>
      <c r="H1149">
        <v>1</v>
      </c>
      <c r="I1149">
        <v>1</v>
      </c>
    </row>
    <row r="1150" spans="1:9" x14ac:dyDescent="0.25">
      <c r="A1150">
        <v>1149</v>
      </c>
      <c r="B1150" s="40" t="s">
        <v>944</v>
      </c>
      <c r="C1150" s="40" t="s">
        <v>945</v>
      </c>
      <c r="D1150">
        <v>10</v>
      </c>
      <c r="E1150">
        <v>117.312</v>
      </c>
      <c r="F1150">
        <v>282</v>
      </c>
      <c r="G1150">
        <v>145.512</v>
      </c>
      <c r="H1150">
        <v>1</v>
      </c>
      <c r="I1150">
        <v>1</v>
      </c>
    </row>
    <row r="1151" spans="1:9" x14ac:dyDescent="0.25">
      <c r="A1151">
        <v>1150</v>
      </c>
      <c r="B1151" s="40" t="s">
        <v>944</v>
      </c>
      <c r="C1151" s="40" t="s">
        <v>946</v>
      </c>
      <c r="D1151">
        <v>10</v>
      </c>
      <c r="E1151">
        <v>882.33600000000001</v>
      </c>
      <c r="F1151">
        <v>2121</v>
      </c>
      <c r="G1151">
        <v>1094.4359999999999</v>
      </c>
      <c r="H1151">
        <v>1</v>
      </c>
      <c r="I1151">
        <v>1</v>
      </c>
    </row>
    <row r="1152" spans="1:9" x14ac:dyDescent="0.25">
      <c r="A1152">
        <v>1151</v>
      </c>
      <c r="B1152" s="40" t="s">
        <v>944</v>
      </c>
      <c r="C1152" s="40" t="s">
        <v>947</v>
      </c>
      <c r="D1152">
        <v>10</v>
      </c>
      <c r="E1152">
        <v>393.952</v>
      </c>
      <c r="F1152">
        <v>947</v>
      </c>
      <c r="G1152">
        <v>488.65199999999999</v>
      </c>
      <c r="H1152">
        <v>1</v>
      </c>
      <c r="I1152">
        <v>1</v>
      </c>
    </row>
    <row r="1153" spans="1:9" x14ac:dyDescent="0.25">
      <c r="A1153">
        <v>1152</v>
      </c>
      <c r="B1153" s="40" t="s">
        <v>944</v>
      </c>
      <c r="C1153" s="40" t="s">
        <v>948</v>
      </c>
      <c r="D1153">
        <v>10</v>
      </c>
      <c r="E1153">
        <v>567.42399999999998</v>
      </c>
      <c r="F1153">
        <v>1364</v>
      </c>
      <c r="G1153">
        <v>703.82400000000007</v>
      </c>
      <c r="H1153">
        <v>1</v>
      </c>
      <c r="I1153">
        <v>1</v>
      </c>
    </row>
    <row r="1154" spans="1:9" x14ac:dyDescent="0.25">
      <c r="A1154">
        <v>1153</v>
      </c>
      <c r="B1154" s="40" t="s">
        <v>944</v>
      </c>
      <c r="C1154" s="40" t="s">
        <v>1856</v>
      </c>
      <c r="D1154">
        <v>10</v>
      </c>
      <c r="E1154">
        <v>88.191999999999993</v>
      </c>
      <c r="F1154">
        <v>212</v>
      </c>
      <c r="G1154">
        <v>109.392</v>
      </c>
      <c r="H1154">
        <v>1</v>
      </c>
      <c r="I1154">
        <v>1</v>
      </c>
    </row>
    <row r="1155" spans="1:9" x14ac:dyDescent="0.25">
      <c r="A1155">
        <v>1154</v>
      </c>
      <c r="B1155" s="40" t="s">
        <v>944</v>
      </c>
      <c r="C1155" s="40" t="s">
        <v>1435</v>
      </c>
      <c r="D1155">
        <v>10</v>
      </c>
      <c r="E1155">
        <v>14.559999999999999</v>
      </c>
      <c r="F1155">
        <v>35</v>
      </c>
      <c r="G1155">
        <v>18.060000000000002</v>
      </c>
      <c r="H1155">
        <v>1</v>
      </c>
      <c r="I1155">
        <v>1</v>
      </c>
    </row>
    <row r="1156" spans="1:9" x14ac:dyDescent="0.25">
      <c r="A1156">
        <v>1155</v>
      </c>
      <c r="B1156" s="40" t="s">
        <v>944</v>
      </c>
      <c r="C1156" s="40" t="s">
        <v>949</v>
      </c>
      <c r="D1156">
        <v>10</v>
      </c>
      <c r="E1156">
        <v>116.896</v>
      </c>
      <c r="F1156">
        <v>281</v>
      </c>
      <c r="G1156">
        <v>144.99600000000001</v>
      </c>
      <c r="H1156">
        <v>1</v>
      </c>
      <c r="I1156">
        <v>1</v>
      </c>
    </row>
    <row r="1157" spans="1:9" x14ac:dyDescent="0.25">
      <c r="A1157">
        <v>1156</v>
      </c>
      <c r="B1157" s="40" t="s">
        <v>944</v>
      </c>
      <c r="C1157" s="40" t="s">
        <v>1436</v>
      </c>
      <c r="D1157">
        <v>10</v>
      </c>
      <c r="E1157">
        <v>147.26399999999998</v>
      </c>
      <c r="F1157">
        <v>354</v>
      </c>
      <c r="G1157">
        <v>182.66400000000002</v>
      </c>
      <c r="H1157">
        <v>1</v>
      </c>
      <c r="I1157">
        <v>1</v>
      </c>
    </row>
    <row r="1158" spans="1:9" x14ac:dyDescent="0.25">
      <c r="A1158">
        <v>1157</v>
      </c>
      <c r="B1158" s="40" t="s">
        <v>944</v>
      </c>
      <c r="C1158" s="40" t="s">
        <v>950</v>
      </c>
      <c r="D1158">
        <v>10</v>
      </c>
      <c r="E1158">
        <v>20.384</v>
      </c>
      <c r="F1158">
        <v>49</v>
      </c>
      <c r="G1158">
        <v>25.283999999999999</v>
      </c>
      <c r="H1158">
        <v>1</v>
      </c>
      <c r="I1158">
        <v>1</v>
      </c>
    </row>
    <row r="1159" spans="1:9" x14ac:dyDescent="0.25">
      <c r="A1159">
        <v>1158</v>
      </c>
      <c r="B1159" s="40" t="s">
        <v>944</v>
      </c>
      <c r="C1159" s="40" t="s">
        <v>951</v>
      </c>
      <c r="D1159">
        <v>10</v>
      </c>
      <c r="E1159">
        <v>106.08</v>
      </c>
      <c r="F1159">
        <v>255</v>
      </c>
      <c r="G1159">
        <v>131.58000000000001</v>
      </c>
      <c r="H1159">
        <v>1</v>
      </c>
      <c r="I1159">
        <v>1</v>
      </c>
    </row>
    <row r="1160" spans="1:9" x14ac:dyDescent="0.25">
      <c r="A1160">
        <v>1159</v>
      </c>
      <c r="B1160" s="40" t="s">
        <v>944</v>
      </c>
      <c r="C1160" s="40" t="s">
        <v>952</v>
      </c>
      <c r="D1160">
        <v>10</v>
      </c>
      <c r="E1160">
        <v>24.044799999999999</v>
      </c>
      <c r="F1160">
        <v>57.8</v>
      </c>
      <c r="G1160">
        <v>29.8248</v>
      </c>
      <c r="H1160">
        <v>1</v>
      </c>
      <c r="I1160">
        <v>1</v>
      </c>
    </row>
    <row r="1161" spans="1:9" x14ac:dyDescent="0.25">
      <c r="A1161">
        <v>1160</v>
      </c>
      <c r="B1161" s="40" t="s">
        <v>944</v>
      </c>
      <c r="C1161" s="40" t="s">
        <v>953</v>
      </c>
      <c r="D1161">
        <v>10</v>
      </c>
      <c r="E1161">
        <v>110.65599999999999</v>
      </c>
      <c r="F1161">
        <v>266</v>
      </c>
      <c r="G1161">
        <v>137.256</v>
      </c>
      <c r="H1161">
        <v>1</v>
      </c>
      <c r="I1161">
        <v>1</v>
      </c>
    </row>
    <row r="1162" spans="1:9" x14ac:dyDescent="0.25">
      <c r="A1162">
        <v>1161</v>
      </c>
      <c r="B1162" s="40" t="s">
        <v>944</v>
      </c>
      <c r="C1162" s="40" t="s">
        <v>954</v>
      </c>
      <c r="D1162">
        <v>10</v>
      </c>
      <c r="E1162">
        <v>66.975999999999999</v>
      </c>
      <c r="F1162">
        <v>161</v>
      </c>
      <c r="G1162">
        <v>83.076000000000008</v>
      </c>
      <c r="H1162">
        <v>1</v>
      </c>
      <c r="I1162">
        <v>1</v>
      </c>
    </row>
    <row r="1163" spans="1:9" x14ac:dyDescent="0.25">
      <c r="A1163">
        <v>1162</v>
      </c>
      <c r="B1163" s="40" t="s">
        <v>944</v>
      </c>
      <c r="C1163" s="40" t="s">
        <v>1438</v>
      </c>
      <c r="D1163">
        <v>10</v>
      </c>
      <c r="E1163">
        <v>225.47199999999998</v>
      </c>
      <c r="F1163">
        <v>542</v>
      </c>
      <c r="G1163">
        <v>279.67200000000003</v>
      </c>
      <c r="H1163">
        <v>1</v>
      </c>
      <c r="I1163">
        <v>1</v>
      </c>
    </row>
    <row r="1164" spans="1:9" x14ac:dyDescent="0.25">
      <c r="A1164">
        <v>1163</v>
      </c>
      <c r="B1164" s="40" t="s">
        <v>944</v>
      </c>
      <c r="C1164" s="40" t="s">
        <v>1437</v>
      </c>
      <c r="D1164">
        <v>10</v>
      </c>
      <c r="E1164">
        <v>422.65600000000001</v>
      </c>
      <c r="F1164">
        <v>1016</v>
      </c>
      <c r="G1164">
        <v>524.25599999999997</v>
      </c>
      <c r="H1164">
        <v>1</v>
      </c>
      <c r="I1164">
        <v>1</v>
      </c>
    </row>
    <row r="1165" spans="1:9" x14ac:dyDescent="0.25">
      <c r="A1165">
        <v>1164</v>
      </c>
      <c r="B1165" s="40" t="s">
        <v>944</v>
      </c>
      <c r="C1165" s="40" t="s">
        <v>955</v>
      </c>
      <c r="D1165">
        <v>10</v>
      </c>
      <c r="E1165">
        <v>80.287999999999997</v>
      </c>
      <c r="F1165">
        <v>193</v>
      </c>
      <c r="G1165">
        <v>99.588000000000008</v>
      </c>
      <c r="H1165">
        <v>1</v>
      </c>
      <c r="I1165">
        <v>1</v>
      </c>
    </row>
    <row r="1166" spans="1:9" x14ac:dyDescent="0.25">
      <c r="A1166">
        <v>1165</v>
      </c>
      <c r="B1166" s="40" t="s">
        <v>944</v>
      </c>
      <c r="C1166" s="40" t="s">
        <v>956</v>
      </c>
      <c r="D1166">
        <v>10</v>
      </c>
      <c r="E1166">
        <v>23.712</v>
      </c>
      <c r="F1166">
        <v>57</v>
      </c>
      <c r="G1166">
        <v>29.411999999999999</v>
      </c>
      <c r="H1166">
        <v>1</v>
      </c>
      <c r="I1166">
        <v>1</v>
      </c>
    </row>
    <row r="1167" spans="1:9" x14ac:dyDescent="0.25">
      <c r="A1167">
        <v>1166</v>
      </c>
      <c r="B1167" s="40" t="s">
        <v>944</v>
      </c>
      <c r="C1167" s="40" t="s">
        <v>1439</v>
      </c>
      <c r="D1167">
        <v>10</v>
      </c>
      <c r="E1167">
        <v>322.39999999999998</v>
      </c>
      <c r="F1167">
        <v>775</v>
      </c>
      <c r="G1167">
        <v>399.90000000000003</v>
      </c>
      <c r="H1167">
        <v>1</v>
      </c>
      <c r="I1167">
        <v>1</v>
      </c>
    </row>
    <row r="1168" spans="1:9" x14ac:dyDescent="0.25">
      <c r="A1168">
        <v>1167</v>
      </c>
      <c r="B1168" s="40" t="s">
        <v>944</v>
      </c>
      <c r="C1168" s="40" t="s">
        <v>1440</v>
      </c>
      <c r="D1168">
        <v>10</v>
      </c>
      <c r="E1168">
        <v>775.00799999999992</v>
      </c>
      <c r="F1168">
        <v>1863</v>
      </c>
      <c r="G1168">
        <v>961.30799999999999</v>
      </c>
      <c r="H1168">
        <v>1</v>
      </c>
      <c r="I1168">
        <v>1</v>
      </c>
    </row>
    <row r="1169" spans="1:9" x14ac:dyDescent="0.25">
      <c r="A1169">
        <v>1168</v>
      </c>
      <c r="B1169" s="40" t="s">
        <v>944</v>
      </c>
      <c r="C1169" s="40" t="s">
        <v>957</v>
      </c>
      <c r="D1169">
        <v>10</v>
      </c>
      <c r="E1169">
        <v>26.207999999999998</v>
      </c>
      <c r="F1169">
        <v>63</v>
      </c>
      <c r="G1169">
        <v>32.508000000000003</v>
      </c>
      <c r="H1169">
        <v>1</v>
      </c>
      <c r="I1169">
        <v>1</v>
      </c>
    </row>
    <row r="1170" spans="1:9" x14ac:dyDescent="0.25">
      <c r="A1170">
        <v>1169</v>
      </c>
      <c r="B1170" s="40" t="s">
        <v>944</v>
      </c>
      <c r="C1170" s="40" t="s">
        <v>958</v>
      </c>
      <c r="D1170">
        <v>10</v>
      </c>
      <c r="E1170">
        <v>597.37599999999998</v>
      </c>
      <c r="F1170">
        <v>1436</v>
      </c>
      <c r="G1170">
        <v>740.976</v>
      </c>
      <c r="H1170">
        <v>1</v>
      </c>
      <c r="I1170">
        <v>1</v>
      </c>
    </row>
    <row r="1171" spans="1:9" x14ac:dyDescent="0.25">
      <c r="A1171">
        <v>1170</v>
      </c>
      <c r="B1171" s="40" t="s">
        <v>944</v>
      </c>
      <c r="C1171" s="40" t="s">
        <v>959</v>
      </c>
      <c r="D1171">
        <v>10</v>
      </c>
      <c r="E1171">
        <v>48.671999999999997</v>
      </c>
      <c r="F1171">
        <v>117</v>
      </c>
      <c r="G1171">
        <v>60.372</v>
      </c>
      <c r="H1171">
        <v>1</v>
      </c>
      <c r="I1171">
        <v>1</v>
      </c>
    </row>
    <row r="1172" spans="1:9" x14ac:dyDescent="0.25">
      <c r="A1172">
        <v>1171</v>
      </c>
      <c r="B1172" s="40" t="s">
        <v>944</v>
      </c>
      <c r="C1172" s="40" t="s">
        <v>960</v>
      </c>
      <c r="D1172">
        <v>10</v>
      </c>
      <c r="E1172">
        <v>136.03199999999998</v>
      </c>
      <c r="F1172">
        <v>327</v>
      </c>
      <c r="G1172">
        <v>168.732</v>
      </c>
      <c r="H1172">
        <v>1</v>
      </c>
      <c r="I1172">
        <v>1</v>
      </c>
    </row>
    <row r="1173" spans="1:9" x14ac:dyDescent="0.25">
      <c r="A1173">
        <v>1172</v>
      </c>
      <c r="B1173" s="40" t="s">
        <v>944</v>
      </c>
      <c r="C1173" s="40" t="s">
        <v>961</v>
      </c>
      <c r="D1173">
        <v>10</v>
      </c>
      <c r="E1173">
        <v>849.88799999999992</v>
      </c>
      <c r="F1173">
        <v>2043</v>
      </c>
      <c r="G1173">
        <v>1054.1880000000001</v>
      </c>
      <c r="H1173">
        <v>1</v>
      </c>
      <c r="I1173">
        <v>1</v>
      </c>
    </row>
    <row r="1174" spans="1:9" x14ac:dyDescent="0.25">
      <c r="A1174">
        <v>1173</v>
      </c>
      <c r="B1174" s="40" t="s">
        <v>944</v>
      </c>
      <c r="C1174" s="40" t="s">
        <v>1441</v>
      </c>
      <c r="D1174">
        <v>10</v>
      </c>
      <c r="E1174">
        <v>85.28</v>
      </c>
      <c r="F1174">
        <v>205</v>
      </c>
      <c r="G1174">
        <v>105.78</v>
      </c>
      <c r="H1174">
        <v>1</v>
      </c>
      <c r="I1174">
        <v>1</v>
      </c>
    </row>
    <row r="1175" spans="1:9" x14ac:dyDescent="0.25">
      <c r="A1175">
        <v>1174</v>
      </c>
      <c r="B1175" s="40" t="s">
        <v>944</v>
      </c>
      <c r="C1175" s="40" t="s">
        <v>1442</v>
      </c>
      <c r="D1175">
        <v>10</v>
      </c>
      <c r="E1175">
        <v>104.416</v>
      </c>
      <c r="F1175">
        <v>251</v>
      </c>
      <c r="G1175">
        <v>129.51599999999999</v>
      </c>
      <c r="H1175">
        <v>1</v>
      </c>
      <c r="I1175">
        <v>1</v>
      </c>
    </row>
    <row r="1176" spans="1:9" x14ac:dyDescent="0.25">
      <c r="A1176">
        <v>1175</v>
      </c>
      <c r="B1176" s="40" t="s">
        <v>944</v>
      </c>
      <c r="C1176" s="40" t="s">
        <v>962</v>
      </c>
      <c r="D1176">
        <v>10</v>
      </c>
      <c r="E1176">
        <v>24.169599999999999</v>
      </c>
      <c r="F1176">
        <v>58.1</v>
      </c>
      <c r="G1176">
        <v>29.979600000000001</v>
      </c>
      <c r="H1176">
        <v>1</v>
      </c>
      <c r="I1176">
        <v>1</v>
      </c>
    </row>
    <row r="1177" spans="1:9" x14ac:dyDescent="0.25">
      <c r="A1177">
        <v>1176</v>
      </c>
      <c r="B1177" s="40" t="s">
        <v>944</v>
      </c>
      <c r="C1177" s="40" t="s">
        <v>963</v>
      </c>
      <c r="D1177">
        <v>10</v>
      </c>
      <c r="E1177">
        <v>37.814399999999999</v>
      </c>
      <c r="F1177">
        <v>90.9</v>
      </c>
      <c r="G1177">
        <v>46.904400000000003</v>
      </c>
      <c r="H1177">
        <v>1</v>
      </c>
      <c r="I1177">
        <v>1</v>
      </c>
    </row>
    <row r="1178" spans="1:9" x14ac:dyDescent="0.25">
      <c r="A1178">
        <v>1177</v>
      </c>
      <c r="B1178" s="40" t="s">
        <v>944</v>
      </c>
      <c r="C1178" s="40" t="s">
        <v>964</v>
      </c>
      <c r="D1178">
        <v>10</v>
      </c>
      <c r="E1178">
        <v>98.176000000000002</v>
      </c>
      <c r="F1178">
        <v>236</v>
      </c>
      <c r="G1178">
        <v>121.77600000000001</v>
      </c>
      <c r="H1178">
        <v>1</v>
      </c>
      <c r="I1178">
        <v>1</v>
      </c>
    </row>
    <row r="1179" spans="1:9" x14ac:dyDescent="0.25">
      <c r="A1179">
        <v>1178</v>
      </c>
      <c r="B1179" s="40" t="s">
        <v>944</v>
      </c>
      <c r="C1179" s="40" t="s">
        <v>965</v>
      </c>
      <c r="D1179">
        <v>10</v>
      </c>
      <c r="E1179">
        <v>174.304</v>
      </c>
      <c r="F1179">
        <v>419</v>
      </c>
      <c r="G1179">
        <v>216.20400000000001</v>
      </c>
      <c r="H1179">
        <v>1</v>
      </c>
      <c r="I1179">
        <v>1</v>
      </c>
    </row>
    <row r="1180" spans="1:9" x14ac:dyDescent="0.25">
      <c r="A1180">
        <v>1179</v>
      </c>
      <c r="B1180" s="40" t="s">
        <v>944</v>
      </c>
      <c r="C1180" s="40" t="s">
        <v>1443</v>
      </c>
      <c r="D1180">
        <v>10</v>
      </c>
      <c r="E1180">
        <v>65.311999999999998</v>
      </c>
      <c r="F1180">
        <v>157</v>
      </c>
      <c r="G1180">
        <v>81.012</v>
      </c>
      <c r="H1180">
        <v>1</v>
      </c>
      <c r="I1180">
        <v>1</v>
      </c>
    </row>
    <row r="1181" spans="1:9" x14ac:dyDescent="0.25">
      <c r="A1181">
        <v>1180</v>
      </c>
      <c r="B1181" s="40" t="s">
        <v>944</v>
      </c>
      <c r="C1181" s="40" t="s">
        <v>1857</v>
      </c>
      <c r="D1181">
        <v>10</v>
      </c>
      <c r="E1181">
        <v>63.647999999999996</v>
      </c>
      <c r="F1181">
        <v>153</v>
      </c>
      <c r="G1181">
        <v>78.948000000000008</v>
      </c>
      <c r="H1181">
        <v>1</v>
      </c>
      <c r="I1181">
        <v>1</v>
      </c>
    </row>
    <row r="1182" spans="1:9" x14ac:dyDescent="0.25">
      <c r="A1182">
        <v>1181</v>
      </c>
      <c r="B1182" s="40" t="s">
        <v>944</v>
      </c>
      <c r="C1182" s="40" t="s">
        <v>966</v>
      </c>
      <c r="D1182">
        <v>10</v>
      </c>
      <c r="E1182">
        <v>235.87199999999999</v>
      </c>
      <c r="F1182">
        <v>567</v>
      </c>
      <c r="G1182">
        <v>292.572</v>
      </c>
      <c r="H1182">
        <v>1</v>
      </c>
      <c r="I1182">
        <v>1</v>
      </c>
    </row>
    <row r="1183" spans="1:9" x14ac:dyDescent="0.25">
      <c r="A1183">
        <v>1182</v>
      </c>
      <c r="B1183" s="40" t="s">
        <v>944</v>
      </c>
      <c r="C1183" s="40" t="s">
        <v>967</v>
      </c>
      <c r="D1183">
        <v>10</v>
      </c>
      <c r="E1183">
        <v>379.392</v>
      </c>
      <c r="F1183">
        <v>912</v>
      </c>
      <c r="G1183">
        <v>470.59199999999998</v>
      </c>
      <c r="H1183">
        <v>1</v>
      </c>
      <c r="I1183">
        <v>1</v>
      </c>
    </row>
    <row r="1184" spans="1:9" x14ac:dyDescent="0.25">
      <c r="A1184">
        <v>1183</v>
      </c>
      <c r="B1184" s="40" t="s">
        <v>968</v>
      </c>
      <c r="C1184" s="40" t="s">
        <v>969</v>
      </c>
      <c r="D1184">
        <v>10</v>
      </c>
      <c r="E1184">
        <v>109</v>
      </c>
      <c r="F1184">
        <v>218</v>
      </c>
      <c r="G1184">
        <v>130.79999999999998</v>
      </c>
      <c r="H1184">
        <v>1</v>
      </c>
      <c r="I1184">
        <v>1</v>
      </c>
    </row>
    <row r="1185" spans="1:9" x14ac:dyDescent="0.25">
      <c r="A1185">
        <v>1184</v>
      </c>
      <c r="B1185" s="40" t="s">
        <v>968</v>
      </c>
      <c r="C1185" s="40" t="s">
        <v>970</v>
      </c>
      <c r="D1185">
        <v>10</v>
      </c>
      <c r="E1185">
        <v>180</v>
      </c>
      <c r="F1185">
        <v>360</v>
      </c>
      <c r="G1185">
        <v>216</v>
      </c>
      <c r="H1185">
        <v>1</v>
      </c>
      <c r="I1185">
        <v>1</v>
      </c>
    </row>
    <row r="1186" spans="1:9" x14ac:dyDescent="0.25">
      <c r="A1186">
        <v>1185</v>
      </c>
      <c r="B1186" s="40" t="s">
        <v>968</v>
      </c>
      <c r="C1186" s="40" t="s">
        <v>971</v>
      </c>
      <c r="D1186">
        <v>10</v>
      </c>
      <c r="E1186">
        <v>16.600000000000001</v>
      </c>
      <c r="F1186">
        <v>33.200000000000003</v>
      </c>
      <c r="G1186">
        <v>19.920000000000002</v>
      </c>
      <c r="H1186">
        <v>1</v>
      </c>
      <c r="I1186">
        <v>1</v>
      </c>
    </row>
    <row r="1187" spans="1:9" x14ac:dyDescent="0.25">
      <c r="A1187">
        <v>1186</v>
      </c>
      <c r="B1187" s="40" t="s">
        <v>968</v>
      </c>
      <c r="C1187" s="40" t="s">
        <v>1391</v>
      </c>
      <c r="D1187">
        <v>10</v>
      </c>
      <c r="E1187">
        <v>150</v>
      </c>
      <c r="F1187">
        <v>300</v>
      </c>
      <c r="G1187">
        <v>180</v>
      </c>
      <c r="H1187">
        <v>1</v>
      </c>
      <c r="I1187">
        <v>1</v>
      </c>
    </row>
    <row r="1188" spans="1:9" x14ac:dyDescent="0.25">
      <c r="A1188">
        <v>1187</v>
      </c>
      <c r="B1188" s="40" t="s">
        <v>968</v>
      </c>
      <c r="C1188" s="40" t="s">
        <v>972</v>
      </c>
      <c r="D1188">
        <v>10</v>
      </c>
      <c r="E1188">
        <v>165</v>
      </c>
      <c r="F1188">
        <v>330</v>
      </c>
      <c r="G1188">
        <v>198</v>
      </c>
      <c r="H1188">
        <v>1</v>
      </c>
      <c r="I1188">
        <v>1</v>
      </c>
    </row>
    <row r="1189" spans="1:9" x14ac:dyDescent="0.25">
      <c r="A1189">
        <v>1188</v>
      </c>
      <c r="B1189" s="40" t="s">
        <v>968</v>
      </c>
      <c r="C1189" s="40" t="s">
        <v>973</v>
      </c>
      <c r="D1189">
        <v>10</v>
      </c>
      <c r="E1189">
        <v>95</v>
      </c>
      <c r="F1189">
        <v>190</v>
      </c>
      <c r="G1189">
        <v>114</v>
      </c>
      <c r="H1189">
        <v>1</v>
      </c>
      <c r="I1189">
        <v>1</v>
      </c>
    </row>
    <row r="1190" spans="1:9" x14ac:dyDescent="0.25">
      <c r="A1190">
        <v>1189</v>
      </c>
      <c r="B1190" s="40" t="s">
        <v>968</v>
      </c>
      <c r="C1190" s="40" t="s">
        <v>974</v>
      </c>
      <c r="D1190">
        <v>10</v>
      </c>
      <c r="E1190">
        <v>300</v>
      </c>
      <c r="F1190">
        <v>600</v>
      </c>
      <c r="G1190">
        <v>360</v>
      </c>
      <c r="H1190">
        <v>1</v>
      </c>
      <c r="I1190">
        <v>1</v>
      </c>
    </row>
    <row r="1191" spans="1:9" x14ac:dyDescent="0.25">
      <c r="A1191">
        <v>1190</v>
      </c>
      <c r="B1191" s="40" t="s">
        <v>968</v>
      </c>
      <c r="C1191" s="40" t="s">
        <v>975</v>
      </c>
      <c r="D1191">
        <v>10</v>
      </c>
      <c r="E1191">
        <v>32</v>
      </c>
      <c r="F1191">
        <v>64</v>
      </c>
      <c r="G1191">
        <v>38.4</v>
      </c>
      <c r="H1191">
        <v>1</v>
      </c>
      <c r="I1191">
        <v>1</v>
      </c>
    </row>
    <row r="1192" spans="1:9" x14ac:dyDescent="0.25">
      <c r="A1192">
        <v>1191</v>
      </c>
      <c r="B1192" s="40" t="s">
        <v>968</v>
      </c>
      <c r="C1192" s="40" t="s">
        <v>976</v>
      </c>
      <c r="D1192">
        <v>10</v>
      </c>
      <c r="E1192">
        <v>165</v>
      </c>
      <c r="F1192">
        <v>330</v>
      </c>
      <c r="G1192">
        <v>198</v>
      </c>
      <c r="H1192">
        <v>1</v>
      </c>
      <c r="I1192">
        <v>1</v>
      </c>
    </row>
    <row r="1193" spans="1:9" x14ac:dyDescent="0.25">
      <c r="A1193">
        <v>1192</v>
      </c>
      <c r="B1193" s="40" t="s">
        <v>968</v>
      </c>
      <c r="C1193" s="40" t="s">
        <v>977</v>
      </c>
      <c r="D1193">
        <v>10</v>
      </c>
      <c r="E1193">
        <v>90</v>
      </c>
      <c r="F1193">
        <v>180</v>
      </c>
      <c r="G1193">
        <v>108</v>
      </c>
      <c r="H1193">
        <v>1</v>
      </c>
      <c r="I1193">
        <v>1</v>
      </c>
    </row>
    <row r="1194" spans="1:9" x14ac:dyDescent="0.25">
      <c r="A1194">
        <v>1193</v>
      </c>
      <c r="B1194" s="40" t="s">
        <v>968</v>
      </c>
      <c r="C1194" s="40" t="s">
        <v>1858</v>
      </c>
      <c r="D1194">
        <v>10</v>
      </c>
      <c r="E1194">
        <v>750</v>
      </c>
      <c r="F1194">
        <v>1500</v>
      </c>
      <c r="G1194">
        <v>900</v>
      </c>
      <c r="H1194">
        <v>1</v>
      </c>
      <c r="I1194">
        <v>1</v>
      </c>
    </row>
    <row r="1195" spans="1:9" x14ac:dyDescent="0.25">
      <c r="A1195">
        <v>1194</v>
      </c>
      <c r="B1195" s="40" t="s">
        <v>968</v>
      </c>
      <c r="C1195" s="40" t="s">
        <v>1859</v>
      </c>
      <c r="D1195">
        <v>10</v>
      </c>
      <c r="E1195">
        <v>1375</v>
      </c>
      <c r="F1195">
        <v>2750</v>
      </c>
      <c r="G1195">
        <v>1650</v>
      </c>
      <c r="H1195">
        <v>1</v>
      </c>
      <c r="I1195">
        <v>1</v>
      </c>
    </row>
    <row r="1196" spans="1:9" x14ac:dyDescent="0.25">
      <c r="A1196">
        <v>1195</v>
      </c>
      <c r="B1196" s="40" t="s">
        <v>968</v>
      </c>
      <c r="C1196" s="40" t="s">
        <v>978</v>
      </c>
      <c r="D1196">
        <v>10</v>
      </c>
      <c r="E1196">
        <v>20.6</v>
      </c>
      <c r="F1196">
        <v>41.2</v>
      </c>
      <c r="G1196">
        <v>24.720000000000002</v>
      </c>
      <c r="H1196">
        <v>1</v>
      </c>
      <c r="I1196">
        <v>1</v>
      </c>
    </row>
    <row r="1197" spans="1:9" x14ac:dyDescent="0.25">
      <c r="A1197">
        <v>1196</v>
      </c>
      <c r="B1197" s="40" t="s">
        <v>968</v>
      </c>
      <c r="C1197" s="40" t="s">
        <v>979</v>
      </c>
      <c r="D1197">
        <v>10</v>
      </c>
      <c r="E1197">
        <v>310</v>
      </c>
      <c r="F1197">
        <v>620</v>
      </c>
      <c r="G1197">
        <v>372</v>
      </c>
      <c r="H1197">
        <v>1</v>
      </c>
      <c r="I1197">
        <v>1</v>
      </c>
    </row>
    <row r="1198" spans="1:9" x14ac:dyDescent="0.25">
      <c r="A1198">
        <v>1197</v>
      </c>
      <c r="B1198" s="40" t="s">
        <v>968</v>
      </c>
      <c r="C1198" s="40" t="s">
        <v>980</v>
      </c>
      <c r="D1198">
        <v>10</v>
      </c>
      <c r="E1198">
        <v>170</v>
      </c>
      <c r="F1198">
        <v>340</v>
      </c>
      <c r="G1198">
        <v>204</v>
      </c>
      <c r="H1198">
        <v>1</v>
      </c>
      <c r="I1198">
        <v>1</v>
      </c>
    </row>
    <row r="1199" spans="1:9" x14ac:dyDescent="0.25">
      <c r="A1199">
        <v>1198</v>
      </c>
      <c r="B1199" s="40" t="s">
        <v>968</v>
      </c>
      <c r="C1199" s="40" t="s">
        <v>981</v>
      </c>
      <c r="D1199">
        <v>10</v>
      </c>
      <c r="E1199">
        <v>160</v>
      </c>
      <c r="F1199">
        <v>320</v>
      </c>
      <c r="G1199">
        <v>192</v>
      </c>
      <c r="H1199">
        <v>1</v>
      </c>
      <c r="I1199">
        <v>1</v>
      </c>
    </row>
    <row r="1200" spans="1:9" x14ac:dyDescent="0.25">
      <c r="A1200">
        <v>1199</v>
      </c>
      <c r="B1200" s="40" t="s">
        <v>968</v>
      </c>
      <c r="C1200" s="40" t="s">
        <v>982</v>
      </c>
      <c r="D1200">
        <v>10</v>
      </c>
      <c r="E1200">
        <v>86</v>
      </c>
      <c r="F1200">
        <v>172</v>
      </c>
      <c r="G1200">
        <v>103.2</v>
      </c>
      <c r="H1200">
        <v>1</v>
      </c>
      <c r="I1200">
        <v>1</v>
      </c>
    </row>
    <row r="1201" spans="1:9" x14ac:dyDescent="0.25">
      <c r="A1201">
        <v>1200</v>
      </c>
      <c r="B1201" s="40" t="s">
        <v>968</v>
      </c>
      <c r="C1201" s="40" t="s">
        <v>983</v>
      </c>
      <c r="D1201">
        <v>10</v>
      </c>
      <c r="E1201">
        <v>75</v>
      </c>
      <c r="F1201">
        <v>150</v>
      </c>
      <c r="G1201">
        <v>90</v>
      </c>
      <c r="H1201">
        <v>1</v>
      </c>
      <c r="I1201">
        <v>1</v>
      </c>
    </row>
    <row r="1202" spans="1:9" x14ac:dyDescent="0.25">
      <c r="A1202">
        <v>1201</v>
      </c>
      <c r="B1202" s="40" t="s">
        <v>968</v>
      </c>
      <c r="C1202" s="40" t="s">
        <v>984</v>
      </c>
      <c r="D1202">
        <v>10</v>
      </c>
      <c r="E1202">
        <v>130</v>
      </c>
      <c r="F1202">
        <v>260</v>
      </c>
      <c r="G1202">
        <v>156</v>
      </c>
      <c r="H1202">
        <v>1</v>
      </c>
      <c r="I1202">
        <v>1</v>
      </c>
    </row>
    <row r="1203" spans="1:9" x14ac:dyDescent="0.25">
      <c r="A1203">
        <v>1202</v>
      </c>
      <c r="B1203" s="40" t="s">
        <v>968</v>
      </c>
      <c r="C1203" s="40" t="s">
        <v>985</v>
      </c>
      <c r="D1203">
        <v>10</v>
      </c>
      <c r="E1203">
        <v>70.5</v>
      </c>
      <c r="F1203">
        <v>141</v>
      </c>
      <c r="G1203">
        <v>84.6</v>
      </c>
      <c r="H1203">
        <v>1</v>
      </c>
      <c r="I1203">
        <v>1</v>
      </c>
    </row>
    <row r="1204" spans="1:9" x14ac:dyDescent="0.25">
      <c r="A1204">
        <v>1203</v>
      </c>
      <c r="B1204" s="40" t="s">
        <v>968</v>
      </c>
      <c r="C1204" s="40" t="s">
        <v>986</v>
      </c>
      <c r="D1204">
        <v>10</v>
      </c>
      <c r="E1204">
        <v>115</v>
      </c>
      <c r="F1204">
        <v>230</v>
      </c>
      <c r="G1204">
        <v>138</v>
      </c>
      <c r="H1204">
        <v>1</v>
      </c>
      <c r="I1204">
        <v>1</v>
      </c>
    </row>
    <row r="1205" spans="1:9" x14ac:dyDescent="0.25">
      <c r="A1205">
        <v>1204</v>
      </c>
      <c r="B1205" s="40" t="s">
        <v>968</v>
      </c>
      <c r="C1205" s="40" t="s">
        <v>987</v>
      </c>
      <c r="D1205">
        <v>10</v>
      </c>
      <c r="E1205">
        <v>205</v>
      </c>
      <c r="F1205">
        <v>410</v>
      </c>
      <c r="G1205">
        <v>246</v>
      </c>
      <c r="H1205">
        <v>1</v>
      </c>
      <c r="I1205">
        <v>1</v>
      </c>
    </row>
    <row r="1206" spans="1:9" x14ac:dyDescent="0.25">
      <c r="A1206">
        <v>1205</v>
      </c>
      <c r="B1206" s="40" t="s">
        <v>968</v>
      </c>
      <c r="C1206" s="40" t="s">
        <v>988</v>
      </c>
      <c r="D1206">
        <v>10</v>
      </c>
      <c r="E1206">
        <v>64</v>
      </c>
      <c r="F1206">
        <v>128</v>
      </c>
      <c r="G1206">
        <v>76.8</v>
      </c>
      <c r="H1206">
        <v>1</v>
      </c>
      <c r="I1206">
        <v>1</v>
      </c>
    </row>
    <row r="1207" spans="1:9" x14ac:dyDescent="0.25">
      <c r="A1207">
        <v>1206</v>
      </c>
      <c r="B1207" s="40" t="s">
        <v>968</v>
      </c>
      <c r="C1207" s="40" t="s">
        <v>989</v>
      </c>
      <c r="D1207">
        <v>10</v>
      </c>
      <c r="E1207">
        <v>322.5</v>
      </c>
      <c r="F1207">
        <v>645</v>
      </c>
      <c r="G1207">
        <v>387</v>
      </c>
      <c r="H1207">
        <v>1</v>
      </c>
      <c r="I1207">
        <v>1</v>
      </c>
    </row>
    <row r="1208" spans="1:9" x14ac:dyDescent="0.25">
      <c r="A1208">
        <v>1207</v>
      </c>
      <c r="B1208" s="40" t="s">
        <v>968</v>
      </c>
      <c r="C1208" s="40" t="s">
        <v>990</v>
      </c>
      <c r="D1208">
        <v>10</v>
      </c>
      <c r="E1208">
        <v>175</v>
      </c>
      <c r="F1208">
        <v>350</v>
      </c>
      <c r="G1208">
        <v>210</v>
      </c>
      <c r="H1208">
        <v>1</v>
      </c>
      <c r="I1208">
        <v>1</v>
      </c>
    </row>
    <row r="1209" spans="1:9" x14ac:dyDescent="0.25">
      <c r="A1209">
        <v>1208</v>
      </c>
      <c r="B1209" s="40" t="s">
        <v>968</v>
      </c>
      <c r="C1209" s="40" t="s">
        <v>991</v>
      </c>
      <c r="D1209">
        <v>10</v>
      </c>
      <c r="E1209">
        <v>157.5</v>
      </c>
      <c r="F1209">
        <v>315</v>
      </c>
      <c r="G1209">
        <v>189</v>
      </c>
      <c r="H1209">
        <v>1</v>
      </c>
      <c r="I1209">
        <v>1</v>
      </c>
    </row>
    <row r="1210" spans="1:9" x14ac:dyDescent="0.25">
      <c r="A1210">
        <v>1209</v>
      </c>
      <c r="B1210" s="40" t="s">
        <v>968</v>
      </c>
      <c r="C1210" s="40" t="s">
        <v>992</v>
      </c>
      <c r="D1210">
        <v>10</v>
      </c>
      <c r="E1210">
        <v>90</v>
      </c>
      <c r="F1210">
        <v>180</v>
      </c>
      <c r="G1210">
        <v>108</v>
      </c>
      <c r="H1210">
        <v>1</v>
      </c>
      <c r="I1210">
        <v>1</v>
      </c>
    </row>
    <row r="1211" spans="1:9" x14ac:dyDescent="0.25">
      <c r="A1211">
        <v>1210</v>
      </c>
      <c r="B1211" s="40" t="s">
        <v>968</v>
      </c>
      <c r="C1211" s="40" t="s">
        <v>993</v>
      </c>
      <c r="D1211">
        <v>10</v>
      </c>
      <c r="E1211">
        <v>25</v>
      </c>
      <c r="F1211">
        <v>50</v>
      </c>
      <c r="G1211">
        <v>30</v>
      </c>
      <c r="H1211">
        <v>1</v>
      </c>
      <c r="I1211">
        <v>1</v>
      </c>
    </row>
    <row r="1212" spans="1:9" x14ac:dyDescent="0.25">
      <c r="A1212">
        <v>1211</v>
      </c>
      <c r="B1212" s="40" t="s">
        <v>968</v>
      </c>
      <c r="C1212" s="40" t="s">
        <v>994</v>
      </c>
      <c r="D1212">
        <v>10</v>
      </c>
      <c r="E1212">
        <v>63.6</v>
      </c>
      <c r="F1212">
        <v>127.2</v>
      </c>
      <c r="G1212">
        <v>76.319999999999993</v>
      </c>
      <c r="H1212">
        <v>1</v>
      </c>
      <c r="I1212">
        <v>1</v>
      </c>
    </row>
    <row r="1213" spans="1:9" x14ac:dyDescent="0.25">
      <c r="A1213">
        <v>1212</v>
      </c>
      <c r="B1213" s="40" t="s">
        <v>995</v>
      </c>
      <c r="C1213" s="40" t="s">
        <v>996</v>
      </c>
      <c r="D1213">
        <v>10</v>
      </c>
      <c r="E1213">
        <v>166.05</v>
      </c>
      <c r="F1213">
        <v>369</v>
      </c>
      <c r="G1213">
        <v>202.95000000000002</v>
      </c>
      <c r="H1213">
        <v>1</v>
      </c>
      <c r="I1213">
        <v>1</v>
      </c>
    </row>
    <row r="1214" spans="1:9" x14ac:dyDescent="0.25">
      <c r="A1214">
        <v>1213</v>
      </c>
      <c r="B1214" s="40" t="s">
        <v>995</v>
      </c>
      <c r="C1214" s="40" t="s">
        <v>1847</v>
      </c>
      <c r="D1214">
        <v>10</v>
      </c>
      <c r="E1214">
        <v>831.24</v>
      </c>
      <c r="F1214">
        <v>2309</v>
      </c>
      <c r="G1214">
        <v>1062.1399999999999</v>
      </c>
      <c r="H1214">
        <v>1</v>
      </c>
      <c r="I1214">
        <v>1</v>
      </c>
    </row>
    <row r="1215" spans="1:9" x14ac:dyDescent="0.25">
      <c r="A1215">
        <v>1214</v>
      </c>
      <c r="B1215" s="40" t="s">
        <v>995</v>
      </c>
      <c r="C1215" s="40" t="s">
        <v>1423</v>
      </c>
      <c r="D1215">
        <v>10</v>
      </c>
      <c r="E1215">
        <v>215.6</v>
      </c>
      <c r="F1215">
        <v>440</v>
      </c>
      <c r="G1215">
        <v>259.59999999999997</v>
      </c>
      <c r="H1215">
        <v>1</v>
      </c>
      <c r="I1215">
        <v>1</v>
      </c>
    </row>
    <row r="1216" spans="1:9" x14ac:dyDescent="0.25">
      <c r="A1216">
        <v>1215</v>
      </c>
      <c r="B1216" s="40" t="s">
        <v>995</v>
      </c>
      <c r="C1216" s="40" t="s">
        <v>1424</v>
      </c>
      <c r="D1216">
        <v>10</v>
      </c>
      <c r="E1216">
        <v>1278.8999999999999</v>
      </c>
      <c r="F1216">
        <v>2610</v>
      </c>
      <c r="G1216">
        <v>1539.8999999999999</v>
      </c>
      <c r="H1216">
        <v>1</v>
      </c>
      <c r="I1216">
        <v>1</v>
      </c>
    </row>
    <row r="1217" spans="1:9" x14ac:dyDescent="0.25">
      <c r="A1217">
        <v>1216</v>
      </c>
      <c r="B1217" s="40" t="s">
        <v>995</v>
      </c>
      <c r="C1217" s="40" t="s">
        <v>1006</v>
      </c>
      <c r="D1217">
        <v>10</v>
      </c>
      <c r="E1217">
        <v>205.38</v>
      </c>
      <c r="F1217">
        <v>489</v>
      </c>
      <c r="G1217">
        <v>254.28</v>
      </c>
      <c r="H1217">
        <v>1</v>
      </c>
      <c r="I1217">
        <v>1</v>
      </c>
    </row>
    <row r="1218" spans="1:9" x14ac:dyDescent="0.25">
      <c r="A1218">
        <v>1217</v>
      </c>
      <c r="B1218" s="40" t="s">
        <v>995</v>
      </c>
      <c r="C1218" s="40" t="s">
        <v>1007</v>
      </c>
      <c r="D1218">
        <v>10</v>
      </c>
      <c r="E1218">
        <v>156.47999999999999</v>
      </c>
      <c r="F1218">
        <v>489</v>
      </c>
      <c r="G1218">
        <v>205.38000000000002</v>
      </c>
      <c r="H1218">
        <v>1</v>
      </c>
      <c r="I1218">
        <v>1</v>
      </c>
    </row>
    <row r="1219" spans="1:9" x14ac:dyDescent="0.25">
      <c r="A1219">
        <v>1218</v>
      </c>
      <c r="B1219" s="40" t="s">
        <v>995</v>
      </c>
      <c r="C1219" s="40" t="s">
        <v>1638</v>
      </c>
      <c r="D1219">
        <v>10</v>
      </c>
      <c r="E1219">
        <v>612.125</v>
      </c>
      <c r="F1219">
        <v>1475</v>
      </c>
      <c r="G1219">
        <v>759.625</v>
      </c>
      <c r="H1219">
        <v>1</v>
      </c>
      <c r="I1219">
        <v>1</v>
      </c>
    </row>
    <row r="1220" spans="1:9" x14ac:dyDescent="0.25">
      <c r="A1220">
        <v>1219</v>
      </c>
      <c r="B1220" s="40" t="s">
        <v>995</v>
      </c>
      <c r="C1220" s="40" t="s">
        <v>998</v>
      </c>
      <c r="D1220">
        <v>10</v>
      </c>
      <c r="E1220">
        <v>213.75</v>
      </c>
      <c r="F1220">
        <v>475</v>
      </c>
      <c r="G1220">
        <v>261.25</v>
      </c>
      <c r="H1220">
        <v>1</v>
      </c>
      <c r="I1220">
        <v>1</v>
      </c>
    </row>
    <row r="1221" spans="1:9" x14ac:dyDescent="0.25">
      <c r="A1221">
        <v>1220</v>
      </c>
      <c r="B1221" s="40" t="s">
        <v>995</v>
      </c>
      <c r="C1221" s="40" t="s">
        <v>997</v>
      </c>
      <c r="D1221">
        <v>10</v>
      </c>
      <c r="E1221">
        <v>130.05000000000001</v>
      </c>
      <c r="F1221">
        <v>289</v>
      </c>
      <c r="G1221">
        <v>158.95000000000002</v>
      </c>
      <c r="H1221">
        <v>1</v>
      </c>
      <c r="I1221">
        <v>1</v>
      </c>
    </row>
    <row r="1222" spans="1:9" x14ac:dyDescent="0.25">
      <c r="A1222">
        <v>1221</v>
      </c>
      <c r="B1222" s="40" t="s">
        <v>995</v>
      </c>
      <c r="C1222" s="40" t="s">
        <v>1003</v>
      </c>
      <c r="D1222">
        <v>10</v>
      </c>
      <c r="E1222">
        <v>199.8</v>
      </c>
      <c r="F1222">
        <v>450</v>
      </c>
      <c r="G1222">
        <v>244.8</v>
      </c>
      <c r="H1222">
        <v>1</v>
      </c>
      <c r="I1222">
        <v>1</v>
      </c>
    </row>
    <row r="1223" spans="1:9" x14ac:dyDescent="0.25">
      <c r="A1223">
        <v>1222</v>
      </c>
      <c r="B1223" s="40" t="s">
        <v>995</v>
      </c>
      <c r="C1223" s="40" t="s">
        <v>1419</v>
      </c>
      <c r="D1223">
        <v>10</v>
      </c>
      <c r="E1223">
        <v>232.4</v>
      </c>
      <c r="F1223">
        <v>581</v>
      </c>
      <c r="G1223">
        <v>290.5</v>
      </c>
      <c r="H1223">
        <v>1</v>
      </c>
      <c r="I1223">
        <v>1</v>
      </c>
    </row>
    <row r="1224" spans="1:9" x14ac:dyDescent="0.25">
      <c r="A1224">
        <v>1223</v>
      </c>
      <c r="B1224" s="40" t="s">
        <v>995</v>
      </c>
      <c r="C1224" s="40" t="s">
        <v>1853</v>
      </c>
      <c r="D1224">
        <v>10</v>
      </c>
      <c r="E1224">
        <v>53.11</v>
      </c>
      <c r="F1224">
        <v>113</v>
      </c>
      <c r="G1224">
        <v>64.41</v>
      </c>
      <c r="H1224">
        <v>1</v>
      </c>
      <c r="I1224">
        <v>1</v>
      </c>
    </row>
    <row r="1225" spans="1:9" x14ac:dyDescent="0.25">
      <c r="A1225">
        <v>1224</v>
      </c>
      <c r="B1225" s="40" t="s">
        <v>995</v>
      </c>
      <c r="C1225" s="40" t="s">
        <v>1428</v>
      </c>
      <c r="D1225">
        <v>10</v>
      </c>
      <c r="E1225">
        <v>140.80000000000001</v>
      </c>
      <c r="F1225">
        <v>320</v>
      </c>
      <c r="G1225">
        <v>172.8</v>
      </c>
      <c r="H1225">
        <v>1</v>
      </c>
      <c r="I1225">
        <v>1</v>
      </c>
    </row>
    <row r="1226" spans="1:9" x14ac:dyDescent="0.25">
      <c r="A1226">
        <v>1225</v>
      </c>
      <c r="B1226" s="40" t="s">
        <v>995</v>
      </c>
      <c r="C1226" s="40" t="s">
        <v>1425</v>
      </c>
      <c r="D1226">
        <v>10</v>
      </c>
      <c r="E1226">
        <v>449.5</v>
      </c>
      <c r="F1226">
        <v>899</v>
      </c>
      <c r="G1226">
        <v>539.4</v>
      </c>
      <c r="H1226">
        <v>1</v>
      </c>
      <c r="I1226">
        <v>1</v>
      </c>
    </row>
    <row r="1227" spans="1:9" x14ac:dyDescent="0.25">
      <c r="A1227">
        <v>1226</v>
      </c>
      <c r="B1227" s="40" t="s">
        <v>995</v>
      </c>
      <c r="C1227" s="40" t="s">
        <v>1005</v>
      </c>
      <c r="D1227">
        <v>10</v>
      </c>
      <c r="E1227">
        <v>247.79999999999998</v>
      </c>
      <c r="F1227">
        <v>590</v>
      </c>
      <c r="G1227">
        <v>306.8</v>
      </c>
      <c r="H1227">
        <v>1</v>
      </c>
      <c r="I1227">
        <v>1</v>
      </c>
    </row>
    <row r="1228" spans="1:9" x14ac:dyDescent="0.25">
      <c r="A1228">
        <v>1227</v>
      </c>
      <c r="B1228" s="40" t="s">
        <v>995</v>
      </c>
      <c r="C1228" s="40" t="s">
        <v>1639</v>
      </c>
      <c r="D1228">
        <v>10</v>
      </c>
      <c r="E1228">
        <v>573.58999999999992</v>
      </c>
      <c r="F1228">
        <v>1399</v>
      </c>
      <c r="G1228">
        <v>713.49</v>
      </c>
      <c r="H1228">
        <v>1</v>
      </c>
      <c r="I1228">
        <v>1</v>
      </c>
    </row>
    <row r="1229" spans="1:9" x14ac:dyDescent="0.25">
      <c r="A1229">
        <v>1228</v>
      </c>
      <c r="B1229" s="40" t="s">
        <v>995</v>
      </c>
      <c r="C1229" s="40" t="s">
        <v>1008</v>
      </c>
      <c r="D1229">
        <v>10</v>
      </c>
      <c r="E1229">
        <v>197.55</v>
      </c>
      <c r="F1229">
        <v>439</v>
      </c>
      <c r="G1229">
        <v>241.45000000000002</v>
      </c>
      <c r="H1229">
        <v>1</v>
      </c>
      <c r="I1229">
        <v>1</v>
      </c>
    </row>
    <row r="1230" spans="1:9" x14ac:dyDescent="0.25">
      <c r="A1230">
        <v>1229</v>
      </c>
      <c r="B1230" s="40" t="s">
        <v>995</v>
      </c>
      <c r="C1230" s="40" t="s">
        <v>1012</v>
      </c>
      <c r="D1230">
        <v>10</v>
      </c>
      <c r="E1230">
        <v>0.5</v>
      </c>
      <c r="F1230">
        <v>1</v>
      </c>
      <c r="G1230">
        <v>0.6</v>
      </c>
      <c r="H1230">
        <v>1</v>
      </c>
      <c r="I1230">
        <v>1</v>
      </c>
    </row>
    <row r="1231" spans="1:9" x14ac:dyDescent="0.25">
      <c r="A1231">
        <v>1230</v>
      </c>
      <c r="B1231" s="40" t="s">
        <v>995</v>
      </c>
      <c r="C1231" s="40" t="s">
        <v>1849</v>
      </c>
      <c r="D1231">
        <v>10</v>
      </c>
      <c r="E1231">
        <v>407.4</v>
      </c>
      <c r="F1231">
        <v>970</v>
      </c>
      <c r="G1231">
        <v>504.40000000000003</v>
      </c>
      <c r="H1231">
        <v>1</v>
      </c>
      <c r="I1231">
        <v>1</v>
      </c>
    </row>
    <row r="1232" spans="1:9" x14ac:dyDescent="0.25">
      <c r="A1232">
        <v>1231</v>
      </c>
      <c r="B1232" s="40" t="s">
        <v>995</v>
      </c>
      <c r="C1232" s="40" t="s">
        <v>1848</v>
      </c>
      <c r="D1232">
        <v>10</v>
      </c>
      <c r="E1232">
        <v>133.97999999999999</v>
      </c>
      <c r="F1232">
        <v>319</v>
      </c>
      <c r="G1232">
        <v>165.88</v>
      </c>
      <c r="H1232">
        <v>1</v>
      </c>
      <c r="I1232">
        <v>1</v>
      </c>
    </row>
    <row r="1233" spans="1:9" x14ac:dyDescent="0.25">
      <c r="A1233">
        <v>1232</v>
      </c>
      <c r="B1233" s="40" t="s">
        <v>995</v>
      </c>
      <c r="C1233" s="40" t="s">
        <v>1009</v>
      </c>
      <c r="D1233">
        <v>10</v>
      </c>
      <c r="E1233">
        <v>243.9</v>
      </c>
      <c r="F1233">
        <v>542</v>
      </c>
      <c r="G1233">
        <v>298.10000000000002</v>
      </c>
      <c r="H1233">
        <v>1</v>
      </c>
      <c r="I1233">
        <v>1</v>
      </c>
    </row>
    <row r="1234" spans="1:9" x14ac:dyDescent="0.25">
      <c r="A1234">
        <v>1233</v>
      </c>
      <c r="B1234" s="40" t="s">
        <v>995</v>
      </c>
      <c r="C1234" s="40" t="s">
        <v>1851</v>
      </c>
      <c r="D1234">
        <v>10</v>
      </c>
      <c r="E1234">
        <v>110.88</v>
      </c>
      <c r="F1234">
        <v>264</v>
      </c>
      <c r="G1234">
        <v>137.28</v>
      </c>
      <c r="H1234">
        <v>1</v>
      </c>
      <c r="I1234">
        <v>1</v>
      </c>
    </row>
    <row r="1235" spans="1:9" x14ac:dyDescent="0.25">
      <c r="A1235">
        <v>1234</v>
      </c>
      <c r="B1235" s="40" t="s">
        <v>995</v>
      </c>
      <c r="C1235" s="40" t="s">
        <v>1420</v>
      </c>
      <c r="D1235">
        <v>10</v>
      </c>
      <c r="E1235">
        <v>94.5</v>
      </c>
      <c r="F1235">
        <v>225</v>
      </c>
      <c r="G1235">
        <v>117</v>
      </c>
      <c r="H1235">
        <v>1</v>
      </c>
      <c r="I1235">
        <v>1</v>
      </c>
    </row>
    <row r="1236" spans="1:9" x14ac:dyDescent="0.25">
      <c r="A1236">
        <v>1235</v>
      </c>
      <c r="B1236" s="40" t="s">
        <v>995</v>
      </c>
      <c r="C1236" s="40" t="s">
        <v>1852</v>
      </c>
      <c r="D1236">
        <v>10</v>
      </c>
      <c r="E1236">
        <v>110.88</v>
      </c>
      <c r="F1236">
        <v>264</v>
      </c>
      <c r="G1236">
        <v>137.28</v>
      </c>
      <c r="H1236">
        <v>1</v>
      </c>
      <c r="I1236">
        <v>1</v>
      </c>
    </row>
    <row r="1237" spans="1:9" x14ac:dyDescent="0.25">
      <c r="A1237">
        <v>1236</v>
      </c>
      <c r="B1237" s="40" t="s">
        <v>995</v>
      </c>
      <c r="C1237" s="40" t="s">
        <v>1000</v>
      </c>
      <c r="D1237">
        <v>10</v>
      </c>
      <c r="E1237">
        <v>111</v>
      </c>
      <c r="F1237">
        <v>222</v>
      </c>
      <c r="G1237">
        <v>133.19999999999999</v>
      </c>
      <c r="H1237">
        <v>1</v>
      </c>
      <c r="I1237">
        <v>1</v>
      </c>
    </row>
    <row r="1238" spans="1:9" x14ac:dyDescent="0.25">
      <c r="A1238">
        <v>1237</v>
      </c>
      <c r="B1238" s="40" t="s">
        <v>995</v>
      </c>
      <c r="C1238" s="40" t="s">
        <v>1010</v>
      </c>
      <c r="D1238">
        <v>10</v>
      </c>
      <c r="E1238">
        <v>145.35</v>
      </c>
      <c r="F1238">
        <v>323</v>
      </c>
      <c r="G1238">
        <v>177.65</v>
      </c>
      <c r="H1238">
        <v>1</v>
      </c>
      <c r="I1238">
        <v>1</v>
      </c>
    </row>
    <row r="1239" spans="1:9" x14ac:dyDescent="0.25">
      <c r="A1239">
        <v>1238</v>
      </c>
      <c r="B1239" s="46" t="s">
        <v>995</v>
      </c>
      <c r="C1239" s="46" t="s">
        <v>1850</v>
      </c>
      <c r="D1239">
        <v>10</v>
      </c>
      <c r="E1239">
        <v>267.53999999999996</v>
      </c>
      <c r="F1239">
        <v>637</v>
      </c>
      <c r="G1239">
        <v>331.24</v>
      </c>
      <c r="H1239">
        <v>1</v>
      </c>
      <c r="I1239">
        <v>1</v>
      </c>
    </row>
    <row r="1240" spans="1:9" x14ac:dyDescent="0.25">
      <c r="A1240">
        <v>1239</v>
      </c>
      <c r="B1240" s="46" t="s">
        <v>995</v>
      </c>
      <c r="C1240" s="46" t="s">
        <v>1427</v>
      </c>
      <c r="D1240">
        <v>10</v>
      </c>
      <c r="E1240">
        <v>270.84000000000003</v>
      </c>
      <c r="F1240">
        <v>610</v>
      </c>
      <c r="G1240">
        <v>331.84000000000003</v>
      </c>
      <c r="H1240">
        <v>1</v>
      </c>
      <c r="I1240">
        <v>1</v>
      </c>
    </row>
    <row r="1241" spans="1:9" x14ac:dyDescent="0.25">
      <c r="A1241">
        <v>1240</v>
      </c>
      <c r="B1241" s="46" t="s">
        <v>995</v>
      </c>
      <c r="C1241" s="46" t="s">
        <v>1421</v>
      </c>
      <c r="D1241">
        <v>10</v>
      </c>
      <c r="E1241">
        <v>141.75</v>
      </c>
      <c r="F1241">
        <v>315</v>
      </c>
      <c r="G1241">
        <v>173.25</v>
      </c>
      <c r="H1241">
        <v>1</v>
      </c>
      <c r="I1241">
        <v>1</v>
      </c>
    </row>
    <row r="1242" spans="1:9" x14ac:dyDescent="0.25">
      <c r="A1242">
        <v>1241</v>
      </c>
      <c r="B1242" s="46" t="s">
        <v>995</v>
      </c>
      <c r="C1242" s="46" t="s">
        <v>1640</v>
      </c>
      <c r="D1242">
        <v>10</v>
      </c>
      <c r="E1242">
        <v>116.85</v>
      </c>
      <c r="F1242">
        <v>285</v>
      </c>
      <c r="G1242">
        <v>145.35</v>
      </c>
      <c r="H1242">
        <v>1</v>
      </c>
      <c r="I1242">
        <v>1</v>
      </c>
    </row>
    <row r="1243" spans="1:9" x14ac:dyDescent="0.25">
      <c r="A1243">
        <v>1242</v>
      </c>
      <c r="B1243" s="46" t="s">
        <v>995</v>
      </c>
      <c r="C1243" s="46" t="s">
        <v>1642</v>
      </c>
      <c r="D1243">
        <v>10</v>
      </c>
      <c r="E1243">
        <v>541.38</v>
      </c>
      <c r="F1243">
        <v>1289</v>
      </c>
      <c r="G1243">
        <v>670.28</v>
      </c>
      <c r="H1243">
        <v>1</v>
      </c>
      <c r="I1243">
        <v>1</v>
      </c>
    </row>
    <row r="1244" spans="1:9" x14ac:dyDescent="0.25">
      <c r="A1244">
        <v>1243</v>
      </c>
      <c r="B1244" s="46" t="s">
        <v>995</v>
      </c>
      <c r="C1244" s="46" t="s">
        <v>1013</v>
      </c>
      <c r="D1244">
        <v>10</v>
      </c>
      <c r="E1244">
        <v>0.5</v>
      </c>
      <c r="F1244">
        <v>1</v>
      </c>
      <c r="G1244">
        <v>0.6</v>
      </c>
      <c r="H1244">
        <v>1</v>
      </c>
      <c r="I1244">
        <v>1</v>
      </c>
    </row>
    <row r="1245" spans="1:9" x14ac:dyDescent="0.25">
      <c r="A1245">
        <v>1244</v>
      </c>
      <c r="B1245" s="46" t="s">
        <v>995</v>
      </c>
      <c r="C1245" s="46" t="s">
        <v>1422</v>
      </c>
      <c r="D1245">
        <v>10</v>
      </c>
      <c r="E1245">
        <v>367.5</v>
      </c>
      <c r="F1245">
        <v>750</v>
      </c>
      <c r="G1245">
        <v>442.5</v>
      </c>
      <c r="H1245">
        <v>1</v>
      </c>
      <c r="I1245">
        <v>1</v>
      </c>
    </row>
    <row r="1246" spans="1:9" x14ac:dyDescent="0.25">
      <c r="A1246">
        <v>1245</v>
      </c>
      <c r="B1246" s="46" t="s">
        <v>995</v>
      </c>
      <c r="C1246" s="46" t="s">
        <v>999</v>
      </c>
      <c r="D1246">
        <v>10</v>
      </c>
      <c r="E1246">
        <v>0.5</v>
      </c>
      <c r="F1246">
        <v>1</v>
      </c>
      <c r="G1246">
        <v>0.6</v>
      </c>
      <c r="H1246">
        <v>1</v>
      </c>
      <c r="I1246">
        <v>1</v>
      </c>
    </row>
    <row r="1247" spans="1:9" x14ac:dyDescent="0.25">
      <c r="A1247">
        <v>1246</v>
      </c>
      <c r="B1247" s="46" t="s">
        <v>995</v>
      </c>
      <c r="C1247" s="46" t="s">
        <v>1426</v>
      </c>
      <c r="D1247">
        <v>10</v>
      </c>
      <c r="E1247">
        <v>205.97</v>
      </c>
      <c r="F1247">
        <v>479</v>
      </c>
      <c r="G1247">
        <v>253.87</v>
      </c>
      <c r="H1247">
        <v>1</v>
      </c>
      <c r="I1247">
        <v>1</v>
      </c>
    </row>
    <row r="1248" spans="1:9" x14ac:dyDescent="0.25">
      <c r="A1248">
        <v>1247</v>
      </c>
      <c r="B1248" s="46" t="s">
        <v>995</v>
      </c>
      <c r="C1248" s="46" t="s">
        <v>1001</v>
      </c>
      <c r="D1248">
        <v>10</v>
      </c>
      <c r="E1248">
        <v>0.5</v>
      </c>
      <c r="F1248">
        <v>1</v>
      </c>
      <c r="G1248">
        <v>0.6</v>
      </c>
      <c r="H1248">
        <v>1</v>
      </c>
      <c r="I1248">
        <v>1</v>
      </c>
    </row>
    <row r="1249" spans="1:9" x14ac:dyDescent="0.25">
      <c r="A1249">
        <v>1248</v>
      </c>
      <c r="B1249" s="46" t="s">
        <v>995</v>
      </c>
      <c r="C1249" s="46" t="s">
        <v>1641</v>
      </c>
      <c r="D1249">
        <v>10</v>
      </c>
      <c r="E1249">
        <v>121</v>
      </c>
      <c r="F1249">
        <v>275</v>
      </c>
      <c r="G1249">
        <v>148.5</v>
      </c>
      <c r="H1249">
        <v>1</v>
      </c>
      <c r="I1249">
        <v>1</v>
      </c>
    </row>
    <row r="1250" spans="1:9" x14ac:dyDescent="0.25">
      <c r="A1250">
        <v>1249</v>
      </c>
      <c r="B1250" s="46" t="s">
        <v>995</v>
      </c>
      <c r="C1250" s="46" t="s">
        <v>1002</v>
      </c>
      <c r="D1250">
        <v>10</v>
      </c>
      <c r="E1250">
        <v>0.5</v>
      </c>
      <c r="F1250">
        <v>1</v>
      </c>
      <c r="G1250">
        <v>0.6</v>
      </c>
      <c r="H1250">
        <v>1</v>
      </c>
      <c r="I1250">
        <v>1</v>
      </c>
    </row>
    <row r="1251" spans="1:9" x14ac:dyDescent="0.25">
      <c r="A1251">
        <v>1250</v>
      </c>
      <c r="B1251" s="46" t="s">
        <v>995</v>
      </c>
      <c r="C1251" s="46" t="s">
        <v>1011</v>
      </c>
      <c r="D1251">
        <v>10</v>
      </c>
      <c r="E1251">
        <v>0.5</v>
      </c>
      <c r="F1251">
        <v>1</v>
      </c>
      <c r="G1251">
        <v>0.6</v>
      </c>
      <c r="H1251">
        <v>1</v>
      </c>
      <c r="I1251">
        <v>1</v>
      </c>
    </row>
    <row r="1252" spans="1:9" x14ac:dyDescent="0.25">
      <c r="A1252">
        <v>1251</v>
      </c>
      <c r="B1252" s="46" t="s">
        <v>995</v>
      </c>
      <c r="C1252" s="46" t="s">
        <v>1004</v>
      </c>
      <c r="D1252">
        <v>10</v>
      </c>
      <c r="E1252">
        <v>232.26</v>
      </c>
      <c r="F1252">
        <v>553</v>
      </c>
      <c r="G1252">
        <v>287.56</v>
      </c>
      <c r="H1252">
        <v>1</v>
      </c>
      <c r="I1252">
        <v>1</v>
      </c>
    </row>
    <row r="1253" spans="1:9" x14ac:dyDescent="0.25">
      <c r="A1253">
        <v>1252</v>
      </c>
      <c r="B1253" s="40" t="s">
        <v>1014</v>
      </c>
      <c r="C1253" s="40" t="s">
        <v>1015</v>
      </c>
      <c r="D1253">
        <v>10</v>
      </c>
      <c r="E1253">
        <v>626.94000000000005</v>
      </c>
      <c r="F1253">
        <v>1161</v>
      </c>
      <c r="G1253">
        <v>743.04</v>
      </c>
      <c r="H1253">
        <v>1</v>
      </c>
      <c r="I1253">
        <v>1</v>
      </c>
    </row>
    <row r="1254" spans="1:9" x14ac:dyDescent="0.25">
      <c r="A1254">
        <v>1253</v>
      </c>
      <c r="B1254" s="40" t="s">
        <v>1014</v>
      </c>
      <c r="C1254" s="40" t="s">
        <v>1315</v>
      </c>
      <c r="D1254">
        <v>10</v>
      </c>
      <c r="E1254">
        <v>164.70000000000002</v>
      </c>
      <c r="F1254">
        <v>305</v>
      </c>
      <c r="G1254">
        <v>195.20000000000002</v>
      </c>
      <c r="H1254">
        <v>1</v>
      </c>
      <c r="I1254">
        <v>1</v>
      </c>
    </row>
    <row r="1255" spans="1:9" x14ac:dyDescent="0.25">
      <c r="A1255">
        <v>1254</v>
      </c>
      <c r="B1255" s="40" t="s">
        <v>1014</v>
      </c>
      <c r="C1255" s="40" t="s">
        <v>1031</v>
      </c>
      <c r="D1255">
        <v>10</v>
      </c>
      <c r="E1255">
        <v>226.26000000000002</v>
      </c>
      <c r="F1255">
        <v>419</v>
      </c>
      <c r="G1255">
        <v>268.16000000000003</v>
      </c>
      <c r="H1255">
        <v>1</v>
      </c>
      <c r="I1255">
        <v>1</v>
      </c>
    </row>
    <row r="1256" spans="1:9" x14ac:dyDescent="0.25">
      <c r="A1256">
        <v>1255</v>
      </c>
      <c r="B1256" s="40" t="s">
        <v>1014</v>
      </c>
      <c r="C1256" s="40" t="s">
        <v>1313</v>
      </c>
      <c r="D1256">
        <v>10</v>
      </c>
      <c r="E1256">
        <v>388.8</v>
      </c>
      <c r="F1256">
        <v>720</v>
      </c>
      <c r="G1256">
        <v>460.8</v>
      </c>
      <c r="H1256">
        <v>1</v>
      </c>
      <c r="I1256">
        <v>1</v>
      </c>
    </row>
    <row r="1257" spans="1:9" x14ac:dyDescent="0.25">
      <c r="A1257">
        <v>1256</v>
      </c>
      <c r="B1257" s="40" t="s">
        <v>1014</v>
      </c>
      <c r="C1257" s="40" t="s">
        <v>1314</v>
      </c>
      <c r="D1257">
        <v>10</v>
      </c>
      <c r="E1257">
        <v>442.8</v>
      </c>
      <c r="F1257">
        <v>820</v>
      </c>
      <c r="G1257">
        <v>524.79999999999995</v>
      </c>
      <c r="H1257">
        <v>1</v>
      </c>
      <c r="I1257">
        <v>1</v>
      </c>
    </row>
    <row r="1258" spans="1:9" x14ac:dyDescent="0.25">
      <c r="A1258">
        <v>1257</v>
      </c>
      <c r="B1258" s="40" t="s">
        <v>1014</v>
      </c>
      <c r="C1258" s="40" t="s">
        <v>1312</v>
      </c>
      <c r="D1258">
        <v>10</v>
      </c>
      <c r="E1258">
        <v>321.3</v>
      </c>
      <c r="F1258">
        <v>595</v>
      </c>
      <c r="G1258">
        <v>380.8</v>
      </c>
      <c r="H1258">
        <v>1</v>
      </c>
      <c r="I1258">
        <v>1</v>
      </c>
    </row>
    <row r="1259" spans="1:9" x14ac:dyDescent="0.25">
      <c r="A1259">
        <v>1258</v>
      </c>
      <c r="B1259" s="40" t="s">
        <v>1014</v>
      </c>
      <c r="C1259" s="40" t="s">
        <v>1311</v>
      </c>
      <c r="D1259">
        <v>10</v>
      </c>
      <c r="E1259">
        <v>367.20000000000005</v>
      </c>
      <c r="F1259">
        <v>680</v>
      </c>
      <c r="G1259">
        <v>435.2</v>
      </c>
      <c r="H1259">
        <v>1</v>
      </c>
      <c r="I1259">
        <v>1</v>
      </c>
    </row>
    <row r="1260" spans="1:9" x14ac:dyDescent="0.25">
      <c r="A1260">
        <v>1259</v>
      </c>
      <c r="B1260" s="40" t="s">
        <v>1014</v>
      </c>
      <c r="C1260" s="40" t="s">
        <v>1016</v>
      </c>
      <c r="D1260">
        <v>10</v>
      </c>
      <c r="E1260">
        <v>224.10000000000002</v>
      </c>
      <c r="F1260">
        <v>415</v>
      </c>
      <c r="G1260">
        <v>265.60000000000002</v>
      </c>
      <c r="H1260">
        <v>1</v>
      </c>
      <c r="I1260">
        <v>1</v>
      </c>
    </row>
    <row r="1261" spans="1:9" x14ac:dyDescent="0.25">
      <c r="A1261">
        <v>1260</v>
      </c>
      <c r="B1261" s="40" t="s">
        <v>1014</v>
      </c>
      <c r="C1261" s="40" t="s">
        <v>1462</v>
      </c>
      <c r="D1261">
        <v>10</v>
      </c>
      <c r="E1261">
        <v>90.72</v>
      </c>
      <c r="F1261">
        <v>168</v>
      </c>
      <c r="G1261">
        <v>107.52</v>
      </c>
      <c r="H1261">
        <v>1</v>
      </c>
      <c r="I1261">
        <v>1</v>
      </c>
    </row>
    <row r="1262" spans="1:9" x14ac:dyDescent="0.25">
      <c r="A1262">
        <v>1261</v>
      </c>
      <c r="B1262" s="40" t="s">
        <v>1014</v>
      </c>
      <c r="C1262" s="40" t="s">
        <v>1020</v>
      </c>
      <c r="D1262">
        <v>10</v>
      </c>
      <c r="E1262">
        <v>93.960000000000008</v>
      </c>
      <c r="F1262">
        <v>174</v>
      </c>
      <c r="G1262">
        <v>111.36</v>
      </c>
      <c r="H1262">
        <v>1</v>
      </c>
      <c r="I1262">
        <v>1</v>
      </c>
    </row>
    <row r="1263" spans="1:9" x14ac:dyDescent="0.25">
      <c r="A1263">
        <v>1262</v>
      </c>
      <c r="B1263" s="40" t="s">
        <v>1014</v>
      </c>
      <c r="C1263" s="40" t="s">
        <v>1021</v>
      </c>
      <c r="D1263">
        <v>10</v>
      </c>
      <c r="E1263">
        <v>94.5</v>
      </c>
      <c r="F1263">
        <v>175</v>
      </c>
      <c r="G1263">
        <v>112</v>
      </c>
      <c r="H1263">
        <v>1</v>
      </c>
      <c r="I1263">
        <v>1</v>
      </c>
    </row>
    <row r="1264" spans="1:9" x14ac:dyDescent="0.25">
      <c r="A1264">
        <v>1263</v>
      </c>
      <c r="B1264" s="40" t="s">
        <v>1014</v>
      </c>
      <c r="C1264" s="40" t="s">
        <v>1307</v>
      </c>
      <c r="D1264">
        <v>10</v>
      </c>
      <c r="E1264">
        <v>93.15</v>
      </c>
      <c r="F1264">
        <v>172.5</v>
      </c>
      <c r="G1264">
        <v>110.4</v>
      </c>
      <c r="H1264">
        <v>1</v>
      </c>
      <c r="I1264">
        <v>1</v>
      </c>
    </row>
    <row r="1265" spans="1:9" x14ac:dyDescent="0.25">
      <c r="A1265">
        <v>1264</v>
      </c>
      <c r="B1265" s="40" t="s">
        <v>1014</v>
      </c>
      <c r="C1265" s="40" t="s">
        <v>1022</v>
      </c>
      <c r="D1265">
        <v>10</v>
      </c>
      <c r="E1265">
        <v>75.600000000000009</v>
      </c>
      <c r="F1265">
        <v>140</v>
      </c>
      <c r="G1265">
        <v>89.600000000000009</v>
      </c>
      <c r="H1265">
        <v>1</v>
      </c>
      <c r="I1265">
        <v>1</v>
      </c>
    </row>
    <row r="1266" spans="1:9" x14ac:dyDescent="0.25">
      <c r="A1266">
        <v>1265</v>
      </c>
      <c r="B1266" s="40" t="s">
        <v>1014</v>
      </c>
      <c r="C1266" s="40" t="s">
        <v>1463</v>
      </c>
      <c r="D1266">
        <v>10</v>
      </c>
      <c r="E1266">
        <v>91.800000000000011</v>
      </c>
      <c r="F1266">
        <v>170</v>
      </c>
      <c r="G1266">
        <v>108.8</v>
      </c>
      <c r="H1266">
        <v>1</v>
      </c>
      <c r="I1266">
        <v>1</v>
      </c>
    </row>
    <row r="1267" spans="1:9" x14ac:dyDescent="0.25">
      <c r="A1267">
        <v>1266</v>
      </c>
      <c r="B1267" s="40" t="s">
        <v>1014</v>
      </c>
      <c r="C1267" s="40" t="s">
        <v>1319</v>
      </c>
      <c r="D1267">
        <v>10</v>
      </c>
      <c r="E1267">
        <v>515.70000000000005</v>
      </c>
      <c r="F1267">
        <v>955</v>
      </c>
      <c r="G1267">
        <v>611.20000000000005</v>
      </c>
      <c r="H1267">
        <v>1</v>
      </c>
      <c r="I1267">
        <v>1</v>
      </c>
    </row>
    <row r="1268" spans="1:9" x14ac:dyDescent="0.25">
      <c r="A1268">
        <v>1267</v>
      </c>
      <c r="B1268" s="40" t="s">
        <v>1014</v>
      </c>
      <c r="C1268" s="40" t="s">
        <v>1320</v>
      </c>
      <c r="D1268">
        <v>10</v>
      </c>
      <c r="E1268">
        <v>413.1</v>
      </c>
      <c r="F1268">
        <v>765</v>
      </c>
      <c r="G1268">
        <v>489.6</v>
      </c>
      <c r="H1268">
        <v>1</v>
      </c>
      <c r="I1268">
        <v>1</v>
      </c>
    </row>
    <row r="1269" spans="1:9" x14ac:dyDescent="0.25">
      <c r="A1269">
        <v>1268</v>
      </c>
      <c r="B1269" s="40" t="s">
        <v>1014</v>
      </c>
      <c r="C1269" s="40" t="s">
        <v>1321</v>
      </c>
      <c r="D1269">
        <v>10</v>
      </c>
      <c r="E1269">
        <v>299.70000000000005</v>
      </c>
      <c r="F1269">
        <v>555</v>
      </c>
      <c r="G1269">
        <v>355.2</v>
      </c>
      <c r="H1269">
        <v>1</v>
      </c>
      <c r="I1269">
        <v>1</v>
      </c>
    </row>
    <row r="1270" spans="1:9" x14ac:dyDescent="0.25">
      <c r="A1270">
        <v>1269</v>
      </c>
      <c r="B1270" s="40" t="s">
        <v>1014</v>
      </c>
      <c r="C1270" s="40" t="s">
        <v>1032</v>
      </c>
      <c r="D1270">
        <v>10</v>
      </c>
      <c r="E1270">
        <v>302.40000000000003</v>
      </c>
      <c r="F1270">
        <v>560</v>
      </c>
      <c r="G1270">
        <v>358.40000000000003</v>
      </c>
      <c r="H1270">
        <v>1</v>
      </c>
      <c r="I1270">
        <v>1</v>
      </c>
    </row>
    <row r="1271" spans="1:9" x14ac:dyDescent="0.25">
      <c r="A1271">
        <v>1270</v>
      </c>
      <c r="B1271" s="40" t="s">
        <v>1014</v>
      </c>
      <c r="C1271" s="40" t="s">
        <v>1466</v>
      </c>
      <c r="D1271">
        <v>10</v>
      </c>
      <c r="E1271">
        <v>111</v>
      </c>
      <c r="F1271">
        <v>185</v>
      </c>
      <c r="G1271">
        <v>129.5</v>
      </c>
      <c r="H1271">
        <v>1</v>
      </c>
      <c r="I1271">
        <v>1</v>
      </c>
    </row>
    <row r="1272" spans="1:9" x14ac:dyDescent="0.25">
      <c r="A1272">
        <v>1271</v>
      </c>
      <c r="B1272" s="40" t="s">
        <v>1014</v>
      </c>
      <c r="C1272" s="40" t="s">
        <v>1467</v>
      </c>
      <c r="D1272">
        <v>10</v>
      </c>
      <c r="E1272">
        <v>120</v>
      </c>
      <c r="F1272">
        <v>200</v>
      </c>
      <c r="G1272">
        <v>140</v>
      </c>
      <c r="H1272">
        <v>1</v>
      </c>
      <c r="I1272">
        <v>1</v>
      </c>
    </row>
    <row r="1273" spans="1:9" x14ac:dyDescent="0.25">
      <c r="A1273">
        <v>1272</v>
      </c>
      <c r="B1273" s="40" t="s">
        <v>1014</v>
      </c>
      <c r="C1273" s="40" t="s">
        <v>1024</v>
      </c>
      <c r="D1273">
        <v>10</v>
      </c>
      <c r="E1273">
        <v>156.60000000000002</v>
      </c>
      <c r="F1273">
        <v>290</v>
      </c>
      <c r="G1273">
        <v>185.6</v>
      </c>
      <c r="H1273">
        <v>1</v>
      </c>
      <c r="I1273">
        <v>1</v>
      </c>
    </row>
    <row r="1274" spans="1:9" x14ac:dyDescent="0.25">
      <c r="A1274">
        <v>1273</v>
      </c>
      <c r="B1274" s="40" t="s">
        <v>1014</v>
      </c>
      <c r="C1274" s="40" t="s">
        <v>1023</v>
      </c>
      <c r="D1274">
        <v>10</v>
      </c>
      <c r="E1274">
        <v>226.8</v>
      </c>
      <c r="F1274">
        <v>420</v>
      </c>
      <c r="G1274">
        <v>268.8</v>
      </c>
      <c r="H1274">
        <v>1</v>
      </c>
      <c r="I1274">
        <v>1</v>
      </c>
    </row>
    <row r="1275" spans="1:9" x14ac:dyDescent="0.25">
      <c r="A1275">
        <v>1274</v>
      </c>
      <c r="B1275" s="40" t="s">
        <v>1014</v>
      </c>
      <c r="C1275" s="40" t="s">
        <v>1030</v>
      </c>
      <c r="D1275">
        <v>10</v>
      </c>
      <c r="E1275">
        <v>267.3</v>
      </c>
      <c r="F1275">
        <v>495</v>
      </c>
      <c r="G1275">
        <v>316.8</v>
      </c>
      <c r="H1275">
        <v>1</v>
      </c>
      <c r="I1275">
        <v>1</v>
      </c>
    </row>
    <row r="1276" spans="1:9" x14ac:dyDescent="0.25">
      <c r="A1276">
        <v>1275</v>
      </c>
      <c r="B1276" s="40" t="s">
        <v>1014</v>
      </c>
      <c r="C1276" s="40" t="s">
        <v>1025</v>
      </c>
      <c r="D1276">
        <v>10</v>
      </c>
      <c r="E1276">
        <v>23.382000000000001</v>
      </c>
      <c r="F1276">
        <v>43.3</v>
      </c>
      <c r="G1276">
        <v>27.712</v>
      </c>
      <c r="H1276">
        <v>1</v>
      </c>
      <c r="I1276">
        <v>1</v>
      </c>
    </row>
    <row r="1277" spans="1:9" x14ac:dyDescent="0.25">
      <c r="A1277">
        <v>1276</v>
      </c>
      <c r="B1277" s="40" t="s">
        <v>1014</v>
      </c>
      <c r="C1277" s="40" t="s">
        <v>1026</v>
      </c>
      <c r="D1277">
        <v>10</v>
      </c>
      <c r="E1277">
        <v>12.825000000000001</v>
      </c>
      <c r="F1277">
        <v>23.75</v>
      </c>
      <c r="G1277">
        <v>15.200000000000001</v>
      </c>
      <c r="H1277">
        <v>1</v>
      </c>
      <c r="I1277">
        <v>1</v>
      </c>
    </row>
    <row r="1278" spans="1:9" x14ac:dyDescent="0.25">
      <c r="A1278">
        <v>1277</v>
      </c>
      <c r="B1278" s="40" t="s">
        <v>1014</v>
      </c>
      <c r="C1278" s="40" t="s">
        <v>1028</v>
      </c>
      <c r="D1278">
        <v>10</v>
      </c>
      <c r="E1278">
        <v>54</v>
      </c>
      <c r="F1278">
        <v>100</v>
      </c>
      <c r="G1278">
        <v>64</v>
      </c>
      <c r="H1278">
        <v>1</v>
      </c>
      <c r="I1278">
        <v>1</v>
      </c>
    </row>
    <row r="1279" spans="1:9" x14ac:dyDescent="0.25">
      <c r="A1279">
        <v>1278</v>
      </c>
      <c r="B1279" s="40" t="s">
        <v>1014</v>
      </c>
      <c r="C1279" s="40" t="s">
        <v>1324</v>
      </c>
      <c r="D1279">
        <v>10</v>
      </c>
      <c r="E1279">
        <v>302.40000000000003</v>
      </c>
      <c r="F1279">
        <v>560</v>
      </c>
      <c r="G1279">
        <v>358.40000000000003</v>
      </c>
      <c r="H1279">
        <v>1</v>
      </c>
      <c r="I1279">
        <v>1</v>
      </c>
    </row>
    <row r="1280" spans="1:9" x14ac:dyDescent="0.25">
      <c r="A1280">
        <v>1279</v>
      </c>
      <c r="B1280" s="40" t="s">
        <v>1014</v>
      </c>
      <c r="C1280" s="40" t="s">
        <v>1325</v>
      </c>
      <c r="D1280">
        <v>10</v>
      </c>
      <c r="E1280">
        <v>310.5</v>
      </c>
      <c r="F1280">
        <v>575</v>
      </c>
      <c r="G1280">
        <v>368</v>
      </c>
      <c r="H1280">
        <v>1</v>
      </c>
      <c r="I1280">
        <v>1</v>
      </c>
    </row>
    <row r="1281" spans="1:9" x14ac:dyDescent="0.25">
      <c r="A1281">
        <v>1280</v>
      </c>
      <c r="B1281" s="40" t="s">
        <v>1014</v>
      </c>
      <c r="C1281" s="40" t="s">
        <v>1326</v>
      </c>
      <c r="D1281">
        <v>10</v>
      </c>
      <c r="E1281">
        <v>315.36</v>
      </c>
      <c r="F1281">
        <v>584</v>
      </c>
      <c r="G1281">
        <v>373.76</v>
      </c>
      <c r="H1281">
        <v>1</v>
      </c>
      <c r="I1281">
        <v>1</v>
      </c>
    </row>
    <row r="1282" spans="1:9" x14ac:dyDescent="0.25">
      <c r="A1282">
        <v>1281</v>
      </c>
      <c r="B1282" s="40" t="s">
        <v>1014</v>
      </c>
      <c r="C1282" s="40" t="s">
        <v>1327</v>
      </c>
      <c r="D1282">
        <v>10</v>
      </c>
      <c r="E1282">
        <v>337.5</v>
      </c>
      <c r="F1282">
        <v>625</v>
      </c>
      <c r="G1282">
        <v>400</v>
      </c>
      <c r="H1282">
        <v>1</v>
      </c>
      <c r="I1282">
        <v>1</v>
      </c>
    </row>
    <row r="1283" spans="1:9" x14ac:dyDescent="0.25">
      <c r="A1283">
        <v>1282</v>
      </c>
      <c r="B1283" s="40" t="s">
        <v>1014</v>
      </c>
      <c r="C1283" s="40" t="s">
        <v>1328</v>
      </c>
      <c r="D1283">
        <v>10</v>
      </c>
      <c r="E1283">
        <v>351</v>
      </c>
      <c r="F1283">
        <v>650</v>
      </c>
      <c r="G1283">
        <v>416</v>
      </c>
      <c r="H1283">
        <v>1</v>
      </c>
      <c r="I1283">
        <v>1</v>
      </c>
    </row>
    <row r="1284" spans="1:9" x14ac:dyDescent="0.25">
      <c r="A1284">
        <v>1283</v>
      </c>
      <c r="B1284" s="40" t="s">
        <v>1014</v>
      </c>
      <c r="C1284" s="40" t="s">
        <v>1329</v>
      </c>
      <c r="D1284">
        <v>10</v>
      </c>
      <c r="E1284">
        <v>264.60000000000002</v>
      </c>
      <c r="F1284">
        <v>490</v>
      </c>
      <c r="G1284">
        <v>313.60000000000002</v>
      </c>
      <c r="H1284">
        <v>1</v>
      </c>
      <c r="I1284">
        <v>1</v>
      </c>
    </row>
    <row r="1285" spans="1:9" x14ac:dyDescent="0.25">
      <c r="A1285">
        <v>1284</v>
      </c>
      <c r="B1285" s="40" t="s">
        <v>1014</v>
      </c>
      <c r="C1285" s="40" t="s">
        <v>1330</v>
      </c>
      <c r="D1285">
        <v>10</v>
      </c>
      <c r="E1285">
        <v>267.3</v>
      </c>
      <c r="F1285">
        <v>495</v>
      </c>
      <c r="G1285">
        <v>316.8</v>
      </c>
      <c r="H1285">
        <v>1</v>
      </c>
      <c r="I1285">
        <v>1</v>
      </c>
    </row>
    <row r="1286" spans="1:9" x14ac:dyDescent="0.25">
      <c r="A1286">
        <v>1285</v>
      </c>
      <c r="B1286" s="40" t="s">
        <v>1014</v>
      </c>
      <c r="C1286" s="40" t="s">
        <v>1331</v>
      </c>
      <c r="D1286">
        <v>10</v>
      </c>
      <c r="E1286">
        <v>286.20000000000005</v>
      </c>
      <c r="F1286">
        <v>530</v>
      </c>
      <c r="G1286">
        <v>339.2</v>
      </c>
      <c r="H1286">
        <v>1</v>
      </c>
      <c r="I1286">
        <v>1</v>
      </c>
    </row>
    <row r="1287" spans="1:9" x14ac:dyDescent="0.25">
      <c r="A1287">
        <v>1286</v>
      </c>
      <c r="B1287" s="40" t="s">
        <v>1014</v>
      </c>
      <c r="C1287" s="40" t="s">
        <v>1332</v>
      </c>
      <c r="D1287">
        <v>10</v>
      </c>
      <c r="E1287">
        <v>297</v>
      </c>
      <c r="F1287">
        <v>550</v>
      </c>
      <c r="G1287">
        <v>352</v>
      </c>
      <c r="H1287">
        <v>1</v>
      </c>
      <c r="I1287">
        <v>1</v>
      </c>
    </row>
    <row r="1288" spans="1:9" x14ac:dyDescent="0.25">
      <c r="A1288">
        <v>1287</v>
      </c>
      <c r="B1288" s="40" t="s">
        <v>1014</v>
      </c>
      <c r="C1288" s="40" t="s">
        <v>1333</v>
      </c>
      <c r="D1288">
        <v>10</v>
      </c>
      <c r="E1288">
        <v>313.20000000000005</v>
      </c>
      <c r="F1288">
        <v>580</v>
      </c>
      <c r="G1288">
        <v>371.2</v>
      </c>
      <c r="H1288">
        <v>1</v>
      </c>
      <c r="I1288">
        <v>1</v>
      </c>
    </row>
    <row r="1289" spans="1:9" x14ac:dyDescent="0.25">
      <c r="A1289">
        <v>1288</v>
      </c>
      <c r="B1289" s="40" t="s">
        <v>1014</v>
      </c>
      <c r="C1289" s="40" t="s">
        <v>1334</v>
      </c>
      <c r="D1289">
        <v>10</v>
      </c>
      <c r="E1289">
        <v>326.70000000000005</v>
      </c>
      <c r="F1289">
        <v>605</v>
      </c>
      <c r="G1289">
        <v>387.2</v>
      </c>
      <c r="H1289">
        <v>1</v>
      </c>
      <c r="I1289">
        <v>1</v>
      </c>
    </row>
    <row r="1290" spans="1:9" x14ac:dyDescent="0.25">
      <c r="A1290">
        <v>1289</v>
      </c>
      <c r="B1290" s="40" t="s">
        <v>1014</v>
      </c>
      <c r="C1290" s="40" t="s">
        <v>1029</v>
      </c>
      <c r="D1290">
        <v>10</v>
      </c>
      <c r="E1290">
        <v>174.96</v>
      </c>
      <c r="F1290">
        <v>324</v>
      </c>
      <c r="G1290">
        <v>207.36</v>
      </c>
      <c r="H1290">
        <v>1</v>
      </c>
      <c r="I1290">
        <v>1</v>
      </c>
    </row>
    <row r="1291" spans="1:9" x14ac:dyDescent="0.25">
      <c r="A1291">
        <v>1290</v>
      </c>
      <c r="B1291" s="40" t="s">
        <v>1014</v>
      </c>
      <c r="C1291" s="40" t="s">
        <v>1344</v>
      </c>
      <c r="D1291">
        <v>10</v>
      </c>
      <c r="E1291">
        <v>100.44000000000001</v>
      </c>
      <c r="F1291">
        <v>186</v>
      </c>
      <c r="G1291">
        <v>119.04</v>
      </c>
      <c r="H1291">
        <v>1</v>
      </c>
      <c r="I1291">
        <v>1</v>
      </c>
    </row>
    <row r="1292" spans="1:9" x14ac:dyDescent="0.25">
      <c r="A1292">
        <v>1291</v>
      </c>
      <c r="B1292" s="40" t="s">
        <v>1014</v>
      </c>
      <c r="C1292" s="40" t="s">
        <v>1318</v>
      </c>
      <c r="D1292">
        <v>10</v>
      </c>
      <c r="E1292">
        <v>162</v>
      </c>
      <c r="F1292">
        <v>300</v>
      </c>
      <c r="G1292">
        <v>192</v>
      </c>
      <c r="H1292">
        <v>1</v>
      </c>
      <c r="I1292">
        <v>1</v>
      </c>
    </row>
    <row r="1293" spans="1:9" x14ac:dyDescent="0.25">
      <c r="A1293">
        <v>1292</v>
      </c>
      <c r="B1293" s="40" t="s">
        <v>1014</v>
      </c>
      <c r="C1293" s="40" t="s">
        <v>1464</v>
      </c>
      <c r="D1293">
        <v>10</v>
      </c>
      <c r="E1293">
        <v>81</v>
      </c>
      <c r="F1293">
        <v>150</v>
      </c>
      <c r="G1293">
        <v>96</v>
      </c>
      <c r="H1293">
        <v>1</v>
      </c>
      <c r="I1293">
        <v>1</v>
      </c>
    </row>
    <row r="1294" spans="1:9" x14ac:dyDescent="0.25">
      <c r="A1294">
        <v>1293</v>
      </c>
      <c r="B1294" s="40" t="s">
        <v>1014</v>
      </c>
      <c r="C1294" s="40" t="s">
        <v>1465</v>
      </c>
      <c r="D1294">
        <v>10</v>
      </c>
      <c r="E1294">
        <v>109.08000000000001</v>
      </c>
      <c r="F1294">
        <v>202</v>
      </c>
      <c r="G1294">
        <v>129.28</v>
      </c>
      <c r="H1294">
        <v>1</v>
      </c>
      <c r="I1294">
        <v>1</v>
      </c>
    </row>
    <row r="1295" spans="1:9" x14ac:dyDescent="0.25">
      <c r="A1295">
        <v>1294</v>
      </c>
      <c r="B1295" s="40" t="s">
        <v>1014</v>
      </c>
      <c r="C1295" s="40" t="s">
        <v>1034</v>
      </c>
      <c r="D1295">
        <v>10</v>
      </c>
      <c r="E1295">
        <v>168.48000000000002</v>
      </c>
      <c r="F1295">
        <v>312</v>
      </c>
      <c r="G1295">
        <v>199.68</v>
      </c>
      <c r="H1295">
        <v>1</v>
      </c>
      <c r="I1295">
        <v>1</v>
      </c>
    </row>
    <row r="1296" spans="1:9" x14ac:dyDescent="0.25">
      <c r="A1296">
        <v>1295</v>
      </c>
      <c r="B1296" s="40" t="s">
        <v>1014</v>
      </c>
      <c r="C1296" s="40" t="s">
        <v>1310</v>
      </c>
      <c r="D1296">
        <v>10</v>
      </c>
      <c r="E1296">
        <v>130.68</v>
      </c>
      <c r="F1296">
        <v>242</v>
      </c>
      <c r="G1296">
        <v>154.88</v>
      </c>
      <c r="H1296">
        <v>1</v>
      </c>
      <c r="I1296">
        <v>1</v>
      </c>
    </row>
    <row r="1297" spans="1:9" x14ac:dyDescent="0.25">
      <c r="A1297">
        <v>1296</v>
      </c>
      <c r="B1297" s="40" t="s">
        <v>1014</v>
      </c>
      <c r="C1297" s="40" t="s">
        <v>1316</v>
      </c>
      <c r="D1297">
        <v>10</v>
      </c>
      <c r="E1297">
        <v>197.10000000000002</v>
      </c>
      <c r="F1297">
        <v>365</v>
      </c>
      <c r="G1297">
        <v>233.6</v>
      </c>
      <c r="H1297">
        <v>1</v>
      </c>
      <c r="I1297">
        <v>1</v>
      </c>
    </row>
    <row r="1298" spans="1:9" x14ac:dyDescent="0.25">
      <c r="A1298">
        <v>1297</v>
      </c>
      <c r="B1298" s="40" t="s">
        <v>1014</v>
      </c>
      <c r="C1298" s="40" t="s">
        <v>1033</v>
      </c>
      <c r="D1298">
        <v>10</v>
      </c>
      <c r="E1298">
        <v>255.42000000000002</v>
      </c>
      <c r="F1298">
        <v>473</v>
      </c>
      <c r="G1298">
        <v>302.72000000000003</v>
      </c>
      <c r="H1298">
        <v>1</v>
      </c>
      <c r="I1298">
        <v>1</v>
      </c>
    </row>
    <row r="1299" spans="1:9" x14ac:dyDescent="0.25">
      <c r="A1299">
        <v>1298</v>
      </c>
      <c r="B1299" s="40" t="s">
        <v>1014</v>
      </c>
      <c r="C1299" s="40" t="s">
        <v>1469</v>
      </c>
      <c r="D1299">
        <v>10</v>
      </c>
      <c r="E1299">
        <v>207.36</v>
      </c>
      <c r="F1299">
        <v>384</v>
      </c>
      <c r="G1299">
        <v>245.76</v>
      </c>
      <c r="H1299">
        <v>1</v>
      </c>
      <c r="I1299">
        <v>1</v>
      </c>
    </row>
    <row r="1300" spans="1:9" x14ac:dyDescent="0.25">
      <c r="A1300">
        <v>1299</v>
      </c>
      <c r="B1300" s="40" t="s">
        <v>1014</v>
      </c>
      <c r="C1300" s="40" t="s">
        <v>1322</v>
      </c>
      <c r="D1300">
        <v>10</v>
      </c>
      <c r="E1300">
        <v>194.4</v>
      </c>
      <c r="F1300">
        <v>360</v>
      </c>
      <c r="G1300">
        <v>230.4</v>
      </c>
      <c r="H1300">
        <v>1</v>
      </c>
      <c r="I1300">
        <v>1</v>
      </c>
    </row>
    <row r="1301" spans="1:9" x14ac:dyDescent="0.25">
      <c r="A1301">
        <v>1300</v>
      </c>
      <c r="B1301" s="40" t="s">
        <v>1014</v>
      </c>
      <c r="C1301" s="40" t="s">
        <v>1323</v>
      </c>
      <c r="D1301">
        <v>10</v>
      </c>
      <c r="E1301">
        <v>194.4</v>
      </c>
      <c r="F1301">
        <v>360</v>
      </c>
      <c r="G1301">
        <v>230.4</v>
      </c>
      <c r="H1301">
        <v>1</v>
      </c>
      <c r="I1301">
        <v>1</v>
      </c>
    </row>
    <row r="1302" spans="1:9" x14ac:dyDescent="0.25">
      <c r="A1302">
        <v>1301</v>
      </c>
      <c r="B1302" s="40" t="s">
        <v>1014</v>
      </c>
      <c r="C1302" s="40" t="s">
        <v>1037</v>
      </c>
      <c r="D1302">
        <v>10</v>
      </c>
      <c r="E1302">
        <v>194.4</v>
      </c>
      <c r="F1302">
        <v>360</v>
      </c>
      <c r="G1302">
        <v>230.4</v>
      </c>
      <c r="H1302">
        <v>1</v>
      </c>
      <c r="I1302">
        <v>1</v>
      </c>
    </row>
    <row r="1303" spans="1:9" x14ac:dyDescent="0.25">
      <c r="A1303">
        <v>1302</v>
      </c>
      <c r="B1303" s="40" t="s">
        <v>1014</v>
      </c>
      <c r="C1303" s="40" t="s">
        <v>1038</v>
      </c>
      <c r="D1303">
        <v>10</v>
      </c>
      <c r="E1303">
        <v>140.4</v>
      </c>
      <c r="F1303">
        <v>260</v>
      </c>
      <c r="G1303">
        <v>166.4</v>
      </c>
      <c r="H1303">
        <v>1</v>
      </c>
      <c r="I1303">
        <v>1</v>
      </c>
    </row>
    <row r="1304" spans="1:9" x14ac:dyDescent="0.25">
      <c r="A1304">
        <v>1303</v>
      </c>
      <c r="B1304" s="40" t="s">
        <v>1014</v>
      </c>
      <c r="C1304" s="40" t="s">
        <v>1039</v>
      </c>
      <c r="D1304">
        <v>10</v>
      </c>
      <c r="E1304">
        <v>214.92000000000002</v>
      </c>
      <c r="F1304">
        <v>398</v>
      </c>
      <c r="G1304">
        <v>254.72</v>
      </c>
      <c r="H1304">
        <v>1</v>
      </c>
      <c r="I1304">
        <v>1</v>
      </c>
    </row>
    <row r="1305" spans="1:9" x14ac:dyDescent="0.25">
      <c r="A1305">
        <v>1304</v>
      </c>
      <c r="B1305" s="40" t="s">
        <v>1014</v>
      </c>
      <c r="C1305" s="40" t="s">
        <v>1040</v>
      </c>
      <c r="D1305">
        <v>10</v>
      </c>
      <c r="E1305">
        <v>63.180000000000007</v>
      </c>
      <c r="F1305">
        <v>117</v>
      </c>
      <c r="G1305">
        <v>74.88</v>
      </c>
      <c r="H1305">
        <v>1</v>
      </c>
      <c r="I1305">
        <v>1</v>
      </c>
    </row>
    <row r="1306" spans="1:9" x14ac:dyDescent="0.25">
      <c r="A1306">
        <v>1305</v>
      </c>
      <c r="B1306" s="40" t="s">
        <v>1014</v>
      </c>
      <c r="C1306" s="40" t="s">
        <v>1646</v>
      </c>
      <c r="D1306">
        <v>10</v>
      </c>
      <c r="E1306">
        <v>94.5</v>
      </c>
      <c r="F1306">
        <v>175</v>
      </c>
      <c r="G1306">
        <v>112</v>
      </c>
      <c r="H1306">
        <v>1</v>
      </c>
      <c r="I1306">
        <v>1</v>
      </c>
    </row>
    <row r="1307" spans="1:9" x14ac:dyDescent="0.25">
      <c r="A1307">
        <v>1306</v>
      </c>
      <c r="B1307" s="40" t="s">
        <v>1014</v>
      </c>
      <c r="C1307" s="40" t="s">
        <v>1339</v>
      </c>
      <c r="D1307">
        <v>10</v>
      </c>
      <c r="E1307">
        <v>1058.4000000000001</v>
      </c>
      <c r="F1307">
        <v>1960</v>
      </c>
      <c r="G1307">
        <v>1254.4000000000001</v>
      </c>
      <c r="H1307">
        <v>1</v>
      </c>
      <c r="I1307">
        <v>1</v>
      </c>
    </row>
    <row r="1308" spans="1:9" x14ac:dyDescent="0.25">
      <c r="A1308">
        <v>1307</v>
      </c>
      <c r="B1308" s="40" t="s">
        <v>1014</v>
      </c>
      <c r="C1308" s="40" t="s">
        <v>1035</v>
      </c>
      <c r="D1308">
        <v>10</v>
      </c>
      <c r="E1308">
        <v>160.92000000000002</v>
      </c>
      <c r="F1308">
        <v>298</v>
      </c>
      <c r="G1308">
        <v>190.72</v>
      </c>
      <c r="H1308">
        <v>1</v>
      </c>
      <c r="I1308">
        <v>1</v>
      </c>
    </row>
    <row r="1309" spans="1:9" x14ac:dyDescent="0.25">
      <c r="A1309">
        <v>1308</v>
      </c>
      <c r="B1309" s="40" t="s">
        <v>1014</v>
      </c>
      <c r="C1309" s="40" t="s">
        <v>1308</v>
      </c>
      <c r="D1309">
        <v>10</v>
      </c>
      <c r="E1309">
        <v>36.72</v>
      </c>
      <c r="F1309">
        <v>68</v>
      </c>
      <c r="G1309">
        <v>43.52</v>
      </c>
      <c r="H1309">
        <v>1</v>
      </c>
      <c r="I1309">
        <v>1</v>
      </c>
    </row>
    <row r="1310" spans="1:9" x14ac:dyDescent="0.25">
      <c r="A1310">
        <v>1309</v>
      </c>
      <c r="B1310" s="40" t="s">
        <v>1014</v>
      </c>
      <c r="C1310" s="40" t="s">
        <v>1017</v>
      </c>
      <c r="D1310">
        <v>10</v>
      </c>
      <c r="E1310">
        <v>194.4</v>
      </c>
      <c r="F1310">
        <v>360</v>
      </c>
      <c r="G1310">
        <v>230.4</v>
      </c>
      <c r="H1310">
        <v>1</v>
      </c>
      <c r="I1310">
        <v>1</v>
      </c>
    </row>
    <row r="1311" spans="1:9" x14ac:dyDescent="0.25">
      <c r="A1311">
        <v>1310</v>
      </c>
      <c r="B1311" s="40" t="s">
        <v>1014</v>
      </c>
      <c r="C1311" s="40" t="s">
        <v>1047</v>
      </c>
      <c r="D1311">
        <v>10</v>
      </c>
      <c r="E1311">
        <v>270</v>
      </c>
      <c r="F1311">
        <v>500</v>
      </c>
      <c r="G1311">
        <v>320</v>
      </c>
      <c r="H1311">
        <v>1</v>
      </c>
      <c r="I1311">
        <v>1</v>
      </c>
    </row>
    <row r="1312" spans="1:9" x14ac:dyDescent="0.25">
      <c r="A1312">
        <v>1311</v>
      </c>
      <c r="B1312" s="40" t="s">
        <v>1014</v>
      </c>
      <c r="C1312" s="40" t="s">
        <v>1045</v>
      </c>
      <c r="D1312">
        <v>10</v>
      </c>
      <c r="E1312">
        <v>124.2</v>
      </c>
      <c r="F1312">
        <v>230</v>
      </c>
      <c r="G1312">
        <v>147.20000000000002</v>
      </c>
      <c r="H1312">
        <v>1</v>
      </c>
      <c r="I1312">
        <v>1</v>
      </c>
    </row>
    <row r="1313" spans="1:9" x14ac:dyDescent="0.25">
      <c r="A1313">
        <v>1312</v>
      </c>
      <c r="B1313" s="40" t="s">
        <v>1014</v>
      </c>
      <c r="C1313" s="40" t="s">
        <v>1317</v>
      </c>
      <c r="D1313">
        <v>10</v>
      </c>
      <c r="E1313">
        <v>110.36</v>
      </c>
      <c r="F1313">
        <v>178</v>
      </c>
      <c r="G1313">
        <v>128.16</v>
      </c>
      <c r="H1313">
        <v>1</v>
      </c>
      <c r="I1313">
        <v>1</v>
      </c>
    </row>
    <row r="1314" spans="1:9" x14ac:dyDescent="0.25">
      <c r="A1314">
        <v>1313</v>
      </c>
      <c r="B1314" s="40" t="s">
        <v>1014</v>
      </c>
      <c r="C1314" s="40" t="s">
        <v>1647</v>
      </c>
      <c r="D1314">
        <v>10</v>
      </c>
      <c r="E1314">
        <v>210.8</v>
      </c>
      <c r="F1314">
        <v>340</v>
      </c>
      <c r="G1314">
        <v>244.79999999999998</v>
      </c>
      <c r="H1314">
        <v>1</v>
      </c>
      <c r="I1314">
        <v>1</v>
      </c>
    </row>
    <row r="1315" spans="1:9" x14ac:dyDescent="0.25">
      <c r="A1315">
        <v>1314</v>
      </c>
      <c r="B1315" s="40" t="s">
        <v>1014</v>
      </c>
      <c r="C1315" s="40" t="s">
        <v>1052</v>
      </c>
      <c r="D1315">
        <v>10</v>
      </c>
      <c r="E1315">
        <v>106.92</v>
      </c>
      <c r="F1315">
        <v>198</v>
      </c>
      <c r="G1315">
        <v>126.72</v>
      </c>
      <c r="H1315">
        <v>1</v>
      </c>
      <c r="I1315">
        <v>1</v>
      </c>
    </row>
    <row r="1316" spans="1:9" x14ac:dyDescent="0.25">
      <c r="A1316">
        <v>1315</v>
      </c>
      <c r="B1316" s="40" t="s">
        <v>1014</v>
      </c>
      <c r="C1316" s="40" t="s">
        <v>1053</v>
      </c>
      <c r="D1316">
        <v>10</v>
      </c>
      <c r="E1316">
        <v>163.08000000000001</v>
      </c>
      <c r="F1316">
        <v>302</v>
      </c>
      <c r="G1316">
        <v>193.28</v>
      </c>
      <c r="H1316">
        <v>1</v>
      </c>
      <c r="I1316">
        <v>1</v>
      </c>
    </row>
    <row r="1317" spans="1:9" x14ac:dyDescent="0.25">
      <c r="A1317">
        <v>1316</v>
      </c>
      <c r="B1317" s="40" t="s">
        <v>1014</v>
      </c>
      <c r="C1317" s="40" t="s">
        <v>1058</v>
      </c>
      <c r="D1317">
        <v>10</v>
      </c>
      <c r="E1317">
        <v>364.5</v>
      </c>
      <c r="F1317">
        <v>675</v>
      </c>
      <c r="G1317">
        <v>432</v>
      </c>
      <c r="H1317">
        <v>1</v>
      </c>
      <c r="I1317">
        <v>1</v>
      </c>
    </row>
    <row r="1318" spans="1:9" x14ac:dyDescent="0.25">
      <c r="A1318">
        <v>1317</v>
      </c>
      <c r="B1318" s="40" t="s">
        <v>1014</v>
      </c>
      <c r="C1318" s="40" t="s">
        <v>1059</v>
      </c>
      <c r="D1318">
        <v>10</v>
      </c>
      <c r="E1318">
        <v>259.20000000000005</v>
      </c>
      <c r="F1318">
        <v>480</v>
      </c>
      <c r="G1318">
        <v>307.2</v>
      </c>
      <c r="H1318">
        <v>1</v>
      </c>
      <c r="I1318">
        <v>1</v>
      </c>
    </row>
    <row r="1319" spans="1:9" x14ac:dyDescent="0.25">
      <c r="A1319">
        <v>1318</v>
      </c>
      <c r="B1319" s="40" t="s">
        <v>1014</v>
      </c>
      <c r="C1319" s="40" t="s">
        <v>1309</v>
      </c>
      <c r="D1319">
        <v>10</v>
      </c>
      <c r="E1319">
        <v>1447.2</v>
      </c>
      <c r="F1319">
        <v>2680</v>
      </c>
      <c r="G1319">
        <v>1715.2</v>
      </c>
      <c r="H1319">
        <v>1</v>
      </c>
      <c r="I1319">
        <v>1</v>
      </c>
    </row>
    <row r="1320" spans="1:9" x14ac:dyDescent="0.25">
      <c r="A1320">
        <v>1319</v>
      </c>
      <c r="B1320" s="40" t="s">
        <v>1014</v>
      </c>
      <c r="C1320" s="40" t="s">
        <v>1018</v>
      </c>
      <c r="D1320">
        <v>10</v>
      </c>
      <c r="E1320">
        <v>182</v>
      </c>
      <c r="F1320">
        <v>364</v>
      </c>
      <c r="G1320">
        <v>218.4</v>
      </c>
      <c r="H1320">
        <v>1</v>
      </c>
      <c r="I1320">
        <v>1</v>
      </c>
    </row>
    <row r="1321" spans="1:9" x14ac:dyDescent="0.25">
      <c r="A1321">
        <v>1320</v>
      </c>
      <c r="B1321" s="40" t="s">
        <v>1014</v>
      </c>
      <c r="C1321" s="40" t="s">
        <v>1019</v>
      </c>
      <c r="D1321">
        <v>10</v>
      </c>
      <c r="E1321">
        <v>410</v>
      </c>
      <c r="F1321">
        <v>820</v>
      </c>
      <c r="G1321">
        <v>492</v>
      </c>
      <c r="H1321">
        <v>1</v>
      </c>
      <c r="I1321">
        <v>1</v>
      </c>
    </row>
    <row r="1322" spans="1:9" x14ac:dyDescent="0.25">
      <c r="A1322">
        <v>1321</v>
      </c>
      <c r="B1322" s="40" t="s">
        <v>1014</v>
      </c>
      <c r="C1322" s="40" t="s">
        <v>1302</v>
      </c>
      <c r="D1322">
        <v>10</v>
      </c>
      <c r="E1322">
        <v>270</v>
      </c>
      <c r="F1322">
        <v>540</v>
      </c>
      <c r="G1322">
        <v>324</v>
      </c>
      <c r="H1322">
        <v>1</v>
      </c>
      <c r="I1322">
        <v>1</v>
      </c>
    </row>
    <row r="1323" spans="1:9" x14ac:dyDescent="0.25">
      <c r="A1323">
        <v>1322</v>
      </c>
      <c r="B1323" s="40" t="s">
        <v>1014</v>
      </c>
      <c r="C1323" s="40" t="s">
        <v>1457</v>
      </c>
      <c r="D1323">
        <v>10</v>
      </c>
      <c r="E1323">
        <v>307.5</v>
      </c>
      <c r="F1323">
        <v>615</v>
      </c>
      <c r="G1323">
        <v>369</v>
      </c>
      <c r="H1323">
        <v>1</v>
      </c>
      <c r="I1323">
        <v>1</v>
      </c>
    </row>
    <row r="1324" spans="1:9" x14ac:dyDescent="0.25">
      <c r="A1324">
        <v>1323</v>
      </c>
      <c r="B1324" s="40" t="s">
        <v>1014</v>
      </c>
      <c r="C1324" s="40" t="s">
        <v>1458</v>
      </c>
      <c r="D1324">
        <v>10</v>
      </c>
      <c r="E1324">
        <v>734.5</v>
      </c>
      <c r="F1324">
        <v>1469</v>
      </c>
      <c r="G1324">
        <v>881.4</v>
      </c>
      <c r="H1324">
        <v>1</v>
      </c>
      <c r="I1324">
        <v>1</v>
      </c>
    </row>
    <row r="1325" spans="1:9" x14ac:dyDescent="0.25">
      <c r="A1325">
        <v>1324</v>
      </c>
      <c r="B1325" s="40" t="s">
        <v>1014</v>
      </c>
      <c r="C1325" s="40" t="s">
        <v>1468</v>
      </c>
      <c r="D1325">
        <v>10</v>
      </c>
      <c r="E1325">
        <v>453.5</v>
      </c>
      <c r="F1325">
        <v>907</v>
      </c>
      <c r="G1325">
        <v>544.19999999999993</v>
      </c>
      <c r="H1325">
        <v>1</v>
      </c>
      <c r="I1325">
        <v>1</v>
      </c>
    </row>
    <row r="1326" spans="1:9" x14ac:dyDescent="0.25">
      <c r="A1326">
        <v>1325</v>
      </c>
      <c r="B1326" s="40" t="s">
        <v>1014</v>
      </c>
      <c r="C1326" s="40" t="s">
        <v>1468</v>
      </c>
      <c r="D1326">
        <v>10</v>
      </c>
      <c r="E1326">
        <v>472</v>
      </c>
      <c r="F1326">
        <v>944</v>
      </c>
      <c r="G1326">
        <v>566.4</v>
      </c>
      <c r="H1326">
        <v>1</v>
      </c>
      <c r="I1326">
        <v>1</v>
      </c>
    </row>
    <row r="1327" spans="1:9" x14ac:dyDescent="0.25">
      <c r="A1327">
        <v>1326</v>
      </c>
      <c r="B1327" s="40" t="s">
        <v>1014</v>
      </c>
      <c r="C1327" s="40" t="s">
        <v>1345</v>
      </c>
      <c r="D1327">
        <v>10</v>
      </c>
      <c r="E1327">
        <v>537</v>
      </c>
      <c r="F1327">
        <v>1074</v>
      </c>
      <c r="G1327">
        <v>644.4</v>
      </c>
      <c r="H1327">
        <v>1</v>
      </c>
      <c r="I1327">
        <v>1</v>
      </c>
    </row>
    <row r="1328" spans="1:9" x14ac:dyDescent="0.25">
      <c r="A1328">
        <v>1327</v>
      </c>
      <c r="B1328" s="40" t="s">
        <v>1014</v>
      </c>
      <c r="C1328" s="40" t="s">
        <v>1346</v>
      </c>
      <c r="D1328">
        <v>10</v>
      </c>
      <c r="E1328">
        <v>1121.5</v>
      </c>
      <c r="F1328">
        <v>2243</v>
      </c>
      <c r="G1328">
        <v>1345.8</v>
      </c>
      <c r="H1328">
        <v>1</v>
      </c>
      <c r="I1328">
        <v>1</v>
      </c>
    </row>
    <row r="1329" spans="1:9" x14ac:dyDescent="0.25">
      <c r="A1329">
        <v>1328</v>
      </c>
      <c r="B1329" s="40" t="s">
        <v>1014</v>
      </c>
      <c r="C1329" s="40" t="s">
        <v>1303</v>
      </c>
      <c r="D1329">
        <v>10</v>
      </c>
      <c r="E1329">
        <v>293</v>
      </c>
      <c r="F1329">
        <v>586</v>
      </c>
      <c r="G1329">
        <v>351.59999999999997</v>
      </c>
      <c r="H1329">
        <v>1</v>
      </c>
      <c r="I1329">
        <v>1</v>
      </c>
    </row>
    <row r="1330" spans="1:9" x14ac:dyDescent="0.25">
      <c r="A1330">
        <v>1329</v>
      </c>
      <c r="B1330" s="40" t="s">
        <v>1014</v>
      </c>
      <c r="C1330" s="40" t="s">
        <v>1347</v>
      </c>
      <c r="D1330">
        <v>10</v>
      </c>
      <c r="E1330">
        <v>194</v>
      </c>
      <c r="F1330">
        <v>388</v>
      </c>
      <c r="G1330">
        <v>232.79999999999998</v>
      </c>
      <c r="H1330">
        <v>1</v>
      </c>
      <c r="I1330">
        <v>1</v>
      </c>
    </row>
    <row r="1331" spans="1:9" x14ac:dyDescent="0.25">
      <c r="A1331">
        <v>1330</v>
      </c>
      <c r="B1331" s="40" t="s">
        <v>1014</v>
      </c>
      <c r="C1331" s="40" t="s">
        <v>1643</v>
      </c>
      <c r="D1331">
        <v>10</v>
      </c>
      <c r="E1331">
        <v>786</v>
      </c>
      <c r="F1331">
        <v>1572</v>
      </c>
      <c r="G1331">
        <v>943.19999999999993</v>
      </c>
      <c r="H1331">
        <v>1</v>
      </c>
      <c r="I1331">
        <v>1</v>
      </c>
    </row>
    <row r="1332" spans="1:9" x14ac:dyDescent="0.25">
      <c r="A1332">
        <v>1331</v>
      </c>
      <c r="B1332" s="40" t="s">
        <v>1014</v>
      </c>
      <c r="C1332" s="40" t="s">
        <v>1445</v>
      </c>
      <c r="D1332">
        <v>10</v>
      </c>
      <c r="E1332">
        <v>491</v>
      </c>
      <c r="F1332">
        <v>982</v>
      </c>
      <c r="G1332">
        <v>589.19999999999993</v>
      </c>
      <c r="H1332">
        <v>1</v>
      </c>
      <c r="I1332">
        <v>1</v>
      </c>
    </row>
    <row r="1333" spans="1:9" x14ac:dyDescent="0.25">
      <c r="A1333">
        <v>1332</v>
      </c>
      <c r="B1333" s="40" t="s">
        <v>1014</v>
      </c>
      <c r="C1333" s="40" t="s">
        <v>1461</v>
      </c>
      <c r="D1333">
        <v>10</v>
      </c>
      <c r="E1333">
        <v>1466</v>
      </c>
      <c r="F1333">
        <v>2932</v>
      </c>
      <c r="G1333">
        <v>1759.2</v>
      </c>
      <c r="H1333">
        <v>1</v>
      </c>
      <c r="I1333">
        <v>1</v>
      </c>
    </row>
    <row r="1334" spans="1:9" x14ac:dyDescent="0.25">
      <c r="A1334">
        <v>1333</v>
      </c>
      <c r="B1334" s="40" t="s">
        <v>1014</v>
      </c>
      <c r="C1334" s="40" t="s">
        <v>1444</v>
      </c>
      <c r="D1334">
        <v>10</v>
      </c>
      <c r="E1334">
        <v>1103</v>
      </c>
      <c r="F1334">
        <v>2206</v>
      </c>
      <c r="G1334">
        <v>1323.6</v>
      </c>
      <c r="H1334">
        <v>1</v>
      </c>
      <c r="I1334">
        <v>1</v>
      </c>
    </row>
    <row r="1335" spans="1:9" x14ac:dyDescent="0.25">
      <c r="A1335">
        <v>1334</v>
      </c>
      <c r="B1335" s="40" t="s">
        <v>1014</v>
      </c>
      <c r="C1335" s="40" t="s">
        <v>1645</v>
      </c>
      <c r="D1335">
        <v>10</v>
      </c>
      <c r="E1335">
        <v>9209</v>
      </c>
      <c r="F1335">
        <v>18418</v>
      </c>
      <c r="G1335">
        <v>11050.8</v>
      </c>
      <c r="H1335">
        <v>1</v>
      </c>
      <c r="I1335">
        <v>1</v>
      </c>
    </row>
    <row r="1336" spans="1:9" x14ac:dyDescent="0.25">
      <c r="A1336">
        <v>1335</v>
      </c>
      <c r="B1336" s="40" t="s">
        <v>1014</v>
      </c>
      <c r="C1336" s="40" t="s">
        <v>1036</v>
      </c>
      <c r="D1336">
        <v>10</v>
      </c>
      <c r="E1336">
        <v>239.5</v>
      </c>
      <c r="F1336">
        <v>479</v>
      </c>
      <c r="G1336">
        <v>287.39999999999998</v>
      </c>
      <c r="H1336">
        <v>1</v>
      </c>
      <c r="I1336">
        <v>1</v>
      </c>
    </row>
    <row r="1337" spans="1:9" x14ac:dyDescent="0.25">
      <c r="A1337">
        <v>1336</v>
      </c>
      <c r="B1337" s="40" t="s">
        <v>1014</v>
      </c>
      <c r="C1337" s="40" t="s">
        <v>1460</v>
      </c>
      <c r="D1337">
        <v>10</v>
      </c>
      <c r="E1337">
        <v>226</v>
      </c>
      <c r="F1337">
        <v>452</v>
      </c>
      <c r="G1337">
        <v>271.2</v>
      </c>
      <c r="H1337">
        <v>1</v>
      </c>
      <c r="I1337">
        <v>1</v>
      </c>
    </row>
    <row r="1338" spans="1:9" x14ac:dyDescent="0.25">
      <c r="A1338">
        <v>1337</v>
      </c>
      <c r="B1338" s="40" t="s">
        <v>1014</v>
      </c>
      <c r="C1338" s="40" t="s">
        <v>1301</v>
      </c>
      <c r="D1338">
        <v>10</v>
      </c>
      <c r="E1338">
        <v>205.5</v>
      </c>
      <c r="F1338">
        <v>411</v>
      </c>
      <c r="G1338">
        <v>246.6</v>
      </c>
      <c r="H1338">
        <v>1</v>
      </c>
      <c r="I1338">
        <v>1</v>
      </c>
    </row>
    <row r="1339" spans="1:9" x14ac:dyDescent="0.25">
      <c r="A1339">
        <v>1338</v>
      </c>
      <c r="B1339" s="40" t="s">
        <v>1014</v>
      </c>
      <c r="C1339" s="40" t="s">
        <v>1459</v>
      </c>
      <c r="D1339">
        <v>10</v>
      </c>
      <c r="E1339">
        <v>918.5</v>
      </c>
      <c r="F1339">
        <v>1837</v>
      </c>
      <c r="G1339">
        <v>1102.2</v>
      </c>
      <c r="H1339">
        <v>1</v>
      </c>
      <c r="I1339">
        <v>1</v>
      </c>
    </row>
    <row r="1340" spans="1:9" x14ac:dyDescent="0.25">
      <c r="A1340">
        <v>1339</v>
      </c>
      <c r="B1340" s="40" t="s">
        <v>1014</v>
      </c>
      <c r="C1340" s="40" t="s">
        <v>1041</v>
      </c>
      <c r="D1340">
        <v>10</v>
      </c>
      <c r="E1340">
        <v>332</v>
      </c>
      <c r="F1340">
        <v>664</v>
      </c>
      <c r="G1340">
        <v>398.4</v>
      </c>
      <c r="H1340">
        <v>1</v>
      </c>
      <c r="I1340">
        <v>1</v>
      </c>
    </row>
    <row r="1341" spans="1:9" x14ac:dyDescent="0.25">
      <c r="A1341">
        <v>1340</v>
      </c>
      <c r="B1341" s="40" t="s">
        <v>1014</v>
      </c>
      <c r="C1341" s="40" t="s">
        <v>1042</v>
      </c>
      <c r="D1341">
        <v>10</v>
      </c>
      <c r="E1341">
        <v>675</v>
      </c>
      <c r="F1341">
        <v>1350</v>
      </c>
      <c r="G1341">
        <v>810</v>
      </c>
      <c r="H1341">
        <v>1</v>
      </c>
      <c r="I1341">
        <v>1</v>
      </c>
    </row>
    <row r="1342" spans="1:9" x14ac:dyDescent="0.25">
      <c r="A1342">
        <v>1341</v>
      </c>
      <c r="B1342" s="40" t="s">
        <v>1014</v>
      </c>
      <c r="C1342" s="40" t="s">
        <v>1043</v>
      </c>
      <c r="D1342">
        <v>10</v>
      </c>
      <c r="E1342">
        <v>170.5</v>
      </c>
      <c r="F1342">
        <v>341</v>
      </c>
      <c r="G1342">
        <v>204.6</v>
      </c>
      <c r="H1342">
        <v>1</v>
      </c>
      <c r="I1342">
        <v>1</v>
      </c>
    </row>
    <row r="1343" spans="1:9" x14ac:dyDescent="0.25">
      <c r="A1343">
        <v>1342</v>
      </c>
      <c r="B1343" s="40" t="s">
        <v>1014</v>
      </c>
      <c r="C1343" s="40" t="s">
        <v>1050</v>
      </c>
      <c r="D1343">
        <v>10</v>
      </c>
      <c r="E1343">
        <v>307</v>
      </c>
      <c r="F1343">
        <v>614</v>
      </c>
      <c r="G1343">
        <v>368.4</v>
      </c>
      <c r="H1343">
        <v>1</v>
      </c>
      <c r="I1343">
        <v>1</v>
      </c>
    </row>
    <row r="1344" spans="1:9" x14ac:dyDescent="0.25">
      <c r="A1344">
        <v>1343</v>
      </c>
      <c r="B1344" s="40" t="s">
        <v>1014</v>
      </c>
      <c r="C1344" s="40" t="s">
        <v>1340</v>
      </c>
      <c r="D1344">
        <v>10</v>
      </c>
      <c r="E1344">
        <v>639</v>
      </c>
      <c r="F1344">
        <v>1278</v>
      </c>
      <c r="G1344">
        <v>766.8</v>
      </c>
      <c r="H1344">
        <v>1</v>
      </c>
      <c r="I1344">
        <v>1</v>
      </c>
    </row>
    <row r="1345" spans="1:9" x14ac:dyDescent="0.25">
      <c r="A1345">
        <v>1344</v>
      </c>
      <c r="B1345" s="40" t="s">
        <v>1014</v>
      </c>
      <c r="C1345" s="40" t="s">
        <v>1046</v>
      </c>
      <c r="D1345">
        <v>10</v>
      </c>
      <c r="E1345">
        <v>433</v>
      </c>
      <c r="F1345">
        <v>866</v>
      </c>
      <c r="G1345">
        <v>519.6</v>
      </c>
      <c r="H1345">
        <v>1</v>
      </c>
      <c r="I1345">
        <v>1</v>
      </c>
    </row>
    <row r="1346" spans="1:9" x14ac:dyDescent="0.25">
      <c r="A1346">
        <v>1345</v>
      </c>
      <c r="B1346" s="40" t="s">
        <v>1014</v>
      </c>
      <c r="C1346" s="40" t="s">
        <v>1304</v>
      </c>
      <c r="D1346">
        <v>10</v>
      </c>
      <c r="E1346">
        <v>39.67</v>
      </c>
      <c r="F1346">
        <v>79.34</v>
      </c>
      <c r="G1346">
        <v>47.603999999999999</v>
      </c>
      <c r="H1346">
        <v>1</v>
      </c>
      <c r="I1346">
        <v>1</v>
      </c>
    </row>
    <row r="1347" spans="1:9" x14ac:dyDescent="0.25">
      <c r="A1347">
        <v>1346</v>
      </c>
      <c r="B1347" s="40" t="s">
        <v>1014</v>
      </c>
      <c r="C1347" s="40" t="s">
        <v>1305</v>
      </c>
      <c r="D1347">
        <v>10</v>
      </c>
      <c r="E1347">
        <v>37.5</v>
      </c>
      <c r="F1347">
        <v>75</v>
      </c>
      <c r="G1347">
        <v>45</v>
      </c>
      <c r="H1347">
        <v>1</v>
      </c>
      <c r="I1347">
        <v>1</v>
      </c>
    </row>
    <row r="1348" spans="1:9" x14ac:dyDescent="0.25">
      <c r="A1348">
        <v>1347</v>
      </c>
      <c r="B1348" s="40" t="s">
        <v>1014</v>
      </c>
      <c r="C1348" s="40" t="s">
        <v>1306</v>
      </c>
      <c r="D1348">
        <v>10</v>
      </c>
      <c r="E1348">
        <v>21.9</v>
      </c>
      <c r="F1348">
        <v>43.8</v>
      </c>
      <c r="G1348">
        <v>26.279999999999998</v>
      </c>
      <c r="H1348">
        <v>1</v>
      </c>
      <c r="I1348">
        <v>1</v>
      </c>
    </row>
    <row r="1349" spans="1:9" x14ac:dyDescent="0.25">
      <c r="A1349">
        <v>1348</v>
      </c>
      <c r="B1349" s="40" t="s">
        <v>1014</v>
      </c>
      <c r="C1349" s="40" t="s">
        <v>1048</v>
      </c>
      <c r="D1349">
        <v>10</v>
      </c>
      <c r="E1349">
        <v>690.36</v>
      </c>
      <c r="F1349">
        <v>1569</v>
      </c>
      <c r="G1349">
        <v>847.2600000000001</v>
      </c>
      <c r="H1349">
        <v>1</v>
      </c>
      <c r="I1349">
        <v>1</v>
      </c>
    </row>
    <row r="1350" spans="1:9" x14ac:dyDescent="0.25">
      <c r="A1350">
        <v>1349</v>
      </c>
      <c r="B1350" s="40" t="s">
        <v>1014</v>
      </c>
      <c r="C1350" s="40" t="s">
        <v>1049</v>
      </c>
      <c r="D1350">
        <v>10</v>
      </c>
      <c r="E1350">
        <v>392</v>
      </c>
      <c r="F1350">
        <v>784</v>
      </c>
      <c r="G1350">
        <v>470.4</v>
      </c>
      <c r="H1350">
        <v>1</v>
      </c>
      <c r="I1350">
        <v>1</v>
      </c>
    </row>
    <row r="1351" spans="1:9" x14ac:dyDescent="0.25">
      <c r="A1351">
        <v>1350</v>
      </c>
      <c r="B1351" s="40" t="s">
        <v>1014</v>
      </c>
      <c r="C1351" s="40" t="s">
        <v>1341</v>
      </c>
      <c r="D1351">
        <v>10</v>
      </c>
      <c r="E1351">
        <v>416.5</v>
      </c>
      <c r="F1351">
        <v>833</v>
      </c>
      <c r="G1351">
        <v>499.79999999999995</v>
      </c>
      <c r="H1351">
        <v>1</v>
      </c>
      <c r="I1351">
        <v>1</v>
      </c>
    </row>
    <row r="1352" spans="1:9" x14ac:dyDescent="0.25">
      <c r="A1352">
        <v>1351</v>
      </c>
      <c r="B1352" s="40" t="s">
        <v>1014</v>
      </c>
      <c r="C1352" s="40" t="s">
        <v>1342</v>
      </c>
      <c r="D1352">
        <v>10</v>
      </c>
      <c r="E1352">
        <v>400.5</v>
      </c>
      <c r="F1352">
        <v>801</v>
      </c>
      <c r="G1352">
        <v>480.59999999999997</v>
      </c>
      <c r="H1352">
        <v>1</v>
      </c>
      <c r="I1352">
        <v>1</v>
      </c>
    </row>
    <row r="1353" spans="1:9" x14ac:dyDescent="0.25">
      <c r="A1353">
        <v>1352</v>
      </c>
      <c r="B1353" s="40" t="s">
        <v>1014</v>
      </c>
      <c r="C1353" s="40" t="s">
        <v>1299</v>
      </c>
      <c r="D1353">
        <v>10</v>
      </c>
      <c r="E1353">
        <v>74.5</v>
      </c>
      <c r="F1353">
        <v>149</v>
      </c>
      <c r="G1353">
        <v>89.399999999999991</v>
      </c>
      <c r="H1353">
        <v>1</v>
      </c>
      <c r="I1353">
        <v>1</v>
      </c>
    </row>
    <row r="1354" spans="1:9" x14ac:dyDescent="0.25">
      <c r="A1354">
        <v>1353</v>
      </c>
      <c r="B1354" s="40" t="s">
        <v>1014</v>
      </c>
      <c r="C1354" s="40" t="s">
        <v>1300</v>
      </c>
      <c r="D1354">
        <v>10</v>
      </c>
      <c r="E1354">
        <v>98</v>
      </c>
      <c r="F1354">
        <v>196</v>
      </c>
      <c r="G1354">
        <v>117.6</v>
      </c>
      <c r="H1354">
        <v>1</v>
      </c>
      <c r="I1354">
        <v>1</v>
      </c>
    </row>
    <row r="1355" spans="1:9" x14ac:dyDescent="0.25">
      <c r="A1355">
        <v>1354</v>
      </c>
      <c r="B1355" s="40" t="s">
        <v>1014</v>
      </c>
      <c r="C1355" s="40" t="s">
        <v>1051</v>
      </c>
      <c r="D1355">
        <v>10</v>
      </c>
      <c r="E1355">
        <v>119</v>
      </c>
      <c r="F1355">
        <v>238</v>
      </c>
      <c r="G1355">
        <v>142.79999999999998</v>
      </c>
      <c r="H1355">
        <v>1</v>
      </c>
      <c r="I1355">
        <v>1</v>
      </c>
    </row>
    <row r="1356" spans="1:9" x14ac:dyDescent="0.25">
      <c r="A1356">
        <v>1355</v>
      </c>
      <c r="B1356" s="40" t="s">
        <v>1014</v>
      </c>
      <c r="C1356" s="40" t="s">
        <v>1054</v>
      </c>
      <c r="D1356">
        <v>10</v>
      </c>
      <c r="E1356">
        <v>1469.5</v>
      </c>
      <c r="F1356">
        <v>2939</v>
      </c>
      <c r="G1356">
        <v>1763.3999999999999</v>
      </c>
      <c r="H1356">
        <v>1</v>
      </c>
      <c r="I1356">
        <v>1</v>
      </c>
    </row>
    <row r="1357" spans="1:9" x14ac:dyDescent="0.25">
      <c r="A1357">
        <v>1356</v>
      </c>
      <c r="B1357" s="40" t="s">
        <v>1014</v>
      </c>
      <c r="C1357" s="40" t="s">
        <v>1055</v>
      </c>
      <c r="D1357">
        <v>10</v>
      </c>
      <c r="E1357">
        <v>353.5</v>
      </c>
      <c r="F1357">
        <v>707</v>
      </c>
      <c r="G1357">
        <v>424.2</v>
      </c>
      <c r="H1357">
        <v>1</v>
      </c>
      <c r="I1357">
        <v>1</v>
      </c>
    </row>
    <row r="1358" spans="1:9" x14ac:dyDescent="0.25">
      <c r="A1358">
        <v>1357</v>
      </c>
      <c r="B1358" s="40" t="s">
        <v>1014</v>
      </c>
      <c r="C1358" s="40" t="s">
        <v>1056</v>
      </c>
      <c r="D1358">
        <v>10</v>
      </c>
      <c r="E1358">
        <v>1768.5</v>
      </c>
      <c r="F1358">
        <v>3537</v>
      </c>
      <c r="G1358">
        <v>2122.1999999999998</v>
      </c>
      <c r="H1358">
        <v>1</v>
      </c>
      <c r="I1358">
        <v>1</v>
      </c>
    </row>
    <row r="1359" spans="1:9" x14ac:dyDescent="0.25">
      <c r="A1359">
        <v>1358</v>
      </c>
      <c r="B1359" s="40" t="s">
        <v>1014</v>
      </c>
      <c r="C1359" s="40" t="s">
        <v>1057</v>
      </c>
      <c r="D1359">
        <v>10</v>
      </c>
      <c r="E1359">
        <v>447.5</v>
      </c>
      <c r="F1359">
        <v>895</v>
      </c>
      <c r="G1359">
        <v>537</v>
      </c>
      <c r="H1359">
        <v>1</v>
      </c>
      <c r="I1359">
        <v>1</v>
      </c>
    </row>
    <row r="1360" spans="1:9" x14ac:dyDescent="0.25">
      <c r="A1360">
        <v>1359</v>
      </c>
      <c r="B1360" s="40" t="s">
        <v>1014</v>
      </c>
      <c r="C1360" s="40" t="s">
        <v>1343</v>
      </c>
      <c r="D1360">
        <v>10</v>
      </c>
      <c r="E1360">
        <v>3017.5</v>
      </c>
      <c r="F1360">
        <v>6035</v>
      </c>
      <c r="G1360">
        <v>3621</v>
      </c>
      <c r="H1360">
        <v>1</v>
      </c>
      <c r="I1360">
        <v>1</v>
      </c>
    </row>
    <row r="1361" spans="1:9" x14ac:dyDescent="0.25">
      <c r="A1361">
        <v>1360</v>
      </c>
      <c r="B1361" s="40" t="s">
        <v>1014</v>
      </c>
      <c r="C1361" s="40" t="s">
        <v>1644</v>
      </c>
      <c r="D1361">
        <v>10</v>
      </c>
      <c r="E1361">
        <v>443.5</v>
      </c>
      <c r="F1361">
        <v>887</v>
      </c>
      <c r="G1361">
        <v>532.19999999999993</v>
      </c>
      <c r="H1361">
        <v>1</v>
      </c>
      <c r="I1361">
        <v>1</v>
      </c>
    </row>
    <row r="1362" spans="1:9" x14ac:dyDescent="0.25">
      <c r="A1362">
        <v>1361</v>
      </c>
      <c r="B1362" s="40" t="s">
        <v>1060</v>
      </c>
      <c r="C1362" s="40" t="s">
        <v>1061</v>
      </c>
      <c r="D1362">
        <v>10</v>
      </c>
      <c r="E1362">
        <v>70</v>
      </c>
      <c r="F1362">
        <v>140</v>
      </c>
      <c r="G1362">
        <v>84</v>
      </c>
      <c r="H1362">
        <v>1</v>
      </c>
      <c r="I1362">
        <v>1</v>
      </c>
    </row>
    <row r="1363" spans="1:9" x14ac:dyDescent="0.25">
      <c r="A1363">
        <v>1362</v>
      </c>
      <c r="B1363" s="40" t="s">
        <v>1060</v>
      </c>
      <c r="C1363" s="40" t="s">
        <v>1062</v>
      </c>
      <c r="D1363">
        <v>10</v>
      </c>
      <c r="E1363">
        <v>307.5</v>
      </c>
      <c r="F1363">
        <v>615</v>
      </c>
      <c r="G1363">
        <v>369</v>
      </c>
      <c r="H1363">
        <v>1</v>
      </c>
      <c r="I1363">
        <v>1</v>
      </c>
    </row>
    <row r="1364" spans="1:9" x14ac:dyDescent="0.25">
      <c r="A1364">
        <v>1363</v>
      </c>
      <c r="B1364" s="40" t="s">
        <v>1060</v>
      </c>
      <c r="C1364" s="40" t="s">
        <v>1063</v>
      </c>
      <c r="D1364">
        <v>10</v>
      </c>
      <c r="E1364">
        <v>71</v>
      </c>
      <c r="F1364">
        <v>142</v>
      </c>
      <c r="G1364">
        <v>85.2</v>
      </c>
      <c r="H1364">
        <v>1</v>
      </c>
      <c r="I1364">
        <v>1</v>
      </c>
    </row>
    <row r="1365" spans="1:9" x14ac:dyDescent="0.25">
      <c r="A1365">
        <v>1364</v>
      </c>
      <c r="B1365" s="40" t="s">
        <v>1060</v>
      </c>
      <c r="C1365" s="40" t="s">
        <v>1064</v>
      </c>
      <c r="D1365">
        <v>10</v>
      </c>
      <c r="E1365">
        <v>79</v>
      </c>
      <c r="F1365">
        <v>158</v>
      </c>
      <c r="G1365">
        <v>94.8</v>
      </c>
      <c r="H1365">
        <v>1</v>
      </c>
      <c r="I1365">
        <v>1</v>
      </c>
    </row>
    <row r="1366" spans="1:9" x14ac:dyDescent="0.25">
      <c r="A1366">
        <v>1365</v>
      </c>
      <c r="B1366" s="40" t="s">
        <v>1060</v>
      </c>
      <c r="C1366" s="40" t="s">
        <v>1065</v>
      </c>
      <c r="D1366">
        <v>10</v>
      </c>
      <c r="E1366">
        <v>66</v>
      </c>
      <c r="F1366">
        <v>132</v>
      </c>
      <c r="G1366">
        <v>79.2</v>
      </c>
      <c r="H1366">
        <v>1</v>
      </c>
      <c r="I1366">
        <v>1</v>
      </c>
    </row>
    <row r="1367" spans="1:9" x14ac:dyDescent="0.25">
      <c r="A1367">
        <v>1366</v>
      </c>
      <c r="B1367" s="40" t="s">
        <v>1060</v>
      </c>
      <c r="C1367" s="40" t="s">
        <v>1066</v>
      </c>
      <c r="D1367">
        <v>10</v>
      </c>
      <c r="E1367">
        <v>86</v>
      </c>
      <c r="F1367">
        <v>172</v>
      </c>
      <c r="G1367">
        <v>103.2</v>
      </c>
      <c r="H1367">
        <v>1</v>
      </c>
      <c r="I1367">
        <v>1</v>
      </c>
    </row>
    <row r="1368" spans="1:9" x14ac:dyDescent="0.25">
      <c r="A1368">
        <v>1367</v>
      </c>
      <c r="B1368" s="40" t="s">
        <v>1060</v>
      </c>
      <c r="C1368" s="40" t="s">
        <v>1067</v>
      </c>
      <c r="D1368">
        <v>10</v>
      </c>
      <c r="E1368">
        <v>42.5</v>
      </c>
      <c r="F1368">
        <v>85</v>
      </c>
      <c r="G1368">
        <v>51</v>
      </c>
      <c r="H1368">
        <v>1</v>
      </c>
      <c r="I1368">
        <v>1</v>
      </c>
    </row>
    <row r="1369" spans="1:9" x14ac:dyDescent="0.25">
      <c r="A1369">
        <v>1368</v>
      </c>
      <c r="B1369" s="40" t="s">
        <v>1060</v>
      </c>
      <c r="C1369" s="40" t="s">
        <v>1068</v>
      </c>
      <c r="D1369">
        <v>10</v>
      </c>
      <c r="E1369">
        <v>41</v>
      </c>
      <c r="F1369">
        <v>82</v>
      </c>
      <c r="G1369">
        <v>49.199999999999996</v>
      </c>
      <c r="H1369">
        <v>1</v>
      </c>
      <c r="I1369">
        <v>1</v>
      </c>
    </row>
    <row r="1370" spans="1:9" x14ac:dyDescent="0.25">
      <c r="A1370">
        <v>1369</v>
      </c>
      <c r="B1370" s="40" t="s">
        <v>1060</v>
      </c>
      <c r="C1370" s="40" t="s">
        <v>1069</v>
      </c>
      <c r="D1370">
        <v>10</v>
      </c>
      <c r="E1370">
        <v>48.5</v>
      </c>
      <c r="F1370">
        <v>97</v>
      </c>
      <c r="G1370">
        <v>58.199999999999996</v>
      </c>
      <c r="H1370">
        <v>1</v>
      </c>
      <c r="I1370">
        <v>1</v>
      </c>
    </row>
    <row r="1371" spans="1:9" x14ac:dyDescent="0.25">
      <c r="A1371">
        <v>1370</v>
      </c>
      <c r="B1371" s="40" t="s">
        <v>1060</v>
      </c>
      <c r="C1371" s="40" t="s">
        <v>1070</v>
      </c>
      <c r="D1371">
        <v>10</v>
      </c>
      <c r="E1371">
        <v>109.5</v>
      </c>
      <c r="F1371">
        <v>219</v>
      </c>
      <c r="G1371">
        <v>131.4</v>
      </c>
      <c r="H1371">
        <v>1</v>
      </c>
      <c r="I1371">
        <v>1</v>
      </c>
    </row>
    <row r="1372" spans="1:9" x14ac:dyDescent="0.25">
      <c r="A1372">
        <v>1371</v>
      </c>
      <c r="B1372" s="40" t="s">
        <v>1071</v>
      </c>
      <c r="C1372" s="40" t="s">
        <v>1072</v>
      </c>
      <c r="D1372">
        <v>10</v>
      </c>
      <c r="E1372">
        <v>57.64</v>
      </c>
      <c r="F1372">
        <v>131</v>
      </c>
      <c r="G1372">
        <v>70.740000000000009</v>
      </c>
      <c r="H1372">
        <v>1</v>
      </c>
      <c r="I1372">
        <v>1</v>
      </c>
    </row>
    <row r="1373" spans="1:9" x14ac:dyDescent="0.25">
      <c r="A1373">
        <v>1372</v>
      </c>
      <c r="B1373" s="40" t="s">
        <v>1071</v>
      </c>
      <c r="C1373" s="40" t="s">
        <v>1073</v>
      </c>
      <c r="D1373">
        <v>10</v>
      </c>
      <c r="E1373">
        <v>146.52000000000001</v>
      </c>
      <c r="F1373">
        <v>333</v>
      </c>
      <c r="G1373">
        <v>179.82000000000002</v>
      </c>
      <c r="H1373">
        <v>1</v>
      </c>
      <c r="I1373">
        <v>1</v>
      </c>
    </row>
    <row r="1374" spans="1:9" x14ac:dyDescent="0.25">
      <c r="A1374">
        <v>1373</v>
      </c>
      <c r="B1374" s="40" t="s">
        <v>1071</v>
      </c>
      <c r="C1374" s="40" t="s">
        <v>1074</v>
      </c>
      <c r="D1374">
        <v>10</v>
      </c>
      <c r="E1374">
        <v>265.76</v>
      </c>
      <c r="F1374">
        <v>604</v>
      </c>
      <c r="G1374">
        <v>326.16000000000003</v>
      </c>
      <c r="H1374">
        <v>1</v>
      </c>
      <c r="I1374">
        <v>1</v>
      </c>
    </row>
    <row r="1375" spans="1:9" x14ac:dyDescent="0.25">
      <c r="A1375">
        <v>1374</v>
      </c>
      <c r="B1375" s="40" t="s">
        <v>1071</v>
      </c>
      <c r="C1375" s="40" t="s">
        <v>1075</v>
      </c>
      <c r="D1375">
        <v>10</v>
      </c>
      <c r="E1375">
        <v>521.4</v>
      </c>
      <c r="F1375">
        <v>1185</v>
      </c>
      <c r="G1375">
        <v>639.90000000000009</v>
      </c>
      <c r="H1375">
        <v>1</v>
      </c>
      <c r="I1375">
        <v>1</v>
      </c>
    </row>
    <row r="1376" spans="1:9" x14ac:dyDescent="0.25">
      <c r="A1376">
        <v>1375</v>
      </c>
      <c r="B1376" s="40" t="s">
        <v>1071</v>
      </c>
      <c r="C1376" s="40" t="s">
        <v>1076</v>
      </c>
      <c r="D1376">
        <v>10</v>
      </c>
      <c r="E1376">
        <v>124.96</v>
      </c>
      <c r="F1376">
        <v>284</v>
      </c>
      <c r="G1376">
        <v>153.36000000000001</v>
      </c>
      <c r="H1376">
        <v>1</v>
      </c>
      <c r="I1376">
        <v>1</v>
      </c>
    </row>
    <row r="1377" spans="1:9" x14ac:dyDescent="0.25">
      <c r="A1377">
        <v>1376</v>
      </c>
      <c r="B1377" s="40" t="s">
        <v>1071</v>
      </c>
      <c r="C1377" s="40" t="s">
        <v>1521</v>
      </c>
      <c r="D1377">
        <v>10</v>
      </c>
      <c r="E1377">
        <v>138.6</v>
      </c>
      <c r="F1377">
        <v>315</v>
      </c>
      <c r="G1377">
        <v>170.10000000000002</v>
      </c>
      <c r="H1377">
        <v>1</v>
      </c>
      <c r="I1377">
        <v>1</v>
      </c>
    </row>
    <row r="1378" spans="1:9" x14ac:dyDescent="0.25">
      <c r="A1378">
        <v>1377</v>
      </c>
      <c r="B1378" s="40" t="s">
        <v>1071</v>
      </c>
      <c r="C1378" s="40" t="s">
        <v>1624</v>
      </c>
      <c r="D1378">
        <v>10</v>
      </c>
      <c r="E1378">
        <v>114.84</v>
      </c>
      <c r="F1378">
        <v>261</v>
      </c>
      <c r="G1378">
        <v>140.94</v>
      </c>
      <c r="H1378">
        <v>1</v>
      </c>
      <c r="I1378">
        <v>1</v>
      </c>
    </row>
    <row r="1379" spans="1:9" x14ac:dyDescent="0.25">
      <c r="A1379">
        <v>1378</v>
      </c>
      <c r="B1379" s="40" t="s">
        <v>1071</v>
      </c>
      <c r="C1379" s="40" t="s">
        <v>1224</v>
      </c>
      <c r="D1379">
        <v>10</v>
      </c>
      <c r="E1379">
        <v>381.04</v>
      </c>
      <c r="F1379">
        <v>866</v>
      </c>
      <c r="G1379">
        <v>467.64000000000004</v>
      </c>
      <c r="H1379">
        <v>1</v>
      </c>
      <c r="I1379">
        <v>1</v>
      </c>
    </row>
    <row r="1380" spans="1:9" x14ac:dyDescent="0.25">
      <c r="A1380">
        <v>1379</v>
      </c>
      <c r="B1380" s="40" t="s">
        <v>1071</v>
      </c>
      <c r="C1380" s="40" t="s">
        <v>1077</v>
      </c>
      <c r="D1380">
        <v>10</v>
      </c>
      <c r="E1380">
        <v>298.32</v>
      </c>
      <c r="F1380">
        <v>678</v>
      </c>
      <c r="G1380">
        <v>366.12</v>
      </c>
      <c r="H1380">
        <v>1</v>
      </c>
      <c r="I1380">
        <v>1</v>
      </c>
    </row>
    <row r="1381" spans="1:9" x14ac:dyDescent="0.25">
      <c r="A1381">
        <v>1380</v>
      </c>
      <c r="B1381" s="40" t="s">
        <v>1071</v>
      </c>
      <c r="C1381" s="40" t="s">
        <v>1225</v>
      </c>
      <c r="D1381">
        <v>10</v>
      </c>
      <c r="E1381">
        <v>61.160000000000004</v>
      </c>
      <c r="F1381">
        <v>139</v>
      </c>
      <c r="G1381">
        <v>75.06</v>
      </c>
      <c r="H1381">
        <v>1</v>
      </c>
      <c r="I1381">
        <v>1</v>
      </c>
    </row>
    <row r="1382" spans="1:9" x14ac:dyDescent="0.25">
      <c r="A1382">
        <v>1381</v>
      </c>
      <c r="B1382" s="40" t="s">
        <v>1071</v>
      </c>
      <c r="C1382" s="40" t="s">
        <v>1079</v>
      </c>
      <c r="D1382">
        <v>10</v>
      </c>
      <c r="E1382">
        <v>99.44</v>
      </c>
      <c r="F1382">
        <v>226</v>
      </c>
      <c r="G1382">
        <v>122.04</v>
      </c>
      <c r="H1382">
        <v>1</v>
      </c>
      <c r="I1382">
        <v>1</v>
      </c>
    </row>
    <row r="1383" spans="1:9" x14ac:dyDescent="0.25">
      <c r="A1383">
        <v>1382</v>
      </c>
      <c r="B1383" s="40" t="s">
        <v>1071</v>
      </c>
      <c r="C1383" s="40" t="s">
        <v>1078</v>
      </c>
      <c r="D1383">
        <v>10</v>
      </c>
      <c r="E1383">
        <v>142.12</v>
      </c>
      <c r="F1383">
        <v>323</v>
      </c>
      <c r="G1383">
        <v>174.42000000000002</v>
      </c>
      <c r="H1383">
        <v>1</v>
      </c>
      <c r="I1383">
        <v>1</v>
      </c>
    </row>
    <row r="1384" spans="1:9" x14ac:dyDescent="0.25">
      <c r="A1384">
        <v>1383</v>
      </c>
      <c r="B1384" s="40" t="s">
        <v>1071</v>
      </c>
      <c r="C1384" s="40" t="s">
        <v>1080</v>
      </c>
      <c r="D1384">
        <v>10</v>
      </c>
      <c r="E1384">
        <v>254.76</v>
      </c>
      <c r="F1384">
        <v>579</v>
      </c>
      <c r="G1384">
        <v>312.66000000000003</v>
      </c>
      <c r="H1384">
        <v>1</v>
      </c>
      <c r="I1384">
        <v>1</v>
      </c>
    </row>
    <row r="1385" spans="1:9" x14ac:dyDescent="0.25">
      <c r="A1385">
        <v>1384</v>
      </c>
      <c r="B1385" s="40" t="s">
        <v>1071</v>
      </c>
      <c r="C1385" s="40" t="s">
        <v>1081</v>
      </c>
      <c r="D1385">
        <v>10</v>
      </c>
      <c r="E1385">
        <v>103.4</v>
      </c>
      <c r="F1385">
        <v>235</v>
      </c>
      <c r="G1385">
        <v>126.9</v>
      </c>
      <c r="H1385">
        <v>1</v>
      </c>
      <c r="I1385">
        <v>1</v>
      </c>
    </row>
    <row r="1386" spans="1:9" x14ac:dyDescent="0.25">
      <c r="A1386">
        <v>1385</v>
      </c>
      <c r="B1386" s="40" t="s">
        <v>1071</v>
      </c>
      <c r="C1386" s="40" t="s">
        <v>1082</v>
      </c>
      <c r="D1386">
        <v>10</v>
      </c>
      <c r="E1386">
        <v>361.24</v>
      </c>
      <c r="F1386">
        <v>821</v>
      </c>
      <c r="G1386">
        <v>443.34000000000003</v>
      </c>
      <c r="H1386">
        <v>1</v>
      </c>
      <c r="I1386">
        <v>1</v>
      </c>
    </row>
    <row r="1387" spans="1:9" x14ac:dyDescent="0.25">
      <c r="A1387">
        <v>1386</v>
      </c>
      <c r="B1387" s="40" t="s">
        <v>1071</v>
      </c>
      <c r="C1387" s="40" t="s">
        <v>1226</v>
      </c>
      <c r="D1387">
        <v>10</v>
      </c>
      <c r="E1387">
        <v>155.76</v>
      </c>
      <c r="F1387">
        <v>354</v>
      </c>
      <c r="G1387">
        <v>191.16000000000003</v>
      </c>
      <c r="H1387">
        <v>1</v>
      </c>
      <c r="I1387">
        <v>1</v>
      </c>
    </row>
    <row r="1388" spans="1:9" x14ac:dyDescent="0.25">
      <c r="A1388">
        <v>1387</v>
      </c>
      <c r="B1388" s="40" t="s">
        <v>1071</v>
      </c>
      <c r="C1388" s="40" t="s">
        <v>1227</v>
      </c>
      <c r="D1388">
        <v>10</v>
      </c>
      <c r="E1388">
        <v>84.48</v>
      </c>
      <c r="F1388">
        <v>192</v>
      </c>
      <c r="G1388">
        <v>103.68</v>
      </c>
      <c r="H1388">
        <v>1</v>
      </c>
      <c r="I1388">
        <v>1</v>
      </c>
    </row>
    <row r="1389" spans="1:9" x14ac:dyDescent="0.25">
      <c r="A1389">
        <v>1388</v>
      </c>
      <c r="B1389" s="40" t="s">
        <v>1071</v>
      </c>
      <c r="C1389" s="40" t="s">
        <v>1228</v>
      </c>
      <c r="D1389">
        <v>10</v>
      </c>
      <c r="E1389">
        <v>139.47999999999999</v>
      </c>
      <c r="F1389">
        <v>317</v>
      </c>
      <c r="G1389">
        <v>171.18</v>
      </c>
      <c r="H1389">
        <v>1</v>
      </c>
      <c r="I1389">
        <v>1</v>
      </c>
    </row>
    <row r="1390" spans="1:9" x14ac:dyDescent="0.25">
      <c r="A1390">
        <v>1389</v>
      </c>
      <c r="B1390" s="40" t="s">
        <v>1071</v>
      </c>
      <c r="C1390" s="40" t="s">
        <v>1229</v>
      </c>
      <c r="D1390">
        <v>10</v>
      </c>
      <c r="E1390">
        <v>243.32</v>
      </c>
      <c r="F1390">
        <v>553</v>
      </c>
      <c r="G1390">
        <v>298.62</v>
      </c>
      <c r="H1390">
        <v>1</v>
      </c>
      <c r="I1390">
        <v>1</v>
      </c>
    </row>
    <row r="1391" spans="1:9" x14ac:dyDescent="0.25">
      <c r="A1391">
        <v>1390</v>
      </c>
      <c r="B1391" s="40" t="s">
        <v>1071</v>
      </c>
      <c r="C1391" s="40" t="s">
        <v>1230</v>
      </c>
      <c r="D1391">
        <v>10</v>
      </c>
      <c r="E1391">
        <v>417.56</v>
      </c>
      <c r="F1391">
        <v>949</v>
      </c>
      <c r="G1391">
        <v>512.46</v>
      </c>
      <c r="H1391">
        <v>1</v>
      </c>
      <c r="I1391">
        <v>1</v>
      </c>
    </row>
    <row r="1392" spans="1:9" x14ac:dyDescent="0.25">
      <c r="A1392">
        <v>1391</v>
      </c>
      <c r="B1392" s="40" t="s">
        <v>1071</v>
      </c>
      <c r="C1392" s="40" t="s">
        <v>1083</v>
      </c>
      <c r="D1392">
        <v>10</v>
      </c>
      <c r="E1392">
        <v>108.68</v>
      </c>
      <c r="F1392">
        <v>247</v>
      </c>
      <c r="G1392">
        <v>133.38</v>
      </c>
      <c r="H1392">
        <v>1</v>
      </c>
      <c r="I1392">
        <v>1</v>
      </c>
    </row>
    <row r="1393" spans="1:9" x14ac:dyDescent="0.25">
      <c r="A1393">
        <v>1392</v>
      </c>
      <c r="B1393" s="40" t="s">
        <v>1084</v>
      </c>
      <c r="C1393" s="40" t="s">
        <v>1085</v>
      </c>
      <c r="D1393">
        <v>10</v>
      </c>
      <c r="E1393">
        <v>146.48999999999998</v>
      </c>
      <c r="F1393">
        <v>257</v>
      </c>
      <c r="G1393">
        <v>172.18999999999997</v>
      </c>
      <c r="H1393">
        <v>1</v>
      </c>
      <c r="I1393">
        <v>1</v>
      </c>
    </row>
    <row r="1394" spans="1:9" x14ac:dyDescent="0.25">
      <c r="A1394">
        <v>1393</v>
      </c>
      <c r="B1394" s="40" t="s">
        <v>1084</v>
      </c>
      <c r="C1394" s="40" t="s">
        <v>1844</v>
      </c>
      <c r="D1394">
        <v>10</v>
      </c>
      <c r="E1394">
        <v>250.79999999999998</v>
      </c>
      <c r="F1394">
        <v>440</v>
      </c>
      <c r="G1394">
        <v>294.79999999999995</v>
      </c>
      <c r="H1394">
        <v>1</v>
      </c>
      <c r="I1394">
        <v>1</v>
      </c>
    </row>
    <row r="1395" spans="1:9" x14ac:dyDescent="0.25">
      <c r="A1395">
        <v>1394</v>
      </c>
      <c r="B1395" s="40" t="s">
        <v>1084</v>
      </c>
      <c r="C1395" s="40" t="s">
        <v>1845</v>
      </c>
      <c r="D1395">
        <v>10</v>
      </c>
      <c r="E1395">
        <v>283.85999999999996</v>
      </c>
      <c r="F1395">
        <v>498</v>
      </c>
      <c r="G1395">
        <v>333.65999999999997</v>
      </c>
      <c r="H1395">
        <v>1</v>
      </c>
      <c r="I1395">
        <v>1</v>
      </c>
    </row>
    <row r="1396" spans="1:9" x14ac:dyDescent="0.25">
      <c r="A1396">
        <v>1395</v>
      </c>
      <c r="B1396" s="40" t="s">
        <v>1084</v>
      </c>
      <c r="C1396" s="40" t="s">
        <v>1141</v>
      </c>
      <c r="D1396">
        <v>10</v>
      </c>
      <c r="E1396">
        <v>520.41</v>
      </c>
      <c r="F1396">
        <v>913</v>
      </c>
      <c r="G1396">
        <v>611.70999999999992</v>
      </c>
      <c r="H1396">
        <v>1</v>
      </c>
      <c r="I1396">
        <v>1</v>
      </c>
    </row>
    <row r="1397" spans="1:9" x14ac:dyDescent="0.25">
      <c r="A1397">
        <v>1396</v>
      </c>
      <c r="B1397" s="40" t="s">
        <v>1084</v>
      </c>
      <c r="C1397" s="40" t="s">
        <v>1833</v>
      </c>
      <c r="D1397">
        <v>10</v>
      </c>
      <c r="E1397">
        <v>2444.16</v>
      </c>
      <c r="F1397">
        <v>4288</v>
      </c>
      <c r="G1397">
        <v>2872.9599999999996</v>
      </c>
      <c r="H1397">
        <v>1</v>
      </c>
      <c r="I1397">
        <v>1</v>
      </c>
    </row>
    <row r="1398" spans="1:9" x14ac:dyDescent="0.25">
      <c r="A1398">
        <v>1397</v>
      </c>
      <c r="B1398" s="40" t="s">
        <v>1084</v>
      </c>
      <c r="C1398" s="40" t="s">
        <v>1834</v>
      </c>
      <c r="D1398">
        <v>10</v>
      </c>
      <c r="E1398">
        <v>1356.6</v>
      </c>
      <c r="F1398">
        <v>2380</v>
      </c>
      <c r="G1398">
        <v>1594.6</v>
      </c>
      <c r="H1398">
        <v>1</v>
      </c>
      <c r="I1398">
        <v>1</v>
      </c>
    </row>
    <row r="1399" spans="1:9" x14ac:dyDescent="0.25">
      <c r="A1399">
        <v>1398</v>
      </c>
      <c r="B1399" s="40" t="s">
        <v>1084</v>
      </c>
      <c r="C1399" s="40" t="s">
        <v>1088</v>
      </c>
      <c r="D1399">
        <v>10</v>
      </c>
      <c r="E1399">
        <v>384.17999999999995</v>
      </c>
      <c r="F1399">
        <v>674</v>
      </c>
      <c r="G1399">
        <v>451.57999999999993</v>
      </c>
      <c r="H1399">
        <v>1</v>
      </c>
      <c r="I1399">
        <v>1</v>
      </c>
    </row>
    <row r="1400" spans="1:9" x14ac:dyDescent="0.25">
      <c r="A1400">
        <v>1399</v>
      </c>
      <c r="B1400" s="40" t="s">
        <v>1084</v>
      </c>
      <c r="C1400" s="40" t="s">
        <v>1835</v>
      </c>
      <c r="D1400">
        <v>10</v>
      </c>
      <c r="E1400">
        <v>87.21</v>
      </c>
      <c r="F1400">
        <v>153</v>
      </c>
      <c r="G1400">
        <v>102.50999999999999</v>
      </c>
      <c r="H1400">
        <v>1</v>
      </c>
      <c r="I1400">
        <v>1</v>
      </c>
    </row>
    <row r="1401" spans="1:9" x14ac:dyDescent="0.25">
      <c r="A1401">
        <v>1400</v>
      </c>
      <c r="B1401" s="40" t="s">
        <v>1084</v>
      </c>
      <c r="C1401" s="40" t="s">
        <v>1092</v>
      </c>
      <c r="D1401">
        <v>10</v>
      </c>
      <c r="E1401">
        <v>97.469999999999985</v>
      </c>
      <c r="F1401">
        <v>171</v>
      </c>
      <c r="G1401">
        <v>114.57</v>
      </c>
      <c r="H1401">
        <v>1</v>
      </c>
      <c r="I1401">
        <v>1</v>
      </c>
    </row>
    <row r="1402" spans="1:9" x14ac:dyDescent="0.25">
      <c r="A1402">
        <v>1401</v>
      </c>
      <c r="B1402" s="40" t="s">
        <v>1084</v>
      </c>
      <c r="C1402" s="40" t="s">
        <v>1093</v>
      </c>
      <c r="D1402">
        <v>10</v>
      </c>
      <c r="E1402">
        <v>200.64</v>
      </c>
      <c r="F1402">
        <v>352</v>
      </c>
      <c r="G1402">
        <v>235.83999999999997</v>
      </c>
      <c r="H1402">
        <v>1</v>
      </c>
      <c r="I1402">
        <v>1</v>
      </c>
    </row>
    <row r="1403" spans="1:9" x14ac:dyDescent="0.25">
      <c r="A1403">
        <v>1402</v>
      </c>
      <c r="B1403" s="40" t="s">
        <v>1084</v>
      </c>
      <c r="C1403" s="40" t="s">
        <v>1146</v>
      </c>
      <c r="D1403">
        <v>10</v>
      </c>
      <c r="E1403">
        <v>1637.04</v>
      </c>
      <c r="F1403">
        <v>2872</v>
      </c>
      <c r="G1403">
        <v>1924.2399999999998</v>
      </c>
      <c r="H1403">
        <v>1</v>
      </c>
      <c r="I1403">
        <v>1</v>
      </c>
    </row>
    <row r="1404" spans="1:9" x14ac:dyDescent="0.25">
      <c r="A1404">
        <v>1403</v>
      </c>
      <c r="B1404" s="40" t="s">
        <v>1084</v>
      </c>
      <c r="C1404" s="40" t="s">
        <v>1096</v>
      </c>
      <c r="D1404">
        <v>10</v>
      </c>
      <c r="E1404">
        <v>285.57</v>
      </c>
      <c r="F1404">
        <v>501</v>
      </c>
      <c r="G1404">
        <v>335.66999999999996</v>
      </c>
      <c r="H1404">
        <v>1</v>
      </c>
      <c r="I1404">
        <v>1</v>
      </c>
    </row>
    <row r="1405" spans="1:9" x14ac:dyDescent="0.25">
      <c r="A1405">
        <v>1404</v>
      </c>
      <c r="B1405" s="40" t="s">
        <v>1084</v>
      </c>
      <c r="C1405" s="40" t="s">
        <v>1097</v>
      </c>
      <c r="D1405">
        <v>10</v>
      </c>
      <c r="E1405">
        <v>186.39</v>
      </c>
      <c r="F1405">
        <v>327</v>
      </c>
      <c r="G1405">
        <v>219.08999999999997</v>
      </c>
      <c r="H1405">
        <v>1</v>
      </c>
      <c r="I1405">
        <v>1</v>
      </c>
    </row>
    <row r="1406" spans="1:9" x14ac:dyDescent="0.25">
      <c r="A1406">
        <v>1405</v>
      </c>
      <c r="B1406" s="40" t="s">
        <v>1084</v>
      </c>
      <c r="C1406" s="40" t="s">
        <v>1098</v>
      </c>
      <c r="D1406">
        <v>10</v>
      </c>
      <c r="E1406">
        <v>111.20699999999999</v>
      </c>
      <c r="F1406">
        <v>195.1</v>
      </c>
      <c r="G1406">
        <v>130.71699999999998</v>
      </c>
      <c r="H1406">
        <v>1</v>
      </c>
      <c r="I1406">
        <v>1</v>
      </c>
    </row>
    <row r="1407" spans="1:9" x14ac:dyDescent="0.25">
      <c r="A1407">
        <v>1406</v>
      </c>
      <c r="B1407" s="40" t="s">
        <v>1084</v>
      </c>
      <c r="C1407" s="40" t="s">
        <v>1099</v>
      </c>
      <c r="D1407">
        <v>10</v>
      </c>
      <c r="E1407">
        <v>79.22999999999999</v>
      </c>
      <c r="F1407">
        <v>139</v>
      </c>
      <c r="G1407">
        <v>93.13</v>
      </c>
      <c r="H1407">
        <v>1</v>
      </c>
      <c r="I1407">
        <v>1</v>
      </c>
    </row>
    <row r="1408" spans="1:9" x14ac:dyDescent="0.25">
      <c r="A1408">
        <v>1407</v>
      </c>
      <c r="B1408" s="40" t="s">
        <v>1084</v>
      </c>
      <c r="C1408" s="40" t="s">
        <v>1100</v>
      </c>
      <c r="D1408">
        <v>10</v>
      </c>
      <c r="E1408">
        <v>328.89</v>
      </c>
      <c r="F1408">
        <v>577</v>
      </c>
      <c r="G1408">
        <v>386.59</v>
      </c>
      <c r="H1408">
        <v>1</v>
      </c>
      <c r="I1408">
        <v>1</v>
      </c>
    </row>
    <row r="1409" spans="1:9" x14ac:dyDescent="0.25">
      <c r="A1409">
        <v>1408</v>
      </c>
      <c r="B1409" s="40" t="s">
        <v>1084</v>
      </c>
      <c r="C1409" s="40" t="s">
        <v>1124</v>
      </c>
      <c r="D1409">
        <v>10</v>
      </c>
      <c r="E1409">
        <v>268.46999999999997</v>
      </c>
      <c r="F1409">
        <v>471</v>
      </c>
      <c r="G1409">
        <v>315.57</v>
      </c>
      <c r="H1409">
        <v>1</v>
      </c>
      <c r="I1409">
        <v>1</v>
      </c>
    </row>
    <row r="1410" spans="1:9" x14ac:dyDescent="0.25">
      <c r="A1410">
        <v>1409</v>
      </c>
      <c r="B1410" s="40" t="s">
        <v>1084</v>
      </c>
      <c r="C1410" s="40" t="s">
        <v>1102</v>
      </c>
      <c r="D1410">
        <v>10</v>
      </c>
      <c r="E1410">
        <v>1071.5999999999999</v>
      </c>
      <c r="F1410">
        <v>1880</v>
      </c>
      <c r="G1410">
        <v>1259.5999999999999</v>
      </c>
      <c r="H1410">
        <v>1</v>
      </c>
      <c r="I1410">
        <v>1</v>
      </c>
    </row>
    <row r="1411" spans="1:9" x14ac:dyDescent="0.25">
      <c r="A1411">
        <v>1410</v>
      </c>
      <c r="B1411" s="40" t="s">
        <v>1084</v>
      </c>
      <c r="C1411" s="40" t="s">
        <v>1837</v>
      </c>
      <c r="D1411">
        <v>10</v>
      </c>
      <c r="E1411">
        <v>444.03</v>
      </c>
      <c r="F1411">
        <v>779</v>
      </c>
      <c r="G1411">
        <v>521.92999999999995</v>
      </c>
      <c r="H1411">
        <v>1</v>
      </c>
      <c r="I1411">
        <v>1</v>
      </c>
    </row>
    <row r="1412" spans="1:9" x14ac:dyDescent="0.25">
      <c r="A1412">
        <v>1411</v>
      </c>
      <c r="B1412" s="40" t="s">
        <v>1084</v>
      </c>
      <c r="C1412" s="40" t="s">
        <v>1838</v>
      </c>
      <c r="D1412">
        <v>10</v>
      </c>
      <c r="E1412">
        <v>1846.8</v>
      </c>
      <c r="F1412">
        <v>3240</v>
      </c>
      <c r="G1412">
        <v>2170.7999999999997</v>
      </c>
      <c r="H1412">
        <v>1</v>
      </c>
      <c r="I1412">
        <v>1</v>
      </c>
    </row>
    <row r="1413" spans="1:9" x14ac:dyDescent="0.25">
      <c r="A1413">
        <v>1412</v>
      </c>
      <c r="B1413" s="40" t="s">
        <v>1084</v>
      </c>
      <c r="C1413" s="40" t="s">
        <v>1103</v>
      </c>
      <c r="D1413">
        <v>10</v>
      </c>
      <c r="E1413">
        <v>554.6099999999999</v>
      </c>
      <c r="F1413">
        <v>973</v>
      </c>
      <c r="G1413">
        <v>651.91</v>
      </c>
      <c r="H1413">
        <v>1</v>
      </c>
      <c r="I1413">
        <v>1</v>
      </c>
    </row>
    <row r="1414" spans="1:9" x14ac:dyDescent="0.25">
      <c r="A1414">
        <v>1413</v>
      </c>
      <c r="B1414" s="40" t="s">
        <v>1084</v>
      </c>
      <c r="C1414" s="40" t="s">
        <v>1104</v>
      </c>
      <c r="D1414">
        <v>10</v>
      </c>
      <c r="E1414">
        <v>1158.24</v>
      </c>
      <c r="F1414">
        <v>2032</v>
      </c>
      <c r="G1414">
        <v>1361.4399999999998</v>
      </c>
      <c r="H1414">
        <v>1</v>
      </c>
      <c r="I1414">
        <v>1</v>
      </c>
    </row>
    <row r="1415" spans="1:9" x14ac:dyDescent="0.25">
      <c r="A1415">
        <v>1414</v>
      </c>
      <c r="B1415" s="40" t="s">
        <v>1084</v>
      </c>
      <c r="C1415" s="40" t="s">
        <v>1105</v>
      </c>
      <c r="D1415">
        <v>10</v>
      </c>
      <c r="E1415">
        <v>530.09999999999991</v>
      </c>
      <c r="F1415">
        <v>930</v>
      </c>
      <c r="G1415">
        <v>623.09999999999991</v>
      </c>
      <c r="H1415">
        <v>1</v>
      </c>
      <c r="I1415">
        <v>1</v>
      </c>
    </row>
    <row r="1416" spans="1:9" x14ac:dyDescent="0.25">
      <c r="A1416">
        <v>1415</v>
      </c>
      <c r="B1416" s="40" t="s">
        <v>1084</v>
      </c>
      <c r="C1416" s="40" t="s">
        <v>1106</v>
      </c>
      <c r="D1416">
        <v>10</v>
      </c>
      <c r="E1416">
        <v>1102.9499999999998</v>
      </c>
      <c r="F1416">
        <v>1935</v>
      </c>
      <c r="G1416">
        <v>1296.4499999999998</v>
      </c>
      <c r="H1416">
        <v>1</v>
      </c>
      <c r="I1416">
        <v>1</v>
      </c>
    </row>
    <row r="1417" spans="1:9" x14ac:dyDescent="0.25">
      <c r="A1417">
        <v>1416</v>
      </c>
      <c r="B1417" s="40" t="s">
        <v>1084</v>
      </c>
      <c r="C1417" s="40" t="s">
        <v>1107</v>
      </c>
      <c r="D1417">
        <v>10</v>
      </c>
      <c r="E1417">
        <v>210.32999999999998</v>
      </c>
      <c r="F1417">
        <v>369</v>
      </c>
      <c r="G1417">
        <v>247.22999999999996</v>
      </c>
      <c r="H1417">
        <v>1</v>
      </c>
      <c r="I1417">
        <v>1</v>
      </c>
    </row>
    <row r="1418" spans="1:9" x14ac:dyDescent="0.25">
      <c r="A1418">
        <v>1417</v>
      </c>
      <c r="B1418" s="40" t="s">
        <v>1084</v>
      </c>
      <c r="C1418" s="40" t="s">
        <v>1108</v>
      </c>
      <c r="D1418">
        <v>10</v>
      </c>
      <c r="E1418">
        <v>1455.78</v>
      </c>
      <c r="F1418">
        <v>2554</v>
      </c>
      <c r="G1418">
        <v>1711.1799999999998</v>
      </c>
      <c r="H1418">
        <v>1</v>
      </c>
      <c r="I1418">
        <v>1</v>
      </c>
    </row>
    <row r="1419" spans="1:9" x14ac:dyDescent="0.25">
      <c r="A1419">
        <v>1418</v>
      </c>
      <c r="B1419" s="40" t="s">
        <v>1084</v>
      </c>
      <c r="C1419" s="40" t="s">
        <v>1840</v>
      </c>
      <c r="D1419">
        <v>10</v>
      </c>
      <c r="E1419">
        <v>1325.25</v>
      </c>
      <c r="F1419">
        <v>2325</v>
      </c>
      <c r="G1419">
        <v>1557.7499999999998</v>
      </c>
      <c r="H1419">
        <v>1</v>
      </c>
      <c r="I1419">
        <v>1</v>
      </c>
    </row>
    <row r="1420" spans="1:9" x14ac:dyDescent="0.25">
      <c r="A1420">
        <v>1419</v>
      </c>
      <c r="B1420" s="40" t="s">
        <v>1084</v>
      </c>
      <c r="C1420" s="40" t="s">
        <v>1841</v>
      </c>
      <c r="D1420">
        <v>10</v>
      </c>
      <c r="E1420">
        <v>4381.5899999999992</v>
      </c>
      <c r="F1420">
        <v>7687</v>
      </c>
      <c r="G1420">
        <v>5150.2899999999991</v>
      </c>
      <c r="H1420">
        <v>1</v>
      </c>
      <c r="I1420">
        <v>1</v>
      </c>
    </row>
    <row r="1421" spans="1:9" x14ac:dyDescent="0.25">
      <c r="A1421">
        <v>1420</v>
      </c>
      <c r="B1421" s="40" t="s">
        <v>1084</v>
      </c>
      <c r="C1421" s="40" t="s">
        <v>1109</v>
      </c>
      <c r="D1421">
        <v>10</v>
      </c>
      <c r="E1421">
        <v>106.02</v>
      </c>
      <c r="F1421">
        <v>186</v>
      </c>
      <c r="G1421">
        <v>124.61999999999999</v>
      </c>
      <c r="H1421">
        <v>1</v>
      </c>
      <c r="I1421">
        <v>1</v>
      </c>
    </row>
    <row r="1422" spans="1:9" x14ac:dyDescent="0.25">
      <c r="A1422">
        <v>1421</v>
      </c>
      <c r="B1422" s="40" t="s">
        <v>1084</v>
      </c>
      <c r="C1422" s="40" t="s">
        <v>1110</v>
      </c>
      <c r="D1422">
        <v>10</v>
      </c>
      <c r="E1422">
        <v>287.84999999999997</v>
      </c>
      <c r="F1422">
        <v>505</v>
      </c>
      <c r="G1422">
        <v>338.34999999999997</v>
      </c>
      <c r="H1422">
        <v>1</v>
      </c>
      <c r="I1422">
        <v>1</v>
      </c>
    </row>
    <row r="1423" spans="1:9" x14ac:dyDescent="0.25">
      <c r="A1423">
        <v>1422</v>
      </c>
      <c r="B1423" s="40" t="s">
        <v>1084</v>
      </c>
      <c r="C1423" s="40" t="s">
        <v>1111</v>
      </c>
      <c r="D1423">
        <v>10</v>
      </c>
      <c r="E1423">
        <v>603.63</v>
      </c>
      <c r="F1423">
        <v>1059</v>
      </c>
      <c r="G1423">
        <v>709.53</v>
      </c>
      <c r="H1423">
        <v>1</v>
      </c>
      <c r="I1423">
        <v>1</v>
      </c>
    </row>
    <row r="1424" spans="1:9" x14ac:dyDescent="0.25">
      <c r="A1424">
        <v>1423</v>
      </c>
      <c r="B1424" s="40" t="s">
        <v>1084</v>
      </c>
      <c r="C1424" s="40" t="s">
        <v>1112</v>
      </c>
      <c r="D1424">
        <v>10</v>
      </c>
      <c r="E1424">
        <v>122.54999999999998</v>
      </c>
      <c r="F1424">
        <v>215</v>
      </c>
      <c r="G1424">
        <v>144.04999999999998</v>
      </c>
      <c r="H1424">
        <v>1</v>
      </c>
      <c r="I1424">
        <v>1</v>
      </c>
    </row>
    <row r="1425" spans="1:9" x14ac:dyDescent="0.25">
      <c r="A1425">
        <v>1424</v>
      </c>
      <c r="B1425" s="40" t="s">
        <v>1084</v>
      </c>
      <c r="C1425" s="40" t="s">
        <v>1113</v>
      </c>
      <c r="D1425">
        <v>10</v>
      </c>
      <c r="E1425">
        <v>47.309999999999995</v>
      </c>
      <c r="F1425">
        <v>83</v>
      </c>
      <c r="G1425">
        <v>55.609999999999992</v>
      </c>
      <c r="H1425">
        <v>1</v>
      </c>
      <c r="I1425">
        <v>1</v>
      </c>
    </row>
    <row r="1426" spans="1:9" x14ac:dyDescent="0.25">
      <c r="A1426">
        <v>1425</v>
      </c>
      <c r="B1426" s="40" t="s">
        <v>1084</v>
      </c>
      <c r="C1426" s="40" t="s">
        <v>1114</v>
      </c>
      <c r="D1426">
        <v>10</v>
      </c>
      <c r="E1426">
        <v>469.10999999999996</v>
      </c>
      <c r="F1426">
        <v>823</v>
      </c>
      <c r="G1426">
        <v>551.41</v>
      </c>
      <c r="H1426">
        <v>1</v>
      </c>
      <c r="I1426">
        <v>1</v>
      </c>
    </row>
    <row r="1427" spans="1:9" x14ac:dyDescent="0.25">
      <c r="A1427">
        <v>1426</v>
      </c>
      <c r="B1427" s="40" t="s">
        <v>1084</v>
      </c>
      <c r="C1427" s="40" t="s">
        <v>1115</v>
      </c>
      <c r="D1427">
        <v>10</v>
      </c>
      <c r="E1427">
        <v>290.7</v>
      </c>
      <c r="F1427">
        <v>510</v>
      </c>
      <c r="G1427">
        <v>341.7</v>
      </c>
      <c r="H1427">
        <v>1</v>
      </c>
      <c r="I1427">
        <v>1</v>
      </c>
    </row>
    <row r="1428" spans="1:9" x14ac:dyDescent="0.25">
      <c r="A1428">
        <v>1427</v>
      </c>
      <c r="B1428" s="40" t="s">
        <v>1084</v>
      </c>
      <c r="C1428" s="40" t="s">
        <v>1117</v>
      </c>
      <c r="D1428">
        <v>10</v>
      </c>
      <c r="E1428">
        <v>672.59999999999991</v>
      </c>
      <c r="F1428">
        <v>1180</v>
      </c>
      <c r="G1428">
        <v>790.59999999999991</v>
      </c>
      <c r="H1428">
        <v>1</v>
      </c>
      <c r="I1428">
        <v>1</v>
      </c>
    </row>
    <row r="1429" spans="1:9" x14ac:dyDescent="0.25">
      <c r="A1429">
        <v>1428</v>
      </c>
      <c r="B1429" s="40" t="s">
        <v>1084</v>
      </c>
      <c r="C1429" s="40" t="s">
        <v>1842</v>
      </c>
      <c r="D1429">
        <v>10</v>
      </c>
      <c r="E1429">
        <v>170.42999999999998</v>
      </c>
      <c r="F1429">
        <v>299</v>
      </c>
      <c r="G1429">
        <v>200.32999999999998</v>
      </c>
      <c r="H1429">
        <v>1</v>
      </c>
      <c r="I1429">
        <v>1</v>
      </c>
    </row>
    <row r="1430" spans="1:9" x14ac:dyDescent="0.25">
      <c r="A1430">
        <v>1429</v>
      </c>
      <c r="B1430" s="40" t="s">
        <v>1084</v>
      </c>
      <c r="C1430" s="40" t="s">
        <v>1843</v>
      </c>
      <c r="D1430">
        <v>10</v>
      </c>
      <c r="E1430">
        <v>902.31</v>
      </c>
      <c r="F1430">
        <v>1583</v>
      </c>
      <c r="G1430">
        <v>1060.6099999999999</v>
      </c>
      <c r="H1430">
        <v>1</v>
      </c>
      <c r="I1430">
        <v>1</v>
      </c>
    </row>
    <row r="1431" spans="1:9" x14ac:dyDescent="0.25">
      <c r="A1431">
        <v>1430</v>
      </c>
      <c r="B1431" s="40" t="s">
        <v>1084</v>
      </c>
      <c r="C1431" s="40" t="s">
        <v>1119</v>
      </c>
      <c r="D1431">
        <v>10</v>
      </c>
      <c r="E1431">
        <v>83.22</v>
      </c>
      <c r="F1431">
        <v>146</v>
      </c>
      <c r="G1431">
        <v>97.82</v>
      </c>
      <c r="H1431">
        <v>1</v>
      </c>
      <c r="I1431">
        <v>1</v>
      </c>
    </row>
    <row r="1432" spans="1:9" x14ac:dyDescent="0.25">
      <c r="A1432">
        <v>1431</v>
      </c>
      <c r="B1432" s="40" t="s">
        <v>1084</v>
      </c>
      <c r="C1432" s="40" t="s">
        <v>1120</v>
      </c>
      <c r="D1432">
        <v>10</v>
      </c>
      <c r="E1432">
        <v>140.22</v>
      </c>
      <c r="F1432">
        <v>246</v>
      </c>
      <c r="G1432">
        <v>164.82</v>
      </c>
      <c r="H1432">
        <v>1</v>
      </c>
      <c r="I1432">
        <v>1</v>
      </c>
    </row>
    <row r="1433" spans="1:9" x14ac:dyDescent="0.25">
      <c r="A1433">
        <v>1432</v>
      </c>
      <c r="B1433" s="47" t="s">
        <v>1084</v>
      </c>
      <c r="C1433" s="47" t="s">
        <v>1121</v>
      </c>
      <c r="D1433">
        <v>10</v>
      </c>
      <c r="E1433">
        <v>36.052499999999995</v>
      </c>
      <c r="F1433">
        <v>63.25</v>
      </c>
      <c r="G1433">
        <v>42.377499999999998</v>
      </c>
      <c r="H1433">
        <v>1</v>
      </c>
      <c r="I1433">
        <v>1</v>
      </c>
    </row>
    <row r="1434" spans="1:9" x14ac:dyDescent="0.25">
      <c r="A1434">
        <v>1433</v>
      </c>
      <c r="B1434" s="47" t="s">
        <v>1084</v>
      </c>
      <c r="C1434" s="47" t="s">
        <v>1836</v>
      </c>
      <c r="D1434">
        <v>10</v>
      </c>
      <c r="E1434">
        <v>565.43999999999994</v>
      </c>
      <c r="F1434">
        <v>992</v>
      </c>
      <c r="G1434">
        <v>664.63999999999987</v>
      </c>
      <c r="H1434">
        <v>1</v>
      </c>
      <c r="I1434">
        <v>1</v>
      </c>
    </row>
    <row r="1435" spans="1:9" x14ac:dyDescent="0.25">
      <c r="A1435">
        <v>1434</v>
      </c>
      <c r="B1435" s="40" t="s">
        <v>1084</v>
      </c>
      <c r="C1435" s="40" t="s">
        <v>1137</v>
      </c>
      <c r="D1435">
        <v>10</v>
      </c>
      <c r="E1435">
        <v>453.15</v>
      </c>
      <c r="F1435">
        <v>795</v>
      </c>
      <c r="G1435">
        <v>532.65</v>
      </c>
      <c r="H1435">
        <v>1</v>
      </c>
      <c r="I1435">
        <v>1</v>
      </c>
    </row>
    <row r="1436" spans="1:9" x14ac:dyDescent="0.25">
      <c r="A1436">
        <v>1435</v>
      </c>
      <c r="B1436" s="40" t="s">
        <v>1084</v>
      </c>
      <c r="C1436" s="40" t="s">
        <v>1122</v>
      </c>
      <c r="D1436">
        <v>10</v>
      </c>
      <c r="E1436">
        <v>925.68</v>
      </c>
      <c r="F1436">
        <v>1624</v>
      </c>
      <c r="G1436">
        <v>1088.08</v>
      </c>
      <c r="H1436">
        <v>1</v>
      </c>
      <c r="I1436">
        <v>1</v>
      </c>
    </row>
    <row r="1437" spans="1:9" x14ac:dyDescent="0.25">
      <c r="A1437">
        <v>1436</v>
      </c>
      <c r="B1437" s="40" t="s">
        <v>1084</v>
      </c>
      <c r="C1437" s="40" t="s">
        <v>1142</v>
      </c>
      <c r="D1437">
        <v>10</v>
      </c>
      <c r="E1437">
        <v>2849.43</v>
      </c>
      <c r="F1437">
        <v>4999</v>
      </c>
      <c r="G1437">
        <v>3349.3299999999995</v>
      </c>
      <c r="H1437">
        <v>1</v>
      </c>
      <c r="I1437">
        <v>1</v>
      </c>
    </row>
    <row r="1438" spans="1:9" x14ac:dyDescent="0.25">
      <c r="A1438">
        <v>1437</v>
      </c>
      <c r="B1438" s="40" t="s">
        <v>1084</v>
      </c>
      <c r="C1438" s="40" t="s">
        <v>1144</v>
      </c>
      <c r="D1438">
        <v>10</v>
      </c>
      <c r="E1438">
        <v>33.966299999999997</v>
      </c>
      <c r="F1438">
        <v>59.59</v>
      </c>
      <c r="G1438">
        <v>39.9253</v>
      </c>
      <c r="H1438">
        <v>1</v>
      </c>
      <c r="I1438">
        <v>1</v>
      </c>
    </row>
    <row r="1439" spans="1:9" x14ac:dyDescent="0.25">
      <c r="A1439">
        <v>1438</v>
      </c>
      <c r="B1439" s="40" t="s">
        <v>1084</v>
      </c>
      <c r="C1439" s="40" t="s">
        <v>1140</v>
      </c>
      <c r="D1439">
        <v>10</v>
      </c>
      <c r="E1439">
        <v>425.21999999999997</v>
      </c>
      <c r="F1439">
        <v>746</v>
      </c>
      <c r="G1439">
        <v>499.81999999999994</v>
      </c>
      <c r="H1439">
        <v>1</v>
      </c>
      <c r="I1439">
        <v>1</v>
      </c>
    </row>
    <row r="1440" spans="1:9" x14ac:dyDescent="0.25">
      <c r="A1440">
        <v>1439</v>
      </c>
      <c r="B1440" s="40" t="s">
        <v>1084</v>
      </c>
      <c r="C1440" s="40" t="s">
        <v>1839</v>
      </c>
      <c r="D1440">
        <v>10</v>
      </c>
      <c r="E1440">
        <v>503.30999999999995</v>
      </c>
      <c r="F1440">
        <v>883</v>
      </c>
      <c r="G1440">
        <v>591.6099999999999</v>
      </c>
      <c r="H1440">
        <v>1</v>
      </c>
      <c r="I1440">
        <v>1</v>
      </c>
    </row>
    <row r="1441" spans="1:9" x14ac:dyDescent="0.25">
      <c r="A1441">
        <v>1440</v>
      </c>
      <c r="B1441" s="40" t="s">
        <v>1084</v>
      </c>
      <c r="C1441" s="40" t="s">
        <v>1138</v>
      </c>
      <c r="D1441">
        <v>10</v>
      </c>
      <c r="E1441">
        <v>91.199999999999989</v>
      </c>
      <c r="F1441">
        <v>160</v>
      </c>
      <c r="G1441">
        <v>107.19999999999999</v>
      </c>
      <c r="H1441">
        <v>1</v>
      </c>
      <c r="I1441">
        <v>1</v>
      </c>
    </row>
    <row r="1442" spans="1:9" x14ac:dyDescent="0.25">
      <c r="A1442">
        <v>1441</v>
      </c>
      <c r="B1442" s="40" t="s">
        <v>1084</v>
      </c>
      <c r="C1442" s="40" t="s">
        <v>1139</v>
      </c>
      <c r="D1442">
        <v>10</v>
      </c>
      <c r="E1442">
        <v>308.94</v>
      </c>
      <c r="F1442">
        <v>542</v>
      </c>
      <c r="G1442">
        <v>363.14</v>
      </c>
      <c r="H1442">
        <v>1</v>
      </c>
      <c r="I1442">
        <v>1</v>
      </c>
    </row>
    <row r="1443" spans="1:9" x14ac:dyDescent="0.25">
      <c r="A1443">
        <v>1442</v>
      </c>
      <c r="B1443" s="40" t="s">
        <v>1694</v>
      </c>
      <c r="C1443" s="40" t="s">
        <v>1695</v>
      </c>
      <c r="D1443">
        <v>10</v>
      </c>
      <c r="E1443">
        <v>63.176000000000002</v>
      </c>
      <c r="F1443">
        <v>119.2</v>
      </c>
      <c r="G1443">
        <v>75.096000000000004</v>
      </c>
      <c r="H1443">
        <v>1</v>
      </c>
      <c r="I1443">
        <v>1</v>
      </c>
    </row>
    <row r="1444" spans="1:9" x14ac:dyDescent="0.25">
      <c r="A1444">
        <v>1443</v>
      </c>
      <c r="B1444" s="40" t="s">
        <v>1694</v>
      </c>
      <c r="C1444" s="40" t="s">
        <v>1846</v>
      </c>
      <c r="D1444">
        <v>10</v>
      </c>
      <c r="E1444">
        <v>64.198800000000006</v>
      </c>
      <c r="F1444">
        <v>125.88</v>
      </c>
      <c r="G1444">
        <v>76.786799999999999</v>
      </c>
      <c r="H1444">
        <v>1</v>
      </c>
      <c r="I1444">
        <v>1</v>
      </c>
    </row>
    <row r="1445" spans="1:9" x14ac:dyDescent="0.25">
      <c r="A1445">
        <v>1444</v>
      </c>
      <c r="B1445" s="40" t="s">
        <v>1694</v>
      </c>
      <c r="C1445" s="40" t="s">
        <v>1697</v>
      </c>
      <c r="D1445">
        <v>10</v>
      </c>
      <c r="E1445">
        <v>79.892799999999994</v>
      </c>
      <c r="F1445">
        <v>153.63999999999999</v>
      </c>
      <c r="G1445">
        <v>95.256799999999984</v>
      </c>
      <c r="H1445">
        <v>1</v>
      </c>
      <c r="I1445">
        <v>1</v>
      </c>
    </row>
    <row r="1446" spans="1:9" x14ac:dyDescent="0.25">
      <c r="A1446">
        <v>1445</v>
      </c>
      <c r="B1446" s="40" t="s">
        <v>1694</v>
      </c>
      <c r="C1446" s="40" t="s">
        <v>1696</v>
      </c>
      <c r="D1446">
        <v>10</v>
      </c>
      <c r="E1446">
        <v>70.72</v>
      </c>
      <c r="F1446">
        <v>136</v>
      </c>
      <c r="G1446">
        <v>84.32</v>
      </c>
      <c r="H1446">
        <v>1</v>
      </c>
      <c r="I1446">
        <v>1</v>
      </c>
    </row>
    <row r="1447" spans="1:9" x14ac:dyDescent="0.25">
      <c r="A1447">
        <v>1446</v>
      </c>
      <c r="B1447" s="40" t="s">
        <v>1694</v>
      </c>
      <c r="C1447" s="40" t="s">
        <v>1698</v>
      </c>
      <c r="D1447">
        <v>10</v>
      </c>
      <c r="E1447">
        <v>42.702400000000004</v>
      </c>
      <c r="F1447">
        <v>82.12</v>
      </c>
      <c r="G1447">
        <v>50.914400000000001</v>
      </c>
      <c r="H1447">
        <v>1</v>
      </c>
      <c r="I1447">
        <v>1</v>
      </c>
    </row>
    <row r="1448" spans="1:9" x14ac:dyDescent="0.25">
      <c r="A1448">
        <v>1447</v>
      </c>
      <c r="B1448" s="40" t="s">
        <v>1694</v>
      </c>
      <c r="C1448" s="40" t="s">
        <v>1699</v>
      </c>
      <c r="D1448">
        <v>10</v>
      </c>
      <c r="E1448">
        <v>47.5488</v>
      </c>
      <c r="F1448">
        <v>91.44</v>
      </c>
      <c r="G1448">
        <v>56.692799999999998</v>
      </c>
      <c r="H1448">
        <v>1</v>
      </c>
      <c r="I1448">
        <v>1</v>
      </c>
    </row>
    <row r="1449" spans="1:9" x14ac:dyDescent="0.25">
      <c r="A1449">
        <v>1448</v>
      </c>
      <c r="B1449" s="40" t="s">
        <v>1694</v>
      </c>
      <c r="C1449" s="40" t="s">
        <v>1700</v>
      </c>
      <c r="D1449">
        <v>10</v>
      </c>
      <c r="E1449">
        <v>91.872</v>
      </c>
      <c r="F1449">
        <v>167.04</v>
      </c>
      <c r="G1449">
        <v>108.57599999999999</v>
      </c>
      <c r="H1449">
        <v>1</v>
      </c>
      <c r="I1449">
        <v>1</v>
      </c>
    </row>
    <row r="1450" spans="1:9" x14ac:dyDescent="0.25">
      <c r="A1450">
        <v>1449</v>
      </c>
      <c r="B1450" s="40" t="s">
        <v>1694</v>
      </c>
      <c r="C1450" s="40" t="s">
        <v>1701</v>
      </c>
      <c r="D1450">
        <v>10</v>
      </c>
      <c r="E1450">
        <v>42.717600000000004</v>
      </c>
      <c r="F1450">
        <v>83.76</v>
      </c>
      <c r="G1450">
        <v>51.093600000000002</v>
      </c>
      <c r="H1450">
        <v>1</v>
      </c>
      <c r="I1450">
        <v>1</v>
      </c>
    </row>
    <row r="1451" spans="1:9" x14ac:dyDescent="0.25">
      <c r="A1451">
        <v>1450</v>
      </c>
      <c r="B1451" s="40" t="s">
        <v>1694</v>
      </c>
      <c r="C1451" s="40" t="s">
        <v>1702</v>
      </c>
      <c r="D1451">
        <v>10</v>
      </c>
      <c r="E1451">
        <v>43.4512</v>
      </c>
      <c r="F1451">
        <v>83.56</v>
      </c>
      <c r="G1451">
        <v>51.807200000000002</v>
      </c>
      <c r="H1451">
        <v>1</v>
      </c>
      <c r="I1451">
        <v>1</v>
      </c>
    </row>
    <row r="1452" spans="1:9" x14ac:dyDescent="0.25">
      <c r="A1452">
        <v>1451</v>
      </c>
      <c r="B1452" s="40" t="s">
        <v>1694</v>
      </c>
      <c r="C1452" s="40" t="s">
        <v>1703</v>
      </c>
      <c r="D1452">
        <v>10</v>
      </c>
      <c r="E1452">
        <v>50.1432</v>
      </c>
      <c r="F1452">
        <v>98.32</v>
      </c>
      <c r="G1452">
        <v>59.975199999999994</v>
      </c>
      <c r="H1452">
        <v>1</v>
      </c>
      <c r="I1452">
        <v>1</v>
      </c>
    </row>
    <row r="1453" spans="1:9" x14ac:dyDescent="0.25">
      <c r="A1453">
        <v>1452</v>
      </c>
      <c r="B1453" s="40" t="s">
        <v>1694</v>
      </c>
      <c r="C1453" s="40" t="s">
        <v>1704</v>
      </c>
      <c r="D1453">
        <v>10</v>
      </c>
      <c r="E1453">
        <v>156.4</v>
      </c>
      <c r="F1453">
        <v>312.8</v>
      </c>
      <c r="G1453">
        <v>187.68</v>
      </c>
      <c r="H1453">
        <v>1</v>
      </c>
      <c r="I1453">
        <v>1</v>
      </c>
    </row>
    <row r="1454" spans="1:9" x14ac:dyDescent="0.25">
      <c r="A1454">
        <v>1453</v>
      </c>
      <c r="B1454" s="40" t="s">
        <v>1694</v>
      </c>
      <c r="C1454" s="40" t="s">
        <v>1705</v>
      </c>
      <c r="D1454">
        <v>10</v>
      </c>
      <c r="E1454">
        <v>21.67</v>
      </c>
      <c r="F1454">
        <v>43.34</v>
      </c>
      <c r="G1454">
        <v>26.004000000000001</v>
      </c>
      <c r="H1454">
        <v>1</v>
      </c>
      <c r="I1454">
        <v>1</v>
      </c>
    </row>
    <row r="1455" spans="1:9" x14ac:dyDescent="0.25">
      <c r="A1455">
        <v>1454</v>
      </c>
      <c r="B1455" s="40" t="s">
        <v>1694</v>
      </c>
      <c r="C1455" s="40" t="s">
        <v>1706</v>
      </c>
      <c r="D1455">
        <v>10</v>
      </c>
      <c r="E1455">
        <v>218.70000000000002</v>
      </c>
      <c r="F1455">
        <v>405</v>
      </c>
      <c r="G1455">
        <v>259.2</v>
      </c>
      <c r="H1455">
        <v>1</v>
      </c>
      <c r="I1455">
        <v>1</v>
      </c>
    </row>
    <row r="1456" spans="1:9" x14ac:dyDescent="0.25">
      <c r="A1456">
        <v>1455</v>
      </c>
      <c r="B1456" s="40" t="s">
        <v>1694</v>
      </c>
      <c r="C1456" s="40" t="s">
        <v>1707</v>
      </c>
      <c r="D1456">
        <v>10</v>
      </c>
      <c r="E1456">
        <v>1850.7</v>
      </c>
      <c r="F1456">
        <v>2985</v>
      </c>
      <c r="G1456">
        <v>2149.1999999999998</v>
      </c>
      <c r="H1456">
        <v>1</v>
      </c>
      <c r="I1456">
        <v>1</v>
      </c>
    </row>
    <row r="1457" spans="1:9" x14ac:dyDescent="0.25">
      <c r="A1457">
        <v>1456</v>
      </c>
      <c r="B1457" s="40" t="s">
        <v>1694</v>
      </c>
      <c r="C1457" s="40" t="s">
        <v>1708</v>
      </c>
      <c r="D1457">
        <v>10</v>
      </c>
      <c r="E1457">
        <v>2263</v>
      </c>
      <c r="F1457">
        <v>3650</v>
      </c>
      <c r="G1457">
        <v>2628</v>
      </c>
      <c r="H1457">
        <v>1</v>
      </c>
      <c r="I1457">
        <v>1</v>
      </c>
    </row>
    <row r="1458" spans="1:9" x14ac:dyDescent="0.25">
      <c r="A1458">
        <v>1457</v>
      </c>
      <c r="B1458" s="40" t="s">
        <v>1694</v>
      </c>
      <c r="C1458" s="40" t="s">
        <v>1709</v>
      </c>
      <c r="D1458">
        <v>10</v>
      </c>
      <c r="E1458">
        <v>2757.7599999999998</v>
      </c>
      <c r="F1458">
        <v>4448</v>
      </c>
      <c r="G1458">
        <v>3202.56</v>
      </c>
      <c r="H1458">
        <v>1</v>
      </c>
      <c r="I1458">
        <v>1</v>
      </c>
    </row>
    <row r="1459" spans="1:9" x14ac:dyDescent="0.25">
      <c r="A1459">
        <v>1458</v>
      </c>
      <c r="B1459" s="40" t="s">
        <v>1694</v>
      </c>
      <c r="C1459" s="40" t="s">
        <v>1710</v>
      </c>
      <c r="D1459">
        <v>10</v>
      </c>
      <c r="E1459">
        <v>526.40000000000009</v>
      </c>
      <c r="F1459">
        <v>940</v>
      </c>
      <c r="G1459">
        <v>620.4</v>
      </c>
      <c r="H1459">
        <v>1</v>
      </c>
      <c r="I1459">
        <v>1</v>
      </c>
    </row>
    <row r="1460" spans="1:9" x14ac:dyDescent="0.25">
      <c r="A1460">
        <v>1459</v>
      </c>
      <c r="B1460" s="40" t="s">
        <v>1694</v>
      </c>
      <c r="C1460" s="40" t="s">
        <v>1711</v>
      </c>
      <c r="D1460">
        <v>10</v>
      </c>
      <c r="E1460">
        <v>776.72</v>
      </c>
      <c r="F1460">
        <v>1387</v>
      </c>
      <c r="G1460">
        <v>915.42000000000007</v>
      </c>
      <c r="H1460">
        <v>1</v>
      </c>
      <c r="I1460">
        <v>1</v>
      </c>
    </row>
    <row r="1461" spans="1:9" x14ac:dyDescent="0.25">
      <c r="A1461">
        <v>1460</v>
      </c>
      <c r="B1461" s="40" t="s">
        <v>1694</v>
      </c>
      <c r="C1461" s="40" t="s">
        <v>1712</v>
      </c>
      <c r="D1461">
        <v>10</v>
      </c>
      <c r="E1461">
        <v>945.45</v>
      </c>
      <c r="F1461">
        <v>1719</v>
      </c>
      <c r="G1461">
        <v>1117.3500000000001</v>
      </c>
      <c r="H1461">
        <v>1</v>
      </c>
      <c r="I1461">
        <v>1</v>
      </c>
    </row>
    <row r="1462" spans="1:9" x14ac:dyDescent="0.25">
      <c r="A1462">
        <v>1461</v>
      </c>
      <c r="B1462" s="40" t="s">
        <v>1694</v>
      </c>
      <c r="C1462" s="40" t="s">
        <v>1712</v>
      </c>
      <c r="D1462">
        <v>10</v>
      </c>
      <c r="E1462">
        <v>1114.8500000000001</v>
      </c>
      <c r="F1462">
        <v>2027</v>
      </c>
      <c r="G1462">
        <v>1317.55</v>
      </c>
      <c r="H1462">
        <v>1</v>
      </c>
      <c r="I1462">
        <v>1</v>
      </c>
    </row>
    <row r="1463" spans="1:9" x14ac:dyDescent="0.25">
      <c r="A1463">
        <v>1462</v>
      </c>
      <c r="B1463" s="40" t="s">
        <v>1694</v>
      </c>
      <c r="C1463" s="40" t="s">
        <v>1716</v>
      </c>
      <c r="D1463">
        <v>10</v>
      </c>
      <c r="E1463">
        <v>370.44</v>
      </c>
      <c r="F1463">
        <v>686</v>
      </c>
      <c r="G1463">
        <v>439.04</v>
      </c>
      <c r="H1463">
        <v>1</v>
      </c>
      <c r="I1463">
        <v>1</v>
      </c>
    </row>
    <row r="1464" spans="1:9" x14ac:dyDescent="0.25">
      <c r="A1464">
        <v>1463</v>
      </c>
      <c r="B1464" s="40" t="s">
        <v>1694</v>
      </c>
      <c r="C1464" s="40" t="s">
        <v>1715</v>
      </c>
      <c r="D1464">
        <v>10</v>
      </c>
      <c r="E1464">
        <v>381.24</v>
      </c>
      <c r="F1464">
        <v>706</v>
      </c>
      <c r="G1464">
        <v>451.84000000000003</v>
      </c>
      <c r="H1464">
        <v>1</v>
      </c>
      <c r="I1464">
        <v>1</v>
      </c>
    </row>
    <row r="1465" spans="1:9" x14ac:dyDescent="0.25">
      <c r="A1465">
        <v>1464</v>
      </c>
      <c r="B1465" s="40" t="s">
        <v>1694</v>
      </c>
      <c r="C1465" s="40" t="s">
        <v>1714</v>
      </c>
      <c r="D1465">
        <v>10</v>
      </c>
      <c r="E1465">
        <v>402.3</v>
      </c>
      <c r="F1465">
        <v>745</v>
      </c>
      <c r="G1465">
        <v>476.8</v>
      </c>
      <c r="H1465">
        <v>1</v>
      </c>
      <c r="I1465">
        <v>1</v>
      </c>
    </row>
    <row r="1466" spans="1:9" x14ac:dyDescent="0.25">
      <c r="A1466">
        <v>1465</v>
      </c>
      <c r="B1466" s="40" t="s">
        <v>1694</v>
      </c>
      <c r="C1466" s="40" t="s">
        <v>1713</v>
      </c>
      <c r="D1466">
        <v>10</v>
      </c>
      <c r="E1466">
        <v>426.6</v>
      </c>
      <c r="F1466">
        <v>790</v>
      </c>
      <c r="G1466">
        <v>505.6</v>
      </c>
      <c r="H1466">
        <v>1</v>
      </c>
      <c r="I1466">
        <v>1</v>
      </c>
    </row>
    <row r="1467" spans="1:9" x14ac:dyDescent="0.25">
      <c r="A1467">
        <v>1466</v>
      </c>
      <c r="B1467" s="40" t="s">
        <v>1694</v>
      </c>
      <c r="C1467" s="40" t="s">
        <v>1717</v>
      </c>
      <c r="D1467">
        <v>10</v>
      </c>
      <c r="E1467">
        <v>2855.6</v>
      </c>
      <c r="F1467">
        <v>4720</v>
      </c>
      <c r="G1467">
        <v>3327.6</v>
      </c>
      <c r="H1467">
        <v>1</v>
      </c>
      <c r="I1467">
        <v>1</v>
      </c>
    </row>
    <row r="1468" spans="1:9" x14ac:dyDescent="0.25">
      <c r="A1468">
        <v>1467</v>
      </c>
      <c r="B1468" s="40" t="s">
        <v>1694</v>
      </c>
      <c r="C1468" s="40" t="s">
        <v>1718</v>
      </c>
      <c r="D1468">
        <v>10</v>
      </c>
      <c r="E1468">
        <v>1145.5200000000002</v>
      </c>
      <c r="F1468">
        <v>2064</v>
      </c>
      <c r="G1468">
        <v>1351.92</v>
      </c>
      <c r="H1468">
        <v>1</v>
      </c>
      <c r="I1468">
        <v>1</v>
      </c>
    </row>
    <row r="1469" spans="1:9" x14ac:dyDescent="0.25">
      <c r="A1469">
        <v>1468</v>
      </c>
      <c r="B1469" s="40" t="s">
        <v>1694</v>
      </c>
      <c r="C1469" s="40" t="s">
        <v>1722</v>
      </c>
      <c r="D1469">
        <v>10</v>
      </c>
      <c r="E1469">
        <v>1201.7</v>
      </c>
      <c r="F1469">
        <v>1970</v>
      </c>
      <c r="G1469">
        <v>1398.6999999999998</v>
      </c>
      <c r="H1469">
        <v>1</v>
      </c>
      <c r="I1469">
        <v>1</v>
      </c>
    </row>
    <row r="1470" spans="1:9" x14ac:dyDescent="0.25">
      <c r="A1470">
        <v>1469</v>
      </c>
      <c r="B1470" s="40" t="s">
        <v>1694</v>
      </c>
      <c r="C1470" s="40" t="s">
        <v>1721</v>
      </c>
      <c r="D1470">
        <v>10</v>
      </c>
      <c r="E1470">
        <v>569.25</v>
      </c>
      <c r="F1470">
        <v>1035</v>
      </c>
      <c r="G1470">
        <v>672.75</v>
      </c>
      <c r="H1470">
        <v>1</v>
      </c>
      <c r="I1470">
        <v>1</v>
      </c>
    </row>
    <row r="1471" spans="1:9" x14ac:dyDescent="0.25">
      <c r="A1471">
        <v>1470</v>
      </c>
      <c r="B1471" s="40" t="s">
        <v>1694</v>
      </c>
      <c r="C1471" s="40" t="s">
        <v>1719</v>
      </c>
      <c r="D1471">
        <v>10</v>
      </c>
      <c r="E1471">
        <v>805.2</v>
      </c>
      <c r="F1471">
        <v>1464</v>
      </c>
      <c r="G1471">
        <v>951.6</v>
      </c>
      <c r="H1471">
        <v>1</v>
      </c>
      <c r="I1471">
        <v>1</v>
      </c>
    </row>
    <row r="1472" spans="1:9" x14ac:dyDescent="0.25">
      <c r="A1472">
        <v>1471</v>
      </c>
      <c r="B1472" s="40" t="s">
        <v>1694</v>
      </c>
      <c r="C1472" s="40" t="s">
        <v>1720</v>
      </c>
      <c r="D1472">
        <v>10</v>
      </c>
      <c r="E1472">
        <v>1014.7500000000001</v>
      </c>
      <c r="F1472">
        <v>1845</v>
      </c>
      <c r="G1472">
        <v>1199.25</v>
      </c>
      <c r="H1472">
        <v>1</v>
      </c>
      <c r="I1472">
        <v>1</v>
      </c>
    </row>
    <row r="1473" spans="1:9" x14ac:dyDescent="0.25">
      <c r="A1473">
        <v>1472</v>
      </c>
      <c r="B1473" s="40" t="s">
        <v>1694</v>
      </c>
      <c r="C1473" s="40" t="s">
        <v>1145</v>
      </c>
      <c r="D1473">
        <v>10</v>
      </c>
      <c r="E1473">
        <v>564.29999999999995</v>
      </c>
      <c r="F1473">
        <v>990</v>
      </c>
      <c r="G1473">
        <v>663.3</v>
      </c>
      <c r="H1473">
        <v>1</v>
      </c>
      <c r="I1473">
        <v>1</v>
      </c>
    </row>
    <row r="1474" spans="1:9" x14ac:dyDescent="0.25">
      <c r="A1474">
        <v>1473</v>
      </c>
      <c r="B1474" s="40" t="s">
        <v>1694</v>
      </c>
      <c r="C1474" s="40" t="s">
        <v>1722</v>
      </c>
      <c r="D1474">
        <v>10</v>
      </c>
      <c r="E1474">
        <v>1205.6399999999999</v>
      </c>
      <c r="F1474">
        <v>1970</v>
      </c>
      <c r="G1474">
        <v>1402.6399999999999</v>
      </c>
      <c r="H1474">
        <v>1</v>
      </c>
      <c r="I1474">
        <v>1</v>
      </c>
    </row>
    <row r="1475" spans="1:9" x14ac:dyDescent="0.25">
      <c r="A1475">
        <v>1474</v>
      </c>
      <c r="B1475" s="40" t="s">
        <v>1694</v>
      </c>
      <c r="C1475" s="40" t="s">
        <v>1723</v>
      </c>
      <c r="D1475">
        <v>10</v>
      </c>
      <c r="E1475">
        <v>286.2</v>
      </c>
      <c r="F1475">
        <v>477</v>
      </c>
      <c r="G1475">
        <v>333.9</v>
      </c>
      <c r="H1475">
        <v>1</v>
      </c>
      <c r="I1475">
        <v>1</v>
      </c>
    </row>
    <row r="1476" spans="1:9" x14ac:dyDescent="0.25">
      <c r="A1476">
        <v>1475</v>
      </c>
      <c r="B1476" s="40" t="s">
        <v>1694</v>
      </c>
      <c r="C1476" s="40" t="s">
        <v>1092</v>
      </c>
      <c r="D1476">
        <v>10</v>
      </c>
      <c r="E1476">
        <v>97.3</v>
      </c>
      <c r="F1476">
        <v>139</v>
      </c>
      <c r="G1476">
        <v>111.19999999999999</v>
      </c>
      <c r="H1476">
        <v>1</v>
      </c>
      <c r="I1476">
        <v>1</v>
      </c>
    </row>
    <row r="1477" spans="1:9" x14ac:dyDescent="0.25">
      <c r="A1477">
        <v>1476</v>
      </c>
      <c r="B1477" s="40" t="s">
        <v>1694</v>
      </c>
      <c r="C1477" s="40" t="s">
        <v>1093</v>
      </c>
      <c r="D1477">
        <v>10</v>
      </c>
      <c r="E1477">
        <v>200.64</v>
      </c>
      <c r="F1477">
        <v>352</v>
      </c>
      <c r="G1477">
        <v>235.83999999999997</v>
      </c>
      <c r="H1477">
        <v>1</v>
      </c>
      <c r="I1477">
        <v>1</v>
      </c>
    </row>
    <row r="1478" spans="1:9" x14ac:dyDescent="0.25">
      <c r="A1478">
        <v>1477</v>
      </c>
      <c r="B1478" s="40" t="s">
        <v>1694</v>
      </c>
      <c r="C1478" s="40" t="s">
        <v>1101</v>
      </c>
      <c r="D1478">
        <v>10</v>
      </c>
      <c r="E1478">
        <v>1176</v>
      </c>
      <c r="F1478">
        <v>2240</v>
      </c>
      <c r="G1478">
        <v>1400</v>
      </c>
      <c r="H1478">
        <v>1</v>
      </c>
      <c r="I1478">
        <v>1</v>
      </c>
    </row>
    <row r="1479" spans="1:9" x14ac:dyDescent="0.25">
      <c r="A1479">
        <v>1478</v>
      </c>
      <c r="B1479" s="40" t="s">
        <v>1694</v>
      </c>
      <c r="C1479" s="40" t="s">
        <v>1091</v>
      </c>
      <c r="D1479">
        <v>10</v>
      </c>
      <c r="E1479">
        <v>2585.1</v>
      </c>
      <c r="F1479">
        <v>4924</v>
      </c>
      <c r="G1479">
        <v>3077.5</v>
      </c>
      <c r="H1479">
        <v>1</v>
      </c>
      <c r="I1479">
        <v>1</v>
      </c>
    </row>
    <row r="1480" spans="1:9" x14ac:dyDescent="0.25">
      <c r="A1480">
        <v>1479</v>
      </c>
      <c r="B1480" s="40" t="s">
        <v>1694</v>
      </c>
      <c r="C1480" s="40" t="s">
        <v>1724</v>
      </c>
      <c r="D1480">
        <v>10</v>
      </c>
      <c r="E1480">
        <v>1167.6000000000001</v>
      </c>
      <c r="F1480">
        <v>2224</v>
      </c>
      <c r="G1480">
        <v>1390</v>
      </c>
      <c r="H1480">
        <v>1</v>
      </c>
      <c r="I1480">
        <v>1</v>
      </c>
    </row>
    <row r="1481" spans="1:9" x14ac:dyDescent="0.25">
      <c r="A1481">
        <v>1480</v>
      </c>
      <c r="B1481" s="40" t="s">
        <v>1694</v>
      </c>
      <c r="C1481" s="40" t="s">
        <v>1725</v>
      </c>
      <c r="D1481">
        <v>10</v>
      </c>
      <c r="E1481">
        <v>2701.125</v>
      </c>
      <c r="F1481">
        <v>5145</v>
      </c>
      <c r="G1481">
        <v>3215.625</v>
      </c>
      <c r="H1481">
        <v>1</v>
      </c>
      <c r="I1481">
        <v>1</v>
      </c>
    </row>
    <row r="1482" spans="1:9" x14ac:dyDescent="0.25">
      <c r="A1482">
        <v>1481</v>
      </c>
      <c r="B1482" s="40" t="s">
        <v>1694</v>
      </c>
      <c r="C1482" s="40" t="s">
        <v>1726</v>
      </c>
      <c r="D1482">
        <v>10</v>
      </c>
      <c r="E1482">
        <v>1351.2800000000002</v>
      </c>
      <c r="F1482">
        <v>2413</v>
      </c>
      <c r="G1482">
        <v>1592.5800000000002</v>
      </c>
      <c r="H1482">
        <v>1</v>
      </c>
      <c r="I1482">
        <v>1</v>
      </c>
    </row>
    <row r="1483" spans="1:9" x14ac:dyDescent="0.25">
      <c r="A1483">
        <v>1482</v>
      </c>
      <c r="B1483" s="40" t="s">
        <v>1694</v>
      </c>
      <c r="C1483" s="40" t="s">
        <v>1095</v>
      </c>
      <c r="D1483">
        <v>10</v>
      </c>
      <c r="E1483">
        <v>87.21</v>
      </c>
      <c r="F1483">
        <v>153</v>
      </c>
      <c r="G1483">
        <v>102.50999999999999</v>
      </c>
      <c r="H1483">
        <v>1</v>
      </c>
      <c r="I1483">
        <v>1</v>
      </c>
    </row>
    <row r="1484" spans="1:9" x14ac:dyDescent="0.25">
      <c r="A1484">
        <v>1483</v>
      </c>
      <c r="B1484" s="40" t="s">
        <v>1694</v>
      </c>
      <c r="C1484" s="40" t="s">
        <v>1087</v>
      </c>
      <c r="D1484">
        <v>10</v>
      </c>
      <c r="E1484">
        <v>335.22499999999997</v>
      </c>
      <c r="F1484">
        <v>583</v>
      </c>
      <c r="G1484">
        <v>393.52499999999998</v>
      </c>
      <c r="H1484">
        <v>1</v>
      </c>
      <c r="I1484">
        <v>1</v>
      </c>
    </row>
    <row r="1485" spans="1:9" x14ac:dyDescent="0.25">
      <c r="A1485">
        <v>1484</v>
      </c>
      <c r="B1485" s="40" t="s">
        <v>1694</v>
      </c>
      <c r="C1485" s="40" t="s">
        <v>1728</v>
      </c>
      <c r="D1485">
        <v>10</v>
      </c>
      <c r="E1485">
        <v>125.82000000000001</v>
      </c>
      <c r="F1485">
        <v>233</v>
      </c>
      <c r="G1485">
        <v>149.12</v>
      </c>
      <c r="H1485">
        <v>1</v>
      </c>
      <c r="I1485">
        <v>1</v>
      </c>
    </row>
    <row r="1486" spans="1:9" x14ac:dyDescent="0.25">
      <c r="A1486">
        <v>1485</v>
      </c>
      <c r="B1486" s="40" t="s">
        <v>1694</v>
      </c>
      <c r="C1486" s="40" t="s">
        <v>1727</v>
      </c>
      <c r="D1486">
        <v>10</v>
      </c>
      <c r="E1486">
        <v>158.76000000000002</v>
      </c>
      <c r="F1486">
        <v>294</v>
      </c>
      <c r="G1486">
        <v>188.16</v>
      </c>
      <c r="H1486">
        <v>1</v>
      </c>
      <c r="I1486">
        <v>1</v>
      </c>
    </row>
    <row r="1487" spans="1:9" x14ac:dyDescent="0.25">
      <c r="A1487">
        <v>1486</v>
      </c>
      <c r="B1487" s="40" t="s">
        <v>1694</v>
      </c>
      <c r="C1487" s="40" t="s">
        <v>1729</v>
      </c>
      <c r="D1487">
        <v>10</v>
      </c>
      <c r="E1487">
        <v>484.29999999999995</v>
      </c>
      <c r="F1487">
        <v>835</v>
      </c>
      <c r="G1487">
        <v>567.79999999999995</v>
      </c>
      <c r="H1487">
        <v>1</v>
      </c>
      <c r="I1487">
        <v>1</v>
      </c>
    </row>
    <row r="1488" spans="1:9" x14ac:dyDescent="0.25">
      <c r="A1488">
        <v>1487</v>
      </c>
      <c r="B1488" s="40" t="s">
        <v>1694</v>
      </c>
      <c r="C1488" s="40" t="s">
        <v>1086</v>
      </c>
      <c r="D1488">
        <v>10</v>
      </c>
      <c r="E1488">
        <v>1239.75</v>
      </c>
      <c r="F1488">
        <v>2175</v>
      </c>
      <c r="G1488">
        <v>1457.2499999999998</v>
      </c>
      <c r="H1488">
        <v>1</v>
      </c>
      <c r="I1488">
        <v>1</v>
      </c>
    </row>
    <row r="1489" spans="1:9" x14ac:dyDescent="0.25">
      <c r="A1489">
        <v>1488</v>
      </c>
      <c r="B1489" s="40" t="s">
        <v>1694</v>
      </c>
      <c r="C1489" s="40" t="s">
        <v>1116</v>
      </c>
      <c r="D1489">
        <v>10</v>
      </c>
      <c r="E1489">
        <v>3100.2</v>
      </c>
      <c r="F1489">
        <v>5167</v>
      </c>
      <c r="G1489">
        <v>3616.8999999999996</v>
      </c>
      <c r="H1489">
        <v>1</v>
      </c>
      <c r="I1489">
        <v>1</v>
      </c>
    </row>
    <row r="1490" spans="1:9" x14ac:dyDescent="0.25">
      <c r="A1490">
        <v>1489</v>
      </c>
      <c r="B1490" s="40" t="s">
        <v>1694</v>
      </c>
      <c r="C1490" s="40" t="s">
        <v>1730</v>
      </c>
      <c r="D1490">
        <v>10</v>
      </c>
      <c r="E1490">
        <v>384.74999999999994</v>
      </c>
      <c r="F1490">
        <v>675</v>
      </c>
      <c r="G1490">
        <v>452.24999999999994</v>
      </c>
      <c r="H1490">
        <v>1</v>
      </c>
      <c r="I1490">
        <v>1</v>
      </c>
    </row>
    <row r="1491" spans="1:9" x14ac:dyDescent="0.25">
      <c r="A1491">
        <v>1490</v>
      </c>
      <c r="B1491" s="40" t="s">
        <v>1694</v>
      </c>
      <c r="C1491" s="40" t="s">
        <v>1118</v>
      </c>
      <c r="D1491">
        <v>10</v>
      </c>
      <c r="E1491">
        <v>171.19499999999999</v>
      </c>
      <c r="F1491">
        <v>303</v>
      </c>
      <c r="G1491">
        <v>201.49499999999998</v>
      </c>
      <c r="H1491">
        <v>1</v>
      </c>
      <c r="I1491">
        <v>1</v>
      </c>
    </row>
    <row r="1492" spans="1:9" x14ac:dyDescent="0.25">
      <c r="A1492">
        <v>1491</v>
      </c>
      <c r="B1492" s="40" t="s">
        <v>1831</v>
      </c>
      <c r="C1492" s="40" t="s">
        <v>1250</v>
      </c>
      <c r="D1492">
        <v>10</v>
      </c>
      <c r="E1492">
        <v>66.23</v>
      </c>
      <c r="F1492">
        <v>179</v>
      </c>
      <c r="G1492">
        <v>84.13</v>
      </c>
      <c r="H1492">
        <v>1</v>
      </c>
      <c r="I1492">
        <v>1</v>
      </c>
    </row>
    <row r="1493" spans="1:9" x14ac:dyDescent="0.25">
      <c r="A1493">
        <v>1492</v>
      </c>
      <c r="B1493" s="40" t="s">
        <v>1831</v>
      </c>
      <c r="C1493" s="40" t="s">
        <v>1261</v>
      </c>
      <c r="D1493">
        <v>10</v>
      </c>
      <c r="E1493">
        <v>27.649600000000003</v>
      </c>
      <c r="F1493">
        <v>62.84</v>
      </c>
      <c r="G1493">
        <v>33.933600000000006</v>
      </c>
      <c r="H1493">
        <v>1</v>
      </c>
      <c r="I1493">
        <v>1</v>
      </c>
    </row>
    <row r="1494" spans="1:9" x14ac:dyDescent="0.25">
      <c r="A1494">
        <v>1493</v>
      </c>
      <c r="B1494" s="40" t="s">
        <v>1831</v>
      </c>
      <c r="C1494" s="40" t="s">
        <v>1251</v>
      </c>
      <c r="D1494">
        <v>10</v>
      </c>
      <c r="E1494">
        <v>94.08</v>
      </c>
      <c r="F1494">
        <v>196</v>
      </c>
      <c r="G1494">
        <v>113.67999999999999</v>
      </c>
      <c r="H1494">
        <v>1</v>
      </c>
      <c r="I1494">
        <v>1</v>
      </c>
    </row>
    <row r="1495" spans="1:9" x14ac:dyDescent="0.25">
      <c r="A1495">
        <v>1494</v>
      </c>
      <c r="B1495" s="40" t="s">
        <v>1831</v>
      </c>
      <c r="C1495" s="40" t="s">
        <v>1252</v>
      </c>
      <c r="D1495">
        <v>10</v>
      </c>
      <c r="E1495">
        <v>162.84</v>
      </c>
      <c r="F1495">
        <v>354</v>
      </c>
      <c r="G1495">
        <v>198.24</v>
      </c>
      <c r="H1495">
        <v>1</v>
      </c>
      <c r="I1495">
        <v>1</v>
      </c>
    </row>
    <row r="1496" spans="1:9" x14ac:dyDescent="0.25">
      <c r="A1496">
        <v>1495</v>
      </c>
      <c r="B1496" s="40" t="s">
        <v>1831</v>
      </c>
      <c r="C1496" s="40" t="s">
        <v>1253</v>
      </c>
      <c r="D1496">
        <v>10</v>
      </c>
      <c r="E1496">
        <v>313.72000000000003</v>
      </c>
      <c r="F1496">
        <v>682</v>
      </c>
      <c r="G1496">
        <v>381.92</v>
      </c>
      <c r="H1496">
        <v>1</v>
      </c>
      <c r="I1496">
        <v>1</v>
      </c>
    </row>
    <row r="1497" spans="1:9" x14ac:dyDescent="0.25">
      <c r="A1497">
        <v>1496</v>
      </c>
      <c r="B1497" s="40" t="s">
        <v>1831</v>
      </c>
      <c r="C1497" s="40" t="s">
        <v>1254</v>
      </c>
      <c r="D1497">
        <v>10</v>
      </c>
      <c r="E1497">
        <v>583.28</v>
      </c>
      <c r="F1497">
        <v>1268</v>
      </c>
      <c r="G1497">
        <v>710.08</v>
      </c>
      <c r="H1497">
        <v>1</v>
      </c>
      <c r="I1497">
        <v>1</v>
      </c>
    </row>
    <row r="1498" spans="1:9" x14ac:dyDescent="0.25">
      <c r="A1498">
        <v>1497</v>
      </c>
      <c r="B1498" s="40" t="s">
        <v>1831</v>
      </c>
      <c r="C1498" s="40" t="s">
        <v>1255</v>
      </c>
      <c r="D1498">
        <v>10</v>
      </c>
      <c r="E1498">
        <v>499.60999999999996</v>
      </c>
      <c r="F1498">
        <v>1063</v>
      </c>
      <c r="G1498">
        <v>605.91</v>
      </c>
      <c r="H1498">
        <v>1</v>
      </c>
      <c r="I1498">
        <v>1</v>
      </c>
    </row>
    <row r="1499" spans="1:9" x14ac:dyDescent="0.25">
      <c r="A1499">
        <v>1498</v>
      </c>
      <c r="B1499" s="40" t="s">
        <v>1831</v>
      </c>
      <c r="C1499" s="40" t="s">
        <v>715</v>
      </c>
      <c r="D1499">
        <v>10</v>
      </c>
      <c r="E1499">
        <v>80.36999999999999</v>
      </c>
      <c r="F1499">
        <v>171</v>
      </c>
      <c r="G1499">
        <v>97.469999999999985</v>
      </c>
      <c r="H1499">
        <v>1</v>
      </c>
      <c r="I1499">
        <v>1</v>
      </c>
    </row>
    <row r="1500" spans="1:9" x14ac:dyDescent="0.25">
      <c r="A1500">
        <v>1499</v>
      </c>
      <c r="B1500" s="40" t="s">
        <v>1831</v>
      </c>
      <c r="C1500" s="40" t="s">
        <v>1256</v>
      </c>
      <c r="D1500">
        <v>10</v>
      </c>
      <c r="E1500">
        <v>74.88</v>
      </c>
      <c r="F1500">
        <v>192</v>
      </c>
      <c r="G1500">
        <v>94.08</v>
      </c>
      <c r="H1500">
        <v>1</v>
      </c>
      <c r="I1500">
        <v>1</v>
      </c>
    </row>
    <row r="1501" spans="1:9" x14ac:dyDescent="0.25">
      <c r="A1501">
        <v>1500</v>
      </c>
      <c r="B1501" s="40" t="s">
        <v>1831</v>
      </c>
      <c r="C1501" s="40" t="s">
        <v>1832</v>
      </c>
      <c r="D1501">
        <v>10</v>
      </c>
      <c r="E1501">
        <v>192.66</v>
      </c>
      <c r="F1501">
        <v>494</v>
      </c>
      <c r="G1501">
        <v>242.06</v>
      </c>
      <c r="H1501">
        <v>1</v>
      </c>
      <c r="I1501">
        <v>1</v>
      </c>
    </row>
    <row r="1502" spans="1:9" x14ac:dyDescent="0.25">
      <c r="A1502">
        <v>1501</v>
      </c>
      <c r="B1502" s="40" t="s">
        <v>1831</v>
      </c>
      <c r="C1502" s="40" t="s">
        <v>1257</v>
      </c>
      <c r="D1502">
        <v>10</v>
      </c>
      <c r="E1502">
        <v>64.36999999999999</v>
      </c>
      <c r="F1502">
        <v>157</v>
      </c>
      <c r="G1502">
        <v>80.070000000000007</v>
      </c>
      <c r="H1502">
        <v>1</v>
      </c>
      <c r="I1502">
        <v>1</v>
      </c>
    </row>
    <row r="1503" spans="1:9" x14ac:dyDescent="0.25">
      <c r="A1503">
        <v>1502</v>
      </c>
      <c r="B1503" s="40" t="s">
        <v>1831</v>
      </c>
      <c r="C1503" s="40" t="s">
        <v>1258</v>
      </c>
      <c r="D1503">
        <v>10</v>
      </c>
      <c r="E1503">
        <v>229.6</v>
      </c>
      <c r="F1503">
        <v>560</v>
      </c>
      <c r="G1503">
        <v>285.60000000000002</v>
      </c>
      <c r="H1503">
        <v>1</v>
      </c>
      <c r="I1503">
        <v>1</v>
      </c>
    </row>
    <row r="1504" spans="1:9" x14ac:dyDescent="0.25">
      <c r="A1504">
        <v>1503</v>
      </c>
      <c r="B1504" s="40" t="s">
        <v>1831</v>
      </c>
      <c r="C1504" s="40" t="s">
        <v>1259</v>
      </c>
      <c r="D1504">
        <v>10</v>
      </c>
      <c r="E1504">
        <v>196.79999999999998</v>
      </c>
      <c r="F1504">
        <v>480</v>
      </c>
      <c r="G1504">
        <v>244.8</v>
      </c>
      <c r="H1504">
        <v>1</v>
      </c>
      <c r="I1504">
        <v>1</v>
      </c>
    </row>
    <row r="1505" spans="1:9" x14ac:dyDescent="0.25">
      <c r="A1505">
        <v>1504</v>
      </c>
      <c r="B1505" s="40" t="s">
        <v>783</v>
      </c>
      <c r="C1505" s="40" t="s">
        <v>1127</v>
      </c>
      <c r="D1505">
        <v>10</v>
      </c>
      <c r="E1505">
        <v>326.14</v>
      </c>
      <c r="F1505">
        <v>709</v>
      </c>
      <c r="G1505">
        <v>397.04</v>
      </c>
      <c r="H1505">
        <v>1</v>
      </c>
      <c r="I1505">
        <v>1</v>
      </c>
    </row>
    <row r="1506" spans="1:9" x14ac:dyDescent="0.25">
      <c r="A1506">
        <v>1505</v>
      </c>
      <c r="B1506" s="40" t="s">
        <v>337</v>
      </c>
      <c r="C1506" s="40" t="s">
        <v>1133</v>
      </c>
      <c r="D1506">
        <v>10</v>
      </c>
      <c r="E1506">
        <v>107</v>
      </c>
      <c r="F1506">
        <v>214</v>
      </c>
      <c r="G1506">
        <v>128.4</v>
      </c>
      <c r="H1506">
        <v>1</v>
      </c>
      <c r="I1506">
        <v>1</v>
      </c>
    </row>
    <row r="1507" spans="1:9" x14ac:dyDescent="0.25">
      <c r="A1507">
        <v>1506</v>
      </c>
      <c r="B1507" s="40" t="s">
        <v>577</v>
      </c>
      <c r="C1507" s="40" t="s">
        <v>1134</v>
      </c>
      <c r="D1507">
        <v>10</v>
      </c>
      <c r="E1507">
        <v>324</v>
      </c>
      <c r="F1507">
        <v>648</v>
      </c>
      <c r="G1507">
        <v>388.8</v>
      </c>
      <c r="H1507">
        <v>1</v>
      </c>
      <c r="I1507">
        <v>1</v>
      </c>
    </row>
    <row r="1508" spans="1:9" x14ac:dyDescent="0.25">
      <c r="A1508">
        <v>1507</v>
      </c>
      <c r="B1508" s="40" t="s">
        <v>577</v>
      </c>
      <c r="C1508" s="40" t="s">
        <v>1164</v>
      </c>
      <c r="D1508">
        <v>10</v>
      </c>
      <c r="E1508">
        <v>260.5</v>
      </c>
      <c r="F1508">
        <v>521</v>
      </c>
      <c r="G1508">
        <v>312.59999999999997</v>
      </c>
      <c r="H1508">
        <v>1</v>
      </c>
      <c r="I1508">
        <v>1</v>
      </c>
    </row>
    <row r="1509" spans="1:9" x14ac:dyDescent="0.25">
      <c r="A1509">
        <v>1508</v>
      </c>
      <c r="B1509" s="40" t="s">
        <v>577</v>
      </c>
      <c r="C1509" s="40" t="s">
        <v>1135</v>
      </c>
      <c r="D1509">
        <v>10</v>
      </c>
      <c r="E1509">
        <v>85.5</v>
      </c>
      <c r="F1509">
        <v>171</v>
      </c>
      <c r="G1509">
        <v>102.6</v>
      </c>
      <c r="H1509">
        <v>1</v>
      </c>
      <c r="I1509">
        <v>1</v>
      </c>
    </row>
    <row r="1510" spans="1:9" x14ac:dyDescent="0.25">
      <c r="A1510">
        <v>1509</v>
      </c>
      <c r="B1510" s="40" t="s">
        <v>577</v>
      </c>
      <c r="C1510" s="40" t="s">
        <v>1136</v>
      </c>
      <c r="D1510">
        <v>10</v>
      </c>
      <c r="E1510">
        <v>577.5</v>
      </c>
      <c r="F1510">
        <v>1155</v>
      </c>
      <c r="G1510">
        <v>693</v>
      </c>
      <c r="H1510">
        <v>1</v>
      </c>
      <c r="I1510">
        <v>1</v>
      </c>
    </row>
    <row r="1511" spans="1:9" x14ac:dyDescent="0.25">
      <c r="A1511">
        <v>1510</v>
      </c>
      <c r="B1511" s="40" t="s">
        <v>1279</v>
      </c>
      <c r="C1511" s="40" t="s">
        <v>1362</v>
      </c>
      <c r="D1511">
        <v>10</v>
      </c>
      <c r="E1511">
        <v>53.11</v>
      </c>
      <c r="F1511">
        <v>113</v>
      </c>
      <c r="G1511">
        <v>64.41</v>
      </c>
      <c r="H1511">
        <v>1</v>
      </c>
      <c r="I1511">
        <v>1</v>
      </c>
    </row>
    <row r="1512" spans="1:9" x14ac:dyDescent="0.25">
      <c r="A1512">
        <v>1511</v>
      </c>
      <c r="B1512" s="40" t="s">
        <v>1279</v>
      </c>
      <c r="C1512" s="40" t="s">
        <v>1280</v>
      </c>
      <c r="D1512">
        <v>10</v>
      </c>
      <c r="E1512">
        <v>63</v>
      </c>
      <c r="F1512">
        <v>126</v>
      </c>
      <c r="G1512">
        <v>75.599999999999994</v>
      </c>
      <c r="H1512">
        <v>1</v>
      </c>
      <c r="I1512">
        <v>1</v>
      </c>
    </row>
    <row r="1513" spans="1:9" x14ac:dyDescent="0.25">
      <c r="A1513">
        <v>1512</v>
      </c>
      <c r="B1513" s="40" t="s">
        <v>1279</v>
      </c>
      <c r="C1513" s="40" t="s">
        <v>1281</v>
      </c>
      <c r="D1513">
        <v>10</v>
      </c>
      <c r="E1513">
        <v>84</v>
      </c>
      <c r="F1513">
        <v>168</v>
      </c>
      <c r="G1513">
        <v>100.8</v>
      </c>
      <c r="H1513">
        <v>1</v>
      </c>
      <c r="I1513">
        <v>1</v>
      </c>
    </row>
    <row r="1514" spans="1:9" x14ac:dyDescent="0.25">
      <c r="A1514">
        <v>1513</v>
      </c>
      <c r="B1514" s="40" t="s">
        <v>1279</v>
      </c>
      <c r="C1514" s="40" t="s">
        <v>1363</v>
      </c>
      <c r="D1514">
        <v>10</v>
      </c>
      <c r="E1514">
        <v>44.5</v>
      </c>
      <c r="F1514">
        <v>89</v>
      </c>
      <c r="G1514">
        <v>53.4</v>
      </c>
      <c r="H1514">
        <v>1</v>
      </c>
      <c r="I1514">
        <v>1</v>
      </c>
    </row>
    <row r="1515" spans="1:9" x14ac:dyDescent="0.25">
      <c r="A1515">
        <v>1514</v>
      </c>
      <c r="B1515" s="40" t="s">
        <v>1279</v>
      </c>
      <c r="C1515" s="40" t="s">
        <v>1287</v>
      </c>
      <c r="D1515">
        <v>10</v>
      </c>
      <c r="E1515">
        <v>116</v>
      </c>
      <c r="F1515">
        <v>232</v>
      </c>
      <c r="G1515">
        <v>139.19999999999999</v>
      </c>
      <c r="H1515">
        <v>1</v>
      </c>
      <c r="I1515">
        <v>1</v>
      </c>
    </row>
    <row r="1516" spans="1:9" x14ac:dyDescent="0.25">
      <c r="A1516">
        <v>1515</v>
      </c>
      <c r="B1516" s="40" t="s">
        <v>1279</v>
      </c>
      <c r="C1516" s="40" t="s">
        <v>1288</v>
      </c>
      <c r="D1516">
        <v>10</v>
      </c>
      <c r="E1516">
        <v>42.5</v>
      </c>
      <c r="F1516">
        <v>85</v>
      </c>
      <c r="G1516">
        <v>51</v>
      </c>
      <c r="H1516">
        <v>1</v>
      </c>
      <c r="I1516">
        <v>1</v>
      </c>
    </row>
    <row r="1517" spans="1:9" x14ac:dyDescent="0.25">
      <c r="A1517">
        <v>1516</v>
      </c>
      <c r="B1517" s="40" t="s">
        <v>1279</v>
      </c>
      <c r="C1517" s="40" t="s">
        <v>1282</v>
      </c>
      <c r="D1517">
        <v>10</v>
      </c>
      <c r="E1517">
        <v>62.5</v>
      </c>
      <c r="F1517">
        <v>125</v>
      </c>
      <c r="G1517">
        <v>75</v>
      </c>
      <c r="H1517">
        <v>1</v>
      </c>
      <c r="I1517">
        <v>1</v>
      </c>
    </row>
    <row r="1518" spans="1:9" x14ac:dyDescent="0.25">
      <c r="A1518">
        <v>1517</v>
      </c>
      <c r="B1518" s="40" t="s">
        <v>1279</v>
      </c>
      <c r="C1518" s="40" t="s">
        <v>1286</v>
      </c>
      <c r="D1518">
        <v>10</v>
      </c>
      <c r="E1518">
        <v>115</v>
      </c>
      <c r="F1518">
        <v>230</v>
      </c>
      <c r="G1518">
        <v>138</v>
      </c>
      <c r="H1518">
        <v>1</v>
      </c>
      <c r="I1518">
        <v>1</v>
      </c>
    </row>
    <row r="1519" spans="1:9" x14ac:dyDescent="0.25">
      <c r="A1519">
        <v>1518</v>
      </c>
      <c r="B1519" s="40" t="s">
        <v>1279</v>
      </c>
      <c r="C1519" s="40" t="s">
        <v>1283</v>
      </c>
      <c r="D1519">
        <v>10</v>
      </c>
      <c r="E1519">
        <v>55</v>
      </c>
      <c r="F1519">
        <v>110</v>
      </c>
      <c r="G1519">
        <v>66</v>
      </c>
      <c r="H1519">
        <v>1</v>
      </c>
      <c r="I1519">
        <v>1</v>
      </c>
    </row>
    <row r="1520" spans="1:9" x14ac:dyDescent="0.25">
      <c r="A1520">
        <v>1519</v>
      </c>
      <c r="B1520" s="40" t="s">
        <v>1279</v>
      </c>
      <c r="C1520" s="40" t="s">
        <v>1284</v>
      </c>
      <c r="D1520">
        <v>10</v>
      </c>
      <c r="E1520">
        <v>78</v>
      </c>
      <c r="F1520">
        <v>156</v>
      </c>
      <c r="G1520">
        <v>93.6</v>
      </c>
      <c r="H1520">
        <v>1</v>
      </c>
      <c r="I1520">
        <v>1</v>
      </c>
    </row>
    <row r="1521" spans="1:9" x14ac:dyDescent="0.25">
      <c r="A1521">
        <v>1520</v>
      </c>
      <c r="B1521" s="40" t="s">
        <v>1279</v>
      </c>
      <c r="C1521" s="40" t="s">
        <v>1293</v>
      </c>
      <c r="D1521">
        <v>10</v>
      </c>
      <c r="E1521">
        <v>94.5</v>
      </c>
      <c r="F1521">
        <v>189</v>
      </c>
      <c r="G1521">
        <v>113.39999999999999</v>
      </c>
      <c r="H1521">
        <v>1</v>
      </c>
      <c r="I1521">
        <v>1</v>
      </c>
    </row>
    <row r="1522" spans="1:9" x14ac:dyDescent="0.25">
      <c r="A1522">
        <v>1521</v>
      </c>
      <c r="B1522" s="40" t="s">
        <v>1279</v>
      </c>
      <c r="C1522" s="40" t="s">
        <v>1285</v>
      </c>
      <c r="D1522">
        <v>10</v>
      </c>
      <c r="E1522">
        <v>55</v>
      </c>
      <c r="F1522">
        <v>110</v>
      </c>
      <c r="G1522">
        <v>66</v>
      </c>
      <c r="H1522">
        <v>1</v>
      </c>
      <c r="I1522">
        <v>1</v>
      </c>
    </row>
    <row r="1523" spans="1:9" x14ac:dyDescent="0.25">
      <c r="A1523">
        <v>1522</v>
      </c>
      <c r="B1523" s="40" t="s">
        <v>1289</v>
      </c>
      <c r="C1523" s="40" t="s">
        <v>1292</v>
      </c>
      <c r="D1523">
        <v>10</v>
      </c>
      <c r="E1523">
        <v>99.5</v>
      </c>
      <c r="F1523">
        <v>199</v>
      </c>
      <c r="G1523">
        <v>119.39999999999999</v>
      </c>
      <c r="H1523">
        <v>1</v>
      </c>
      <c r="I1523">
        <v>1</v>
      </c>
    </row>
    <row r="1524" spans="1:9" x14ac:dyDescent="0.25">
      <c r="A1524">
        <v>1523</v>
      </c>
      <c r="B1524" s="40" t="s">
        <v>1290</v>
      </c>
      <c r="C1524" s="40" t="s">
        <v>1291</v>
      </c>
      <c r="D1524">
        <v>10</v>
      </c>
      <c r="E1524">
        <v>55</v>
      </c>
      <c r="F1524">
        <v>110</v>
      </c>
      <c r="G1524">
        <v>66</v>
      </c>
      <c r="H1524">
        <v>1</v>
      </c>
      <c r="I1524">
        <v>1</v>
      </c>
    </row>
    <row r="1525" spans="1:9" x14ac:dyDescent="0.25">
      <c r="A1525">
        <v>1524</v>
      </c>
      <c r="B1525" s="40" t="s">
        <v>1294</v>
      </c>
      <c r="C1525" s="40" t="s">
        <v>1295</v>
      </c>
      <c r="D1525">
        <v>10</v>
      </c>
      <c r="E1525">
        <v>197.5</v>
      </c>
      <c r="F1525">
        <v>395</v>
      </c>
      <c r="G1525">
        <v>237</v>
      </c>
      <c r="H1525">
        <v>1</v>
      </c>
      <c r="I1525">
        <v>1</v>
      </c>
    </row>
    <row r="1526" spans="1:9" x14ac:dyDescent="0.25">
      <c r="A1526">
        <v>1525</v>
      </c>
      <c r="B1526" s="40" t="s">
        <v>1294</v>
      </c>
      <c r="C1526" s="40" t="s">
        <v>1296</v>
      </c>
      <c r="D1526">
        <v>10</v>
      </c>
      <c r="E1526">
        <v>143.5</v>
      </c>
      <c r="F1526">
        <v>287</v>
      </c>
      <c r="G1526">
        <v>172.2</v>
      </c>
      <c r="H1526">
        <v>1</v>
      </c>
      <c r="I1526">
        <v>1</v>
      </c>
    </row>
    <row r="1527" spans="1:9" x14ac:dyDescent="0.25">
      <c r="A1527">
        <v>1526</v>
      </c>
      <c r="B1527" s="40" t="s">
        <v>1294</v>
      </c>
      <c r="C1527" s="40" t="s">
        <v>1364</v>
      </c>
      <c r="D1527">
        <v>10</v>
      </c>
      <c r="E1527">
        <v>52</v>
      </c>
      <c r="F1527">
        <v>104</v>
      </c>
      <c r="G1527">
        <v>62.4</v>
      </c>
      <c r="H1527">
        <v>1</v>
      </c>
      <c r="I1527">
        <v>1</v>
      </c>
    </row>
  </sheetData>
  <autoFilter ref="A1:I1527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313"/>
  <sheetViews>
    <sheetView topLeftCell="A305" workbookViewId="0">
      <selection activeCell="A313" sqref="A313:XFD313"/>
    </sheetView>
  </sheetViews>
  <sheetFormatPr baseColWidth="10" defaultColWidth="11.42578125" defaultRowHeight="15" x14ac:dyDescent="0.25"/>
  <sheetData>
    <row r="1" spans="1:9" x14ac:dyDescent="0.25">
      <c r="A1" t="s">
        <v>1885</v>
      </c>
      <c r="B1" t="s">
        <v>1886</v>
      </c>
      <c r="C1" t="s">
        <v>1887</v>
      </c>
      <c r="D1" t="s">
        <v>1888</v>
      </c>
      <c r="E1" t="s">
        <v>1889</v>
      </c>
      <c r="F1" t="s">
        <v>1890</v>
      </c>
      <c r="G1" t="s">
        <v>1891</v>
      </c>
      <c r="H1" t="s">
        <v>1892</v>
      </c>
      <c r="I1" t="s">
        <v>1893</v>
      </c>
    </row>
    <row r="2" spans="1:9" x14ac:dyDescent="0.25">
      <c r="B2" s="40" t="s">
        <v>0</v>
      </c>
      <c r="C2" s="40" t="s">
        <v>1876</v>
      </c>
      <c r="D2">
        <v>10</v>
      </c>
      <c r="E2">
        <v>0</v>
      </c>
      <c r="G2">
        <v>0</v>
      </c>
      <c r="H2">
        <v>1</v>
      </c>
      <c r="I2">
        <v>1</v>
      </c>
    </row>
    <row r="3" spans="1:9" x14ac:dyDescent="0.25">
      <c r="B3" s="40" t="s">
        <v>0</v>
      </c>
      <c r="C3" s="40" t="s">
        <v>1873</v>
      </c>
      <c r="D3">
        <v>10</v>
      </c>
      <c r="E3">
        <v>0</v>
      </c>
      <c r="G3">
        <v>0</v>
      </c>
      <c r="H3">
        <v>1</v>
      </c>
      <c r="I3">
        <v>1</v>
      </c>
    </row>
    <row r="4" spans="1:9" x14ac:dyDescent="0.25">
      <c r="B4" s="40" t="s">
        <v>0</v>
      </c>
      <c r="C4" s="40" t="s">
        <v>1874</v>
      </c>
      <c r="D4">
        <v>10</v>
      </c>
      <c r="E4">
        <v>0</v>
      </c>
      <c r="G4">
        <v>0</v>
      </c>
      <c r="H4">
        <v>1</v>
      </c>
      <c r="I4">
        <v>1</v>
      </c>
    </row>
    <row r="5" spans="1:9" x14ac:dyDescent="0.25">
      <c r="B5" s="40" t="s">
        <v>0</v>
      </c>
      <c r="C5" s="40" t="s">
        <v>1875</v>
      </c>
      <c r="D5">
        <v>10</v>
      </c>
      <c r="E5">
        <v>0</v>
      </c>
      <c r="G5">
        <v>0</v>
      </c>
      <c r="H5">
        <v>1</v>
      </c>
      <c r="I5">
        <v>1</v>
      </c>
    </row>
    <row r="6" spans="1:9" x14ac:dyDescent="0.25">
      <c r="B6" s="40" t="s">
        <v>0</v>
      </c>
      <c r="C6" s="40" t="s">
        <v>1877</v>
      </c>
      <c r="D6">
        <v>10</v>
      </c>
      <c r="E6">
        <v>0</v>
      </c>
      <c r="G6">
        <v>0</v>
      </c>
      <c r="H6">
        <v>1</v>
      </c>
      <c r="I6">
        <v>1</v>
      </c>
    </row>
    <row r="7" spans="1:9" x14ac:dyDescent="0.25">
      <c r="B7" s="40" t="s">
        <v>0</v>
      </c>
      <c r="C7" s="40" t="s">
        <v>1878</v>
      </c>
      <c r="D7">
        <v>10</v>
      </c>
      <c r="E7">
        <v>0</v>
      </c>
      <c r="G7">
        <v>0</v>
      </c>
      <c r="H7">
        <v>1</v>
      </c>
      <c r="I7">
        <v>1</v>
      </c>
    </row>
    <row r="8" spans="1:9" x14ac:dyDescent="0.25">
      <c r="B8" s="40" t="s">
        <v>0</v>
      </c>
      <c r="C8" s="40" t="s">
        <v>1879</v>
      </c>
      <c r="D8">
        <v>10</v>
      </c>
      <c r="E8">
        <v>0</v>
      </c>
      <c r="G8">
        <v>0</v>
      </c>
      <c r="H8">
        <v>1</v>
      </c>
      <c r="I8">
        <v>1</v>
      </c>
    </row>
    <row r="9" spans="1:9" x14ac:dyDescent="0.25">
      <c r="B9" s="40" t="s">
        <v>34</v>
      </c>
      <c r="C9" s="40" t="s">
        <v>35</v>
      </c>
      <c r="D9">
        <v>10</v>
      </c>
      <c r="H9">
        <v>1</v>
      </c>
      <c r="I9">
        <v>1</v>
      </c>
    </row>
    <row r="10" spans="1:9" x14ac:dyDescent="0.25">
      <c r="B10" s="40" t="s">
        <v>34</v>
      </c>
      <c r="C10" s="40" t="s">
        <v>36</v>
      </c>
      <c r="D10">
        <v>10</v>
      </c>
      <c r="H10">
        <v>1</v>
      </c>
      <c r="I10">
        <v>1</v>
      </c>
    </row>
    <row r="11" spans="1:9" x14ac:dyDescent="0.25">
      <c r="B11" s="40" t="s">
        <v>34</v>
      </c>
      <c r="C11" s="40" t="s">
        <v>37</v>
      </c>
      <c r="D11">
        <v>10</v>
      </c>
      <c r="F11">
        <v>240</v>
      </c>
      <c r="H11">
        <v>1</v>
      </c>
      <c r="I11">
        <v>1</v>
      </c>
    </row>
    <row r="12" spans="1:9" x14ac:dyDescent="0.25">
      <c r="B12" s="40" t="s">
        <v>34</v>
      </c>
      <c r="C12" s="40" t="s">
        <v>38</v>
      </c>
      <c r="D12">
        <v>10</v>
      </c>
      <c r="H12">
        <v>1</v>
      </c>
      <c r="I12">
        <v>1</v>
      </c>
    </row>
    <row r="13" spans="1:9" x14ac:dyDescent="0.25">
      <c r="B13" s="40" t="s">
        <v>34</v>
      </c>
      <c r="C13" s="40" t="s">
        <v>39</v>
      </c>
      <c r="D13">
        <v>10</v>
      </c>
      <c r="H13">
        <v>1</v>
      </c>
      <c r="I13">
        <v>1</v>
      </c>
    </row>
    <row r="14" spans="1:9" x14ac:dyDescent="0.25">
      <c r="B14" s="40" t="s">
        <v>34</v>
      </c>
      <c r="C14" s="40" t="s">
        <v>40</v>
      </c>
      <c r="D14">
        <v>10</v>
      </c>
      <c r="H14">
        <v>1</v>
      </c>
      <c r="I14">
        <v>1</v>
      </c>
    </row>
    <row r="15" spans="1:9" x14ac:dyDescent="0.25">
      <c r="B15" s="40" t="s">
        <v>34</v>
      </c>
      <c r="C15" s="40" t="s">
        <v>41</v>
      </c>
      <c r="D15">
        <v>10</v>
      </c>
      <c r="H15">
        <v>1</v>
      </c>
      <c r="I15">
        <v>1</v>
      </c>
    </row>
    <row r="16" spans="1:9" x14ac:dyDescent="0.25">
      <c r="B16" s="40" t="s">
        <v>34</v>
      </c>
      <c r="C16" s="40" t="s">
        <v>42</v>
      </c>
      <c r="D16">
        <v>10</v>
      </c>
      <c r="H16">
        <v>1</v>
      </c>
      <c r="I16">
        <v>1</v>
      </c>
    </row>
    <row r="17" spans="2:9" x14ac:dyDescent="0.25">
      <c r="B17" s="40" t="s">
        <v>34</v>
      </c>
      <c r="C17" s="40" t="s">
        <v>43</v>
      </c>
      <c r="D17">
        <v>10</v>
      </c>
      <c r="H17">
        <v>1</v>
      </c>
      <c r="I17">
        <v>1</v>
      </c>
    </row>
    <row r="18" spans="2:9" x14ac:dyDescent="0.25">
      <c r="B18" s="40" t="s">
        <v>34</v>
      </c>
      <c r="C18" s="41" t="s">
        <v>44</v>
      </c>
      <c r="D18">
        <v>10</v>
      </c>
      <c r="H18">
        <v>1</v>
      </c>
      <c r="I18">
        <v>1</v>
      </c>
    </row>
    <row r="19" spans="2:9" x14ac:dyDescent="0.25">
      <c r="B19" s="40" t="s">
        <v>45</v>
      </c>
      <c r="C19" s="40" t="s">
        <v>70</v>
      </c>
      <c r="D19">
        <v>10</v>
      </c>
      <c r="E19">
        <v>0</v>
      </c>
      <c r="F19">
        <v>0</v>
      </c>
      <c r="G19">
        <v>0</v>
      </c>
      <c r="H19">
        <v>1</v>
      </c>
      <c r="I19">
        <v>1</v>
      </c>
    </row>
    <row r="20" spans="2:9" x14ac:dyDescent="0.25">
      <c r="B20" s="40" t="s">
        <v>72</v>
      </c>
      <c r="C20" s="40" t="s">
        <v>73</v>
      </c>
      <c r="D20">
        <v>10</v>
      </c>
      <c r="E20">
        <v>0</v>
      </c>
      <c r="G20">
        <v>0</v>
      </c>
      <c r="H20">
        <v>1</v>
      </c>
      <c r="I20">
        <v>1</v>
      </c>
    </row>
    <row r="21" spans="2:9" x14ac:dyDescent="0.25">
      <c r="B21" s="40" t="s">
        <v>75</v>
      </c>
      <c r="C21" s="40" t="s">
        <v>1622</v>
      </c>
      <c r="D21">
        <v>10</v>
      </c>
      <c r="F21">
        <v>193</v>
      </c>
      <c r="H21">
        <v>1</v>
      </c>
      <c r="I21">
        <v>1</v>
      </c>
    </row>
    <row r="22" spans="2:9" x14ac:dyDescent="0.25">
      <c r="B22" s="40" t="s">
        <v>75</v>
      </c>
      <c r="C22" s="40" t="s">
        <v>1623</v>
      </c>
      <c r="D22">
        <v>10</v>
      </c>
      <c r="F22">
        <v>116</v>
      </c>
      <c r="H22">
        <v>1</v>
      </c>
      <c r="I22">
        <v>1</v>
      </c>
    </row>
    <row r="23" spans="2:9" x14ac:dyDescent="0.25">
      <c r="B23" s="40" t="s">
        <v>75</v>
      </c>
      <c r="C23" s="40" t="s">
        <v>1484</v>
      </c>
      <c r="D23">
        <v>10</v>
      </c>
      <c r="H23">
        <v>1</v>
      </c>
      <c r="I23">
        <v>1</v>
      </c>
    </row>
    <row r="24" spans="2:9" x14ac:dyDescent="0.25">
      <c r="B24" s="40" t="s">
        <v>75</v>
      </c>
      <c r="C24" s="40" t="s">
        <v>1484</v>
      </c>
      <c r="D24">
        <v>10</v>
      </c>
      <c r="F24">
        <v>2059</v>
      </c>
      <c r="H24">
        <v>1</v>
      </c>
      <c r="I24">
        <v>1</v>
      </c>
    </row>
    <row r="25" spans="2:9" x14ac:dyDescent="0.25">
      <c r="B25" s="40" t="s">
        <v>75</v>
      </c>
      <c r="C25" s="40" t="s">
        <v>147</v>
      </c>
      <c r="D25">
        <v>10</v>
      </c>
      <c r="E25">
        <v>0</v>
      </c>
      <c r="F25">
        <v>0</v>
      </c>
      <c r="G25">
        <v>0</v>
      </c>
      <c r="H25">
        <v>1</v>
      </c>
      <c r="I25">
        <v>1</v>
      </c>
    </row>
    <row r="26" spans="2:9" x14ac:dyDescent="0.25">
      <c r="B26" s="40" t="s">
        <v>75</v>
      </c>
      <c r="C26" s="40" t="s">
        <v>1471</v>
      </c>
      <c r="D26">
        <v>10</v>
      </c>
      <c r="F26">
        <v>549</v>
      </c>
      <c r="H26">
        <v>1</v>
      </c>
      <c r="I26">
        <v>1</v>
      </c>
    </row>
    <row r="27" spans="2:9" x14ac:dyDescent="0.25">
      <c r="B27" s="40" t="s">
        <v>163</v>
      </c>
      <c r="C27" s="40" t="s">
        <v>164</v>
      </c>
      <c r="D27">
        <v>10</v>
      </c>
      <c r="H27">
        <v>1</v>
      </c>
      <c r="I27">
        <v>1</v>
      </c>
    </row>
    <row r="28" spans="2:9" x14ac:dyDescent="0.25">
      <c r="B28" s="40" t="s">
        <v>165</v>
      </c>
      <c r="C28" s="40" t="s">
        <v>166</v>
      </c>
      <c r="D28">
        <v>10</v>
      </c>
      <c r="E28">
        <v>0</v>
      </c>
      <c r="F28">
        <v>0</v>
      </c>
      <c r="G28">
        <v>0</v>
      </c>
      <c r="H28">
        <v>1</v>
      </c>
      <c r="I28">
        <v>1</v>
      </c>
    </row>
    <row r="29" spans="2:9" x14ac:dyDescent="0.25">
      <c r="B29" s="40" t="s">
        <v>165</v>
      </c>
      <c r="C29" s="40" t="s">
        <v>167</v>
      </c>
      <c r="D29">
        <v>10</v>
      </c>
      <c r="E29">
        <v>0</v>
      </c>
      <c r="F29">
        <v>0</v>
      </c>
      <c r="G29">
        <v>0</v>
      </c>
      <c r="H29">
        <v>1</v>
      </c>
      <c r="I29">
        <v>1</v>
      </c>
    </row>
    <row r="30" spans="2:9" x14ac:dyDescent="0.25">
      <c r="B30" s="40" t="s">
        <v>165</v>
      </c>
      <c r="C30" s="40" t="s">
        <v>177</v>
      </c>
      <c r="D30">
        <v>10</v>
      </c>
      <c r="E30">
        <v>0</v>
      </c>
      <c r="G30">
        <v>0</v>
      </c>
      <c r="H30">
        <v>1</v>
      </c>
      <c r="I30">
        <v>1</v>
      </c>
    </row>
    <row r="31" spans="2:9" x14ac:dyDescent="0.25">
      <c r="B31" s="40" t="s">
        <v>165</v>
      </c>
      <c r="C31" s="40" t="s">
        <v>180</v>
      </c>
      <c r="D31">
        <v>10</v>
      </c>
      <c r="E31">
        <v>0</v>
      </c>
      <c r="F31">
        <v>0</v>
      </c>
      <c r="G31">
        <v>0</v>
      </c>
      <c r="H31">
        <v>1</v>
      </c>
      <c r="I31">
        <v>1</v>
      </c>
    </row>
    <row r="32" spans="2:9" x14ac:dyDescent="0.25">
      <c r="B32" s="40" t="s">
        <v>165</v>
      </c>
      <c r="C32" s="40" t="s">
        <v>181</v>
      </c>
      <c r="D32">
        <v>10</v>
      </c>
      <c r="E32">
        <v>0</v>
      </c>
      <c r="F32">
        <v>0</v>
      </c>
      <c r="G32">
        <v>0</v>
      </c>
      <c r="H32">
        <v>1</v>
      </c>
      <c r="I32">
        <v>1</v>
      </c>
    </row>
    <row r="33" spans="2:9" x14ac:dyDescent="0.25">
      <c r="B33" s="40" t="s">
        <v>165</v>
      </c>
      <c r="C33" s="40" t="s">
        <v>189</v>
      </c>
      <c r="D33">
        <v>10</v>
      </c>
      <c r="E33">
        <v>0</v>
      </c>
      <c r="F33">
        <v>0</v>
      </c>
      <c r="G33">
        <v>0</v>
      </c>
      <c r="H33">
        <v>1</v>
      </c>
      <c r="I33">
        <v>1</v>
      </c>
    </row>
    <row r="34" spans="2:9" x14ac:dyDescent="0.25">
      <c r="B34" s="40" t="s">
        <v>165</v>
      </c>
      <c r="C34" s="40" t="s">
        <v>190</v>
      </c>
      <c r="D34">
        <v>10</v>
      </c>
      <c r="E34">
        <v>0</v>
      </c>
      <c r="F34">
        <v>0</v>
      </c>
      <c r="G34">
        <v>0</v>
      </c>
      <c r="H34">
        <v>1</v>
      </c>
      <c r="I34">
        <v>1</v>
      </c>
    </row>
    <row r="35" spans="2:9" x14ac:dyDescent="0.25">
      <c r="B35" s="40" t="s">
        <v>165</v>
      </c>
      <c r="C35" s="40" t="s">
        <v>191</v>
      </c>
      <c r="D35">
        <v>10</v>
      </c>
      <c r="E35">
        <v>0</v>
      </c>
      <c r="F35">
        <v>0</v>
      </c>
      <c r="G35">
        <v>0</v>
      </c>
      <c r="H35">
        <v>1</v>
      </c>
      <c r="I35">
        <v>1</v>
      </c>
    </row>
    <row r="36" spans="2:9" x14ac:dyDescent="0.25">
      <c r="B36" s="40" t="s">
        <v>165</v>
      </c>
      <c r="C36" s="40" t="s">
        <v>192</v>
      </c>
      <c r="D36">
        <v>10</v>
      </c>
      <c r="E36">
        <v>0</v>
      </c>
      <c r="F36">
        <v>0</v>
      </c>
      <c r="G36">
        <v>0</v>
      </c>
      <c r="H36">
        <v>1</v>
      </c>
      <c r="I36">
        <v>1</v>
      </c>
    </row>
    <row r="37" spans="2:9" x14ac:dyDescent="0.25">
      <c r="B37" s="40" t="s">
        <v>165</v>
      </c>
      <c r="C37" s="40" t="s">
        <v>193</v>
      </c>
      <c r="D37">
        <v>10</v>
      </c>
      <c r="E37">
        <v>0</v>
      </c>
      <c r="F37">
        <v>0</v>
      </c>
      <c r="G37">
        <v>0</v>
      </c>
      <c r="H37">
        <v>1</v>
      </c>
      <c r="I37">
        <v>1</v>
      </c>
    </row>
    <row r="38" spans="2:9" x14ac:dyDescent="0.25">
      <c r="B38" s="40" t="s">
        <v>165</v>
      </c>
      <c r="C38" s="40" t="s">
        <v>196</v>
      </c>
      <c r="D38">
        <v>10</v>
      </c>
      <c r="E38">
        <v>0</v>
      </c>
      <c r="F38">
        <v>0</v>
      </c>
      <c r="G38">
        <v>0</v>
      </c>
      <c r="H38">
        <v>1</v>
      </c>
      <c r="I38">
        <v>1</v>
      </c>
    </row>
    <row r="39" spans="2:9" x14ac:dyDescent="0.25">
      <c r="B39" s="40" t="s">
        <v>165</v>
      </c>
      <c r="C39" s="40" t="s">
        <v>200</v>
      </c>
      <c r="D39">
        <v>10</v>
      </c>
      <c r="E39">
        <v>0</v>
      </c>
      <c r="F39">
        <v>0</v>
      </c>
      <c r="G39">
        <v>0</v>
      </c>
      <c r="H39">
        <v>1</v>
      </c>
      <c r="I39">
        <v>1</v>
      </c>
    </row>
    <row r="40" spans="2:9" x14ac:dyDescent="0.25">
      <c r="B40" s="40" t="s">
        <v>165</v>
      </c>
      <c r="C40" s="40" t="s">
        <v>201</v>
      </c>
      <c r="D40">
        <v>10</v>
      </c>
      <c r="E40">
        <v>0</v>
      </c>
      <c r="F40">
        <v>0</v>
      </c>
      <c r="G40">
        <v>0</v>
      </c>
      <c r="H40">
        <v>1</v>
      </c>
      <c r="I40">
        <v>1</v>
      </c>
    </row>
    <row r="41" spans="2:9" x14ac:dyDescent="0.25">
      <c r="B41" s="40" t="s">
        <v>165</v>
      </c>
      <c r="C41" s="40" t="s">
        <v>207</v>
      </c>
      <c r="D41">
        <v>10</v>
      </c>
      <c r="E41">
        <v>0</v>
      </c>
      <c r="F41">
        <v>0</v>
      </c>
      <c r="G41">
        <v>0</v>
      </c>
      <c r="H41">
        <v>1</v>
      </c>
      <c r="I41">
        <v>1</v>
      </c>
    </row>
    <row r="42" spans="2:9" x14ac:dyDescent="0.25">
      <c r="B42" s="40" t="s">
        <v>165</v>
      </c>
      <c r="C42" s="40" t="s">
        <v>208</v>
      </c>
      <c r="D42">
        <v>10</v>
      </c>
      <c r="E42">
        <v>0</v>
      </c>
      <c r="F42">
        <v>0</v>
      </c>
      <c r="G42">
        <v>0</v>
      </c>
      <c r="H42">
        <v>1</v>
      </c>
      <c r="I42">
        <v>1</v>
      </c>
    </row>
    <row r="43" spans="2:9" x14ac:dyDescent="0.25">
      <c r="B43" s="40" t="s">
        <v>165</v>
      </c>
      <c r="C43" s="40" t="s">
        <v>209</v>
      </c>
      <c r="D43">
        <v>10</v>
      </c>
      <c r="E43">
        <v>0</v>
      </c>
      <c r="F43">
        <v>0</v>
      </c>
      <c r="G43">
        <v>0</v>
      </c>
      <c r="H43">
        <v>1</v>
      </c>
      <c r="I43">
        <v>1</v>
      </c>
    </row>
    <row r="44" spans="2:9" x14ac:dyDescent="0.25">
      <c r="B44" s="40" t="s">
        <v>165</v>
      </c>
      <c r="C44" s="40" t="s">
        <v>210</v>
      </c>
      <c r="D44">
        <v>10</v>
      </c>
      <c r="E44">
        <v>0</v>
      </c>
      <c r="G44">
        <v>0</v>
      </c>
      <c r="H44">
        <v>1</v>
      </c>
      <c r="I44">
        <v>1</v>
      </c>
    </row>
    <row r="45" spans="2:9" x14ac:dyDescent="0.25">
      <c r="B45" s="40" t="s">
        <v>223</v>
      </c>
      <c r="C45" s="40" t="s">
        <v>224</v>
      </c>
      <c r="D45">
        <v>10</v>
      </c>
      <c r="E45">
        <v>0</v>
      </c>
      <c r="F45">
        <v>0</v>
      </c>
      <c r="G45">
        <v>0</v>
      </c>
      <c r="H45">
        <v>1</v>
      </c>
      <c r="I45">
        <v>1</v>
      </c>
    </row>
    <row r="46" spans="2:9" x14ac:dyDescent="0.25">
      <c r="B46" s="40" t="s">
        <v>1820</v>
      </c>
      <c r="C46" s="40" t="s">
        <v>256</v>
      </c>
      <c r="D46">
        <v>10</v>
      </c>
      <c r="E46">
        <v>0</v>
      </c>
      <c r="F46">
        <v>0</v>
      </c>
      <c r="G46">
        <v>0</v>
      </c>
      <c r="H46">
        <v>1</v>
      </c>
      <c r="I46">
        <v>1</v>
      </c>
    </row>
    <row r="47" spans="2:9" x14ac:dyDescent="0.25">
      <c r="B47" s="40" t="s">
        <v>266</v>
      </c>
      <c r="C47" s="40" t="s">
        <v>270</v>
      </c>
      <c r="D47">
        <v>10</v>
      </c>
      <c r="E47">
        <v>0</v>
      </c>
      <c r="F47">
        <v>0</v>
      </c>
      <c r="G47">
        <v>0</v>
      </c>
      <c r="H47">
        <v>1</v>
      </c>
      <c r="I47">
        <v>1</v>
      </c>
    </row>
    <row r="48" spans="2:9" x14ac:dyDescent="0.25">
      <c r="B48" s="40" t="s">
        <v>266</v>
      </c>
      <c r="C48" s="40" t="s">
        <v>271</v>
      </c>
      <c r="D48">
        <v>10</v>
      </c>
      <c r="E48">
        <v>0</v>
      </c>
      <c r="F48">
        <v>0</v>
      </c>
      <c r="G48">
        <v>0</v>
      </c>
      <c r="H48">
        <v>1</v>
      </c>
      <c r="I48">
        <v>1</v>
      </c>
    </row>
    <row r="49" spans="2:9" x14ac:dyDescent="0.25">
      <c r="B49" s="40" t="s">
        <v>266</v>
      </c>
      <c r="C49" s="40" t="s">
        <v>272</v>
      </c>
      <c r="D49">
        <v>10</v>
      </c>
      <c r="E49">
        <v>0</v>
      </c>
      <c r="F49">
        <v>0</v>
      </c>
      <c r="G49">
        <v>0</v>
      </c>
      <c r="H49">
        <v>1</v>
      </c>
      <c r="I49">
        <v>1</v>
      </c>
    </row>
    <row r="50" spans="2:9" x14ac:dyDescent="0.25">
      <c r="B50" s="40" t="s">
        <v>1680</v>
      </c>
      <c r="C50" s="40" t="s">
        <v>280</v>
      </c>
      <c r="D50">
        <v>10</v>
      </c>
      <c r="E50">
        <v>0</v>
      </c>
      <c r="F50">
        <v>0</v>
      </c>
      <c r="G50">
        <v>0</v>
      </c>
      <c r="H50">
        <v>1</v>
      </c>
      <c r="I50">
        <v>1</v>
      </c>
    </row>
    <row r="51" spans="2:9" x14ac:dyDescent="0.25">
      <c r="B51" s="40" t="s">
        <v>1680</v>
      </c>
      <c r="C51" s="40" t="s">
        <v>281</v>
      </c>
      <c r="D51">
        <v>10</v>
      </c>
      <c r="E51">
        <v>0</v>
      </c>
      <c r="F51">
        <v>0</v>
      </c>
      <c r="G51">
        <v>0</v>
      </c>
      <c r="H51">
        <v>1</v>
      </c>
      <c r="I51">
        <v>1</v>
      </c>
    </row>
    <row r="52" spans="2:9" x14ac:dyDescent="0.25">
      <c r="B52" s="40" t="s">
        <v>1680</v>
      </c>
      <c r="C52" s="40" t="s">
        <v>282</v>
      </c>
      <c r="D52">
        <v>10</v>
      </c>
      <c r="E52">
        <v>0</v>
      </c>
      <c r="F52">
        <v>0</v>
      </c>
      <c r="G52">
        <v>0</v>
      </c>
      <c r="H52">
        <v>1</v>
      </c>
      <c r="I52">
        <v>1</v>
      </c>
    </row>
    <row r="53" spans="2:9" x14ac:dyDescent="0.25">
      <c r="B53" s="40" t="s">
        <v>1680</v>
      </c>
      <c r="C53" s="40" t="s">
        <v>510</v>
      </c>
      <c r="D53">
        <v>10</v>
      </c>
      <c r="E53">
        <v>0</v>
      </c>
      <c r="F53">
        <v>0</v>
      </c>
      <c r="G53">
        <v>0</v>
      </c>
      <c r="H53">
        <v>1</v>
      </c>
      <c r="I53">
        <v>1</v>
      </c>
    </row>
    <row r="54" spans="2:9" x14ac:dyDescent="0.25">
      <c r="B54" s="40" t="s">
        <v>1680</v>
      </c>
      <c r="C54" s="40" t="s">
        <v>496</v>
      </c>
      <c r="D54">
        <v>10</v>
      </c>
      <c r="E54">
        <v>0</v>
      </c>
      <c r="F54">
        <v>0</v>
      </c>
      <c r="G54">
        <v>0</v>
      </c>
      <c r="H54">
        <v>1</v>
      </c>
      <c r="I54">
        <v>1</v>
      </c>
    </row>
    <row r="55" spans="2:9" x14ac:dyDescent="0.25">
      <c r="B55" s="40" t="s">
        <v>1680</v>
      </c>
      <c r="C55" s="40" t="s">
        <v>286</v>
      </c>
      <c r="D55">
        <v>10</v>
      </c>
      <c r="E55">
        <v>0</v>
      </c>
      <c r="F55">
        <v>0</v>
      </c>
      <c r="G55">
        <v>0</v>
      </c>
      <c r="H55">
        <v>1</v>
      </c>
      <c r="I55">
        <v>1</v>
      </c>
    </row>
    <row r="56" spans="2:9" x14ac:dyDescent="0.25">
      <c r="B56" s="40" t="s">
        <v>1680</v>
      </c>
      <c r="C56" s="40" t="s">
        <v>287</v>
      </c>
      <c r="D56">
        <v>10</v>
      </c>
      <c r="E56">
        <v>0</v>
      </c>
      <c r="F56">
        <v>0</v>
      </c>
      <c r="G56">
        <v>0</v>
      </c>
      <c r="H56">
        <v>1</v>
      </c>
      <c r="I56">
        <v>1</v>
      </c>
    </row>
    <row r="57" spans="2:9" x14ac:dyDescent="0.25">
      <c r="B57" s="40" t="s">
        <v>288</v>
      </c>
      <c r="C57" s="40" t="s">
        <v>303</v>
      </c>
      <c r="D57">
        <v>10</v>
      </c>
      <c r="E57">
        <v>0</v>
      </c>
      <c r="F57">
        <v>0</v>
      </c>
      <c r="G57">
        <v>0</v>
      </c>
      <c r="H57">
        <v>1</v>
      </c>
      <c r="I57">
        <v>1</v>
      </c>
    </row>
    <row r="58" spans="2:9" x14ac:dyDescent="0.25">
      <c r="B58" s="40" t="s">
        <v>288</v>
      </c>
      <c r="C58" s="40" t="s">
        <v>304</v>
      </c>
      <c r="D58">
        <v>10</v>
      </c>
      <c r="E58">
        <v>0</v>
      </c>
      <c r="F58">
        <v>0</v>
      </c>
      <c r="G58">
        <v>0</v>
      </c>
      <c r="H58">
        <v>1</v>
      </c>
      <c r="I58">
        <v>1</v>
      </c>
    </row>
    <row r="59" spans="2:9" x14ac:dyDescent="0.25">
      <c r="B59" s="40" t="s">
        <v>288</v>
      </c>
      <c r="C59" s="40" t="s">
        <v>305</v>
      </c>
      <c r="D59">
        <v>10</v>
      </c>
      <c r="E59">
        <v>0</v>
      </c>
      <c r="F59">
        <v>0</v>
      </c>
      <c r="G59">
        <v>0</v>
      </c>
      <c r="H59">
        <v>1</v>
      </c>
      <c r="I59">
        <v>1</v>
      </c>
    </row>
    <row r="60" spans="2:9" x14ac:dyDescent="0.25">
      <c r="B60" s="40" t="s">
        <v>288</v>
      </c>
      <c r="C60" s="40" t="s">
        <v>308</v>
      </c>
      <c r="D60">
        <v>10</v>
      </c>
      <c r="E60">
        <v>0</v>
      </c>
      <c r="F60">
        <v>0</v>
      </c>
      <c r="G60">
        <v>0</v>
      </c>
      <c r="H60">
        <v>1</v>
      </c>
      <c r="I60">
        <v>1</v>
      </c>
    </row>
    <row r="61" spans="2:9" x14ac:dyDescent="0.25">
      <c r="B61" s="40" t="s">
        <v>288</v>
      </c>
      <c r="C61" s="40" t="s">
        <v>310</v>
      </c>
      <c r="D61">
        <v>10</v>
      </c>
      <c r="E61">
        <v>0</v>
      </c>
      <c r="F61">
        <v>0</v>
      </c>
      <c r="G61">
        <v>0</v>
      </c>
      <c r="H61">
        <v>1</v>
      </c>
      <c r="I61">
        <v>1</v>
      </c>
    </row>
    <row r="62" spans="2:9" x14ac:dyDescent="0.25">
      <c r="B62" s="40" t="s">
        <v>288</v>
      </c>
      <c r="C62" s="40" t="s">
        <v>314</v>
      </c>
      <c r="D62">
        <v>10</v>
      </c>
      <c r="E62">
        <v>0</v>
      </c>
      <c r="F62">
        <v>0</v>
      </c>
      <c r="G62">
        <v>0</v>
      </c>
      <c r="H62">
        <v>1</v>
      </c>
      <c r="I62">
        <v>1</v>
      </c>
    </row>
    <row r="63" spans="2:9" x14ac:dyDescent="0.25">
      <c r="B63" s="40" t="s">
        <v>288</v>
      </c>
      <c r="C63" s="40" t="s">
        <v>315</v>
      </c>
      <c r="D63">
        <v>10</v>
      </c>
      <c r="E63">
        <v>0</v>
      </c>
      <c r="F63">
        <v>0</v>
      </c>
      <c r="G63">
        <v>0</v>
      </c>
      <c r="H63">
        <v>1</v>
      </c>
      <c r="I63">
        <v>1</v>
      </c>
    </row>
    <row r="64" spans="2:9" x14ac:dyDescent="0.25">
      <c r="B64" s="40" t="s">
        <v>288</v>
      </c>
      <c r="C64" s="40" t="s">
        <v>318</v>
      </c>
      <c r="D64">
        <v>10</v>
      </c>
      <c r="E64">
        <v>0</v>
      </c>
      <c r="F64">
        <v>0</v>
      </c>
      <c r="G64">
        <v>0</v>
      </c>
      <c r="H64">
        <v>1</v>
      </c>
      <c r="I64">
        <v>1</v>
      </c>
    </row>
    <row r="65" spans="2:9" x14ac:dyDescent="0.25">
      <c r="B65" s="40" t="s">
        <v>323</v>
      </c>
      <c r="C65" s="40"/>
      <c r="D65">
        <v>10</v>
      </c>
      <c r="E65">
        <v>0</v>
      </c>
      <c r="F65">
        <v>0</v>
      </c>
      <c r="G65">
        <v>0</v>
      </c>
      <c r="H65">
        <v>1</v>
      </c>
      <c r="I65">
        <v>1</v>
      </c>
    </row>
    <row r="66" spans="2:9" x14ac:dyDescent="0.25">
      <c r="B66" s="40" t="s">
        <v>329</v>
      </c>
      <c r="C66" s="40" t="s">
        <v>332</v>
      </c>
      <c r="D66">
        <v>10</v>
      </c>
      <c r="E66" t="s">
        <v>333</v>
      </c>
      <c r="F66">
        <v>534</v>
      </c>
      <c r="G66">
        <v>267</v>
      </c>
      <c r="H66">
        <v>1</v>
      </c>
      <c r="I66">
        <v>1</v>
      </c>
    </row>
    <row r="67" spans="2:9" x14ac:dyDescent="0.25">
      <c r="B67" s="40" t="s">
        <v>329</v>
      </c>
      <c r="C67" s="40" t="s">
        <v>334</v>
      </c>
      <c r="D67">
        <v>10</v>
      </c>
      <c r="H67">
        <v>1</v>
      </c>
      <c r="I67">
        <v>1</v>
      </c>
    </row>
    <row r="68" spans="2:9" x14ac:dyDescent="0.25">
      <c r="B68" s="40" t="s">
        <v>329</v>
      </c>
      <c r="C68" s="40" t="s">
        <v>335</v>
      </c>
      <c r="D68">
        <v>10</v>
      </c>
      <c r="H68">
        <v>1</v>
      </c>
      <c r="I68">
        <v>1</v>
      </c>
    </row>
    <row r="69" spans="2:9" x14ac:dyDescent="0.25">
      <c r="B69" s="42" t="s">
        <v>329</v>
      </c>
      <c r="C69" s="42" t="s">
        <v>336</v>
      </c>
      <c r="D69">
        <v>10</v>
      </c>
      <c r="E69" t="s">
        <v>333</v>
      </c>
      <c r="F69">
        <v>534</v>
      </c>
      <c r="G69">
        <v>267</v>
      </c>
      <c r="H69">
        <v>1</v>
      </c>
      <c r="I69">
        <v>1</v>
      </c>
    </row>
    <row r="70" spans="2:9" x14ac:dyDescent="0.25">
      <c r="B70" s="40" t="s">
        <v>337</v>
      </c>
      <c r="C70" s="40" t="s">
        <v>1672</v>
      </c>
      <c r="D70">
        <v>10</v>
      </c>
      <c r="F70">
        <v>1499</v>
      </c>
      <c r="H70">
        <v>1</v>
      </c>
      <c r="I70">
        <v>1</v>
      </c>
    </row>
    <row r="71" spans="2:9" x14ac:dyDescent="0.25">
      <c r="B71" s="40" t="s">
        <v>361</v>
      </c>
      <c r="C71" s="40" t="s">
        <v>363</v>
      </c>
      <c r="D71">
        <v>10</v>
      </c>
      <c r="F71">
        <v>600</v>
      </c>
      <c r="H71">
        <v>1</v>
      </c>
      <c r="I71">
        <v>1</v>
      </c>
    </row>
    <row r="72" spans="2:9" x14ac:dyDescent="0.25">
      <c r="B72" s="40" t="s">
        <v>361</v>
      </c>
      <c r="C72" s="40" t="s">
        <v>366</v>
      </c>
      <c r="D72">
        <v>10</v>
      </c>
      <c r="F72">
        <v>160</v>
      </c>
      <c r="H72">
        <v>1</v>
      </c>
      <c r="I72">
        <v>1</v>
      </c>
    </row>
    <row r="73" spans="2:9" x14ac:dyDescent="0.25">
      <c r="B73" s="40" t="s">
        <v>381</v>
      </c>
      <c r="C73" s="40" t="s">
        <v>382</v>
      </c>
      <c r="D73">
        <v>10</v>
      </c>
      <c r="E73">
        <v>0</v>
      </c>
      <c r="G73">
        <v>0</v>
      </c>
      <c r="H73">
        <v>1</v>
      </c>
      <c r="I73">
        <v>1</v>
      </c>
    </row>
    <row r="74" spans="2:9" x14ac:dyDescent="0.25">
      <c r="B74" s="40" t="s">
        <v>381</v>
      </c>
      <c r="C74" s="40" t="s">
        <v>383</v>
      </c>
      <c r="D74">
        <v>10</v>
      </c>
      <c r="E74">
        <v>0</v>
      </c>
      <c r="G74">
        <v>0</v>
      </c>
      <c r="H74">
        <v>1</v>
      </c>
      <c r="I74">
        <v>1</v>
      </c>
    </row>
    <row r="75" spans="2:9" x14ac:dyDescent="0.25">
      <c r="B75" s="40" t="s">
        <v>381</v>
      </c>
      <c r="C75" s="40" t="s">
        <v>384</v>
      </c>
      <c r="D75">
        <v>10</v>
      </c>
      <c r="E75">
        <v>0</v>
      </c>
      <c r="G75">
        <v>0</v>
      </c>
      <c r="H75">
        <v>1</v>
      </c>
      <c r="I75">
        <v>1</v>
      </c>
    </row>
    <row r="76" spans="2:9" x14ac:dyDescent="0.25">
      <c r="B76" s="40" t="s">
        <v>381</v>
      </c>
      <c r="C76" s="40" t="s">
        <v>385</v>
      </c>
      <c r="D76">
        <v>10</v>
      </c>
      <c r="E76">
        <v>0</v>
      </c>
      <c r="G76">
        <v>0</v>
      </c>
      <c r="H76">
        <v>1</v>
      </c>
      <c r="I76">
        <v>1</v>
      </c>
    </row>
    <row r="77" spans="2:9" x14ac:dyDescent="0.25">
      <c r="B77" s="40" t="s">
        <v>386</v>
      </c>
      <c r="C77" s="40" t="s">
        <v>1168</v>
      </c>
      <c r="D77">
        <v>10</v>
      </c>
      <c r="F77">
        <v>820</v>
      </c>
      <c r="H77">
        <v>1</v>
      </c>
      <c r="I77">
        <v>1</v>
      </c>
    </row>
    <row r="78" spans="2:9" x14ac:dyDescent="0.25">
      <c r="B78" s="40" t="s">
        <v>399</v>
      </c>
      <c r="C78" s="40" t="s">
        <v>400</v>
      </c>
      <c r="D78">
        <v>10</v>
      </c>
      <c r="E78">
        <v>95</v>
      </c>
      <c r="H78">
        <v>1</v>
      </c>
      <c r="I78">
        <v>1</v>
      </c>
    </row>
    <row r="79" spans="2:9" x14ac:dyDescent="0.25">
      <c r="B79" s="40" t="s">
        <v>399</v>
      </c>
      <c r="C79" s="40" t="s">
        <v>401</v>
      </c>
      <c r="D79">
        <v>10</v>
      </c>
      <c r="E79">
        <v>470</v>
      </c>
      <c r="G79">
        <v>0</v>
      </c>
      <c r="H79">
        <v>1</v>
      </c>
      <c r="I79">
        <v>1</v>
      </c>
    </row>
    <row r="80" spans="2:9" x14ac:dyDescent="0.25">
      <c r="B80" s="40" t="s">
        <v>416</v>
      </c>
      <c r="C80" s="40" t="s">
        <v>418</v>
      </c>
      <c r="D80">
        <v>10</v>
      </c>
      <c r="H80">
        <v>1</v>
      </c>
      <c r="I80">
        <v>1</v>
      </c>
    </row>
    <row r="81" spans="2:9" x14ac:dyDescent="0.25">
      <c r="B81" s="40" t="s">
        <v>416</v>
      </c>
      <c r="C81" s="40" t="s">
        <v>419</v>
      </c>
      <c r="D81">
        <v>10</v>
      </c>
      <c r="H81">
        <v>1</v>
      </c>
      <c r="I81">
        <v>1</v>
      </c>
    </row>
    <row r="82" spans="2:9" x14ac:dyDescent="0.25">
      <c r="B82" s="40" t="s">
        <v>420</v>
      </c>
      <c r="C82" s="43" t="s">
        <v>1538</v>
      </c>
      <c r="D82">
        <v>10</v>
      </c>
      <c r="E82">
        <v>0</v>
      </c>
      <c r="F82">
        <v>0</v>
      </c>
      <c r="G82">
        <v>0</v>
      </c>
      <c r="H82">
        <v>1</v>
      </c>
      <c r="I82">
        <v>1</v>
      </c>
    </row>
    <row r="83" spans="2:9" x14ac:dyDescent="0.25">
      <c r="B83" s="45" t="s">
        <v>420</v>
      </c>
      <c r="C83" s="45"/>
      <c r="D83">
        <v>10</v>
      </c>
      <c r="E83">
        <v>0</v>
      </c>
      <c r="F83">
        <v>372</v>
      </c>
      <c r="G83">
        <v>37.200000000000003</v>
      </c>
      <c r="H83">
        <v>1</v>
      </c>
      <c r="I83">
        <v>1</v>
      </c>
    </row>
    <row r="84" spans="2:9" x14ac:dyDescent="0.25">
      <c r="B84" s="40" t="s">
        <v>430</v>
      </c>
      <c r="C84" s="40" t="s">
        <v>431</v>
      </c>
      <c r="D84">
        <v>10</v>
      </c>
      <c r="E84">
        <v>370</v>
      </c>
      <c r="G84">
        <v>0</v>
      </c>
      <c r="H84">
        <v>1</v>
      </c>
      <c r="I84">
        <v>1</v>
      </c>
    </row>
    <row r="85" spans="2:9" x14ac:dyDescent="0.25">
      <c r="B85" s="40" t="s">
        <v>430</v>
      </c>
      <c r="C85" s="40" t="s">
        <v>432</v>
      </c>
      <c r="D85">
        <v>10</v>
      </c>
      <c r="E85">
        <v>31</v>
      </c>
      <c r="G85">
        <v>0</v>
      </c>
      <c r="H85">
        <v>1</v>
      </c>
      <c r="I85">
        <v>1</v>
      </c>
    </row>
    <row r="86" spans="2:9" x14ac:dyDescent="0.25">
      <c r="B86" s="40" t="s">
        <v>430</v>
      </c>
      <c r="C86" s="40" t="s">
        <v>433</v>
      </c>
      <c r="D86">
        <v>10</v>
      </c>
      <c r="E86">
        <v>425</v>
      </c>
      <c r="G86">
        <v>0</v>
      </c>
      <c r="H86">
        <v>1</v>
      </c>
      <c r="I86">
        <v>1</v>
      </c>
    </row>
    <row r="87" spans="2:9" x14ac:dyDescent="0.25">
      <c r="B87" s="40" t="s">
        <v>430</v>
      </c>
      <c r="C87" s="40" t="s">
        <v>434</v>
      </c>
      <c r="D87">
        <v>10</v>
      </c>
      <c r="E87">
        <v>65</v>
      </c>
      <c r="G87">
        <v>0</v>
      </c>
      <c r="H87">
        <v>1</v>
      </c>
      <c r="I87">
        <v>1</v>
      </c>
    </row>
    <row r="88" spans="2:9" x14ac:dyDescent="0.25">
      <c r="B88" s="40" t="s">
        <v>430</v>
      </c>
      <c r="C88" s="40" t="s">
        <v>220</v>
      </c>
      <c r="D88">
        <v>10</v>
      </c>
      <c r="E88" t="e">
        <v>#REF!</v>
      </c>
      <c r="G88">
        <v>0</v>
      </c>
      <c r="H88">
        <v>1</v>
      </c>
      <c r="I88">
        <v>1</v>
      </c>
    </row>
    <row r="89" spans="2:9" x14ac:dyDescent="0.25">
      <c r="B89" s="40" t="s">
        <v>435</v>
      </c>
      <c r="C89" s="40" t="s">
        <v>1395</v>
      </c>
      <c r="D89">
        <v>10</v>
      </c>
      <c r="E89" t="e">
        <v>#REF!</v>
      </c>
      <c r="F89">
        <v>225</v>
      </c>
      <c r="G89">
        <v>179.99999999999997</v>
      </c>
      <c r="H89">
        <v>1</v>
      </c>
      <c r="I89">
        <v>1</v>
      </c>
    </row>
    <row r="90" spans="2:9" x14ac:dyDescent="0.25">
      <c r="B90" s="40" t="s">
        <v>435</v>
      </c>
      <c r="C90" s="40" t="s">
        <v>1394</v>
      </c>
      <c r="D90">
        <v>10</v>
      </c>
      <c r="H90">
        <v>1</v>
      </c>
      <c r="I90">
        <v>1</v>
      </c>
    </row>
    <row r="91" spans="2:9" x14ac:dyDescent="0.25">
      <c r="B91" s="40" t="s">
        <v>435</v>
      </c>
      <c r="C91" s="40" t="s">
        <v>436</v>
      </c>
      <c r="D91">
        <v>10</v>
      </c>
      <c r="E91" t="e">
        <v>#REF!</v>
      </c>
      <c r="F91">
        <v>1206</v>
      </c>
      <c r="G91">
        <v>964.8</v>
      </c>
      <c r="H91">
        <v>1</v>
      </c>
      <c r="I91">
        <v>1</v>
      </c>
    </row>
    <row r="92" spans="2:9" x14ac:dyDescent="0.25">
      <c r="B92" s="40" t="s">
        <v>435</v>
      </c>
      <c r="C92" s="40" t="s">
        <v>437</v>
      </c>
      <c r="D92">
        <v>10</v>
      </c>
      <c r="E92" t="e">
        <v>#REF!</v>
      </c>
      <c r="F92">
        <v>208</v>
      </c>
      <c r="G92">
        <v>166.39999999999998</v>
      </c>
      <c r="H92">
        <v>1</v>
      </c>
      <c r="I92">
        <v>1</v>
      </c>
    </row>
    <row r="93" spans="2:9" x14ac:dyDescent="0.25">
      <c r="B93" s="40" t="s">
        <v>435</v>
      </c>
      <c r="C93" s="40" t="s">
        <v>1396</v>
      </c>
      <c r="D93">
        <v>10</v>
      </c>
      <c r="H93">
        <v>1</v>
      </c>
      <c r="I93">
        <v>1</v>
      </c>
    </row>
    <row r="94" spans="2:9" x14ac:dyDescent="0.25">
      <c r="B94" s="40" t="s">
        <v>435</v>
      </c>
      <c r="C94" s="40" t="s">
        <v>1397</v>
      </c>
      <c r="D94">
        <v>10</v>
      </c>
      <c r="H94">
        <v>1</v>
      </c>
      <c r="I94">
        <v>1</v>
      </c>
    </row>
    <row r="95" spans="2:9" x14ac:dyDescent="0.25">
      <c r="B95" s="40"/>
      <c r="C95" s="40"/>
      <c r="D95">
        <v>10</v>
      </c>
      <c r="H95">
        <v>1</v>
      </c>
      <c r="I95">
        <v>1</v>
      </c>
    </row>
    <row r="96" spans="2:9" x14ac:dyDescent="0.25">
      <c r="B96" s="40" t="s">
        <v>435</v>
      </c>
      <c r="C96" s="40" t="s">
        <v>438</v>
      </c>
      <c r="D96">
        <v>10</v>
      </c>
      <c r="E96" t="e">
        <v>#REF!</v>
      </c>
      <c r="F96">
        <v>249</v>
      </c>
      <c r="G96">
        <v>199.2</v>
      </c>
      <c r="H96">
        <v>1</v>
      </c>
      <c r="I96">
        <v>1</v>
      </c>
    </row>
    <row r="97" spans="2:9" x14ac:dyDescent="0.25">
      <c r="B97" s="40" t="s">
        <v>435</v>
      </c>
      <c r="C97" s="40" t="s">
        <v>439</v>
      </c>
      <c r="D97">
        <v>10</v>
      </c>
      <c r="E97" t="e">
        <v>#REF!</v>
      </c>
      <c r="F97">
        <v>122</v>
      </c>
      <c r="G97">
        <v>73.2</v>
      </c>
      <c r="H97">
        <v>1</v>
      </c>
      <c r="I97">
        <v>1</v>
      </c>
    </row>
    <row r="98" spans="2:9" x14ac:dyDescent="0.25">
      <c r="B98" s="40" t="s">
        <v>435</v>
      </c>
      <c r="C98" s="40" t="s">
        <v>440</v>
      </c>
      <c r="D98">
        <v>10</v>
      </c>
      <c r="E98" t="e">
        <v>#REF!</v>
      </c>
      <c r="F98">
        <v>92.4</v>
      </c>
      <c r="G98">
        <v>55.440000000000005</v>
      </c>
      <c r="H98">
        <v>1</v>
      </c>
      <c r="I98">
        <v>1</v>
      </c>
    </row>
    <row r="99" spans="2:9" x14ac:dyDescent="0.25">
      <c r="B99" s="40" t="s">
        <v>435</v>
      </c>
      <c r="C99" s="40" t="s">
        <v>441</v>
      </c>
      <c r="D99">
        <v>10</v>
      </c>
      <c r="E99" t="e">
        <v>#REF!</v>
      </c>
      <c r="F99">
        <v>150</v>
      </c>
      <c r="G99">
        <v>90</v>
      </c>
      <c r="H99">
        <v>1</v>
      </c>
      <c r="I99">
        <v>1</v>
      </c>
    </row>
    <row r="100" spans="2:9" x14ac:dyDescent="0.25">
      <c r="B100" s="40" t="s">
        <v>435</v>
      </c>
      <c r="C100" s="40" t="s">
        <v>442</v>
      </c>
      <c r="D100">
        <v>10</v>
      </c>
      <c r="E100" t="e">
        <v>#REF!</v>
      </c>
      <c r="F100">
        <v>123</v>
      </c>
      <c r="G100">
        <v>73.8</v>
      </c>
      <c r="H100">
        <v>1</v>
      </c>
      <c r="I100">
        <v>1</v>
      </c>
    </row>
    <row r="101" spans="2:9" x14ac:dyDescent="0.25">
      <c r="B101" s="40" t="s">
        <v>435</v>
      </c>
      <c r="C101" s="40" t="s">
        <v>443</v>
      </c>
      <c r="D101">
        <v>10</v>
      </c>
      <c r="E101" t="e">
        <v>#REF!</v>
      </c>
      <c r="F101">
        <v>159</v>
      </c>
      <c r="G101">
        <v>95.399999999999991</v>
      </c>
      <c r="H101">
        <v>1</v>
      </c>
      <c r="I101">
        <v>1</v>
      </c>
    </row>
    <row r="102" spans="2:9" x14ac:dyDescent="0.25">
      <c r="B102" s="40" t="s">
        <v>435</v>
      </c>
      <c r="C102" s="40" t="s">
        <v>444</v>
      </c>
      <c r="D102">
        <v>10</v>
      </c>
      <c r="E102" t="e">
        <v>#REF!</v>
      </c>
      <c r="F102">
        <v>44.5</v>
      </c>
      <c r="G102">
        <v>26.7</v>
      </c>
      <c r="H102">
        <v>1</v>
      </c>
      <c r="I102">
        <v>1</v>
      </c>
    </row>
    <row r="103" spans="2:9" x14ac:dyDescent="0.25">
      <c r="B103" s="40" t="s">
        <v>435</v>
      </c>
      <c r="C103" s="40" t="s">
        <v>445</v>
      </c>
      <c r="D103">
        <v>10</v>
      </c>
      <c r="E103" t="e">
        <v>#REF!</v>
      </c>
      <c r="F103">
        <v>245</v>
      </c>
      <c r="G103">
        <v>147</v>
      </c>
      <c r="H103">
        <v>1</v>
      </c>
      <c r="I103">
        <v>1</v>
      </c>
    </row>
    <row r="104" spans="2:9" x14ac:dyDescent="0.25">
      <c r="B104" s="40" t="s">
        <v>435</v>
      </c>
      <c r="C104" s="40" t="s">
        <v>446</v>
      </c>
      <c r="D104">
        <v>10</v>
      </c>
      <c r="E104" t="e">
        <v>#REF!</v>
      </c>
      <c r="F104">
        <v>85</v>
      </c>
      <c r="G104">
        <v>51</v>
      </c>
      <c r="H104">
        <v>1</v>
      </c>
      <c r="I104">
        <v>1</v>
      </c>
    </row>
    <row r="105" spans="2:9" x14ac:dyDescent="0.25">
      <c r="B105" s="40" t="s">
        <v>435</v>
      </c>
      <c r="C105" s="40" t="s">
        <v>447</v>
      </c>
      <c r="D105">
        <v>10</v>
      </c>
      <c r="E105" t="e">
        <v>#REF!</v>
      </c>
      <c r="F105">
        <v>101</v>
      </c>
      <c r="G105">
        <v>60.599999999999994</v>
      </c>
      <c r="H105">
        <v>1</v>
      </c>
      <c r="I105">
        <v>1</v>
      </c>
    </row>
    <row r="106" spans="2:9" x14ac:dyDescent="0.25">
      <c r="B106" s="40" t="s">
        <v>435</v>
      </c>
      <c r="C106" s="40" t="s">
        <v>448</v>
      </c>
      <c r="D106">
        <v>10</v>
      </c>
      <c r="E106" t="e">
        <v>#REF!</v>
      </c>
      <c r="F106">
        <v>166.6</v>
      </c>
      <c r="G106">
        <v>99.96</v>
      </c>
      <c r="H106">
        <v>1</v>
      </c>
      <c r="I106">
        <v>1</v>
      </c>
    </row>
    <row r="107" spans="2:9" x14ac:dyDescent="0.25">
      <c r="B107" s="40" t="s">
        <v>435</v>
      </c>
      <c r="C107" s="40" t="s">
        <v>449</v>
      </c>
      <c r="D107">
        <v>10</v>
      </c>
      <c r="E107" t="e">
        <v>#REF!</v>
      </c>
      <c r="F107">
        <v>95.4</v>
      </c>
      <c r="G107">
        <v>57.24</v>
      </c>
      <c r="H107">
        <v>1</v>
      </c>
      <c r="I107">
        <v>1</v>
      </c>
    </row>
    <row r="108" spans="2:9" x14ac:dyDescent="0.25">
      <c r="B108" s="40" t="s">
        <v>435</v>
      </c>
      <c r="C108" s="40" t="s">
        <v>450</v>
      </c>
      <c r="D108">
        <v>10</v>
      </c>
      <c r="E108" t="e">
        <v>#REF!</v>
      </c>
      <c r="F108">
        <v>196</v>
      </c>
      <c r="G108">
        <v>117.6</v>
      </c>
      <c r="H108">
        <v>1</v>
      </c>
      <c r="I108">
        <v>1</v>
      </c>
    </row>
    <row r="109" spans="2:9" x14ac:dyDescent="0.25">
      <c r="B109" s="40" t="s">
        <v>1680</v>
      </c>
      <c r="C109" s="40" t="s">
        <v>496</v>
      </c>
      <c r="D109">
        <v>10</v>
      </c>
      <c r="E109">
        <v>0</v>
      </c>
      <c r="F109">
        <v>0</v>
      </c>
      <c r="G109">
        <v>0</v>
      </c>
      <c r="H109">
        <v>1</v>
      </c>
      <c r="I109">
        <v>1</v>
      </c>
    </row>
    <row r="110" spans="2:9" x14ac:dyDescent="0.25">
      <c r="B110" s="40" t="s">
        <v>1680</v>
      </c>
      <c r="C110" s="40" t="s">
        <v>1689</v>
      </c>
      <c r="D110">
        <v>10</v>
      </c>
      <c r="E110">
        <v>0</v>
      </c>
      <c r="F110">
        <v>0</v>
      </c>
      <c r="G110">
        <v>0</v>
      </c>
      <c r="H110">
        <v>1</v>
      </c>
      <c r="I110">
        <v>1</v>
      </c>
    </row>
    <row r="111" spans="2:9" x14ac:dyDescent="0.25">
      <c r="B111" s="40" t="s">
        <v>1680</v>
      </c>
      <c r="C111" s="40" t="s">
        <v>508</v>
      </c>
      <c r="D111">
        <v>10</v>
      </c>
      <c r="E111">
        <v>0</v>
      </c>
      <c r="F111">
        <v>0</v>
      </c>
      <c r="G111">
        <v>0</v>
      </c>
      <c r="H111">
        <v>1</v>
      </c>
      <c r="I111">
        <v>1</v>
      </c>
    </row>
    <row r="112" spans="2:9" x14ac:dyDescent="0.25">
      <c r="B112" s="40" t="s">
        <v>513</v>
      </c>
      <c r="C112" s="40" t="s">
        <v>519</v>
      </c>
      <c r="D112">
        <v>10</v>
      </c>
      <c r="H112">
        <v>1</v>
      </c>
      <c r="I112">
        <v>1</v>
      </c>
    </row>
    <row r="113" spans="2:9" x14ac:dyDescent="0.25">
      <c r="B113" s="40" t="s">
        <v>513</v>
      </c>
      <c r="C113" s="40" t="s">
        <v>545</v>
      </c>
      <c r="D113">
        <v>10</v>
      </c>
      <c r="F113">
        <v>723</v>
      </c>
      <c r="H113">
        <v>1</v>
      </c>
      <c r="I113">
        <v>1</v>
      </c>
    </row>
    <row r="114" spans="2:9" x14ac:dyDescent="0.25">
      <c r="B114" s="40" t="s">
        <v>1182</v>
      </c>
      <c r="C114" s="40" t="s">
        <v>1211</v>
      </c>
      <c r="D114">
        <v>10</v>
      </c>
      <c r="E114">
        <v>0</v>
      </c>
      <c r="F114">
        <v>119</v>
      </c>
      <c r="G114">
        <v>11.9</v>
      </c>
      <c r="H114">
        <v>1</v>
      </c>
      <c r="I114">
        <v>1</v>
      </c>
    </row>
    <row r="115" spans="2:9" x14ac:dyDescent="0.25">
      <c r="B115" s="40" t="s">
        <v>1182</v>
      </c>
      <c r="C115" s="40" t="s">
        <v>1212</v>
      </c>
      <c r="D115">
        <v>10</v>
      </c>
      <c r="E115">
        <v>0</v>
      </c>
      <c r="F115">
        <v>169</v>
      </c>
      <c r="G115">
        <v>16.900000000000002</v>
      </c>
      <c r="H115">
        <v>1</v>
      </c>
      <c r="I115">
        <v>1</v>
      </c>
    </row>
    <row r="116" spans="2:9" x14ac:dyDescent="0.25">
      <c r="B116" s="40" t="s">
        <v>1731</v>
      </c>
      <c r="C116" s="40" t="s">
        <v>19</v>
      </c>
      <c r="D116">
        <v>10</v>
      </c>
      <c r="H116">
        <v>1</v>
      </c>
      <c r="I116">
        <v>1</v>
      </c>
    </row>
    <row r="117" spans="2:9" x14ac:dyDescent="0.25">
      <c r="B117" s="40" t="s">
        <v>554</v>
      </c>
      <c r="C117" s="40" t="s">
        <v>561</v>
      </c>
      <c r="D117">
        <v>10</v>
      </c>
      <c r="F117">
        <v>16.3</v>
      </c>
      <c r="H117">
        <v>1</v>
      </c>
      <c r="I117">
        <v>1</v>
      </c>
    </row>
    <row r="118" spans="2:9" x14ac:dyDescent="0.25">
      <c r="B118" s="40" t="s">
        <v>554</v>
      </c>
      <c r="C118" s="40" t="s">
        <v>562</v>
      </c>
      <c r="D118">
        <v>10</v>
      </c>
      <c r="E118">
        <v>198</v>
      </c>
      <c r="F118">
        <v>330</v>
      </c>
      <c r="G118">
        <v>230.99999999999997</v>
      </c>
      <c r="H118">
        <v>1</v>
      </c>
      <c r="I118">
        <v>1</v>
      </c>
    </row>
    <row r="119" spans="2:9" x14ac:dyDescent="0.25">
      <c r="B119" s="40" t="s">
        <v>563</v>
      </c>
      <c r="C119" s="40" t="s">
        <v>564</v>
      </c>
      <c r="D119">
        <v>10</v>
      </c>
      <c r="H119">
        <v>1</v>
      </c>
      <c r="I119">
        <v>1</v>
      </c>
    </row>
    <row r="120" spans="2:9" x14ac:dyDescent="0.25">
      <c r="B120" s="40" t="s">
        <v>563</v>
      </c>
      <c r="C120" s="40" t="s">
        <v>566</v>
      </c>
      <c r="D120">
        <v>10</v>
      </c>
      <c r="H120">
        <v>1</v>
      </c>
      <c r="I120">
        <v>1</v>
      </c>
    </row>
    <row r="121" spans="2:9" x14ac:dyDescent="0.25">
      <c r="B121" s="40" t="s">
        <v>563</v>
      </c>
      <c r="C121" s="40" t="s">
        <v>568</v>
      </c>
      <c r="D121">
        <v>10</v>
      </c>
      <c r="H121">
        <v>1</v>
      </c>
      <c r="I121">
        <v>1</v>
      </c>
    </row>
    <row r="122" spans="2:9" x14ac:dyDescent="0.25">
      <c r="B122" s="40" t="s">
        <v>563</v>
      </c>
      <c r="C122" s="40" t="s">
        <v>569</v>
      </c>
      <c r="D122">
        <v>10</v>
      </c>
      <c r="H122">
        <v>1</v>
      </c>
      <c r="I122">
        <v>1</v>
      </c>
    </row>
    <row r="123" spans="2:9" x14ac:dyDescent="0.25">
      <c r="B123" s="40" t="s">
        <v>563</v>
      </c>
      <c r="C123" s="40" t="s">
        <v>570</v>
      </c>
      <c r="D123">
        <v>10</v>
      </c>
      <c r="H123">
        <v>1</v>
      </c>
      <c r="I123">
        <v>1</v>
      </c>
    </row>
    <row r="124" spans="2:9" x14ac:dyDescent="0.25">
      <c r="B124" s="40" t="s">
        <v>563</v>
      </c>
      <c r="C124" s="40" t="s">
        <v>571</v>
      </c>
      <c r="D124">
        <v>10</v>
      </c>
      <c r="H124">
        <v>1</v>
      </c>
      <c r="I124">
        <v>1</v>
      </c>
    </row>
    <row r="125" spans="2:9" x14ac:dyDescent="0.25">
      <c r="B125" s="40" t="s">
        <v>563</v>
      </c>
      <c r="C125" s="40" t="s">
        <v>572</v>
      </c>
      <c r="D125">
        <v>10</v>
      </c>
      <c r="H125">
        <v>1</v>
      </c>
      <c r="I125">
        <v>1</v>
      </c>
    </row>
    <row r="126" spans="2:9" x14ac:dyDescent="0.25">
      <c r="B126" s="40" t="s">
        <v>620</v>
      </c>
      <c r="C126" s="40" t="s">
        <v>621</v>
      </c>
      <c r="D126">
        <v>10</v>
      </c>
      <c r="E126">
        <v>0</v>
      </c>
      <c r="F126">
        <v>275</v>
      </c>
      <c r="G126">
        <v>27.5</v>
      </c>
      <c r="H126">
        <v>1</v>
      </c>
      <c r="I126">
        <v>1</v>
      </c>
    </row>
    <row r="127" spans="2:9" x14ac:dyDescent="0.25">
      <c r="B127" s="40" t="s">
        <v>620</v>
      </c>
      <c r="C127" s="40" t="s">
        <v>622</v>
      </c>
      <c r="D127">
        <v>10</v>
      </c>
      <c r="E127">
        <v>0</v>
      </c>
      <c r="F127">
        <v>250</v>
      </c>
      <c r="G127">
        <v>25</v>
      </c>
      <c r="H127">
        <v>1</v>
      </c>
      <c r="I127">
        <v>1</v>
      </c>
    </row>
    <row r="128" spans="2:9" x14ac:dyDescent="0.25">
      <c r="B128" s="40" t="s">
        <v>1429</v>
      </c>
      <c r="C128" s="40" t="s">
        <v>640</v>
      </c>
      <c r="D128">
        <v>10</v>
      </c>
      <c r="E128">
        <v>0</v>
      </c>
      <c r="F128">
        <v>0</v>
      </c>
      <c r="G128">
        <v>0</v>
      </c>
      <c r="H128">
        <v>1</v>
      </c>
      <c r="I128">
        <v>1</v>
      </c>
    </row>
    <row r="129" spans="2:9" x14ac:dyDescent="0.25">
      <c r="B129" s="40"/>
      <c r="C129" s="40" t="s">
        <v>1157</v>
      </c>
      <c r="D129">
        <v>10</v>
      </c>
      <c r="H129">
        <v>1</v>
      </c>
      <c r="I129">
        <v>1</v>
      </c>
    </row>
    <row r="130" spans="2:9" x14ac:dyDescent="0.25">
      <c r="B130" s="40" t="s">
        <v>629</v>
      </c>
      <c r="C130" s="40" t="s">
        <v>654</v>
      </c>
      <c r="D130">
        <v>10</v>
      </c>
      <c r="E130">
        <v>0</v>
      </c>
      <c r="F130">
        <v>0</v>
      </c>
      <c r="G130">
        <v>0</v>
      </c>
      <c r="H130">
        <v>1</v>
      </c>
      <c r="I130">
        <v>1</v>
      </c>
    </row>
    <row r="131" spans="2:9" x14ac:dyDescent="0.25">
      <c r="B131" s="40" t="s">
        <v>629</v>
      </c>
      <c r="C131" s="40" t="s">
        <v>659</v>
      </c>
      <c r="D131">
        <v>10</v>
      </c>
      <c r="E131">
        <v>0</v>
      </c>
      <c r="F131">
        <v>0</v>
      </c>
      <c r="G131">
        <v>0</v>
      </c>
      <c r="H131">
        <v>1</v>
      </c>
      <c r="I131">
        <v>1</v>
      </c>
    </row>
    <row r="132" spans="2:9" x14ac:dyDescent="0.25">
      <c r="B132" s="40" t="s">
        <v>629</v>
      </c>
      <c r="C132" s="40" t="s">
        <v>661</v>
      </c>
      <c r="D132">
        <v>10</v>
      </c>
      <c r="E132">
        <v>0</v>
      </c>
      <c r="F132">
        <v>0</v>
      </c>
      <c r="G132">
        <v>0</v>
      </c>
      <c r="H132">
        <v>1</v>
      </c>
      <c r="I132">
        <v>1</v>
      </c>
    </row>
    <row r="133" spans="2:9" x14ac:dyDescent="0.25">
      <c r="B133" s="40" t="s">
        <v>1429</v>
      </c>
      <c r="C133" s="40" t="s">
        <v>1155</v>
      </c>
      <c r="D133">
        <v>10</v>
      </c>
      <c r="E133">
        <v>0</v>
      </c>
      <c r="F133">
        <v>0</v>
      </c>
      <c r="G133">
        <v>0</v>
      </c>
      <c r="H133">
        <v>1</v>
      </c>
      <c r="I133">
        <v>1</v>
      </c>
    </row>
    <row r="134" spans="2:9" x14ac:dyDescent="0.25">
      <c r="B134" s="40"/>
      <c r="C134" s="40" t="s">
        <v>1153</v>
      </c>
      <c r="D134">
        <v>10</v>
      </c>
      <c r="F134">
        <v>266</v>
      </c>
      <c r="H134">
        <v>1</v>
      </c>
      <c r="I134">
        <v>1</v>
      </c>
    </row>
    <row r="135" spans="2:9" x14ac:dyDescent="0.25">
      <c r="B135" s="40"/>
      <c r="C135" s="40" t="s">
        <v>1154</v>
      </c>
      <c r="D135">
        <v>10</v>
      </c>
      <c r="F135">
        <v>164</v>
      </c>
      <c r="H135">
        <v>1</v>
      </c>
      <c r="I135">
        <v>1</v>
      </c>
    </row>
    <row r="136" spans="2:9" x14ac:dyDescent="0.25">
      <c r="B136" s="40" t="s">
        <v>1429</v>
      </c>
      <c r="C136" s="40" t="s">
        <v>671</v>
      </c>
      <c r="D136">
        <v>10</v>
      </c>
      <c r="E136">
        <v>0</v>
      </c>
      <c r="F136">
        <v>0</v>
      </c>
      <c r="G136">
        <v>0</v>
      </c>
      <c r="H136">
        <v>1</v>
      </c>
      <c r="I136">
        <v>1</v>
      </c>
    </row>
    <row r="137" spans="2:9" x14ac:dyDescent="0.25">
      <c r="B137" s="40" t="s">
        <v>683</v>
      </c>
      <c r="C137" s="40" t="s">
        <v>686</v>
      </c>
      <c r="D137">
        <v>10</v>
      </c>
      <c r="H137">
        <v>1</v>
      </c>
      <c r="I137">
        <v>1</v>
      </c>
    </row>
    <row r="138" spans="2:9" x14ac:dyDescent="0.25">
      <c r="B138" s="40" t="s">
        <v>690</v>
      </c>
      <c r="C138" s="40" t="s">
        <v>692</v>
      </c>
      <c r="D138">
        <v>10</v>
      </c>
      <c r="H138">
        <v>1</v>
      </c>
      <c r="I138">
        <v>1</v>
      </c>
    </row>
    <row r="139" spans="2:9" x14ac:dyDescent="0.25">
      <c r="B139" s="40" t="s">
        <v>693</v>
      </c>
      <c r="C139" s="40" t="s">
        <v>694</v>
      </c>
      <c r="D139">
        <v>10</v>
      </c>
      <c r="H139">
        <v>1</v>
      </c>
      <c r="I139">
        <v>1</v>
      </c>
    </row>
    <row r="140" spans="2:9" x14ac:dyDescent="0.25">
      <c r="B140" s="40" t="s">
        <v>693</v>
      </c>
      <c r="C140" s="40" t="s">
        <v>695</v>
      </c>
      <c r="D140">
        <v>10</v>
      </c>
      <c r="F140">
        <v>198</v>
      </c>
      <c r="H140">
        <v>1</v>
      </c>
      <c r="I140">
        <v>1</v>
      </c>
    </row>
    <row r="141" spans="2:9" x14ac:dyDescent="0.25">
      <c r="B141" s="40" t="s">
        <v>693</v>
      </c>
      <c r="C141" s="41" t="s">
        <v>696</v>
      </c>
      <c r="D141">
        <v>10</v>
      </c>
      <c r="H141">
        <v>1</v>
      </c>
      <c r="I141">
        <v>1</v>
      </c>
    </row>
    <row r="142" spans="2:9" x14ac:dyDescent="0.25">
      <c r="B142" s="40" t="s">
        <v>693</v>
      </c>
      <c r="C142" s="41" t="s">
        <v>697</v>
      </c>
      <c r="D142">
        <v>10</v>
      </c>
      <c r="H142">
        <v>1</v>
      </c>
      <c r="I142">
        <v>1</v>
      </c>
    </row>
    <row r="143" spans="2:9" x14ac:dyDescent="0.25">
      <c r="B143" s="40" t="s">
        <v>693</v>
      </c>
      <c r="C143" s="41" t="s">
        <v>698</v>
      </c>
      <c r="D143">
        <v>10</v>
      </c>
      <c r="H143">
        <v>1</v>
      </c>
      <c r="I143">
        <v>1</v>
      </c>
    </row>
    <row r="144" spans="2:9" x14ac:dyDescent="0.25">
      <c r="B144" s="40" t="s">
        <v>693</v>
      </c>
      <c r="C144" s="41" t="s">
        <v>699</v>
      </c>
      <c r="D144">
        <v>10</v>
      </c>
      <c r="H144">
        <v>1</v>
      </c>
      <c r="I144">
        <v>1</v>
      </c>
    </row>
    <row r="145" spans="2:9" x14ac:dyDescent="0.25">
      <c r="B145" s="40" t="s">
        <v>693</v>
      </c>
      <c r="C145" s="41" t="s">
        <v>700</v>
      </c>
      <c r="D145">
        <v>10</v>
      </c>
      <c r="H145">
        <v>1</v>
      </c>
      <c r="I145">
        <v>1</v>
      </c>
    </row>
    <row r="146" spans="2:9" x14ac:dyDescent="0.25">
      <c r="B146" s="40" t="s">
        <v>693</v>
      </c>
      <c r="C146" s="41" t="s">
        <v>701</v>
      </c>
      <c r="D146">
        <v>10</v>
      </c>
      <c r="H146">
        <v>1</v>
      </c>
      <c r="I146">
        <v>1</v>
      </c>
    </row>
    <row r="147" spans="2:9" x14ac:dyDescent="0.25">
      <c r="B147" s="40" t="s">
        <v>693</v>
      </c>
      <c r="C147" s="41" t="s">
        <v>702</v>
      </c>
      <c r="D147">
        <v>10</v>
      </c>
      <c r="H147">
        <v>1</v>
      </c>
      <c r="I147">
        <v>1</v>
      </c>
    </row>
    <row r="148" spans="2:9" x14ac:dyDescent="0.25">
      <c r="B148" s="40" t="s">
        <v>693</v>
      </c>
      <c r="C148" s="41" t="s">
        <v>703</v>
      </c>
      <c r="D148">
        <v>10</v>
      </c>
      <c r="H148">
        <v>1</v>
      </c>
      <c r="I148">
        <v>1</v>
      </c>
    </row>
    <row r="149" spans="2:9" x14ac:dyDescent="0.25">
      <c r="B149" s="40" t="s">
        <v>704</v>
      </c>
      <c r="C149" s="40" t="s">
        <v>706</v>
      </c>
      <c r="D149">
        <v>10</v>
      </c>
      <c r="H149">
        <v>1</v>
      </c>
      <c r="I149">
        <v>1</v>
      </c>
    </row>
    <row r="150" spans="2:9" x14ac:dyDescent="0.25">
      <c r="B150" s="40" t="s">
        <v>704</v>
      </c>
      <c r="C150" s="40" t="s">
        <v>707</v>
      </c>
      <c r="D150">
        <v>10</v>
      </c>
      <c r="H150">
        <v>1</v>
      </c>
      <c r="I150">
        <v>1</v>
      </c>
    </row>
    <row r="151" spans="2:9" x14ac:dyDescent="0.25">
      <c r="B151" s="40" t="s">
        <v>704</v>
      </c>
      <c r="C151" s="40" t="s">
        <v>708</v>
      </c>
      <c r="D151">
        <v>10</v>
      </c>
      <c r="H151">
        <v>1</v>
      </c>
      <c r="I151">
        <v>1</v>
      </c>
    </row>
    <row r="152" spans="2:9" x14ac:dyDescent="0.25">
      <c r="B152" s="40" t="s">
        <v>704</v>
      </c>
      <c r="C152" s="40" t="s">
        <v>709</v>
      </c>
      <c r="D152">
        <v>10</v>
      </c>
      <c r="H152">
        <v>1</v>
      </c>
      <c r="I152">
        <v>1</v>
      </c>
    </row>
    <row r="153" spans="2:9" x14ac:dyDescent="0.25">
      <c r="B153" s="40" t="s">
        <v>720</v>
      </c>
      <c r="C153" s="40" t="s">
        <v>721</v>
      </c>
      <c r="D153">
        <v>10</v>
      </c>
      <c r="H153">
        <v>1</v>
      </c>
      <c r="I153">
        <v>1</v>
      </c>
    </row>
    <row r="154" spans="2:9" x14ac:dyDescent="0.25">
      <c r="B154" s="40" t="s">
        <v>720</v>
      </c>
      <c r="C154" s="40" t="s">
        <v>722</v>
      </c>
      <c r="D154">
        <v>10</v>
      </c>
      <c r="H154">
        <v>1</v>
      </c>
      <c r="I154">
        <v>1</v>
      </c>
    </row>
    <row r="155" spans="2:9" x14ac:dyDescent="0.25">
      <c r="B155" s="40" t="s">
        <v>724</v>
      </c>
      <c r="C155" s="40" t="s">
        <v>1166</v>
      </c>
      <c r="D155">
        <v>10</v>
      </c>
      <c r="E155">
        <v>0</v>
      </c>
      <c r="F155">
        <v>0</v>
      </c>
      <c r="G155">
        <v>0</v>
      </c>
      <c r="H155">
        <v>1</v>
      </c>
      <c r="I155">
        <v>1</v>
      </c>
    </row>
    <row r="156" spans="2:9" x14ac:dyDescent="0.25">
      <c r="B156" s="40" t="s">
        <v>724</v>
      </c>
      <c r="C156" s="40" t="s">
        <v>736</v>
      </c>
      <c r="D156">
        <v>10</v>
      </c>
      <c r="E156">
        <v>0</v>
      </c>
      <c r="G156">
        <v>0</v>
      </c>
      <c r="H156">
        <v>1</v>
      </c>
      <c r="I156">
        <v>1</v>
      </c>
    </row>
    <row r="157" spans="2:9" x14ac:dyDescent="0.25">
      <c r="B157" s="40" t="s">
        <v>724</v>
      </c>
      <c r="C157" s="40" t="s">
        <v>737</v>
      </c>
      <c r="D157">
        <v>10</v>
      </c>
      <c r="E157">
        <v>0</v>
      </c>
      <c r="F157">
        <v>0</v>
      </c>
      <c r="G157">
        <v>0</v>
      </c>
      <c r="H157">
        <v>1</v>
      </c>
      <c r="I157">
        <v>1</v>
      </c>
    </row>
    <row r="158" spans="2:9" x14ac:dyDescent="0.25">
      <c r="B158" s="40" t="s">
        <v>724</v>
      </c>
      <c r="C158" s="40" t="s">
        <v>738</v>
      </c>
      <c r="D158">
        <v>10</v>
      </c>
      <c r="E158">
        <v>0</v>
      </c>
      <c r="F158">
        <v>0</v>
      </c>
      <c r="G158">
        <v>0</v>
      </c>
      <c r="H158">
        <v>1</v>
      </c>
      <c r="I158">
        <v>1</v>
      </c>
    </row>
    <row r="159" spans="2:9" x14ac:dyDescent="0.25">
      <c r="B159" s="40" t="s">
        <v>772</v>
      </c>
      <c r="C159" s="40" t="s">
        <v>773</v>
      </c>
      <c r="D159">
        <v>10</v>
      </c>
      <c r="E159">
        <v>164.4</v>
      </c>
      <c r="F159">
        <v>274</v>
      </c>
      <c r="H159">
        <v>1</v>
      </c>
      <c r="I159">
        <v>1</v>
      </c>
    </row>
    <row r="160" spans="2:9" x14ac:dyDescent="0.25">
      <c r="B160" s="40" t="s">
        <v>772</v>
      </c>
      <c r="C160" s="40" t="s">
        <v>774</v>
      </c>
      <c r="D160">
        <v>10</v>
      </c>
      <c r="E160">
        <v>366</v>
      </c>
      <c r="F160">
        <v>610</v>
      </c>
      <c r="H160">
        <v>1</v>
      </c>
      <c r="I160">
        <v>1</v>
      </c>
    </row>
    <row r="161" spans="2:9" x14ac:dyDescent="0.25">
      <c r="B161" s="40" t="s">
        <v>772</v>
      </c>
      <c r="C161" s="40" t="s">
        <v>775</v>
      </c>
      <c r="D161">
        <v>10</v>
      </c>
      <c r="E161">
        <v>123.2</v>
      </c>
      <c r="F161">
        <v>224</v>
      </c>
      <c r="H161">
        <v>1</v>
      </c>
      <c r="I161">
        <v>1</v>
      </c>
    </row>
    <row r="162" spans="2:9" x14ac:dyDescent="0.25">
      <c r="B162" s="40" t="s">
        <v>772</v>
      </c>
      <c r="C162" s="40" t="s">
        <v>776</v>
      </c>
      <c r="D162">
        <v>10</v>
      </c>
      <c r="E162">
        <v>166.1</v>
      </c>
      <c r="F162">
        <v>300</v>
      </c>
      <c r="H162">
        <v>1</v>
      </c>
      <c r="I162">
        <v>1</v>
      </c>
    </row>
    <row r="163" spans="2:9" x14ac:dyDescent="0.25">
      <c r="B163" s="40" t="s">
        <v>772</v>
      </c>
      <c r="C163" s="40" t="s">
        <v>777</v>
      </c>
      <c r="D163">
        <v>10</v>
      </c>
      <c r="E163">
        <v>86.25</v>
      </c>
      <c r="F163">
        <v>150</v>
      </c>
      <c r="H163">
        <v>1</v>
      </c>
      <c r="I163">
        <v>1</v>
      </c>
    </row>
    <row r="164" spans="2:9" x14ac:dyDescent="0.25">
      <c r="B164" s="40" t="s">
        <v>772</v>
      </c>
      <c r="C164" s="40" t="s">
        <v>778</v>
      </c>
      <c r="D164">
        <v>10</v>
      </c>
      <c r="E164">
        <v>369.15</v>
      </c>
      <c r="F164">
        <v>642</v>
      </c>
      <c r="H164">
        <v>1</v>
      </c>
      <c r="I164">
        <v>1</v>
      </c>
    </row>
    <row r="165" spans="2:9" x14ac:dyDescent="0.25">
      <c r="B165" s="40" t="s">
        <v>772</v>
      </c>
      <c r="C165" s="40" t="s">
        <v>779</v>
      </c>
      <c r="D165">
        <v>10</v>
      </c>
      <c r="E165">
        <v>205.97</v>
      </c>
      <c r="F165">
        <v>398</v>
      </c>
      <c r="H165">
        <v>1</v>
      </c>
      <c r="I165">
        <v>1</v>
      </c>
    </row>
    <row r="166" spans="2:9" x14ac:dyDescent="0.25">
      <c r="B166" s="40" t="s">
        <v>772</v>
      </c>
      <c r="C166" s="40" t="s">
        <v>780</v>
      </c>
      <c r="D166">
        <v>10</v>
      </c>
      <c r="E166">
        <v>379.5</v>
      </c>
      <c r="F166">
        <v>660</v>
      </c>
      <c r="H166">
        <v>1</v>
      </c>
      <c r="I166">
        <v>1</v>
      </c>
    </row>
    <row r="167" spans="2:9" x14ac:dyDescent="0.25">
      <c r="B167" s="40" t="s">
        <v>772</v>
      </c>
      <c r="C167" s="40" t="s">
        <v>781</v>
      </c>
      <c r="D167">
        <v>10</v>
      </c>
      <c r="H167">
        <v>1</v>
      </c>
      <c r="I167">
        <v>1</v>
      </c>
    </row>
    <row r="168" spans="2:9" x14ac:dyDescent="0.25">
      <c r="B168" s="40" t="s">
        <v>772</v>
      </c>
      <c r="C168" s="40" t="s">
        <v>782</v>
      </c>
      <c r="D168">
        <v>10</v>
      </c>
      <c r="E168">
        <v>379.5</v>
      </c>
      <c r="F168">
        <v>660</v>
      </c>
      <c r="H168">
        <v>1</v>
      </c>
      <c r="I168">
        <v>1</v>
      </c>
    </row>
    <row r="169" spans="2:9" x14ac:dyDescent="0.25">
      <c r="B169" s="40" t="s">
        <v>783</v>
      </c>
      <c r="C169" s="40" t="s">
        <v>806</v>
      </c>
      <c r="D169">
        <v>10</v>
      </c>
      <c r="E169">
        <v>0</v>
      </c>
      <c r="F169">
        <v>0</v>
      </c>
      <c r="G169">
        <v>0</v>
      </c>
      <c r="H169">
        <v>1</v>
      </c>
      <c r="I169">
        <v>1</v>
      </c>
    </row>
    <row r="170" spans="2:9" x14ac:dyDescent="0.25">
      <c r="B170" s="40" t="s">
        <v>783</v>
      </c>
      <c r="C170" s="40" t="s">
        <v>819</v>
      </c>
      <c r="D170">
        <v>10</v>
      </c>
      <c r="E170">
        <v>0</v>
      </c>
      <c r="F170">
        <v>0</v>
      </c>
      <c r="G170">
        <v>0</v>
      </c>
      <c r="H170">
        <v>1</v>
      </c>
      <c r="I170">
        <v>1</v>
      </c>
    </row>
    <row r="171" spans="2:9" x14ac:dyDescent="0.25">
      <c r="B171" s="40" t="s">
        <v>783</v>
      </c>
      <c r="C171" s="40" t="s">
        <v>830</v>
      </c>
      <c r="D171">
        <v>10</v>
      </c>
      <c r="E171">
        <v>0</v>
      </c>
      <c r="F171">
        <v>0</v>
      </c>
      <c r="G171">
        <v>0</v>
      </c>
      <c r="H171">
        <v>1</v>
      </c>
      <c r="I171">
        <v>1</v>
      </c>
    </row>
    <row r="172" spans="2:9" x14ac:dyDescent="0.25">
      <c r="B172" s="40" t="s">
        <v>834</v>
      </c>
      <c r="C172" s="40" t="s">
        <v>835</v>
      </c>
      <c r="D172">
        <v>10</v>
      </c>
      <c r="H172">
        <v>1</v>
      </c>
      <c r="I172">
        <v>1</v>
      </c>
    </row>
    <row r="173" spans="2:9" x14ac:dyDescent="0.25">
      <c r="B173" s="40" t="s">
        <v>834</v>
      </c>
      <c r="C173" s="40" t="s">
        <v>836</v>
      </c>
      <c r="D173">
        <v>10</v>
      </c>
      <c r="H173">
        <v>1</v>
      </c>
      <c r="I173">
        <v>1</v>
      </c>
    </row>
    <row r="174" spans="2:9" x14ac:dyDescent="0.25">
      <c r="B174" s="40" t="s">
        <v>837</v>
      </c>
      <c r="C174" s="40" t="s">
        <v>839</v>
      </c>
      <c r="D174">
        <v>10</v>
      </c>
      <c r="H174">
        <v>1</v>
      </c>
      <c r="I174">
        <v>1</v>
      </c>
    </row>
    <row r="175" spans="2:9" x14ac:dyDescent="0.25">
      <c r="B175" s="40" t="s">
        <v>837</v>
      </c>
      <c r="C175" s="40" t="s">
        <v>840</v>
      </c>
      <c r="D175">
        <v>10</v>
      </c>
      <c r="H175">
        <v>1</v>
      </c>
      <c r="I175">
        <v>1</v>
      </c>
    </row>
    <row r="176" spans="2:9" x14ac:dyDescent="0.25">
      <c r="B176" s="40" t="s">
        <v>837</v>
      </c>
      <c r="C176" s="40" t="s">
        <v>841</v>
      </c>
      <c r="D176">
        <v>10</v>
      </c>
      <c r="H176">
        <v>1</v>
      </c>
      <c r="I176">
        <v>1</v>
      </c>
    </row>
    <row r="177" spans="2:9" x14ac:dyDescent="0.25">
      <c r="B177" s="40" t="s">
        <v>837</v>
      </c>
      <c r="C177" s="40" t="s">
        <v>842</v>
      </c>
      <c r="D177">
        <v>10</v>
      </c>
      <c r="H177">
        <v>1</v>
      </c>
      <c r="I177">
        <v>1</v>
      </c>
    </row>
    <row r="178" spans="2:9" x14ac:dyDescent="0.25">
      <c r="B178" s="40" t="s">
        <v>837</v>
      </c>
      <c r="C178" s="40" t="s">
        <v>843</v>
      </c>
      <c r="D178">
        <v>10</v>
      </c>
      <c r="H178">
        <v>1</v>
      </c>
      <c r="I178">
        <v>1</v>
      </c>
    </row>
    <row r="179" spans="2:9" x14ac:dyDescent="0.25">
      <c r="B179" s="40" t="s">
        <v>837</v>
      </c>
      <c r="C179" s="40" t="s">
        <v>844</v>
      </c>
      <c r="D179">
        <v>10</v>
      </c>
      <c r="H179">
        <v>1</v>
      </c>
      <c r="I179">
        <v>1</v>
      </c>
    </row>
    <row r="180" spans="2:9" x14ac:dyDescent="0.25">
      <c r="B180" s="40" t="s">
        <v>837</v>
      </c>
      <c r="C180" s="40" t="s">
        <v>845</v>
      </c>
      <c r="D180">
        <v>10</v>
      </c>
      <c r="H180">
        <v>1</v>
      </c>
      <c r="I180">
        <v>1</v>
      </c>
    </row>
    <row r="181" spans="2:9" x14ac:dyDescent="0.25">
      <c r="B181" s="40" t="s">
        <v>837</v>
      </c>
      <c r="C181" s="40" t="s">
        <v>846</v>
      </c>
      <c r="D181">
        <v>10</v>
      </c>
      <c r="H181">
        <v>1</v>
      </c>
      <c r="I181">
        <v>1</v>
      </c>
    </row>
    <row r="182" spans="2:9" x14ac:dyDescent="0.25">
      <c r="B182" s="40" t="s">
        <v>837</v>
      </c>
      <c r="C182" s="40" t="s">
        <v>847</v>
      </c>
      <c r="D182">
        <v>10</v>
      </c>
      <c r="H182">
        <v>1</v>
      </c>
      <c r="I182">
        <v>1</v>
      </c>
    </row>
    <row r="183" spans="2:9" x14ac:dyDescent="0.25">
      <c r="B183" s="40" t="s">
        <v>837</v>
      </c>
      <c r="C183" s="40" t="s">
        <v>848</v>
      </c>
      <c r="D183">
        <v>10</v>
      </c>
      <c r="H183">
        <v>1</v>
      </c>
      <c r="I183">
        <v>1</v>
      </c>
    </row>
    <row r="184" spans="2:9" x14ac:dyDescent="0.25">
      <c r="B184" s="40" t="s">
        <v>837</v>
      </c>
      <c r="C184" s="40" t="s">
        <v>849</v>
      </c>
      <c r="D184">
        <v>10</v>
      </c>
      <c r="H184">
        <v>1</v>
      </c>
      <c r="I184">
        <v>1</v>
      </c>
    </row>
    <row r="185" spans="2:9" x14ac:dyDescent="0.25">
      <c r="B185" s="40" t="s">
        <v>837</v>
      </c>
      <c r="C185" s="40" t="s">
        <v>850</v>
      </c>
      <c r="D185">
        <v>10</v>
      </c>
      <c r="H185">
        <v>1</v>
      </c>
      <c r="I185">
        <v>1</v>
      </c>
    </row>
    <row r="186" spans="2:9" x14ac:dyDescent="0.25">
      <c r="B186" s="40" t="s">
        <v>837</v>
      </c>
      <c r="C186" s="40" t="s">
        <v>851</v>
      </c>
      <c r="D186">
        <v>10</v>
      </c>
      <c r="E186">
        <v>0</v>
      </c>
      <c r="G186">
        <v>0</v>
      </c>
      <c r="H186">
        <v>1</v>
      </c>
      <c r="I186">
        <v>1</v>
      </c>
    </row>
    <row r="187" spans="2:9" x14ac:dyDescent="0.25">
      <c r="B187" s="40" t="s">
        <v>837</v>
      </c>
      <c r="C187" s="40" t="s">
        <v>852</v>
      </c>
      <c r="D187">
        <v>10</v>
      </c>
      <c r="H187">
        <v>1</v>
      </c>
      <c r="I187">
        <v>1</v>
      </c>
    </row>
    <row r="188" spans="2:9" x14ac:dyDescent="0.25">
      <c r="B188" s="40" t="s">
        <v>837</v>
      </c>
      <c r="C188" s="40" t="s">
        <v>853</v>
      </c>
      <c r="D188">
        <v>10</v>
      </c>
      <c r="H188">
        <v>1</v>
      </c>
      <c r="I188">
        <v>1</v>
      </c>
    </row>
    <row r="189" spans="2:9" x14ac:dyDescent="0.25">
      <c r="B189" s="40" t="s">
        <v>837</v>
      </c>
      <c r="C189" s="40" t="s">
        <v>854</v>
      </c>
      <c r="D189">
        <v>10</v>
      </c>
      <c r="H189">
        <v>1</v>
      </c>
      <c r="I189">
        <v>1</v>
      </c>
    </row>
    <row r="190" spans="2:9" x14ac:dyDescent="0.25">
      <c r="B190" s="40" t="s">
        <v>837</v>
      </c>
      <c r="C190" s="40" t="s">
        <v>855</v>
      </c>
      <c r="D190">
        <v>10</v>
      </c>
      <c r="H190">
        <v>1</v>
      </c>
      <c r="I190">
        <v>1</v>
      </c>
    </row>
    <row r="191" spans="2:9" x14ac:dyDescent="0.25">
      <c r="B191" s="40" t="s">
        <v>837</v>
      </c>
      <c r="C191" s="40" t="s">
        <v>856</v>
      </c>
      <c r="D191">
        <v>10</v>
      </c>
      <c r="H191">
        <v>1</v>
      </c>
      <c r="I191">
        <v>1</v>
      </c>
    </row>
    <row r="192" spans="2:9" x14ac:dyDescent="0.25">
      <c r="B192" s="40" t="s">
        <v>837</v>
      </c>
      <c r="C192" s="40" t="s">
        <v>857</v>
      </c>
      <c r="D192">
        <v>10</v>
      </c>
      <c r="H192">
        <v>1</v>
      </c>
      <c r="I192">
        <v>1</v>
      </c>
    </row>
    <row r="193" spans="2:9" x14ac:dyDescent="0.25">
      <c r="B193" s="40" t="s">
        <v>837</v>
      </c>
      <c r="C193" s="40" t="s">
        <v>858</v>
      </c>
      <c r="D193">
        <v>10</v>
      </c>
      <c r="H193">
        <v>1</v>
      </c>
      <c r="I193">
        <v>1</v>
      </c>
    </row>
    <row r="194" spans="2:9" x14ac:dyDescent="0.25">
      <c r="B194" s="40" t="s">
        <v>837</v>
      </c>
      <c r="C194" s="40" t="s">
        <v>859</v>
      </c>
      <c r="D194">
        <v>10</v>
      </c>
      <c r="H194">
        <v>1</v>
      </c>
      <c r="I194">
        <v>1</v>
      </c>
    </row>
    <row r="195" spans="2:9" x14ac:dyDescent="0.25">
      <c r="B195" s="40" t="s">
        <v>837</v>
      </c>
      <c r="C195" s="40" t="s">
        <v>860</v>
      </c>
      <c r="D195">
        <v>10</v>
      </c>
      <c r="H195">
        <v>1</v>
      </c>
      <c r="I195">
        <v>1</v>
      </c>
    </row>
    <row r="196" spans="2:9" x14ac:dyDescent="0.25">
      <c r="B196" s="40" t="s">
        <v>837</v>
      </c>
      <c r="C196" s="40" t="s">
        <v>861</v>
      </c>
      <c r="D196">
        <v>10</v>
      </c>
      <c r="H196">
        <v>1</v>
      </c>
      <c r="I196">
        <v>1</v>
      </c>
    </row>
    <row r="197" spans="2:9" x14ac:dyDescent="0.25">
      <c r="B197" s="40" t="s">
        <v>837</v>
      </c>
      <c r="C197" s="40" t="s">
        <v>862</v>
      </c>
      <c r="D197">
        <v>10</v>
      </c>
      <c r="H197">
        <v>1</v>
      </c>
      <c r="I197">
        <v>1</v>
      </c>
    </row>
    <row r="198" spans="2:9" x14ac:dyDescent="0.25">
      <c r="B198" s="40" t="s">
        <v>837</v>
      </c>
      <c r="C198" s="40" t="s">
        <v>863</v>
      </c>
      <c r="D198">
        <v>10</v>
      </c>
      <c r="H198">
        <v>1</v>
      </c>
      <c r="I198">
        <v>1</v>
      </c>
    </row>
    <row r="199" spans="2:9" x14ac:dyDescent="0.25">
      <c r="B199" s="40" t="s">
        <v>837</v>
      </c>
      <c r="C199" s="40" t="s">
        <v>864</v>
      </c>
      <c r="D199">
        <v>10</v>
      </c>
      <c r="H199">
        <v>1</v>
      </c>
      <c r="I199">
        <v>1</v>
      </c>
    </row>
    <row r="200" spans="2:9" x14ac:dyDescent="0.25">
      <c r="B200" s="40" t="s">
        <v>837</v>
      </c>
      <c r="C200" s="40" t="s">
        <v>865</v>
      </c>
      <c r="D200">
        <v>10</v>
      </c>
      <c r="H200">
        <v>1</v>
      </c>
      <c r="I200">
        <v>1</v>
      </c>
    </row>
    <row r="201" spans="2:9" x14ac:dyDescent="0.25">
      <c r="B201" s="40" t="s">
        <v>837</v>
      </c>
      <c r="C201" s="40" t="s">
        <v>866</v>
      </c>
      <c r="D201">
        <v>10</v>
      </c>
      <c r="H201">
        <v>1</v>
      </c>
      <c r="I201">
        <v>1</v>
      </c>
    </row>
    <row r="202" spans="2:9" x14ac:dyDescent="0.25">
      <c r="B202" s="40" t="s">
        <v>837</v>
      </c>
      <c r="C202" s="40" t="s">
        <v>867</v>
      </c>
      <c r="D202">
        <v>10</v>
      </c>
      <c r="H202">
        <v>1</v>
      </c>
      <c r="I202">
        <v>1</v>
      </c>
    </row>
    <row r="203" spans="2:9" x14ac:dyDescent="0.25">
      <c r="B203" s="40" t="s">
        <v>837</v>
      </c>
      <c r="C203" s="40" t="s">
        <v>868</v>
      </c>
      <c r="D203">
        <v>10</v>
      </c>
      <c r="E203">
        <v>0</v>
      </c>
      <c r="G203">
        <v>0</v>
      </c>
      <c r="H203">
        <v>1</v>
      </c>
      <c r="I203">
        <v>1</v>
      </c>
    </row>
    <row r="204" spans="2:9" x14ac:dyDescent="0.25">
      <c r="B204" s="40" t="s">
        <v>837</v>
      </c>
      <c r="C204" s="40" t="s">
        <v>869</v>
      </c>
      <c r="D204">
        <v>10</v>
      </c>
      <c r="H204">
        <v>1</v>
      </c>
      <c r="I204">
        <v>1</v>
      </c>
    </row>
    <row r="205" spans="2:9" x14ac:dyDescent="0.25">
      <c r="B205" s="40" t="s">
        <v>837</v>
      </c>
      <c r="C205" s="40" t="s">
        <v>870</v>
      </c>
      <c r="D205">
        <v>10</v>
      </c>
      <c r="E205">
        <v>0</v>
      </c>
      <c r="G205">
        <v>0</v>
      </c>
      <c r="H205">
        <v>1</v>
      </c>
      <c r="I205">
        <v>1</v>
      </c>
    </row>
    <row r="206" spans="2:9" x14ac:dyDescent="0.25">
      <c r="B206" s="40" t="s">
        <v>837</v>
      </c>
      <c r="C206" s="40" t="s">
        <v>871</v>
      </c>
      <c r="D206">
        <v>10</v>
      </c>
      <c r="H206">
        <v>1</v>
      </c>
      <c r="I206">
        <v>1</v>
      </c>
    </row>
    <row r="207" spans="2:9" x14ac:dyDescent="0.25">
      <c r="B207" s="40" t="s">
        <v>837</v>
      </c>
      <c r="C207" s="40" t="s">
        <v>872</v>
      </c>
      <c r="D207">
        <v>10</v>
      </c>
      <c r="H207">
        <v>1</v>
      </c>
      <c r="I207">
        <v>1</v>
      </c>
    </row>
    <row r="208" spans="2:9" x14ac:dyDescent="0.25">
      <c r="B208" s="40" t="s">
        <v>837</v>
      </c>
      <c r="C208" s="40" t="s">
        <v>873</v>
      </c>
      <c r="D208">
        <v>10</v>
      </c>
      <c r="H208">
        <v>1</v>
      </c>
      <c r="I208">
        <v>1</v>
      </c>
    </row>
    <row r="209" spans="2:9" x14ac:dyDescent="0.25">
      <c r="B209" s="40" t="s">
        <v>837</v>
      </c>
      <c r="C209" s="40" t="s">
        <v>874</v>
      </c>
      <c r="D209">
        <v>10</v>
      </c>
      <c r="H209">
        <v>1</v>
      </c>
      <c r="I209">
        <v>1</v>
      </c>
    </row>
    <row r="210" spans="2:9" x14ac:dyDescent="0.25">
      <c r="B210" s="40" t="s">
        <v>837</v>
      </c>
      <c r="C210" s="40" t="s">
        <v>875</v>
      </c>
      <c r="D210">
        <v>10</v>
      </c>
      <c r="H210">
        <v>1</v>
      </c>
      <c r="I210">
        <v>1</v>
      </c>
    </row>
    <row r="211" spans="2:9" x14ac:dyDescent="0.25">
      <c r="B211" s="40" t="s">
        <v>837</v>
      </c>
      <c r="C211" s="40" t="s">
        <v>876</v>
      </c>
      <c r="D211">
        <v>10</v>
      </c>
      <c r="H211">
        <v>1</v>
      </c>
      <c r="I211">
        <v>1</v>
      </c>
    </row>
    <row r="212" spans="2:9" x14ac:dyDescent="0.25">
      <c r="B212" s="40" t="s">
        <v>837</v>
      </c>
      <c r="C212" s="40" t="s">
        <v>877</v>
      </c>
      <c r="D212">
        <v>10</v>
      </c>
      <c r="H212">
        <v>1</v>
      </c>
      <c r="I212">
        <v>1</v>
      </c>
    </row>
    <row r="213" spans="2:9" x14ac:dyDescent="0.25">
      <c r="B213" s="40" t="s">
        <v>837</v>
      </c>
      <c r="C213" s="40" t="s">
        <v>878</v>
      </c>
      <c r="D213">
        <v>10</v>
      </c>
      <c r="H213">
        <v>1</v>
      </c>
      <c r="I213">
        <v>1</v>
      </c>
    </row>
    <row r="214" spans="2:9" x14ac:dyDescent="0.25">
      <c r="B214" s="40" t="s">
        <v>837</v>
      </c>
      <c r="C214" s="40" t="s">
        <v>879</v>
      </c>
      <c r="D214">
        <v>10</v>
      </c>
      <c r="H214">
        <v>1</v>
      </c>
      <c r="I214">
        <v>1</v>
      </c>
    </row>
    <row r="215" spans="2:9" x14ac:dyDescent="0.25">
      <c r="B215" s="40" t="s">
        <v>837</v>
      </c>
      <c r="C215" s="40" t="s">
        <v>880</v>
      </c>
      <c r="D215">
        <v>10</v>
      </c>
      <c r="H215">
        <v>1</v>
      </c>
      <c r="I215">
        <v>1</v>
      </c>
    </row>
    <row r="216" spans="2:9" x14ac:dyDescent="0.25">
      <c r="B216" s="40" t="s">
        <v>837</v>
      </c>
      <c r="C216" s="40" t="s">
        <v>881</v>
      </c>
      <c r="D216">
        <v>10</v>
      </c>
      <c r="H216">
        <v>1</v>
      </c>
      <c r="I216">
        <v>1</v>
      </c>
    </row>
    <row r="217" spans="2:9" x14ac:dyDescent="0.25">
      <c r="B217" s="40" t="s">
        <v>837</v>
      </c>
      <c r="C217" s="40" t="s">
        <v>882</v>
      </c>
      <c r="D217">
        <v>10</v>
      </c>
      <c r="F217">
        <v>85</v>
      </c>
      <c r="H217">
        <v>1</v>
      </c>
      <c r="I217">
        <v>1</v>
      </c>
    </row>
    <row r="218" spans="2:9" x14ac:dyDescent="0.25">
      <c r="B218" s="40" t="s">
        <v>837</v>
      </c>
      <c r="C218" s="40" t="s">
        <v>883</v>
      </c>
      <c r="D218">
        <v>10</v>
      </c>
      <c r="E218">
        <v>0</v>
      </c>
      <c r="F218">
        <v>200</v>
      </c>
      <c r="G218">
        <v>20</v>
      </c>
      <c r="H218">
        <v>1</v>
      </c>
      <c r="I218">
        <v>1</v>
      </c>
    </row>
    <row r="219" spans="2:9" x14ac:dyDescent="0.25">
      <c r="B219" s="40" t="s">
        <v>837</v>
      </c>
      <c r="C219" s="40" t="s">
        <v>884</v>
      </c>
      <c r="D219">
        <v>10</v>
      </c>
      <c r="H219">
        <v>1</v>
      </c>
      <c r="I219">
        <v>1</v>
      </c>
    </row>
    <row r="220" spans="2:9" x14ac:dyDescent="0.25">
      <c r="B220" s="40" t="s">
        <v>837</v>
      </c>
      <c r="C220" s="40" t="s">
        <v>885</v>
      </c>
      <c r="D220">
        <v>10</v>
      </c>
      <c r="F220">
        <v>60</v>
      </c>
      <c r="H220">
        <v>1</v>
      </c>
      <c r="I220">
        <v>1</v>
      </c>
    </row>
    <row r="221" spans="2:9" x14ac:dyDescent="0.25">
      <c r="B221" s="40" t="s">
        <v>837</v>
      </c>
      <c r="C221" s="40" t="s">
        <v>886</v>
      </c>
      <c r="D221">
        <v>10</v>
      </c>
      <c r="H221">
        <v>1</v>
      </c>
      <c r="I221">
        <v>1</v>
      </c>
    </row>
    <row r="222" spans="2:9" x14ac:dyDescent="0.25">
      <c r="B222" s="40" t="s">
        <v>837</v>
      </c>
      <c r="C222" s="40" t="s">
        <v>887</v>
      </c>
      <c r="D222">
        <v>10</v>
      </c>
      <c r="H222">
        <v>1</v>
      </c>
      <c r="I222">
        <v>1</v>
      </c>
    </row>
    <row r="223" spans="2:9" x14ac:dyDescent="0.25">
      <c r="B223" s="40" t="s">
        <v>837</v>
      </c>
      <c r="C223" s="40" t="s">
        <v>888</v>
      </c>
      <c r="D223">
        <v>10</v>
      </c>
      <c r="F223">
        <v>128</v>
      </c>
      <c r="H223">
        <v>1</v>
      </c>
      <c r="I223">
        <v>1</v>
      </c>
    </row>
    <row r="224" spans="2:9" x14ac:dyDescent="0.25">
      <c r="B224" s="40" t="s">
        <v>837</v>
      </c>
      <c r="C224" s="40" t="s">
        <v>889</v>
      </c>
      <c r="D224">
        <v>10</v>
      </c>
      <c r="H224">
        <v>1</v>
      </c>
      <c r="I224">
        <v>1</v>
      </c>
    </row>
    <row r="225" spans="2:9" x14ac:dyDescent="0.25">
      <c r="B225" s="40" t="s">
        <v>837</v>
      </c>
      <c r="C225" s="40" t="s">
        <v>890</v>
      </c>
      <c r="D225">
        <v>10</v>
      </c>
      <c r="H225">
        <v>1</v>
      </c>
      <c r="I225">
        <v>1</v>
      </c>
    </row>
    <row r="226" spans="2:9" x14ac:dyDescent="0.25">
      <c r="B226" s="40" t="s">
        <v>837</v>
      </c>
      <c r="C226" s="40" t="s">
        <v>891</v>
      </c>
      <c r="D226">
        <v>10</v>
      </c>
      <c r="H226">
        <v>1</v>
      </c>
      <c r="I226">
        <v>1</v>
      </c>
    </row>
    <row r="227" spans="2:9" x14ac:dyDescent="0.25">
      <c r="B227" s="40" t="s">
        <v>837</v>
      </c>
      <c r="C227" s="40" t="s">
        <v>892</v>
      </c>
      <c r="D227">
        <v>10</v>
      </c>
      <c r="H227">
        <v>1</v>
      </c>
      <c r="I227">
        <v>1</v>
      </c>
    </row>
    <row r="228" spans="2:9" x14ac:dyDescent="0.25">
      <c r="B228" s="40" t="s">
        <v>837</v>
      </c>
      <c r="C228" s="40" t="s">
        <v>893</v>
      </c>
      <c r="D228">
        <v>10</v>
      </c>
      <c r="H228">
        <v>1</v>
      </c>
      <c r="I228">
        <v>1</v>
      </c>
    </row>
    <row r="229" spans="2:9" x14ac:dyDescent="0.25">
      <c r="B229" s="40" t="s">
        <v>837</v>
      </c>
      <c r="C229" s="40" t="s">
        <v>894</v>
      </c>
      <c r="D229">
        <v>10</v>
      </c>
      <c r="H229">
        <v>1</v>
      </c>
      <c r="I229">
        <v>1</v>
      </c>
    </row>
    <row r="230" spans="2:9" x14ac:dyDescent="0.25">
      <c r="B230" s="40" t="s">
        <v>837</v>
      </c>
      <c r="C230" s="40" t="s">
        <v>895</v>
      </c>
      <c r="D230">
        <v>10</v>
      </c>
      <c r="H230">
        <v>1</v>
      </c>
      <c r="I230">
        <v>1</v>
      </c>
    </row>
    <row r="231" spans="2:9" x14ac:dyDescent="0.25">
      <c r="B231" s="40" t="s">
        <v>837</v>
      </c>
      <c r="C231" s="40" t="s">
        <v>896</v>
      </c>
      <c r="D231">
        <v>10</v>
      </c>
      <c r="H231">
        <v>1</v>
      </c>
      <c r="I231">
        <v>1</v>
      </c>
    </row>
    <row r="232" spans="2:9" x14ac:dyDescent="0.25">
      <c r="B232" s="40" t="s">
        <v>837</v>
      </c>
      <c r="C232" s="40" t="s">
        <v>897</v>
      </c>
      <c r="D232">
        <v>10</v>
      </c>
      <c r="H232">
        <v>1</v>
      </c>
      <c r="I232">
        <v>1</v>
      </c>
    </row>
    <row r="233" spans="2:9" x14ac:dyDescent="0.25">
      <c r="B233" s="40" t="s">
        <v>837</v>
      </c>
      <c r="C233" s="40" t="s">
        <v>898</v>
      </c>
      <c r="D233">
        <v>10</v>
      </c>
      <c r="H233">
        <v>1</v>
      </c>
      <c r="I233">
        <v>1</v>
      </c>
    </row>
    <row r="234" spans="2:9" x14ac:dyDescent="0.25">
      <c r="B234" s="40" t="s">
        <v>837</v>
      </c>
      <c r="C234" s="40" t="s">
        <v>899</v>
      </c>
      <c r="D234">
        <v>10</v>
      </c>
      <c r="H234">
        <v>1</v>
      </c>
      <c r="I234">
        <v>1</v>
      </c>
    </row>
    <row r="235" spans="2:9" x14ac:dyDescent="0.25">
      <c r="B235" s="40" t="s">
        <v>837</v>
      </c>
      <c r="C235" s="40" t="s">
        <v>900</v>
      </c>
      <c r="D235">
        <v>10</v>
      </c>
      <c r="H235">
        <v>1</v>
      </c>
      <c r="I235">
        <v>1</v>
      </c>
    </row>
    <row r="236" spans="2:9" x14ac:dyDescent="0.25">
      <c r="B236" s="40" t="s">
        <v>837</v>
      </c>
      <c r="C236" s="40" t="s">
        <v>901</v>
      </c>
      <c r="D236">
        <v>10</v>
      </c>
      <c r="H236">
        <v>1</v>
      </c>
      <c r="I236">
        <v>1</v>
      </c>
    </row>
    <row r="237" spans="2:9" x14ac:dyDescent="0.25">
      <c r="B237" s="40" t="s">
        <v>837</v>
      </c>
      <c r="C237" s="40" t="s">
        <v>902</v>
      </c>
      <c r="D237">
        <v>10</v>
      </c>
      <c r="H237">
        <v>1</v>
      </c>
      <c r="I237">
        <v>1</v>
      </c>
    </row>
    <row r="238" spans="2:9" x14ac:dyDescent="0.25">
      <c r="B238" s="40" t="s">
        <v>837</v>
      </c>
      <c r="C238" s="40" t="s">
        <v>903</v>
      </c>
      <c r="D238">
        <v>10</v>
      </c>
      <c r="H238">
        <v>1</v>
      </c>
      <c r="I238">
        <v>1</v>
      </c>
    </row>
    <row r="239" spans="2:9" x14ac:dyDescent="0.25">
      <c r="B239" s="40" t="s">
        <v>837</v>
      </c>
      <c r="C239" s="40" t="s">
        <v>904</v>
      </c>
      <c r="D239">
        <v>10</v>
      </c>
      <c r="H239">
        <v>1</v>
      </c>
      <c r="I239">
        <v>1</v>
      </c>
    </row>
    <row r="240" spans="2:9" x14ac:dyDescent="0.25">
      <c r="B240" s="40" t="s">
        <v>837</v>
      </c>
      <c r="C240" s="40" t="s">
        <v>905</v>
      </c>
      <c r="D240">
        <v>10</v>
      </c>
      <c r="H240">
        <v>1</v>
      </c>
      <c r="I240">
        <v>1</v>
      </c>
    </row>
    <row r="241" spans="2:9" x14ac:dyDescent="0.25">
      <c r="B241" s="40" t="s">
        <v>837</v>
      </c>
      <c r="C241" s="40" t="s">
        <v>906</v>
      </c>
      <c r="D241">
        <v>10</v>
      </c>
      <c r="E241">
        <v>0</v>
      </c>
      <c r="G241">
        <v>0</v>
      </c>
      <c r="H241">
        <v>1</v>
      </c>
      <c r="I241">
        <v>1</v>
      </c>
    </row>
    <row r="242" spans="2:9" x14ac:dyDescent="0.25">
      <c r="B242" s="40" t="s">
        <v>837</v>
      </c>
      <c r="C242" s="40" t="s">
        <v>907</v>
      </c>
      <c r="D242">
        <v>10</v>
      </c>
      <c r="H242">
        <v>1</v>
      </c>
      <c r="I242">
        <v>1</v>
      </c>
    </row>
    <row r="243" spans="2:9" x14ac:dyDescent="0.25">
      <c r="B243" s="40" t="s">
        <v>837</v>
      </c>
      <c r="C243" s="40" t="s">
        <v>908</v>
      </c>
      <c r="D243">
        <v>10</v>
      </c>
      <c r="H243">
        <v>1</v>
      </c>
      <c r="I243">
        <v>1</v>
      </c>
    </row>
    <row r="244" spans="2:9" x14ac:dyDescent="0.25">
      <c r="B244" s="40" t="s">
        <v>837</v>
      </c>
      <c r="C244" s="40" t="s">
        <v>909</v>
      </c>
      <c r="D244">
        <v>10</v>
      </c>
      <c r="H244">
        <v>1</v>
      </c>
      <c r="I244">
        <v>1</v>
      </c>
    </row>
    <row r="245" spans="2:9" x14ac:dyDescent="0.25">
      <c r="B245" s="40" t="s">
        <v>837</v>
      </c>
      <c r="C245" s="40" t="s">
        <v>910</v>
      </c>
      <c r="D245">
        <v>10</v>
      </c>
      <c r="H245">
        <v>1</v>
      </c>
      <c r="I245">
        <v>1</v>
      </c>
    </row>
    <row r="246" spans="2:9" x14ac:dyDescent="0.25">
      <c r="B246" s="40" t="s">
        <v>837</v>
      </c>
      <c r="C246" s="40" t="s">
        <v>911</v>
      </c>
      <c r="D246">
        <v>10</v>
      </c>
      <c r="H246">
        <v>1</v>
      </c>
      <c r="I246">
        <v>1</v>
      </c>
    </row>
    <row r="247" spans="2:9" x14ac:dyDescent="0.25">
      <c r="B247" s="40" t="s">
        <v>837</v>
      </c>
      <c r="C247" s="40" t="s">
        <v>912</v>
      </c>
      <c r="D247">
        <v>10</v>
      </c>
      <c r="H247">
        <v>1</v>
      </c>
      <c r="I247">
        <v>1</v>
      </c>
    </row>
    <row r="248" spans="2:9" x14ac:dyDescent="0.25">
      <c r="B248" s="40" t="s">
        <v>837</v>
      </c>
      <c r="C248" s="40" t="s">
        <v>913</v>
      </c>
      <c r="D248">
        <v>10</v>
      </c>
      <c r="H248">
        <v>1</v>
      </c>
      <c r="I248">
        <v>1</v>
      </c>
    </row>
    <row r="249" spans="2:9" x14ac:dyDescent="0.25">
      <c r="B249" s="40" t="s">
        <v>837</v>
      </c>
      <c r="C249" s="40" t="s">
        <v>914</v>
      </c>
      <c r="D249">
        <v>10</v>
      </c>
      <c r="H249">
        <v>1</v>
      </c>
      <c r="I249">
        <v>1</v>
      </c>
    </row>
    <row r="250" spans="2:9" x14ac:dyDescent="0.25">
      <c r="B250" s="40" t="s">
        <v>837</v>
      </c>
      <c r="C250" s="40" t="s">
        <v>915</v>
      </c>
      <c r="D250">
        <v>10</v>
      </c>
      <c r="H250">
        <v>1</v>
      </c>
      <c r="I250">
        <v>1</v>
      </c>
    </row>
    <row r="251" spans="2:9" x14ac:dyDescent="0.25">
      <c r="B251" s="40" t="s">
        <v>837</v>
      </c>
      <c r="C251" s="40" t="s">
        <v>916</v>
      </c>
      <c r="D251">
        <v>10</v>
      </c>
      <c r="H251">
        <v>1</v>
      </c>
      <c r="I251">
        <v>1</v>
      </c>
    </row>
    <row r="252" spans="2:9" x14ac:dyDescent="0.25">
      <c r="B252" s="40" t="s">
        <v>837</v>
      </c>
      <c r="C252" s="40" t="s">
        <v>917</v>
      </c>
      <c r="D252">
        <v>10</v>
      </c>
      <c r="H252">
        <v>1</v>
      </c>
      <c r="I252">
        <v>1</v>
      </c>
    </row>
    <row r="253" spans="2:9" x14ac:dyDescent="0.25">
      <c r="B253" s="40" t="s">
        <v>837</v>
      </c>
      <c r="C253" s="40" t="s">
        <v>918</v>
      </c>
      <c r="D253">
        <v>10</v>
      </c>
      <c r="H253">
        <v>1</v>
      </c>
      <c r="I253">
        <v>1</v>
      </c>
    </row>
    <row r="254" spans="2:9" x14ac:dyDescent="0.25">
      <c r="B254" s="40" t="s">
        <v>837</v>
      </c>
      <c r="C254" s="40" t="s">
        <v>919</v>
      </c>
      <c r="D254">
        <v>10</v>
      </c>
      <c r="H254">
        <v>1</v>
      </c>
      <c r="I254">
        <v>1</v>
      </c>
    </row>
    <row r="255" spans="2:9" x14ac:dyDescent="0.25">
      <c r="B255" s="40" t="s">
        <v>837</v>
      </c>
      <c r="C255" s="40" t="s">
        <v>920</v>
      </c>
      <c r="D255">
        <v>10</v>
      </c>
      <c r="E255">
        <v>0</v>
      </c>
      <c r="G255">
        <v>0</v>
      </c>
      <c r="H255">
        <v>1</v>
      </c>
      <c r="I255">
        <v>1</v>
      </c>
    </row>
    <row r="256" spans="2:9" x14ac:dyDescent="0.25">
      <c r="B256" s="40" t="s">
        <v>837</v>
      </c>
      <c r="C256" s="40" t="s">
        <v>889</v>
      </c>
      <c r="D256">
        <v>10</v>
      </c>
      <c r="F256">
        <v>290</v>
      </c>
      <c r="H256">
        <v>1</v>
      </c>
      <c r="I256">
        <v>1</v>
      </c>
    </row>
    <row r="257" spans="2:9" x14ac:dyDescent="0.25">
      <c r="B257" s="40" t="s">
        <v>837</v>
      </c>
      <c r="C257" s="40" t="s">
        <v>921</v>
      </c>
      <c r="D257">
        <v>10</v>
      </c>
      <c r="H257">
        <v>1</v>
      </c>
      <c r="I257">
        <v>1</v>
      </c>
    </row>
    <row r="258" spans="2:9" x14ac:dyDescent="0.25">
      <c r="B258" s="40" t="s">
        <v>837</v>
      </c>
      <c r="C258" s="40" t="s">
        <v>922</v>
      </c>
      <c r="D258">
        <v>10</v>
      </c>
      <c r="F258">
        <v>55</v>
      </c>
      <c r="H258">
        <v>1</v>
      </c>
      <c r="I258">
        <v>1</v>
      </c>
    </row>
    <row r="259" spans="2:9" x14ac:dyDescent="0.25">
      <c r="B259" s="40" t="s">
        <v>837</v>
      </c>
      <c r="C259" s="40" t="s">
        <v>43</v>
      </c>
      <c r="D259">
        <v>10</v>
      </c>
      <c r="H259">
        <v>1</v>
      </c>
      <c r="I259">
        <v>1</v>
      </c>
    </row>
    <row r="260" spans="2:9" x14ac:dyDescent="0.25">
      <c r="B260" s="40" t="s">
        <v>837</v>
      </c>
      <c r="C260" s="40" t="s">
        <v>923</v>
      </c>
      <c r="D260">
        <v>10</v>
      </c>
      <c r="H260">
        <v>1</v>
      </c>
      <c r="I260">
        <v>1</v>
      </c>
    </row>
    <row r="261" spans="2:9" x14ac:dyDescent="0.25">
      <c r="B261" s="40" t="s">
        <v>837</v>
      </c>
      <c r="C261" s="40" t="s">
        <v>924</v>
      </c>
      <c r="D261">
        <v>10</v>
      </c>
      <c r="H261">
        <v>1</v>
      </c>
      <c r="I261">
        <v>1</v>
      </c>
    </row>
    <row r="262" spans="2:9" x14ac:dyDescent="0.25">
      <c r="B262" s="40" t="s">
        <v>837</v>
      </c>
      <c r="C262" s="40" t="s">
        <v>925</v>
      </c>
      <c r="D262">
        <v>10</v>
      </c>
      <c r="H262">
        <v>1</v>
      </c>
      <c r="I262">
        <v>1</v>
      </c>
    </row>
    <row r="263" spans="2:9" x14ac:dyDescent="0.25">
      <c r="B263" s="40" t="s">
        <v>837</v>
      </c>
      <c r="C263" s="40" t="s">
        <v>926</v>
      </c>
      <c r="D263">
        <v>10</v>
      </c>
      <c r="H263">
        <v>1</v>
      </c>
      <c r="I263">
        <v>1</v>
      </c>
    </row>
    <row r="264" spans="2:9" x14ac:dyDescent="0.25">
      <c r="B264" s="40" t="s">
        <v>837</v>
      </c>
      <c r="C264" s="40" t="s">
        <v>927</v>
      </c>
      <c r="D264">
        <v>10</v>
      </c>
      <c r="H264">
        <v>1</v>
      </c>
      <c r="I264">
        <v>1</v>
      </c>
    </row>
    <row r="265" spans="2:9" x14ac:dyDescent="0.25">
      <c r="B265" s="40" t="s">
        <v>837</v>
      </c>
      <c r="C265" s="40" t="s">
        <v>928</v>
      </c>
      <c r="D265">
        <v>10</v>
      </c>
      <c r="H265">
        <v>1</v>
      </c>
      <c r="I265">
        <v>1</v>
      </c>
    </row>
    <row r="266" spans="2:9" x14ac:dyDescent="0.25">
      <c r="B266" s="40" t="s">
        <v>837</v>
      </c>
      <c r="C266" s="40" t="s">
        <v>929</v>
      </c>
      <c r="D266">
        <v>10</v>
      </c>
      <c r="H266">
        <v>1</v>
      </c>
      <c r="I266">
        <v>1</v>
      </c>
    </row>
    <row r="267" spans="2:9" x14ac:dyDescent="0.25">
      <c r="B267" s="40" t="s">
        <v>837</v>
      </c>
      <c r="C267" s="40" t="s">
        <v>930</v>
      </c>
      <c r="D267">
        <v>10</v>
      </c>
      <c r="H267">
        <v>1</v>
      </c>
      <c r="I267">
        <v>1</v>
      </c>
    </row>
    <row r="268" spans="2:9" x14ac:dyDescent="0.25">
      <c r="B268" s="40" t="s">
        <v>837</v>
      </c>
      <c r="C268" s="40" t="s">
        <v>931</v>
      </c>
      <c r="D268">
        <v>10</v>
      </c>
      <c r="E268">
        <v>0</v>
      </c>
      <c r="G268">
        <v>0</v>
      </c>
      <c r="H268">
        <v>1</v>
      </c>
      <c r="I268">
        <v>1</v>
      </c>
    </row>
    <row r="269" spans="2:9" x14ac:dyDescent="0.25">
      <c r="B269" s="40" t="s">
        <v>837</v>
      </c>
      <c r="C269" s="40" t="s">
        <v>932</v>
      </c>
      <c r="D269">
        <v>10</v>
      </c>
      <c r="H269">
        <v>1</v>
      </c>
      <c r="I269">
        <v>1</v>
      </c>
    </row>
    <row r="270" spans="2:9" x14ac:dyDescent="0.25">
      <c r="B270" s="40" t="s">
        <v>837</v>
      </c>
      <c r="C270" s="40" t="s">
        <v>933</v>
      </c>
      <c r="D270">
        <v>10</v>
      </c>
      <c r="H270">
        <v>1</v>
      </c>
      <c r="I270">
        <v>1</v>
      </c>
    </row>
    <row r="271" spans="2:9" x14ac:dyDescent="0.25">
      <c r="B271" s="40" t="s">
        <v>837</v>
      </c>
      <c r="C271" s="40" t="s">
        <v>934</v>
      </c>
      <c r="D271">
        <v>10</v>
      </c>
      <c r="H271">
        <v>1</v>
      </c>
      <c r="I271">
        <v>1</v>
      </c>
    </row>
    <row r="272" spans="2:9" x14ac:dyDescent="0.25">
      <c r="B272" s="40" t="s">
        <v>837</v>
      </c>
      <c r="C272" s="40" t="s">
        <v>935</v>
      </c>
      <c r="D272">
        <v>10</v>
      </c>
      <c r="H272">
        <v>1</v>
      </c>
      <c r="I272">
        <v>1</v>
      </c>
    </row>
    <row r="273" spans="2:9" x14ac:dyDescent="0.25">
      <c r="B273" s="40" t="s">
        <v>837</v>
      </c>
      <c r="C273" s="40" t="s">
        <v>936</v>
      </c>
      <c r="D273">
        <v>10</v>
      </c>
      <c r="H273">
        <v>1</v>
      </c>
      <c r="I273">
        <v>1</v>
      </c>
    </row>
    <row r="274" spans="2:9" x14ac:dyDescent="0.25">
      <c r="B274" s="40" t="s">
        <v>837</v>
      </c>
      <c r="C274" s="40" t="s">
        <v>937</v>
      </c>
      <c r="D274">
        <v>10</v>
      </c>
      <c r="H274">
        <v>1</v>
      </c>
      <c r="I274">
        <v>1</v>
      </c>
    </row>
    <row r="275" spans="2:9" x14ac:dyDescent="0.25">
      <c r="B275" s="40" t="s">
        <v>837</v>
      </c>
      <c r="C275" s="40" t="s">
        <v>938</v>
      </c>
      <c r="D275">
        <v>10</v>
      </c>
      <c r="H275">
        <v>1</v>
      </c>
      <c r="I275">
        <v>1</v>
      </c>
    </row>
    <row r="276" spans="2:9" x14ac:dyDescent="0.25">
      <c r="B276" s="40" t="s">
        <v>837</v>
      </c>
      <c r="C276" s="40" t="s">
        <v>939</v>
      </c>
      <c r="D276">
        <v>10</v>
      </c>
      <c r="H276">
        <v>1</v>
      </c>
      <c r="I276">
        <v>1</v>
      </c>
    </row>
    <row r="277" spans="2:9" x14ac:dyDescent="0.25">
      <c r="B277" s="40" t="s">
        <v>837</v>
      </c>
      <c r="C277" s="40" t="s">
        <v>940</v>
      </c>
      <c r="D277">
        <v>10</v>
      </c>
      <c r="H277">
        <v>1</v>
      </c>
      <c r="I277">
        <v>1</v>
      </c>
    </row>
    <row r="278" spans="2:9" x14ac:dyDescent="0.25">
      <c r="B278" s="40" t="s">
        <v>837</v>
      </c>
      <c r="C278" s="40" t="s">
        <v>567</v>
      </c>
      <c r="D278">
        <v>10</v>
      </c>
      <c r="H278">
        <v>1</v>
      </c>
      <c r="I278">
        <v>1</v>
      </c>
    </row>
    <row r="279" spans="2:9" x14ac:dyDescent="0.25">
      <c r="B279" s="40" t="s">
        <v>837</v>
      </c>
      <c r="C279" s="40" t="s">
        <v>565</v>
      </c>
      <c r="D279">
        <v>10</v>
      </c>
      <c r="H279">
        <v>1</v>
      </c>
      <c r="I279">
        <v>1</v>
      </c>
    </row>
    <row r="280" spans="2:9" x14ac:dyDescent="0.25">
      <c r="B280" s="40" t="s">
        <v>837</v>
      </c>
      <c r="C280" s="40" t="s">
        <v>941</v>
      </c>
      <c r="D280">
        <v>10</v>
      </c>
      <c r="H280">
        <v>1</v>
      </c>
      <c r="I280">
        <v>1</v>
      </c>
    </row>
    <row r="281" spans="2:9" x14ac:dyDescent="0.25">
      <c r="B281" s="40" t="s">
        <v>942</v>
      </c>
      <c r="C281" s="40" t="s">
        <v>943</v>
      </c>
      <c r="D281">
        <v>10</v>
      </c>
      <c r="H281">
        <v>1</v>
      </c>
      <c r="I281">
        <v>1</v>
      </c>
    </row>
    <row r="282" spans="2:9" x14ac:dyDescent="0.25">
      <c r="B282" s="40" t="s">
        <v>1014</v>
      </c>
      <c r="C282" s="40" t="s">
        <v>1335</v>
      </c>
      <c r="D282">
        <v>10</v>
      </c>
      <c r="E282">
        <v>0</v>
      </c>
      <c r="F282">
        <v>0</v>
      </c>
      <c r="G282">
        <v>0</v>
      </c>
      <c r="H282">
        <v>1</v>
      </c>
      <c r="I282">
        <v>1</v>
      </c>
    </row>
    <row r="283" spans="2:9" x14ac:dyDescent="0.25">
      <c r="B283" s="40" t="s">
        <v>1014</v>
      </c>
      <c r="C283" s="40" t="s">
        <v>1336</v>
      </c>
      <c r="D283">
        <v>10</v>
      </c>
      <c r="E283">
        <v>0</v>
      </c>
      <c r="F283">
        <v>0</v>
      </c>
      <c r="G283">
        <v>0</v>
      </c>
      <c r="H283">
        <v>1</v>
      </c>
      <c r="I283">
        <v>1</v>
      </c>
    </row>
    <row r="284" spans="2:9" x14ac:dyDescent="0.25">
      <c r="B284" s="40" t="s">
        <v>1014</v>
      </c>
      <c r="C284" s="40" t="s">
        <v>1337</v>
      </c>
      <c r="D284">
        <v>10</v>
      </c>
      <c r="E284">
        <v>0</v>
      </c>
      <c r="F284">
        <v>0</v>
      </c>
      <c r="G284">
        <v>0</v>
      </c>
      <c r="H284">
        <v>1</v>
      </c>
      <c r="I284">
        <v>1</v>
      </c>
    </row>
    <row r="285" spans="2:9" x14ac:dyDescent="0.25">
      <c r="B285" s="40" t="s">
        <v>1014</v>
      </c>
      <c r="C285" s="40" t="s">
        <v>1338</v>
      </c>
      <c r="D285">
        <v>10</v>
      </c>
      <c r="E285">
        <v>0</v>
      </c>
      <c r="F285">
        <v>0</v>
      </c>
      <c r="G285">
        <v>0</v>
      </c>
      <c r="H285">
        <v>1</v>
      </c>
      <c r="I285">
        <v>1</v>
      </c>
    </row>
    <row r="286" spans="2:9" x14ac:dyDescent="0.25">
      <c r="B286" s="40" t="s">
        <v>1014</v>
      </c>
      <c r="C286" s="40" t="s">
        <v>1027</v>
      </c>
      <c r="D286">
        <v>10</v>
      </c>
      <c r="E286">
        <v>0</v>
      </c>
      <c r="G286">
        <v>0</v>
      </c>
      <c r="H286">
        <v>1</v>
      </c>
      <c r="I286">
        <v>1</v>
      </c>
    </row>
    <row r="287" spans="2:9" x14ac:dyDescent="0.25">
      <c r="B287" s="40" t="s">
        <v>1014</v>
      </c>
      <c r="C287" s="40" t="s">
        <v>1044</v>
      </c>
      <c r="D287">
        <v>10</v>
      </c>
      <c r="E287">
        <v>0</v>
      </c>
      <c r="F287">
        <v>0</v>
      </c>
      <c r="G287">
        <v>0</v>
      </c>
      <c r="H287">
        <v>1</v>
      </c>
      <c r="I287">
        <v>1</v>
      </c>
    </row>
    <row r="288" spans="2:9" x14ac:dyDescent="0.25">
      <c r="B288" s="40" t="s">
        <v>1014</v>
      </c>
      <c r="C288" s="40" t="s">
        <v>1046</v>
      </c>
      <c r="D288">
        <v>10</v>
      </c>
      <c r="E288">
        <v>0</v>
      </c>
      <c r="G288">
        <v>0</v>
      </c>
      <c r="H288">
        <v>1</v>
      </c>
      <c r="I288">
        <v>1</v>
      </c>
    </row>
    <row r="289" spans="2:9" x14ac:dyDescent="0.25">
      <c r="B289" s="40" t="s">
        <v>1014</v>
      </c>
      <c r="C289" s="40" t="s">
        <v>1297</v>
      </c>
      <c r="D289">
        <v>10</v>
      </c>
      <c r="E289">
        <v>0</v>
      </c>
      <c r="G289">
        <v>0</v>
      </c>
      <c r="H289">
        <v>1</v>
      </c>
      <c r="I289">
        <v>1</v>
      </c>
    </row>
    <row r="290" spans="2:9" x14ac:dyDescent="0.25">
      <c r="B290" s="40" t="s">
        <v>1014</v>
      </c>
      <c r="C290" s="40" t="s">
        <v>1298</v>
      </c>
      <c r="D290">
        <v>10</v>
      </c>
      <c r="E290">
        <v>0</v>
      </c>
      <c r="G290">
        <v>0</v>
      </c>
      <c r="H290">
        <v>1</v>
      </c>
      <c r="I290">
        <v>1</v>
      </c>
    </row>
    <row r="291" spans="2:9" x14ac:dyDescent="0.25">
      <c r="B291" s="40" t="s">
        <v>1014</v>
      </c>
      <c r="C291" s="40" t="s">
        <v>1051</v>
      </c>
      <c r="D291">
        <v>10</v>
      </c>
      <c r="E291">
        <v>200.5</v>
      </c>
      <c r="G291">
        <v>240.6</v>
      </c>
      <c r="H291">
        <v>1</v>
      </c>
      <c r="I291">
        <v>1</v>
      </c>
    </row>
    <row r="292" spans="2:9" x14ac:dyDescent="0.25">
      <c r="B292" s="40" t="s">
        <v>1014</v>
      </c>
      <c r="C292" s="40" t="s">
        <v>1301</v>
      </c>
      <c r="D292">
        <v>10</v>
      </c>
      <c r="E292">
        <v>85</v>
      </c>
      <c r="G292">
        <v>102</v>
      </c>
      <c r="H292">
        <v>1</v>
      </c>
      <c r="I292">
        <v>1</v>
      </c>
    </row>
    <row r="293" spans="2:9" x14ac:dyDescent="0.25">
      <c r="B293" s="40" t="s">
        <v>1084</v>
      </c>
      <c r="C293" s="40" t="s">
        <v>1089</v>
      </c>
      <c r="D293">
        <v>10</v>
      </c>
      <c r="E293">
        <v>0</v>
      </c>
      <c r="F293">
        <v>0</v>
      </c>
      <c r="G293">
        <v>0</v>
      </c>
      <c r="H293">
        <v>1</v>
      </c>
      <c r="I293">
        <v>1</v>
      </c>
    </row>
    <row r="294" spans="2:9" x14ac:dyDescent="0.25">
      <c r="B294" s="40" t="s">
        <v>1084</v>
      </c>
      <c r="C294" s="40" t="s">
        <v>1090</v>
      </c>
      <c r="D294">
        <v>10</v>
      </c>
      <c r="E294">
        <v>0</v>
      </c>
      <c r="F294">
        <v>0</v>
      </c>
      <c r="G294">
        <v>0</v>
      </c>
      <c r="H294">
        <v>1</v>
      </c>
      <c r="I294">
        <v>1</v>
      </c>
    </row>
    <row r="295" spans="2:9" x14ac:dyDescent="0.25">
      <c r="B295" s="40" t="s">
        <v>1084</v>
      </c>
      <c r="C295" s="40" t="s">
        <v>1094</v>
      </c>
      <c r="D295">
        <v>10</v>
      </c>
      <c r="E295">
        <v>0</v>
      </c>
      <c r="G295">
        <v>0</v>
      </c>
      <c r="H295">
        <v>1</v>
      </c>
      <c r="I295">
        <v>1</v>
      </c>
    </row>
    <row r="296" spans="2:9" x14ac:dyDescent="0.25">
      <c r="B296" s="40" t="s">
        <v>1084</v>
      </c>
      <c r="C296" s="40" t="s">
        <v>1123</v>
      </c>
      <c r="D296">
        <v>10</v>
      </c>
      <c r="E296">
        <v>0</v>
      </c>
      <c r="F296">
        <v>0</v>
      </c>
      <c r="G296">
        <v>0</v>
      </c>
      <c r="H296">
        <v>1</v>
      </c>
      <c r="I296">
        <v>1</v>
      </c>
    </row>
    <row r="297" spans="2:9" x14ac:dyDescent="0.25">
      <c r="B297" s="40" t="s">
        <v>1084</v>
      </c>
      <c r="C297" s="40" t="s">
        <v>1143</v>
      </c>
      <c r="D297">
        <v>10</v>
      </c>
      <c r="E297">
        <v>0</v>
      </c>
      <c r="F297">
        <v>0</v>
      </c>
      <c r="G297">
        <v>0</v>
      </c>
      <c r="H297">
        <v>1</v>
      </c>
      <c r="I297">
        <v>1</v>
      </c>
    </row>
    <row r="298" spans="2:9" x14ac:dyDescent="0.25">
      <c r="B298" s="40"/>
      <c r="C298" s="40">
        <v>0</v>
      </c>
      <c r="D298">
        <v>10</v>
      </c>
      <c r="E298">
        <v>0</v>
      </c>
      <c r="F298">
        <v>0</v>
      </c>
      <c r="G298">
        <v>0</v>
      </c>
      <c r="H298">
        <v>1</v>
      </c>
      <c r="I298">
        <v>1</v>
      </c>
    </row>
    <row r="299" spans="2:9" x14ac:dyDescent="0.25">
      <c r="B299" s="40"/>
      <c r="C299" s="40"/>
      <c r="D299">
        <v>10</v>
      </c>
      <c r="E299">
        <v>65</v>
      </c>
      <c r="F299">
        <v>130</v>
      </c>
      <c r="G299">
        <v>78</v>
      </c>
      <c r="H299">
        <v>1</v>
      </c>
      <c r="I299">
        <v>1</v>
      </c>
    </row>
    <row r="300" spans="2:9" x14ac:dyDescent="0.25">
      <c r="B300" s="40"/>
      <c r="C300" s="40"/>
      <c r="D300">
        <v>10</v>
      </c>
      <c r="E300">
        <v>119.328</v>
      </c>
      <c r="F300">
        <v>352</v>
      </c>
      <c r="G300">
        <v>154.52800000000002</v>
      </c>
      <c r="H300">
        <v>1</v>
      </c>
      <c r="I300">
        <v>1</v>
      </c>
    </row>
    <row r="301" spans="2:9" x14ac:dyDescent="0.25">
      <c r="B301" s="40"/>
      <c r="C301" s="40"/>
      <c r="D301">
        <v>10</v>
      </c>
      <c r="E301">
        <v>0</v>
      </c>
      <c r="F301">
        <v>0</v>
      </c>
      <c r="G301">
        <v>87.98</v>
      </c>
      <c r="H301">
        <v>1</v>
      </c>
      <c r="I301">
        <v>1</v>
      </c>
    </row>
    <row r="302" spans="2:9" x14ac:dyDescent="0.25">
      <c r="B302" s="40"/>
      <c r="C302" s="40"/>
      <c r="D302">
        <v>10</v>
      </c>
      <c r="E302">
        <v>417.58200000000005</v>
      </c>
      <c r="F302">
        <v>1221</v>
      </c>
      <c r="G302">
        <v>539.68200000000002</v>
      </c>
      <c r="H302">
        <v>1</v>
      </c>
      <c r="I302">
        <v>1</v>
      </c>
    </row>
    <row r="303" spans="2:9" x14ac:dyDescent="0.25">
      <c r="B303" s="40"/>
      <c r="C303" s="40"/>
      <c r="D303">
        <v>10</v>
      </c>
      <c r="E303">
        <v>106.28100000000001</v>
      </c>
      <c r="F303">
        <v>241</v>
      </c>
      <c r="G303">
        <v>130.381</v>
      </c>
      <c r="H303">
        <v>1</v>
      </c>
      <c r="I303">
        <v>1</v>
      </c>
    </row>
    <row r="304" spans="2:9" x14ac:dyDescent="0.25">
      <c r="B304" s="40"/>
      <c r="C304" s="40"/>
      <c r="D304">
        <v>10</v>
      </c>
      <c r="E304">
        <v>15730.93</v>
      </c>
      <c r="F304">
        <v>23479</v>
      </c>
      <c r="G304">
        <v>18078.830000000002</v>
      </c>
      <c r="H304">
        <v>1</v>
      </c>
      <c r="I304">
        <v>1</v>
      </c>
    </row>
    <row r="305" spans="1:9" x14ac:dyDescent="0.25">
      <c r="B305" s="40"/>
      <c r="C305" s="40"/>
      <c r="D305">
        <v>10</v>
      </c>
      <c r="E305">
        <v>0</v>
      </c>
      <c r="F305">
        <v>0</v>
      </c>
      <c r="G305">
        <v>0</v>
      </c>
      <c r="H305">
        <v>1</v>
      </c>
      <c r="I305">
        <v>1</v>
      </c>
    </row>
    <row r="306" spans="1:9" x14ac:dyDescent="0.25">
      <c r="B306" s="40"/>
      <c r="C306" s="40"/>
      <c r="D306">
        <v>10</v>
      </c>
      <c r="E306">
        <v>103.36</v>
      </c>
      <c r="F306">
        <v>320</v>
      </c>
      <c r="G306">
        <v>135.36000000000001</v>
      </c>
      <c r="H306">
        <v>1</v>
      </c>
      <c r="I306">
        <v>1</v>
      </c>
    </row>
    <row r="307" spans="1:9" x14ac:dyDescent="0.25">
      <c r="B307" s="40"/>
      <c r="C307" s="40"/>
      <c r="D307">
        <v>10</v>
      </c>
      <c r="E307">
        <v>67.16</v>
      </c>
      <c r="F307">
        <v>146</v>
      </c>
      <c r="G307">
        <v>81.760000000000005</v>
      </c>
      <c r="H307">
        <v>1</v>
      </c>
      <c r="I307">
        <v>1</v>
      </c>
    </row>
    <row r="308" spans="1:9" x14ac:dyDescent="0.25">
      <c r="B308" s="40"/>
      <c r="C308" s="40" t="s">
        <v>1125</v>
      </c>
      <c r="D308">
        <v>10</v>
      </c>
      <c r="E308">
        <v>42</v>
      </c>
      <c r="F308">
        <v>84</v>
      </c>
      <c r="G308">
        <v>50.4</v>
      </c>
      <c r="H308">
        <v>1</v>
      </c>
      <c r="I308">
        <v>1</v>
      </c>
    </row>
    <row r="309" spans="1:9" x14ac:dyDescent="0.25">
      <c r="A309">
        <v>161</v>
      </c>
      <c r="B309" s="40" t="s">
        <v>75</v>
      </c>
      <c r="C309" s="40" t="s">
        <v>1483</v>
      </c>
      <c r="D309">
        <v>10</v>
      </c>
      <c r="F309">
        <v>180</v>
      </c>
      <c r="H309">
        <v>1</v>
      </c>
      <c r="I309">
        <v>1</v>
      </c>
    </row>
    <row r="310" spans="1:9" x14ac:dyDescent="0.25">
      <c r="A310">
        <v>847</v>
      </c>
      <c r="B310" s="40"/>
      <c r="C310" s="40" t="s">
        <v>1736</v>
      </c>
      <c r="D310">
        <v>10</v>
      </c>
      <c r="E310">
        <v>47.47</v>
      </c>
      <c r="F310">
        <v>101</v>
      </c>
      <c r="G310">
        <v>57.569999999999993</v>
      </c>
      <c r="H310">
        <v>1</v>
      </c>
      <c r="I310">
        <v>1</v>
      </c>
    </row>
    <row r="311" spans="1:9" x14ac:dyDescent="0.25">
      <c r="A311">
        <v>994</v>
      </c>
      <c r="B311" s="40"/>
      <c r="C311" s="40" t="s">
        <v>1158</v>
      </c>
      <c r="D311">
        <v>10</v>
      </c>
      <c r="E311">
        <v>710.4</v>
      </c>
      <c r="F311">
        <v>740</v>
      </c>
      <c r="G311">
        <v>784.40000000000009</v>
      </c>
      <c r="H311">
        <v>1</v>
      </c>
      <c r="I311">
        <v>1</v>
      </c>
    </row>
    <row r="312" spans="1:9" x14ac:dyDescent="0.25">
      <c r="A312">
        <v>995</v>
      </c>
      <c r="B312" s="40"/>
      <c r="C312" s="40" t="s">
        <v>1129</v>
      </c>
      <c r="D312">
        <v>10</v>
      </c>
      <c r="E312">
        <v>682.65</v>
      </c>
      <c r="F312">
        <v>1665</v>
      </c>
      <c r="G312">
        <v>849.15</v>
      </c>
      <c r="H312">
        <v>1</v>
      </c>
      <c r="I312">
        <v>1</v>
      </c>
    </row>
    <row r="313" spans="1:9" x14ac:dyDescent="0.25">
      <c r="A313">
        <v>1076</v>
      </c>
      <c r="B313" s="40"/>
      <c r="C313" s="40" t="s">
        <v>1472</v>
      </c>
      <c r="D313">
        <v>10</v>
      </c>
      <c r="E313">
        <v>183.48</v>
      </c>
      <c r="F313">
        <v>417</v>
      </c>
      <c r="G313">
        <v>225.18</v>
      </c>
      <c r="H313">
        <v>1</v>
      </c>
      <c r="I31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sin flitrar</vt:lpstr>
      <vt:lpstr>filtradas</vt:lpstr>
      <vt:lpstr>pendientes</vt:lpstr>
    </vt:vector>
  </TitlesOfParts>
  <Company>acer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Balbi</dc:creator>
  <cp:lastModifiedBy>Edgar</cp:lastModifiedBy>
  <cp:revision/>
  <dcterms:created xsi:type="dcterms:W3CDTF">2007-12-08T03:48:01Z</dcterms:created>
  <dcterms:modified xsi:type="dcterms:W3CDTF">2021-08-06T14:02:30Z</dcterms:modified>
</cp:coreProperties>
</file>